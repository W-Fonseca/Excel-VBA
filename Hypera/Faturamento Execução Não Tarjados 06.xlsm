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wellington.fonseca\Desktop\nova\"/>
    </mc:Choice>
  </mc:AlternateContent>
  <bookViews>
    <workbookView xWindow="0" yWindow="0" windowWidth="20490" windowHeight="7320" firstSheet="2" activeTab="2"/>
  </bookViews>
  <sheets>
    <sheet name="Planilha1" sheetId="9" state="hidden" r:id="rId1"/>
    <sheet name="Planilha5" sheetId="10" state="hidden" r:id="rId2"/>
    <sheet name="Total" sheetId="2" r:id="rId3"/>
    <sheet name="Gráfico Dinânamico" sheetId="8" r:id="rId4"/>
    <sheet name="Gráfico fixo" sheetId="5" r:id="rId5"/>
    <sheet name="Planilha2" sheetId="4" state="hidden" r:id="rId6"/>
    <sheet name="Colflex" sheetId="1" state="hidden" r:id="rId7"/>
  </sheets>
  <calcPr calcId="162913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2" l="1"/>
  <c r="S27" i="1" l="1"/>
  <c r="R27" i="1"/>
  <c r="Q27" i="1"/>
  <c r="P27" i="1"/>
  <c r="R26" i="1"/>
  <c r="Q26" i="1"/>
  <c r="P26" i="1"/>
  <c r="S25" i="1"/>
  <c r="R25" i="1"/>
  <c r="Q25" i="1"/>
  <c r="P25" i="1"/>
  <c r="S24" i="1"/>
  <c r="R24" i="1"/>
  <c r="Q24" i="1"/>
  <c r="P24" i="1"/>
  <c r="S23" i="1"/>
  <c r="R23" i="1"/>
  <c r="Q23" i="1"/>
  <c r="P23" i="1"/>
  <c r="S22" i="1"/>
  <c r="R22" i="1"/>
  <c r="Q22" i="1"/>
  <c r="P22" i="1"/>
  <c r="S21" i="1"/>
  <c r="R21" i="1"/>
  <c r="Q21" i="1"/>
  <c r="P21" i="1"/>
  <c r="S20" i="1"/>
  <c r="R20" i="1"/>
  <c r="Q20" i="1"/>
  <c r="P20" i="1"/>
  <c r="S19" i="1"/>
  <c r="R19" i="1"/>
  <c r="Q19" i="1"/>
  <c r="P19" i="1"/>
  <c r="S18" i="1"/>
  <c r="R18" i="1"/>
  <c r="Q18" i="1"/>
  <c r="P18" i="1"/>
  <c r="N14" i="1"/>
  <c r="S12" i="1"/>
  <c r="R12" i="1"/>
  <c r="Q12" i="1"/>
  <c r="P12" i="1"/>
  <c r="R11" i="1"/>
  <c r="Q11" i="1"/>
  <c r="P11" i="1"/>
  <c r="S10" i="1"/>
  <c r="R10" i="1"/>
  <c r="Q10" i="1"/>
  <c r="P10" i="1"/>
  <c r="S9" i="1"/>
  <c r="R9" i="1"/>
  <c r="Q9" i="1"/>
  <c r="P9" i="1"/>
  <c r="S8" i="1"/>
  <c r="R8" i="1"/>
  <c r="Q8" i="1"/>
  <c r="P8" i="1"/>
  <c r="S7" i="1"/>
  <c r="R7" i="1"/>
  <c r="Q7" i="1"/>
  <c r="P7" i="1"/>
  <c r="S6" i="1"/>
  <c r="R6" i="1"/>
  <c r="Q6" i="1"/>
  <c r="P6" i="1"/>
  <c r="S5" i="1"/>
  <c r="R5" i="1"/>
  <c r="Q5" i="1"/>
  <c r="P5" i="1"/>
  <c r="S4" i="1"/>
  <c r="R4" i="1"/>
  <c r="Q4" i="1"/>
  <c r="P4" i="1"/>
  <c r="S3" i="1"/>
  <c r="R3" i="1"/>
  <c r="Q3" i="1"/>
  <c r="P3" i="1"/>
  <c r="I68" i="2"/>
  <c r="I67" i="2"/>
  <c r="I66" i="2"/>
  <c r="I65" i="2"/>
  <c r="I64" i="2"/>
  <c r="I63" i="2"/>
  <c r="I62" i="2"/>
  <c r="I60" i="2"/>
  <c r="I59" i="2"/>
  <c r="I57" i="2"/>
  <c r="I56" i="2"/>
  <c r="I55" i="2"/>
  <c r="I53" i="2"/>
  <c r="I52" i="2"/>
  <c r="I51" i="2"/>
  <c r="I50" i="2"/>
  <c r="I48" i="2"/>
  <c r="I47" i="2"/>
  <c r="I46" i="2"/>
  <c r="I45" i="2"/>
  <c r="I44" i="2"/>
  <c r="I43" i="2"/>
  <c r="I42" i="2"/>
  <c r="I41" i="2"/>
  <c r="I40" i="2"/>
  <c r="I39" i="2"/>
  <c r="I38" i="2"/>
  <c r="I37" i="2"/>
  <c r="I35" i="2"/>
  <c r="I34" i="2"/>
  <c r="I33" i="2"/>
  <c r="I32" i="2"/>
  <c r="I30" i="2"/>
  <c r="I29" i="2"/>
  <c r="I28" i="2"/>
  <c r="I27" i="2"/>
  <c r="I26" i="2"/>
  <c r="I24" i="2"/>
  <c r="I22" i="2"/>
  <c r="I20" i="2"/>
  <c r="I19" i="2"/>
  <c r="I18" i="2"/>
  <c r="I17" i="2"/>
  <c r="I16" i="2"/>
  <c r="I15" i="2"/>
  <c r="I14" i="2"/>
  <c r="I13" i="2"/>
  <c r="I12" i="2"/>
  <c r="I11" i="2"/>
  <c r="I10" i="2"/>
  <c r="I9" i="2"/>
  <c r="I7" i="2"/>
  <c r="I6" i="2"/>
  <c r="I5" i="2"/>
  <c r="G73" i="2" l="1"/>
  <c r="H73" i="2"/>
  <c r="F73" i="2" l="1"/>
</calcChain>
</file>

<file path=xl/sharedStrings.xml><?xml version="1.0" encoding="utf-8"?>
<sst xmlns="http://schemas.openxmlformats.org/spreadsheetml/2006/main" count="675" uniqueCount="168">
  <si>
    <t>APRESENTAÇÃO</t>
  </si>
  <si>
    <t>COLFLEX BIO CAPSULAS 40mg x 60</t>
  </si>
  <si>
    <t>COLFLEX BIO CAPSULAS 40mg x 30</t>
  </si>
  <si>
    <t>COLFLEX COMPLET CPR x 60</t>
  </si>
  <si>
    <t>COLFLEX COMPLET CPR x 30</t>
  </si>
  <si>
    <t>COLFLEX PO S/SAB POT 333G x 1</t>
  </si>
  <si>
    <t>COLFLEX PO SACHE 11.1G x 30</t>
  </si>
  <si>
    <t>COLFLEX VIT PO SACHE 12.6G x 30</t>
  </si>
  <si>
    <t>COLFLEX TRIO PO SACHE 12G x 30</t>
  </si>
  <si>
    <t>COLFLEX MUSCULAR PO BAUN POTE 381G x 1</t>
  </si>
  <si>
    <t>Total Geral</t>
  </si>
  <si>
    <t>CAGR 5 meses</t>
  </si>
  <si>
    <t xml:space="preserve">Evol. </t>
  </si>
  <si>
    <t>CAGR 10 meses</t>
  </si>
  <si>
    <t>-</t>
  </si>
  <si>
    <t>PMB Abril/2021 Unidades</t>
  </si>
  <si>
    <t>PMB Abril/2021 PPP</t>
  </si>
  <si>
    <t xml:space="preserve">abr/20 - MÊS PPP </t>
  </si>
  <si>
    <t xml:space="preserve">mai/20 - MÊS PPP </t>
  </si>
  <si>
    <t xml:space="preserve">jun/20 - MÊS PPP </t>
  </si>
  <si>
    <t xml:space="preserve">jul/20 - MÊS PPP </t>
  </si>
  <si>
    <t xml:space="preserve">ago/20 - MÊS PPP </t>
  </si>
  <si>
    <t xml:space="preserve">set/20 - MÊS PPP </t>
  </si>
  <si>
    <t xml:space="preserve">out/20 - MÊS PPP </t>
  </si>
  <si>
    <t xml:space="preserve">nov/20 - MÊS PPP </t>
  </si>
  <si>
    <t xml:space="preserve">dez/20 - MÊS PPP </t>
  </si>
  <si>
    <t xml:space="preserve">jan/21 - MÊS PPP </t>
  </si>
  <si>
    <t xml:space="preserve">fev/21 - MÊS PPP </t>
  </si>
  <si>
    <t xml:space="preserve">mar/21 - MÊS PPP </t>
  </si>
  <si>
    <t xml:space="preserve">abr/21 - MÊS PPP </t>
  </si>
  <si>
    <t>TOTAL MAT Abr/2021</t>
  </si>
  <si>
    <t>OFOLATO GOTAS 30ML x 1</t>
  </si>
  <si>
    <t>OFOLATO GOTAS 15ML x 1</t>
  </si>
  <si>
    <t>COLFLEX TRIO</t>
  </si>
  <si>
    <t>OFOLATO GOTAS</t>
  </si>
  <si>
    <t>COLFLEX MUSCULAR</t>
  </si>
  <si>
    <t>OFOLATO CPR x 30</t>
  </si>
  <si>
    <t>OFOLATO CPR x 90</t>
  </si>
  <si>
    <t>OFOLATO FER CPR x 30</t>
  </si>
  <si>
    <t>OFOLATO FER CPR x 90</t>
  </si>
  <si>
    <t>OFOLATO D CPR 1000IU x 30</t>
  </si>
  <si>
    <t>OFOLATO D CPR 1000IU x 90</t>
  </si>
  <si>
    <t>OFOLATO D CPR 2000IU x 90</t>
  </si>
  <si>
    <t>OFOLATO D CPR 2000IU x 30</t>
  </si>
  <si>
    <t>OFOLATO D FER CPR 2000IU x 30</t>
  </si>
  <si>
    <t>OFOLATO D FER CPR 1000IU x 30</t>
  </si>
  <si>
    <t>CENTROTABS N_Q</t>
  </si>
  <si>
    <t>CENTROTABS CAPS OMEGA 3 x 60</t>
  </si>
  <si>
    <t>CENTROTABS (CÁLCIO + VIT D)</t>
  </si>
  <si>
    <t>CENTROTABS - OMEGA 3</t>
  </si>
  <si>
    <t xml:space="preserve">COLFLEX COMPLET </t>
  </si>
  <si>
    <t xml:space="preserve">FINN NUTRITIVE </t>
  </si>
  <si>
    <t>CENTROACTIVE - COMPLEMENTO NUTRICIONAL</t>
  </si>
  <si>
    <t>OFOLATO D 1000 E 2000 UI</t>
  </si>
  <si>
    <t>OFOLATO D FER</t>
  </si>
  <si>
    <t>CENTROTABS CABELOS E UNHAS</t>
  </si>
  <si>
    <t>Gestamax Plus</t>
  </si>
  <si>
    <t>Colflex Trio</t>
  </si>
  <si>
    <t>Vitasay 50+ Vitaly Maca Peruana</t>
  </si>
  <si>
    <t>Vitasay 50+ Serenne L-Triptofano</t>
  </si>
  <si>
    <t>Vitasay 50+ Pro Omega - Ômega Low Reflux</t>
  </si>
  <si>
    <t>Ofolato CPR Nova Fórmula</t>
  </si>
  <si>
    <t xml:space="preserve">Bifilac Geflora Probiótico LGG </t>
  </si>
  <si>
    <t>HMB Colflex Muscular (pote)</t>
  </si>
  <si>
    <t>Addera Beauty</t>
  </si>
  <si>
    <t>Addera Imune Adulto</t>
  </si>
  <si>
    <t>Maracugina PI cpr 840mg - Monodroga Comprimido</t>
  </si>
  <si>
    <t>Engov After Berry Vibes</t>
  </si>
  <si>
    <t>Estomazil Sachê (Nova Apresentação)</t>
  </si>
  <si>
    <t>Addera Vit</t>
  </si>
  <si>
    <t>Addera Energy</t>
  </si>
  <si>
    <t>Addera Cal - Frasco</t>
  </si>
  <si>
    <t>Addera 1000UI - Cpr Frasco</t>
  </si>
  <si>
    <t>Addera 2000 UI - Cpr Frasco</t>
  </si>
  <si>
    <t>Nouve Silício Ôrganico 2ª Geração -  Sem Vit A</t>
  </si>
  <si>
    <t>Pack Finn Sucralose</t>
  </si>
  <si>
    <t>Benegrip Imuno Complex Caps Gel</t>
  </si>
  <si>
    <t xml:space="preserve">Rinosoro Jet Xilitol Infantil </t>
  </si>
  <si>
    <t>Ofolato Gotas 50ml</t>
  </si>
  <si>
    <t>COLFLEX COMPLET</t>
  </si>
  <si>
    <t>CENTROACTIVE PO L BAUNILH 360G x 1</t>
  </si>
  <si>
    <t>CENTROACTIVE PO L SE C LE 360G x 1</t>
  </si>
  <si>
    <t>CENTROACTIVE PO L SE S/SA 360G x 1</t>
  </si>
  <si>
    <t>CENTROACTIVE PO L CHOCOLA 360G x 1</t>
  </si>
  <si>
    <t>CENTROACTIVE PO L BANANA 360G x 1</t>
  </si>
  <si>
    <t>CENTROACTIVE N_Q</t>
  </si>
  <si>
    <t>CENTROTABS CAPS CA P UN x 60</t>
  </si>
  <si>
    <t>CENTROTABS (CÁLCIO + VIT D) ?</t>
  </si>
  <si>
    <t>BIFILAC MF_</t>
  </si>
  <si>
    <t>BIFILAC CPR 250MG x 30</t>
  </si>
  <si>
    <t>BIFILAC GEFLORA MF_</t>
  </si>
  <si>
    <t>BIFILAC GEFLORA CAPS 10BIL x 7</t>
  </si>
  <si>
    <t>BIFILAC GEFLORA PO STICK 5BI 2G x 6</t>
  </si>
  <si>
    <t>BIFILAC GEFLORA PO STICK 5BI 2G x 14</t>
  </si>
  <si>
    <t>ADDERA CPR REV ENER x 30</t>
  </si>
  <si>
    <t>ADDERA CPR REV ENER x 90</t>
  </si>
  <si>
    <t>ADDERA CPR REV VITA x 30</t>
  </si>
  <si>
    <t>ADDERA CPR REV VITA x 90</t>
  </si>
  <si>
    <t>ADDERA CPR REV IMUN x 30</t>
  </si>
  <si>
    <t>ADDERA CPR REV IMUN x 90</t>
  </si>
  <si>
    <t>ADDERA CPR RE CA UN x 30</t>
  </si>
  <si>
    <t>ADDERA CPR RE CA UN x 90</t>
  </si>
  <si>
    <t>ADDERA D3 MF_</t>
  </si>
  <si>
    <t>ADDERA CAL CPR REVEST 2000IU x 30</t>
  </si>
  <si>
    <t>ADDERA CAL CPR REVEST 1000IU x 90</t>
  </si>
  <si>
    <t>ADDERA CAL CPR REVEST 2000IU x 90</t>
  </si>
  <si>
    <t>ADDERA CAL CPR REVEST 1000IU x 30</t>
  </si>
  <si>
    <t>ADDERA CAL MF_</t>
  </si>
  <si>
    <t>GESTAMAX MF_</t>
  </si>
  <si>
    <t>GESTAMAX CAPSULAS x 60</t>
  </si>
  <si>
    <t>GESTAMAX CAPSULAS x 30</t>
  </si>
  <si>
    <t>GESTAMAX PLUS MF_</t>
  </si>
  <si>
    <t>GESTAMAX PLUS CAPS GEL x 30</t>
  </si>
  <si>
    <t>GESTAMAX PLUS CAPS GEL x 60</t>
  </si>
  <si>
    <t>VITASAY 50+ CAPS G VITAL x 60</t>
  </si>
  <si>
    <t>VITASAY 50+ CAPS SERENNE x 60</t>
  </si>
  <si>
    <t>VITASAY 50+ CAPS P OM3 L 2000MG x 60</t>
  </si>
  <si>
    <t>VITASAY 50+ HCH</t>
  </si>
  <si>
    <t>NOUVE SILICIO ORGA MF_</t>
  </si>
  <si>
    <t>NOUVE SILICIO ORGA CAPSULAS x 60</t>
  </si>
  <si>
    <t>NOUVE SILI ORGA NF MF_</t>
  </si>
  <si>
    <t>NOUVE SILI ORGA NF CAPS MOLE x 60</t>
  </si>
  <si>
    <t>FINN NUTRITIVE HCH</t>
  </si>
  <si>
    <t>FINN NUTRITIVE PO LA MOR SI 400G x 1</t>
  </si>
  <si>
    <t>FINN NUTRITIVE PO LA CHO LE 400G x 1</t>
  </si>
  <si>
    <t>FINN NUTRITIVE PO LA BAU CR 400G x 1</t>
  </si>
  <si>
    <t>FINN NUTRITIVE LIQ BAUN CRE 46G x 1</t>
  </si>
  <si>
    <t>FINN NUTRITIVE LIQ CHOC LEI 46G x 1</t>
  </si>
  <si>
    <t>FINN NUTRITIVE PO LA S/SABO 400G x 1</t>
  </si>
  <si>
    <t>FINN NUTRITIVE LIQ MORA SIL 46G x 1</t>
  </si>
  <si>
    <t>BENEGRIP HCH</t>
  </si>
  <si>
    <t>OFOLATO MF_</t>
  </si>
  <si>
    <t>OFOLATO FER MF_</t>
  </si>
  <si>
    <t>OFOLATO D MF_</t>
  </si>
  <si>
    <t>OFOLATO D FER MF_</t>
  </si>
  <si>
    <t>BENEGRIP IMUNO COMPLEX</t>
  </si>
  <si>
    <t>TOTAL</t>
  </si>
  <si>
    <t>Evol.</t>
  </si>
  <si>
    <t>BENEGRIP IMUNO ENERGY</t>
  </si>
  <si>
    <t>Lançamentos (BD Miazzo)</t>
  </si>
  <si>
    <t>Pedir para Gu acrescentar na análise: Total da marca (e qto o nosso produto representa %), total do mercado que cada marca atua e implementar geração automática de relatório. Interessante utilizar na apresentação de resultados do Estágio.</t>
  </si>
  <si>
    <t>Mercado Total</t>
  </si>
  <si>
    <t>%Família</t>
  </si>
  <si>
    <t>PRODUTO/SUBMARCA</t>
  </si>
  <si>
    <t>FAMILIA/MARCA</t>
  </si>
  <si>
    <t>COLFLEX</t>
  </si>
  <si>
    <t>OFOLATO</t>
  </si>
  <si>
    <t>CENTROTABS</t>
  </si>
  <si>
    <t>CENTROACTIVE</t>
  </si>
  <si>
    <t>BIFILAC</t>
  </si>
  <si>
    <t>ADDERA</t>
  </si>
  <si>
    <t>GESTAMAX</t>
  </si>
  <si>
    <t>VITASAY</t>
  </si>
  <si>
    <t>NOUVE</t>
  </si>
  <si>
    <t>FINN</t>
  </si>
  <si>
    <t>BENEGRIP</t>
  </si>
  <si>
    <t>MAT - PPP</t>
  </si>
  <si>
    <t>(Tudo)</t>
  </si>
  <si>
    <t>abr/17</t>
  </si>
  <si>
    <t>abr/18</t>
  </si>
  <si>
    <t>abr/19</t>
  </si>
  <si>
    <t>abr/20</t>
  </si>
  <si>
    <t>abr/21</t>
  </si>
  <si>
    <t>MAT - abr/17</t>
  </si>
  <si>
    <t>MAT - abr/18</t>
  </si>
  <si>
    <t>MAT - abr/19</t>
  </si>
  <si>
    <t>MAT - abr/20</t>
  </si>
  <si>
    <t>MAT - abr/21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</si>
</sst>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-0.249977111117893"/>
      </top>
      <bottom style="medium">
        <color theme="4" tint="-0.249977111117893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 applyFill="1"/>
    <xf numFmtId="0" fontId="2" fillId="0" borderId="0" xfId="0" applyFont="1"/>
    <xf numFmtId="164" fontId="2" fillId="0" borderId="0" xfId="0" applyNumberFormat="1" applyFont="1"/>
    <xf numFmtId="9" fontId="2" fillId="0" borderId="0" xfId="2" applyFont="1" applyAlignment="1">
      <alignment horizontal="center"/>
    </xf>
    <xf numFmtId="165" fontId="2" fillId="0" borderId="0" xfId="2" applyNumberFormat="1" applyFont="1" applyAlignment="1">
      <alignment horizontal="center"/>
    </xf>
    <xf numFmtId="0" fontId="4" fillId="0" borderId="0" xfId="0" applyFont="1"/>
    <xf numFmtId="0" fontId="5" fillId="2" borderId="0" xfId="0" applyFont="1" applyFill="1"/>
    <xf numFmtId="164" fontId="5" fillId="2" borderId="0" xfId="0" applyNumberFormat="1" applyFont="1" applyFill="1"/>
    <xf numFmtId="9" fontId="5" fillId="2" borderId="0" xfId="2" applyFont="1" applyFill="1" applyAlignment="1">
      <alignment horizontal="center"/>
    </xf>
    <xf numFmtId="165" fontId="5" fillId="2" borderId="0" xfId="2" applyNumberFormat="1" applyFont="1" applyFill="1" applyAlignment="1">
      <alignment horizontal="center"/>
    </xf>
    <xf numFmtId="9" fontId="3" fillId="0" borderId="0" xfId="2" applyFont="1" applyAlignment="1">
      <alignment horizontal="center"/>
    </xf>
    <xf numFmtId="0" fontId="6" fillId="0" borderId="0" xfId="0" applyFont="1" applyFill="1" applyAlignment="1">
      <alignment horizontal="center"/>
    </xf>
    <xf numFmtId="0" fontId="8" fillId="4" borderId="0" xfId="0" applyFont="1" applyFill="1" applyBorder="1"/>
    <xf numFmtId="0" fontId="3" fillId="0" borderId="1" xfId="0" applyFont="1" applyBorder="1"/>
    <xf numFmtId="164" fontId="3" fillId="0" borderId="1" xfId="0" applyNumberFormat="1" applyFont="1" applyBorder="1"/>
    <xf numFmtId="164" fontId="3" fillId="0" borderId="0" xfId="0" applyNumberFormat="1" applyFont="1" applyAlignment="1">
      <alignment horizontal="center"/>
    </xf>
    <xf numFmtId="0" fontId="3" fillId="0" borderId="0" xfId="0" applyFont="1"/>
    <xf numFmtId="164" fontId="3" fillId="0" borderId="0" xfId="0" applyNumberFormat="1" applyFont="1"/>
    <xf numFmtId="164" fontId="2" fillId="0" borderId="0" xfId="1" applyNumberFormat="1" applyFont="1"/>
    <xf numFmtId="164" fontId="3" fillId="3" borderId="0" xfId="1" applyNumberFormat="1" applyFont="1" applyFill="1"/>
    <xf numFmtId="164" fontId="9" fillId="0" borderId="0" xfId="1" applyNumberFormat="1" applyFont="1"/>
    <xf numFmtId="9" fontId="9" fillId="0" borderId="0" xfId="2" applyFont="1"/>
    <xf numFmtId="0" fontId="6" fillId="0" borderId="0" xfId="0" applyFont="1"/>
    <xf numFmtId="0" fontId="5" fillId="0" borderId="0" xfId="0" applyFont="1"/>
    <xf numFmtId="0" fontId="8" fillId="4" borderId="0" xfId="0" applyFont="1" applyFill="1" applyBorder="1" applyAlignment="1">
      <alignment horizontal="center"/>
    </xf>
    <xf numFmtId="9" fontId="0" fillId="0" borderId="0" xfId="2" applyFont="1"/>
    <xf numFmtId="165" fontId="0" fillId="0" borderId="0" xfId="2" applyNumberFormat="1" applyFont="1"/>
    <xf numFmtId="0" fontId="10" fillId="5" borderId="0" xfId="0" applyFont="1" applyFill="1" applyAlignment="1">
      <alignment horizontal="center"/>
    </xf>
    <xf numFmtId="0" fontId="0" fillId="5" borderId="0" xfId="0" applyFill="1"/>
    <xf numFmtId="43" fontId="10" fillId="5" borderId="0" xfId="1" applyFont="1" applyFill="1" applyAlignment="1">
      <alignment horizontal="center"/>
    </xf>
    <xf numFmtId="43" fontId="2" fillId="0" borderId="0" xfId="1" applyNumberFormat="1" applyFont="1"/>
    <xf numFmtId="164" fontId="10" fillId="5" borderId="0" xfId="1" applyNumberFormat="1" applyFont="1" applyFill="1" applyAlignment="1">
      <alignment horizontal="center"/>
    </xf>
    <xf numFmtId="9" fontId="0" fillId="0" borderId="0" xfId="2" applyNumberFormat="1" applyFont="1"/>
    <xf numFmtId="164" fontId="10" fillId="5" borderId="0" xfId="0" applyNumberFormat="1" applyFont="1" applyFill="1" applyAlignment="1">
      <alignment horizontal="center"/>
    </xf>
    <xf numFmtId="164" fontId="10" fillId="5" borderId="0" xfId="0" applyNumberFormat="1" applyFont="1" applyFill="1"/>
    <xf numFmtId="164" fontId="10" fillId="5" borderId="0" xfId="1" applyNumberFormat="1" applyFont="1" applyFill="1"/>
    <xf numFmtId="17" fontId="8" fillId="4" borderId="0" xfId="0" applyNumberFormat="1" applyFont="1" applyFill="1" applyBorder="1" applyAlignment="1">
      <alignment horizontal="center"/>
    </xf>
    <xf numFmtId="0" fontId="0" fillId="0" borderId="0" xfId="0" pivotButton="1"/>
    <xf numFmtId="44" fontId="3" fillId="3" borderId="0" xfId="1" applyNumberFormat="1" applyFont="1" applyFill="1"/>
    <xf numFmtId="166" fontId="0" fillId="0" borderId="0" xfId="0" applyNumberFormat="1"/>
    <xf numFmtId="0" fontId="8" fillId="4" borderId="0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1">
    <dxf>
      <numFmt numFmtId="166" formatCode="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[Faturamento Execução Não Tarjados 06.xlsm]Gráfico Dinânamico!Tabela dinâmica2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Dinânamico'!$A$5</c:f>
              <c:strCache>
                <c:ptCount val="1"/>
                <c:pt idx="0">
                  <c:v>MAT - abr/17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Dinânamico'!$A$6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1-4F06-9005-894C4B4196F1}"/>
            </c:ext>
          </c:extLst>
        </c:ser>
        <c:ser>
          <c:idx val="1"/>
          <c:order val="1"/>
          <c:tx>
            <c:strRef>
              <c:f>'Gráfico Dinânamico'!$B$5</c:f>
              <c:strCache>
                <c:ptCount val="1"/>
                <c:pt idx="0">
                  <c:v>MAT - abr/18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Dinânamico'!$B$6</c:f>
              <c:numCache>
                <c:formatCode>"R$"\ #,##0.00</c:formatCode>
                <c:ptCount val="1"/>
                <c:pt idx="0">
                  <c:v>1226444.26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91-4F06-9005-894C4B4196F1}"/>
            </c:ext>
          </c:extLst>
        </c:ser>
        <c:ser>
          <c:idx val="2"/>
          <c:order val="2"/>
          <c:tx>
            <c:strRef>
              <c:f>'Gráfico Dinânamico'!$C$5</c:f>
              <c:strCache>
                <c:ptCount val="1"/>
                <c:pt idx="0">
                  <c:v>MAT - abr/19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Dinânamico'!$C$6</c:f>
              <c:numCache>
                <c:formatCode>"R$"\ #,##0.00</c:formatCode>
                <c:ptCount val="1"/>
                <c:pt idx="0">
                  <c:v>13235656.42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91-4F06-9005-894C4B4196F1}"/>
            </c:ext>
          </c:extLst>
        </c:ser>
        <c:ser>
          <c:idx val="3"/>
          <c:order val="3"/>
          <c:tx>
            <c:strRef>
              <c:f>'Gráfico Dinânamico'!$D$5</c:f>
              <c:strCache>
                <c:ptCount val="1"/>
                <c:pt idx="0">
                  <c:v>MAT - abr/20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Dinânamico'!$D$6</c:f>
              <c:numCache>
                <c:formatCode>"R$"\ #,##0.00</c:formatCode>
                <c:ptCount val="1"/>
                <c:pt idx="0">
                  <c:v>43136331.830000006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91-4F06-9005-894C4B4196F1}"/>
            </c:ext>
          </c:extLst>
        </c:ser>
        <c:ser>
          <c:idx val="4"/>
          <c:order val="4"/>
          <c:tx>
            <c:strRef>
              <c:f>'Gráfico Dinânamico'!$E$5</c:f>
              <c:strCache>
                <c:ptCount val="1"/>
                <c:pt idx="0">
                  <c:v>MAT - abr/21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Dinânamico'!$E$6</c:f>
              <c:numCache>
                <c:formatCode>"R$"\ #,##0.00</c:formatCode>
                <c:ptCount val="1"/>
                <c:pt idx="0">
                  <c:v>118224613.24999996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91-4F06-9005-894C4B4196F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16625920"/>
        <c:axId val="1408285648"/>
      </c:barChart>
      <c:catAx>
        <c:axId val="14166259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8285648"/>
        <c:crosses val="autoZero"/>
        <c:auto val="1"/>
        <c:lblAlgn val="ctr"/>
        <c:lblOffset val="100"/>
        <c:noMultiLvlLbl val="0"/>
      </c:catAx>
      <c:valAx>
        <c:axId val="140828564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41662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Total!$D$3:$H$3</c:f>
              <c:numCache>
                <c:formatCode>mmm\-yy</c:formatCode>
                <c:ptCount val="5"/>
                <c:pt idx="0">
                  <c:v>42826</c:v>
                </c:pt>
                <c:pt idx="1">
                  <c:v>43191</c:v>
                </c:pt>
                <c:pt idx="2">
                  <c:v>43556</c:v>
                </c:pt>
                <c:pt idx="3">
                  <c:v>43922</c:v>
                </c:pt>
                <c:pt idx="4">
                  <c:v>44287</c:v>
                </c:pt>
              </c:numCache>
            </c:numRef>
          </c:cat>
          <c:val>
            <c:numRef>
              <c:f>Total!$D$72:$H$72</c:f>
              <c:numCache>
                <c:formatCode>_("R$"* #,##0.00_);_("R$"* \(#,##0.00\);_("R$"* "-"??_);_(@_)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22-4710-999F-0B3522A97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16719"/>
        <c:axId val="429815055"/>
      </c:lineChart>
      <c:dateAx>
        <c:axId val="429816719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815055"/>
        <c:crosses val="autoZero"/>
        <c:auto val="1"/>
        <c:lblOffset val="100"/>
        <c:baseTimeUnit val="years"/>
      </c:dateAx>
      <c:valAx>
        <c:axId val="429815055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81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Total!$D$3:$H$3</c:f>
              <c:numCache>
                <c:formatCode>mmm\-yy</c:formatCode>
                <c:ptCount val="5"/>
                <c:pt idx="0">
                  <c:v>42826</c:v>
                </c:pt>
                <c:pt idx="1">
                  <c:v>43191</c:v>
                </c:pt>
                <c:pt idx="2">
                  <c:v>43556</c:v>
                </c:pt>
                <c:pt idx="3">
                  <c:v>43922</c:v>
                </c:pt>
                <c:pt idx="4">
                  <c:v>44287</c:v>
                </c:pt>
              </c:numCache>
            </c:numRef>
          </c:cat>
          <c:val>
            <c:numRef>
              <c:f>Total!$D$72:$H$72</c:f>
              <c:numCache>
                <c:formatCode>_("R$"* #,##0.00_);_("R$"* \(#,##0.00\);_("R$"* "-"??_);_(@_)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2E80-4CA1-BE5A-9E0B89BE0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6847151"/>
        <c:axId val="1196850479"/>
      </c:barChart>
      <c:dateAx>
        <c:axId val="1196847151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850479"/>
        <c:crosses val="autoZero"/>
        <c:auto val="1"/>
        <c:lblOffset val="100"/>
        <c:baseTimeUnit val="years"/>
      </c:dateAx>
      <c:valAx>
        <c:axId val="1196850479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96847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7</xdr:row>
      <xdr:rowOff>152400</xdr:rowOff>
    </xdr:from>
    <xdr:to>
      <xdr:col>5</xdr:col>
      <xdr:colOff>390525</xdr:colOff>
      <xdr:row>22</xdr:row>
      <xdr:rowOff>142875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1</xdr:row>
      <xdr:rowOff>133349</xdr:rowOff>
    </xdr:from>
    <xdr:to>
      <xdr:col>9</xdr:col>
      <xdr:colOff>581025</xdr:colOff>
      <xdr:row>15</xdr:row>
      <xdr:rowOff>114300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409575</xdr:colOff>
      <xdr:row>1</xdr:row>
      <xdr:rowOff>114300</xdr:rowOff>
    </xdr:from>
    <xdr:to>
      <xdr:col>18</xdr:col>
      <xdr:colOff>104775</xdr:colOff>
      <xdr:row>16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ustavo Pascarelli Niccheri" refreshedDate="44400.46098703704" createdVersion="6" refreshedVersion="6" minRefreshableVersion="3" recordCount="68">
  <cacheSource type="worksheet">
    <worksheetSource ref="A3:H71" sheet="Total"/>
  </cacheSource>
  <cacheFields count="8">
    <cacheField name="FAMILIA/MARCA" numFmtId="0">
      <sharedItems count="11">
        <s v="COLFLEX"/>
        <s v="OFOLATO"/>
        <s v="CENTROTABS"/>
        <s v="CENTROACTIVE"/>
        <s v="BIFILAC"/>
        <s v="ADDERA"/>
        <s v="GESTAMAX"/>
        <s v="VITASAY"/>
        <s v="NOUVE"/>
        <s v="FINN"/>
        <s v="BENEGRIP"/>
      </sharedItems>
    </cacheField>
    <cacheField name="PRODUTO/SUBMARCA" numFmtId="0">
      <sharedItems containsBlank="1" count="21">
        <m/>
        <s v="COLFLEX TRIO"/>
        <s v="COLFLEX MUSCULAR"/>
        <s v="COLFLEX COMPLET"/>
        <s v="OFOLATO MF_"/>
        <s v="OFOLATO FER MF_"/>
        <s v="OFOLATO D MF_"/>
        <s v="OFOLATO D FER MF_"/>
        <s v="CENTROTABS N_Q"/>
        <s v="CENTROACTIVE N_Q"/>
        <s v="BIFILAC MF_"/>
        <s v="BIFILAC GEFLORA MF_"/>
        <s v="ADDERA D3 MF_"/>
        <s v="ADDERA CAL MF_"/>
        <s v="GESTAMAX MF_"/>
        <s v="GESTAMAX PLUS MF_"/>
        <s v="VITASAY 50+ HCH"/>
        <s v="NOUVE SILICIO ORGA MF_"/>
        <s v="NOUVE SILI ORGA NF MF_"/>
        <s v="FINN NUTRITIVE HCH"/>
        <s v="BENEGRIP HCH"/>
      </sharedItems>
    </cacheField>
    <cacheField name="APRESENTAÇÃO" numFmtId="0">
      <sharedItems containsBlank="1" count="58">
        <m/>
        <s v="COLFLEX TRIO PO SACHE 12G x 30"/>
        <s v="COLFLEX MUSCULAR PO BAUN POTE 381G x 1"/>
        <s v="COLFLEX COMPLET CPR x 30"/>
        <s v="OFOLATO CPR x 30"/>
        <s v="OFOLATO CPR x 90"/>
        <s v="OFOLATO GOTAS 30ML x 1"/>
        <s v="OFOLATO GOTAS 15ML x 1"/>
        <s v="OFOLATO FER CPR x 30"/>
        <s v="OFOLATO FER CPR x 90"/>
        <s v="OFOLATO D CPR 1000IU x 30"/>
        <s v="OFOLATO D CPR 1000IU x 90"/>
        <s v="OFOLATO D CPR 2000IU x 90"/>
        <s v="OFOLATO D CPR 2000IU x 30"/>
        <s v="OFOLATO D FER CPR 2000IU x 30"/>
        <s v="OFOLATO D FER CPR 1000IU x 30"/>
        <s v="CENTROTABS CAPS OMEGA 3 x 60"/>
        <s v="CENTROTABS (CÁLCIO + VIT D) ?"/>
        <s v="CENTROTABS CAPS CA P UN x 60"/>
        <s v="CENTROACTIVE PO L BAUNILH 360G x 1"/>
        <s v="CENTROACTIVE PO L SE C LE 360G x 1"/>
        <s v="CENTROACTIVE PO L SE S/SA 360G x 1"/>
        <s v="CENTROACTIVE PO L CHOCOLA 360G x 1"/>
        <s v="CENTROACTIVE PO L BANANA 360G x 1"/>
        <s v="BIFILAC CPR 250MG x 30"/>
        <s v="BIFILAC GEFLORA CAPS 10BIL x 7"/>
        <s v="BIFILAC GEFLORA PO STICK 5BI 2G x 6"/>
        <s v="BIFILAC GEFLORA PO STICK 5BI 2G x 14"/>
        <s v="ADDERA CPR REV ENER x 30"/>
        <s v="ADDERA CPR REV ENER x 90"/>
        <s v="ADDERA CPR REV VITA x 30"/>
        <s v="ADDERA CPR REV VITA x 90"/>
        <s v="ADDERA CPR REV IMUN x 30"/>
        <s v="ADDERA CPR REV IMUN x 90"/>
        <s v="ADDERA CPR RE CA UN x 30"/>
        <s v="ADDERA CPR RE CA UN x 90"/>
        <s v="ADDERA CAL CPR REVEST 2000IU x 30"/>
        <s v="ADDERA CAL CPR REVEST 1000IU x 90"/>
        <s v="ADDERA CAL CPR REVEST 2000IU x 90"/>
        <s v="ADDERA CAL CPR REVEST 1000IU x 30"/>
        <s v="GESTAMAX CAPSULAS x 60"/>
        <s v="GESTAMAX CAPSULAS x 30"/>
        <s v="GESTAMAX PLUS CAPS GEL x 30"/>
        <s v="GESTAMAX PLUS CAPS GEL x 60"/>
        <s v="VITASAY 50+ CAPS G VITAL x 60"/>
        <s v="VITASAY 50+ CAPS SERENNE x 60"/>
        <s v="VITASAY 50+ CAPS P OM3 L 2000MG x 60"/>
        <s v="NOUVE SILICIO ORGA CAPSULAS x 60"/>
        <s v="NOUVE SILI ORGA NF CAPS MOLE x 60"/>
        <s v="FINN NUTRITIVE PO LA MOR SI 400G x 1"/>
        <s v="FINN NUTRITIVE PO LA CHO LE 400G x 1"/>
        <s v="FINN NUTRITIVE PO LA BAU CR 400G x 1"/>
        <s v="FINN NUTRITIVE LIQ BAUN CRE 46G x 1"/>
        <s v="FINN NUTRITIVE LIQ CHOC LEI 46G x 1"/>
        <s v="FINN NUTRITIVE PO LA S/SABO 400G x 1"/>
        <s v="FINN NUTRITIVE LIQ MORA SIL 46G x 1"/>
        <s v="BENEGRIP IMUNO COMPLEX"/>
        <s v="BENEGRIP IMUNO ENERGY"/>
      </sharedItems>
    </cacheField>
    <cacheField name="abr/17" numFmtId="164">
      <sharedItems containsString="0" containsBlank="1" containsNumber="1" containsInteger="1" minValue="0" maxValue="0"/>
    </cacheField>
    <cacheField name="abr/18" numFmtId="164">
      <sharedItems containsString="0" containsBlank="1" containsNumber="1" minValue="0" maxValue="1226444.26"/>
    </cacheField>
    <cacheField name="abr/19" numFmtId="164">
      <sharedItems containsString="0" containsBlank="1" containsNumber="1" minValue="0" maxValue="5374267.0999999996"/>
    </cacheField>
    <cacheField name="abr/20" numFmtId="164">
      <sharedItems containsString="0" containsBlank="1" containsNumber="1" minValue="0" maxValue="7325287.6500000004"/>
    </cacheField>
    <cacheField name="abr/21" numFmtId="0">
      <sharedItems containsString="0" containsBlank="1" containsNumber="1" minValue="0" maxValue="14590649.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">
  <r>
    <x v="0"/>
    <x v="0"/>
    <x v="0"/>
    <n v="0"/>
    <n v="0"/>
    <n v="0"/>
    <m/>
    <m/>
  </r>
  <r>
    <x v="0"/>
    <x v="1"/>
    <x v="1"/>
    <n v="0"/>
    <n v="0"/>
    <n v="0"/>
    <n v="0"/>
    <n v="14590649.51"/>
  </r>
  <r>
    <x v="0"/>
    <x v="2"/>
    <x v="2"/>
    <n v="0"/>
    <n v="0"/>
    <n v="0"/>
    <n v="0"/>
    <n v="670023.99000000011"/>
  </r>
  <r>
    <x v="0"/>
    <x v="3"/>
    <x v="3"/>
    <n v="0"/>
    <n v="0"/>
    <n v="0"/>
    <n v="1838400.78"/>
    <n v="3775171.1299999994"/>
  </r>
  <r>
    <x v="1"/>
    <x v="0"/>
    <x v="0"/>
    <n v="0"/>
    <m/>
    <m/>
    <m/>
    <m/>
  </r>
  <r>
    <x v="1"/>
    <x v="4"/>
    <x v="4"/>
    <n v="0"/>
    <n v="1226444.26"/>
    <n v="5374267.0999999996"/>
    <n v="6952685.6200000001"/>
    <n v="8242788.6899999985"/>
  </r>
  <r>
    <x v="1"/>
    <x v="4"/>
    <x v="5"/>
    <n v="0"/>
    <n v="0"/>
    <n v="3722155.93"/>
    <n v="7325287.6500000004"/>
    <n v="9643134.3200000003"/>
  </r>
  <r>
    <x v="1"/>
    <x v="4"/>
    <x v="6"/>
    <n v="0"/>
    <n v="0"/>
    <n v="0"/>
    <n v="2925619.82"/>
    <n v="5940686.9100000001"/>
  </r>
  <r>
    <x v="1"/>
    <x v="4"/>
    <x v="7"/>
    <n v="0"/>
    <n v="0"/>
    <n v="0"/>
    <n v="1389545.06"/>
    <n v="2658106.58"/>
  </r>
  <r>
    <x v="1"/>
    <x v="5"/>
    <x v="8"/>
    <n v="0"/>
    <n v="0"/>
    <n v="245429.34000000003"/>
    <n v="1955823.05"/>
    <n v="1735297.54"/>
  </r>
  <r>
    <x v="1"/>
    <x v="5"/>
    <x v="9"/>
    <n v="0"/>
    <n v="0"/>
    <n v="40566.380000000005"/>
    <n v="1953432.2699999998"/>
    <n v="1853280.12"/>
  </r>
  <r>
    <x v="1"/>
    <x v="6"/>
    <x v="10"/>
    <n v="0"/>
    <n v="0"/>
    <n v="0"/>
    <n v="48351.360000000001"/>
    <n v="1108635.83"/>
  </r>
  <r>
    <x v="1"/>
    <x v="6"/>
    <x v="11"/>
    <n v="0"/>
    <n v="0"/>
    <n v="0"/>
    <n v="51015.21"/>
    <n v="969873.71000000008"/>
  </r>
  <r>
    <x v="1"/>
    <x v="6"/>
    <x v="12"/>
    <n v="0"/>
    <n v="0"/>
    <n v="0"/>
    <n v="56204.07"/>
    <n v="1852862.73"/>
  </r>
  <r>
    <x v="1"/>
    <x v="6"/>
    <x v="13"/>
    <n v="0"/>
    <n v="0"/>
    <n v="0"/>
    <n v="44657.9"/>
    <n v="1582759.2300000002"/>
  </r>
  <r>
    <x v="1"/>
    <x v="7"/>
    <x v="14"/>
    <n v="0"/>
    <n v="0"/>
    <n v="0"/>
    <n v="25070.43"/>
    <n v="2749814.96"/>
  </r>
  <r>
    <x v="1"/>
    <x v="7"/>
    <x v="15"/>
    <n v="0"/>
    <n v="0"/>
    <n v="0"/>
    <n v="27384.11"/>
    <n v="1352925.4499999997"/>
  </r>
  <r>
    <x v="2"/>
    <x v="0"/>
    <x v="0"/>
    <n v="0"/>
    <n v="0"/>
    <n v="0"/>
    <m/>
    <m/>
  </r>
  <r>
    <x v="2"/>
    <x v="8"/>
    <x v="16"/>
    <n v="0"/>
    <n v="0"/>
    <n v="0"/>
    <n v="311517.01"/>
    <n v="2790507.04"/>
  </r>
  <r>
    <x v="2"/>
    <x v="8"/>
    <x v="17"/>
    <m/>
    <m/>
    <m/>
    <m/>
    <m/>
  </r>
  <r>
    <x v="2"/>
    <x v="8"/>
    <x v="18"/>
    <n v="0"/>
    <n v="0"/>
    <n v="0"/>
    <n v="51129.760000000002"/>
    <n v="2600175.84"/>
  </r>
  <r>
    <x v="3"/>
    <x v="0"/>
    <x v="0"/>
    <n v="0"/>
    <n v="0"/>
    <n v="0"/>
    <m/>
    <m/>
  </r>
  <r>
    <x v="3"/>
    <x v="9"/>
    <x v="19"/>
    <n v="0"/>
    <n v="0"/>
    <n v="0"/>
    <n v="197816.95"/>
    <n v="1174981.95"/>
  </r>
  <r>
    <x v="3"/>
    <x v="9"/>
    <x v="20"/>
    <n v="0"/>
    <n v="0"/>
    <n v="0"/>
    <n v="136384.74"/>
    <n v="644200.60000000009"/>
  </r>
  <r>
    <x v="3"/>
    <x v="9"/>
    <x v="21"/>
    <n v="0"/>
    <n v="0"/>
    <n v="0"/>
    <n v="293999.95"/>
    <n v="1587151.32"/>
  </r>
  <r>
    <x v="3"/>
    <x v="9"/>
    <x v="22"/>
    <n v="0"/>
    <n v="0"/>
    <n v="0"/>
    <n v="134262.82"/>
    <n v="707220.87"/>
  </r>
  <r>
    <x v="3"/>
    <x v="9"/>
    <x v="23"/>
    <n v="0"/>
    <n v="0"/>
    <n v="0"/>
    <n v="166699.16999999995"/>
    <n v="798626.75999999978"/>
  </r>
  <r>
    <x v="4"/>
    <x v="0"/>
    <x v="0"/>
    <n v="0"/>
    <n v="0"/>
    <m/>
    <m/>
    <m/>
  </r>
  <r>
    <x v="4"/>
    <x v="10"/>
    <x v="24"/>
    <n v="0"/>
    <n v="0"/>
    <n v="1828057.83"/>
    <n v="6142875.9499999993"/>
    <n v="13294130.899999999"/>
  </r>
  <r>
    <x v="4"/>
    <x v="11"/>
    <x v="25"/>
    <n v="0"/>
    <n v="0"/>
    <n v="0"/>
    <n v="0"/>
    <n v="42486.030000000006"/>
  </r>
  <r>
    <x v="4"/>
    <x v="11"/>
    <x v="26"/>
    <n v="0"/>
    <n v="0"/>
    <n v="0"/>
    <n v="0"/>
    <n v="17451.210000000003"/>
  </r>
  <r>
    <x v="4"/>
    <x v="11"/>
    <x v="27"/>
    <n v="0"/>
    <n v="0"/>
    <n v="0"/>
    <n v="0"/>
    <n v="36253.5"/>
  </r>
  <r>
    <x v="5"/>
    <x v="0"/>
    <x v="0"/>
    <n v="0"/>
    <n v="0"/>
    <n v="0"/>
    <n v="0"/>
    <m/>
  </r>
  <r>
    <x v="5"/>
    <x v="12"/>
    <x v="28"/>
    <n v="0"/>
    <n v="0"/>
    <n v="0"/>
    <n v="0"/>
    <n v="157568.99"/>
  </r>
  <r>
    <x v="5"/>
    <x v="12"/>
    <x v="29"/>
    <n v="0"/>
    <n v="0"/>
    <n v="0"/>
    <n v="0"/>
    <n v="202856.94"/>
  </r>
  <r>
    <x v="5"/>
    <x v="12"/>
    <x v="30"/>
    <n v="0"/>
    <n v="0"/>
    <n v="0"/>
    <n v="0"/>
    <n v="185858.88"/>
  </r>
  <r>
    <x v="5"/>
    <x v="12"/>
    <x v="31"/>
    <n v="0"/>
    <n v="0"/>
    <n v="0"/>
    <n v="0"/>
    <n v="311121.3"/>
  </r>
  <r>
    <x v="5"/>
    <x v="12"/>
    <x v="32"/>
    <n v="0"/>
    <n v="0"/>
    <n v="0"/>
    <n v="0"/>
    <n v="1062734.7"/>
  </r>
  <r>
    <x v="5"/>
    <x v="12"/>
    <x v="33"/>
    <n v="0"/>
    <n v="0"/>
    <n v="0"/>
    <n v="0"/>
    <n v="1290101.1599999999"/>
  </r>
  <r>
    <x v="5"/>
    <x v="12"/>
    <x v="34"/>
    <n v="0"/>
    <n v="0"/>
    <n v="0"/>
    <n v="0"/>
    <n v="416278.69000000006"/>
  </r>
  <r>
    <x v="5"/>
    <x v="12"/>
    <x v="35"/>
    <n v="0"/>
    <n v="0"/>
    <n v="0"/>
    <n v="0"/>
    <n v="1141712.82"/>
  </r>
  <r>
    <x v="5"/>
    <x v="13"/>
    <x v="36"/>
    <n v="0"/>
    <n v="0"/>
    <n v="0"/>
    <n v="0"/>
    <n v="975587.40999999992"/>
  </r>
  <r>
    <x v="5"/>
    <x v="13"/>
    <x v="37"/>
    <n v="0"/>
    <n v="0"/>
    <n v="0"/>
    <n v="0"/>
    <n v="540212.03"/>
  </r>
  <r>
    <x v="5"/>
    <x v="13"/>
    <x v="38"/>
    <n v="0"/>
    <n v="0"/>
    <n v="0"/>
    <n v="0"/>
    <n v="892665.76000000013"/>
  </r>
  <r>
    <x v="5"/>
    <x v="13"/>
    <x v="39"/>
    <n v="0"/>
    <n v="0"/>
    <n v="0"/>
    <n v="0"/>
    <n v="916815.79999999993"/>
  </r>
  <r>
    <x v="6"/>
    <x v="0"/>
    <x v="0"/>
    <n v="0"/>
    <n v="0"/>
    <m/>
    <m/>
    <m/>
  </r>
  <r>
    <x v="6"/>
    <x v="14"/>
    <x v="40"/>
    <n v="0"/>
    <n v="0"/>
    <n v="1263213.4099999999"/>
    <n v="4562627.6399999997"/>
    <n v="4625041"/>
  </r>
  <r>
    <x v="6"/>
    <x v="14"/>
    <x v="41"/>
    <n v="0"/>
    <n v="0"/>
    <n v="761966.42999999993"/>
    <n v="1738713.43"/>
    <n v="1296765.3699999999"/>
  </r>
  <r>
    <x v="6"/>
    <x v="15"/>
    <x v="42"/>
    <n v="0"/>
    <n v="0"/>
    <n v="0"/>
    <n v="0"/>
    <n v="823982.17"/>
  </r>
  <r>
    <x v="6"/>
    <x v="15"/>
    <x v="43"/>
    <n v="0"/>
    <n v="0"/>
    <n v="0"/>
    <n v="0"/>
    <n v="2875385.28"/>
  </r>
  <r>
    <x v="7"/>
    <x v="0"/>
    <x v="0"/>
    <n v="0"/>
    <n v="0"/>
    <n v="0"/>
    <n v="0"/>
    <m/>
  </r>
  <r>
    <x v="7"/>
    <x v="16"/>
    <x v="44"/>
    <n v="0"/>
    <n v="0"/>
    <n v="0"/>
    <n v="0"/>
    <n v="841239.91"/>
  </r>
  <r>
    <x v="7"/>
    <x v="16"/>
    <x v="45"/>
    <n v="0"/>
    <n v="0"/>
    <n v="0"/>
    <n v="0"/>
    <n v="687411.67999999993"/>
  </r>
  <r>
    <x v="7"/>
    <x v="16"/>
    <x v="46"/>
    <n v="0"/>
    <n v="0"/>
    <n v="0"/>
    <n v="0"/>
    <n v="393454.03"/>
  </r>
  <r>
    <x v="8"/>
    <x v="0"/>
    <x v="0"/>
    <n v="0"/>
    <n v="0"/>
    <n v="0"/>
    <m/>
    <m/>
  </r>
  <r>
    <x v="8"/>
    <x v="17"/>
    <x v="47"/>
    <n v="0"/>
    <n v="0"/>
    <n v="0"/>
    <n v="4594777.92"/>
    <n v="12712191.66"/>
  </r>
  <r>
    <x v="8"/>
    <x v="18"/>
    <x v="48"/>
    <n v="0"/>
    <n v="0"/>
    <n v="0"/>
    <n v="0"/>
    <n v="396.51"/>
  </r>
  <r>
    <x v="9"/>
    <x v="0"/>
    <x v="0"/>
    <n v="0"/>
    <n v="0"/>
    <n v="0"/>
    <m/>
    <m/>
  </r>
  <r>
    <x v="9"/>
    <x v="19"/>
    <x v="49"/>
    <n v="0"/>
    <n v="0"/>
    <n v="0"/>
    <n v="49060.6"/>
    <n v="783361.08"/>
  </r>
  <r>
    <x v="9"/>
    <x v="19"/>
    <x v="50"/>
    <n v="0"/>
    <n v="0"/>
    <n v="0"/>
    <n v="46508.819999999992"/>
    <n v="720930.12999999989"/>
  </r>
  <r>
    <x v="9"/>
    <x v="19"/>
    <x v="51"/>
    <n v="0"/>
    <n v="0"/>
    <n v="0"/>
    <n v="71905"/>
    <n v="1284698.0699999998"/>
  </r>
  <r>
    <x v="9"/>
    <x v="19"/>
    <x v="52"/>
    <n v="0"/>
    <n v="0"/>
    <n v="0"/>
    <n v="6759.6799999999994"/>
    <n v="29464.920000000002"/>
  </r>
  <r>
    <x v="9"/>
    <x v="19"/>
    <x v="53"/>
    <n v="0"/>
    <n v="0"/>
    <n v="0"/>
    <n v="5109.07"/>
    <n v="31465.94"/>
  </r>
  <r>
    <x v="9"/>
    <x v="19"/>
    <x v="54"/>
    <n v="0"/>
    <n v="0"/>
    <n v="0"/>
    <n v="26937.89"/>
    <n v="573331.13"/>
  </r>
  <r>
    <x v="9"/>
    <x v="19"/>
    <x v="55"/>
    <n v="0"/>
    <n v="0"/>
    <n v="0"/>
    <n v="5768.1"/>
    <n v="32783.17"/>
  </r>
  <r>
    <x v="10"/>
    <x v="0"/>
    <x v="0"/>
    <n v="0"/>
    <n v="0"/>
    <n v="0"/>
    <n v="0"/>
    <n v="0"/>
  </r>
  <r>
    <x v="10"/>
    <x v="20"/>
    <x v="56"/>
    <m/>
    <m/>
    <m/>
    <m/>
    <m/>
  </r>
  <r>
    <x v="10"/>
    <x v="20"/>
    <x v="57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colGrandTotals="0" itemPrintTitles="1" createdVersion="6" indent="0" compact="0" compactData="0" multipleFieldFilters="0" chartFormat="1">
  <location ref="A5:E6" firstHeaderRow="0" firstDataRow="1" firstDataCol="0" rowPageCount="3" colPageCount="1"/>
  <pivotFields count="8">
    <pivotField axis="axisPage" compact="0" outline="0" multipleItemSelectionAllowed="1" showAll="0">
      <items count="12">
        <item x="5"/>
        <item x="10"/>
        <item x="4"/>
        <item x="3"/>
        <item x="2"/>
        <item x="0"/>
        <item x="9"/>
        <item x="6"/>
        <item x="8"/>
        <item x="1"/>
        <item x="7"/>
        <item t="default"/>
      </items>
    </pivotField>
    <pivotField axis="axisPage" compact="0" outline="0" multipleItemSelectionAllowed="1" showAll="0">
      <items count="22">
        <item x="13"/>
        <item x="12"/>
        <item x="20"/>
        <item x="11"/>
        <item x="10"/>
        <item x="9"/>
        <item x="8"/>
        <item x="3"/>
        <item x="2"/>
        <item x="1"/>
        <item x="19"/>
        <item x="14"/>
        <item x="15"/>
        <item x="18"/>
        <item x="17"/>
        <item x="7"/>
        <item x="6"/>
        <item x="5"/>
        <item x="4"/>
        <item x="16"/>
        <item x="0"/>
        <item t="default"/>
      </items>
    </pivotField>
    <pivotField axis="axisPage" compact="0" outline="0" multipleItemSelectionAllowed="1" showAll="0">
      <items count="59">
        <item x="39"/>
        <item x="37"/>
        <item x="36"/>
        <item x="38"/>
        <item x="34"/>
        <item x="35"/>
        <item x="28"/>
        <item x="29"/>
        <item x="32"/>
        <item x="33"/>
        <item x="30"/>
        <item x="31"/>
        <item x="56"/>
        <item x="57"/>
        <item x="24"/>
        <item x="25"/>
        <item x="27"/>
        <item x="26"/>
        <item x="23"/>
        <item x="19"/>
        <item x="22"/>
        <item x="20"/>
        <item x="21"/>
        <item x="17"/>
        <item x="18"/>
        <item x="16"/>
        <item x="3"/>
        <item x="2"/>
        <item x="1"/>
        <item x="52"/>
        <item x="53"/>
        <item x="55"/>
        <item x="51"/>
        <item x="50"/>
        <item x="49"/>
        <item x="54"/>
        <item x="41"/>
        <item x="40"/>
        <item x="42"/>
        <item x="43"/>
        <item x="48"/>
        <item x="47"/>
        <item x="4"/>
        <item x="5"/>
        <item x="10"/>
        <item x="11"/>
        <item x="13"/>
        <item x="12"/>
        <item x="15"/>
        <item x="14"/>
        <item x="8"/>
        <item x="9"/>
        <item x="7"/>
        <item x="6"/>
        <item x="44"/>
        <item x="46"/>
        <item x="45"/>
        <item x="0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0" hier="-1"/>
    <pageField fld="1" hier="-1"/>
    <pageField fld="2" hier="-1"/>
  </pageFields>
  <dataFields count="5">
    <dataField name="MAT - abr/17" fld="3" baseField="0" baseItem="1"/>
    <dataField name="MAT - abr/18" fld="4" baseField="0" baseItem="1"/>
    <dataField name="MAT - abr/19" fld="5" baseField="0" baseItem="2"/>
    <dataField name="MAT - abr/20" fld="6" baseField="0" baseItem="3"/>
    <dataField name="MAT - abr/21" fld="7" baseField="0" baseItem="4"/>
  </dataFields>
  <formats count="1">
    <format dxfId="0">
      <pivotArea outline="0" collapsedLevelsAreSubtotals="1" fieldPosition="0"/>
    </format>
  </formats>
  <chartFormats count="5">
    <chartFormat chart="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A1:H69" totalsRowShown="0">
  <autoFilter ref="A1:H69"/>
  <tableColumns count="8">
    <tableColumn id="1" name="FAMILIA/MARCA"/>
    <tableColumn id="2" name="PRODUTO/SUBMARCA"/>
    <tableColumn id="3" name="APRESENTAÇÃO"/>
    <tableColumn id="4" name="abr/17"/>
    <tableColumn id="5" name="abr/18"/>
    <tableColumn id="6" name="abr/19"/>
    <tableColumn id="7" name="abr/20"/>
    <tableColumn id="8" name="abr/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H69" totalsRowShown="0">
  <autoFilter ref="A1:H69"/>
  <tableColumns count="8">
    <tableColumn id="1" name="FAMILIA/MARCA"/>
    <tableColumn id="2" name="PRODUTO/SUBMARCA"/>
    <tableColumn id="3" name="APRESENTAÇÃO"/>
    <tableColumn id="4" name="abr/17"/>
    <tableColumn id="5" name="abr/18"/>
    <tableColumn id="6" name="abr/19"/>
    <tableColumn id="7" name="abr/20"/>
    <tableColumn id="8" name="abr/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69"/>
  <sheetViews>
    <sheetView workbookViewId="0">
      <selection activeCell="E9" sqref="E9"/>
    </sheetView>
  </sheetViews>
  <sheetFormatPr defaultRowHeight="15" x14ac:dyDescent="0.25"/>
  <cols>
    <col min="1" max="1" width="18.140625" customWidth="1"/>
    <col min="2" max="2" width="23.140625" customWidth="1"/>
    <col min="3" max="3" width="17.28515625" customWidth="1"/>
  </cols>
  <sheetData>
    <row r="1" spans="1:8" x14ac:dyDescent="0.25">
      <c r="A1" t="s">
        <v>144</v>
      </c>
      <c r="B1" t="s">
        <v>143</v>
      </c>
      <c r="C1" t="s">
        <v>0</v>
      </c>
      <c r="D1" t="s">
        <v>158</v>
      </c>
      <c r="E1" t="s">
        <v>159</v>
      </c>
      <c r="F1" t="s">
        <v>160</v>
      </c>
      <c r="G1" t="s">
        <v>161</v>
      </c>
      <c r="H1" t="s">
        <v>162</v>
      </c>
    </row>
    <row r="2" spans="1:8" x14ac:dyDescent="0.25">
      <c r="A2" t="s">
        <v>145</v>
      </c>
      <c r="D2">
        <v>0</v>
      </c>
      <c r="E2">
        <v>0</v>
      </c>
      <c r="F2">
        <v>0</v>
      </c>
    </row>
    <row r="3" spans="1:8" x14ac:dyDescent="0.25">
      <c r="A3" t="s">
        <v>145</v>
      </c>
      <c r="B3" t="s">
        <v>33</v>
      </c>
      <c r="C3" t="s">
        <v>8</v>
      </c>
      <c r="D3">
        <v>0</v>
      </c>
      <c r="E3">
        <v>0</v>
      </c>
      <c r="F3">
        <v>0</v>
      </c>
      <c r="G3">
        <v>0</v>
      </c>
      <c r="H3">
        <v>14590649.51</v>
      </c>
    </row>
    <row r="4" spans="1:8" x14ac:dyDescent="0.25">
      <c r="A4" t="s">
        <v>145</v>
      </c>
      <c r="B4" t="s">
        <v>35</v>
      </c>
      <c r="C4" t="s">
        <v>9</v>
      </c>
      <c r="D4">
        <v>0</v>
      </c>
      <c r="E4">
        <v>0</v>
      </c>
      <c r="F4">
        <v>0</v>
      </c>
      <c r="G4">
        <v>0</v>
      </c>
      <c r="H4">
        <v>670023.99000000011</v>
      </c>
    </row>
    <row r="5" spans="1:8" x14ac:dyDescent="0.25">
      <c r="A5" t="s">
        <v>145</v>
      </c>
      <c r="B5" t="s">
        <v>79</v>
      </c>
      <c r="C5" t="s">
        <v>4</v>
      </c>
      <c r="D5">
        <v>0</v>
      </c>
      <c r="E5">
        <v>0</v>
      </c>
      <c r="F5">
        <v>0</v>
      </c>
      <c r="G5">
        <v>1838400.78</v>
      </c>
      <c r="H5">
        <v>3775171.1299999994</v>
      </c>
    </row>
    <row r="6" spans="1:8" x14ac:dyDescent="0.25">
      <c r="A6" t="s">
        <v>146</v>
      </c>
      <c r="D6">
        <v>0</v>
      </c>
    </row>
    <row r="7" spans="1:8" x14ac:dyDescent="0.25">
      <c r="A7" t="s">
        <v>146</v>
      </c>
      <c r="B7" t="s">
        <v>131</v>
      </c>
      <c r="C7" t="s">
        <v>36</v>
      </c>
      <c r="D7">
        <v>0</v>
      </c>
      <c r="E7">
        <v>1226444.26</v>
      </c>
      <c r="F7">
        <v>5374267.0999999996</v>
      </c>
      <c r="G7">
        <v>6952685.6200000001</v>
      </c>
      <c r="H7">
        <v>8242788.6899999985</v>
      </c>
    </row>
    <row r="8" spans="1:8" x14ac:dyDescent="0.25">
      <c r="A8" t="s">
        <v>146</v>
      </c>
      <c r="B8" t="s">
        <v>131</v>
      </c>
      <c r="C8" t="s">
        <v>37</v>
      </c>
      <c r="D8">
        <v>0</v>
      </c>
      <c r="E8">
        <v>0</v>
      </c>
      <c r="F8">
        <v>3722155.93</v>
      </c>
      <c r="G8">
        <v>7325287.6500000004</v>
      </c>
      <c r="H8">
        <v>9643134.3200000003</v>
      </c>
    </row>
    <row r="9" spans="1:8" x14ac:dyDescent="0.25">
      <c r="A9" t="s">
        <v>146</v>
      </c>
      <c r="B9" t="s">
        <v>131</v>
      </c>
      <c r="C9" t="s">
        <v>31</v>
      </c>
      <c r="D9">
        <v>0</v>
      </c>
      <c r="E9">
        <v>0</v>
      </c>
      <c r="F9">
        <v>0</v>
      </c>
      <c r="G9">
        <v>2925619.82</v>
      </c>
      <c r="H9">
        <v>5940686.9100000001</v>
      </c>
    </row>
    <row r="10" spans="1:8" x14ac:dyDescent="0.25">
      <c r="A10" t="s">
        <v>146</v>
      </c>
      <c r="B10" t="s">
        <v>131</v>
      </c>
      <c r="C10" t="s">
        <v>32</v>
      </c>
      <c r="D10">
        <v>0</v>
      </c>
      <c r="E10">
        <v>0</v>
      </c>
      <c r="F10">
        <v>0</v>
      </c>
      <c r="G10">
        <v>1389545.06</v>
      </c>
      <c r="H10">
        <v>2658106.58</v>
      </c>
    </row>
    <row r="11" spans="1:8" x14ac:dyDescent="0.25">
      <c r="A11" t="s">
        <v>146</v>
      </c>
      <c r="B11" t="s">
        <v>132</v>
      </c>
      <c r="C11" t="s">
        <v>38</v>
      </c>
      <c r="D11">
        <v>0</v>
      </c>
      <c r="E11">
        <v>0</v>
      </c>
      <c r="F11">
        <v>245429.34000000003</v>
      </c>
      <c r="G11">
        <v>1955823.05</v>
      </c>
      <c r="H11">
        <v>1735297.54</v>
      </c>
    </row>
    <row r="12" spans="1:8" x14ac:dyDescent="0.25">
      <c r="A12" t="s">
        <v>146</v>
      </c>
      <c r="B12" t="s">
        <v>132</v>
      </c>
      <c r="C12" t="s">
        <v>39</v>
      </c>
      <c r="D12">
        <v>0</v>
      </c>
      <c r="E12">
        <v>0</v>
      </c>
      <c r="F12">
        <v>40566.380000000005</v>
      </c>
      <c r="G12">
        <v>1953432.2699999998</v>
      </c>
      <c r="H12">
        <v>1853280.12</v>
      </c>
    </row>
    <row r="13" spans="1:8" x14ac:dyDescent="0.25">
      <c r="A13" t="s">
        <v>146</v>
      </c>
      <c r="B13" t="s">
        <v>133</v>
      </c>
      <c r="C13" t="s">
        <v>40</v>
      </c>
      <c r="D13">
        <v>0</v>
      </c>
      <c r="E13">
        <v>0</v>
      </c>
      <c r="F13">
        <v>0</v>
      </c>
      <c r="G13">
        <v>48351.360000000001</v>
      </c>
      <c r="H13">
        <v>1108635.83</v>
      </c>
    </row>
    <row r="14" spans="1:8" x14ac:dyDescent="0.25">
      <c r="A14" t="s">
        <v>146</v>
      </c>
      <c r="B14" t="s">
        <v>133</v>
      </c>
      <c r="C14" t="s">
        <v>41</v>
      </c>
      <c r="D14">
        <v>0</v>
      </c>
      <c r="E14">
        <v>0</v>
      </c>
      <c r="F14">
        <v>0</v>
      </c>
      <c r="G14">
        <v>51015.21</v>
      </c>
      <c r="H14">
        <v>969873.71000000008</v>
      </c>
    </row>
    <row r="15" spans="1:8" x14ac:dyDescent="0.25">
      <c r="A15" t="s">
        <v>146</v>
      </c>
      <c r="B15" t="s">
        <v>133</v>
      </c>
      <c r="C15" t="s">
        <v>42</v>
      </c>
      <c r="D15">
        <v>0</v>
      </c>
      <c r="E15">
        <v>0</v>
      </c>
      <c r="F15">
        <v>0</v>
      </c>
      <c r="G15">
        <v>56204.07</v>
      </c>
      <c r="H15">
        <v>1852862.73</v>
      </c>
    </row>
    <row r="16" spans="1:8" x14ac:dyDescent="0.25">
      <c r="A16" t="s">
        <v>146</v>
      </c>
      <c r="B16" t="s">
        <v>133</v>
      </c>
      <c r="C16" t="s">
        <v>43</v>
      </c>
      <c r="D16">
        <v>0</v>
      </c>
      <c r="E16">
        <v>0</v>
      </c>
      <c r="F16">
        <v>0</v>
      </c>
      <c r="G16">
        <v>44657.9</v>
      </c>
      <c r="H16">
        <v>1582759.2300000002</v>
      </c>
    </row>
    <row r="17" spans="1:8" x14ac:dyDescent="0.25">
      <c r="A17" t="s">
        <v>146</v>
      </c>
      <c r="B17" t="s">
        <v>134</v>
      </c>
      <c r="C17" t="s">
        <v>44</v>
      </c>
      <c r="D17">
        <v>0</v>
      </c>
      <c r="E17">
        <v>0</v>
      </c>
      <c r="F17">
        <v>0</v>
      </c>
      <c r="G17">
        <v>25070.43</v>
      </c>
      <c r="H17">
        <v>2749814.96</v>
      </c>
    </row>
    <row r="18" spans="1:8" x14ac:dyDescent="0.25">
      <c r="A18" t="s">
        <v>146</v>
      </c>
      <c r="B18" t="s">
        <v>134</v>
      </c>
      <c r="C18" t="s">
        <v>45</v>
      </c>
      <c r="D18">
        <v>0</v>
      </c>
      <c r="E18">
        <v>0</v>
      </c>
      <c r="F18">
        <v>0</v>
      </c>
      <c r="G18">
        <v>27384.11</v>
      </c>
      <c r="H18">
        <v>1352925.4499999997</v>
      </c>
    </row>
    <row r="19" spans="1:8" x14ac:dyDescent="0.25">
      <c r="A19" t="s">
        <v>147</v>
      </c>
      <c r="D19">
        <v>0</v>
      </c>
      <c r="E19">
        <v>0</v>
      </c>
      <c r="F19">
        <v>0</v>
      </c>
    </row>
    <row r="20" spans="1:8" x14ac:dyDescent="0.25">
      <c r="A20" t="s">
        <v>147</v>
      </c>
      <c r="B20" t="s">
        <v>46</v>
      </c>
      <c r="C20" t="s">
        <v>47</v>
      </c>
      <c r="D20">
        <v>0</v>
      </c>
      <c r="E20">
        <v>0</v>
      </c>
      <c r="F20">
        <v>0</v>
      </c>
      <c r="G20">
        <v>311517.01</v>
      </c>
      <c r="H20">
        <v>2790507.04</v>
      </c>
    </row>
    <row r="21" spans="1:8" x14ac:dyDescent="0.25">
      <c r="A21" t="s">
        <v>147</v>
      </c>
      <c r="B21" t="s">
        <v>46</v>
      </c>
      <c r="C21" t="s">
        <v>87</v>
      </c>
    </row>
    <row r="22" spans="1:8" x14ac:dyDescent="0.25">
      <c r="A22" t="s">
        <v>147</v>
      </c>
      <c r="B22" t="s">
        <v>46</v>
      </c>
      <c r="C22" t="s">
        <v>86</v>
      </c>
      <c r="D22">
        <v>0</v>
      </c>
      <c r="E22">
        <v>0</v>
      </c>
      <c r="F22">
        <v>0</v>
      </c>
      <c r="G22">
        <v>51129.760000000002</v>
      </c>
      <c r="H22">
        <v>2600175.84</v>
      </c>
    </row>
    <row r="23" spans="1:8" x14ac:dyDescent="0.25">
      <c r="A23" t="s">
        <v>148</v>
      </c>
      <c r="D23">
        <v>0</v>
      </c>
      <c r="E23">
        <v>0</v>
      </c>
      <c r="F23">
        <v>0</v>
      </c>
    </row>
    <row r="24" spans="1:8" x14ac:dyDescent="0.25">
      <c r="A24" t="s">
        <v>148</v>
      </c>
      <c r="B24" t="s">
        <v>85</v>
      </c>
      <c r="C24" t="s">
        <v>80</v>
      </c>
      <c r="D24">
        <v>0</v>
      </c>
      <c r="E24">
        <v>0</v>
      </c>
      <c r="F24">
        <v>0</v>
      </c>
      <c r="G24">
        <v>197816.95</v>
      </c>
      <c r="H24">
        <v>1174981.95</v>
      </c>
    </row>
    <row r="25" spans="1:8" x14ac:dyDescent="0.25">
      <c r="A25" t="s">
        <v>148</v>
      </c>
      <c r="B25" t="s">
        <v>85</v>
      </c>
      <c r="C25" t="s">
        <v>81</v>
      </c>
      <c r="D25">
        <v>0</v>
      </c>
      <c r="E25">
        <v>0</v>
      </c>
      <c r="F25">
        <v>0</v>
      </c>
      <c r="G25">
        <v>136384.74</v>
      </c>
      <c r="H25">
        <v>644200.60000000009</v>
      </c>
    </row>
    <row r="26" spans="1:8" x14ac:dyDescent="0.25">
      <c r="A26" t="s">
        <v>148</v>
      </c>
      <c r="B26" t="s">
        <v>85</v>
      </c>
      <c r="C26" t="s">
        <v>82</v>
      </c>
      <c r="D26">
        <v>0</v>
      </c>
      <c r="E26">
        <v>0</v>
      </c>
      <c r="F26">
        <v>0</v>
      </c>
      <c r="G26">
        <v>293999.95</v>
      </c>
      <c r="H26">
        <v>1587151.32</v>
      </c>
    </row>
    <row r="27" spans="1:8" x14ac:dyDescent="0.25">
      <c r="A27" t="s">
        <v>148</v>
      </c>
      <c r="B27" t="s">
        <v>85</v>
      </c>
      <c r="C27" t="s">
        <v>83</v>
      </c>
      <c r="D27">
        <v>0</v>
      </c>
      <c r="E27">
        <v>0</v>
      </c>
      <c r="F27">
        <v>0</v>
      </c>
      <c r="G27">
        <v>134262.82</v>
      </c>
      <c r="H27">
        <v>707220.87</v>
      </c>
    </row>
    <row r="28" spans="1:8" x14ac:dyDescent="0.25">
      <c r="A28" t="s">
        <v>148</v>
      </c>
      <c r="B28" t="s">
        <v>85</v>
      </c>
      <c r="C28" t="s">
        <v>84</v>
      </c>
      <c r="D28">
        <v>0</v>
      </c>
      <c r="E28">
        <v>0</v>
      </c>
      <c r="F28">
        <v>0</v>
      </c>
      <c r="G28">
        <v>166699.16999999995</v>
      </c>
      <c r="H28">
        <v>798626.75999999978</v>
      </c>
    </row>
    <row r="29" spans="1:8" x14ac:dyDescent="0.25">
      <c r="A29" t="s">
        <v>149</v>
      </c>
      <c r="D29">
        <v>0</v>
      </c>
      <c r="E29">
        <v>0</v>
      </c>
    </row>
    <row r="30" spans="1:8" x14ac:dyDescent="0.25">
      <c r="A30" t="s">
        <v>149</v>
      </c>
      <c r="B30" t="s">
        <v>88</v>
      </c>
      <c r="C30" t="s">
        <v>89</v>
      </c>
      <c r="D30">
        <v>0</v>
      </c>
      <c r="E30">
        <v>0</v>
      </c>
      <c r="F30">
        <v>1828057.83</v>
      </c>
      <c r="G30">
        <v>6142875.9499999993</v>
      </c>
      <c r="H30">
        <v>13294130.899999999</v>
      </c>
    </row>
    <row r="31" spans="1:8" x14ac:dyDescent="0.25">
      <c r="A31" t="s">
        <v>149</v>
      </c>
      <c r="B31" t="s">
        <v>90</v>
      </c>
      <c r="C31" t="s">
        <v>91</v>
      </c>
      <c r="D31">
        <v>0</v>
      </c>
      <c r="E31">
        <v>0</v>
      </c>
      <c r="F31">
        <v>0</v>
      </c>
      <c r="G31">
        <v>0</v>
      </c>
      <c r="H31">
        <v>42486.030000000006</v>
      </c>
    </row>
    <row r="32" spans="1:8" x14ac:dyDescent="0.25">
      <c r="A32" t="s">
        <v>149</v>
      </c>
      <c r="B32" t="s">
        <v>90</v>
      </c>
      <c r="C32" t="s">
        <v>92</v>
      </c>
      <c r="D32">
        <v>0</v>
      </c>
      <c r="E32">
        <v>0</v>
      </c>
      <c r="F32">
        <v>0</v>
      </c>
      <c r="G32">
        <v>0</v>
      </c>
      <c r="H32">
        <v>17451.210000000003</v>
      </c>
    </row>
    <row r="33" spans="1:8" x14ac:dyDescent="0.25">
      <c r="A33" t="s">
        <v>149</v>
      </c>
      <c r="B33" t="s">
        <v>90</v>
      </c>
      <c r="C33" t="s">
        <v>93</v>
      </c>
      <c r="D33">
        <v>0</v>
      </c>
      <c r="E33">
        <v>0</v>
      </c>
      <c r="F33">
        <v>0</v>
      </c>
      <c r="G33">
        <v>0</v>
      </c>
      <c r="H33">
        <v>36253.5</v>
      </c>
    </row>
    <row r="34" spans="1:8" x14ac:dyDescent="0.25">
      <c r="A34" t="s">
        <v>150</v>
      </c>
      <c r="D34">
        <v>0</v>
      </c>
      <c r="E34">
        <v>0</v>
      </c>
      <c r="F34">
        <v>0</v>
      </c>
      <c r="G34">
        <v>0</v>
      </c>
    </row>
    <row r="35" spans="1:8" x14ac:dyDescent="0.25">
      <c r="A35" t="s">
        <v>150</v>
      </c>
      <c r="B35" t="s">
        <v>102</v>
      </c>
      <c r="C35" t="s">
        <v>94</v>
      </c>
      <c r="D35">
        <v>0</v>
      </c>
      <c r="E35">
        <v>0</v>
      </c>
      <c r="F35">
        <v>0</v>
      </c>
      <c r="G35">
        <v>0</v>
      </c>
      <c r="H35">
        <v>157568.99</v>
      </c>
    </row>
    <row r="36" spans="1:8" x14ac:dyDescent="0.25">
      <c r="A36" t="s">
        <v>150</v>
      </c>
      <c r="B36" t="s">
        <v>102</v>
      </c>
      <c r="C36" t="s">
        <v>95</v>
      </c>
      <c r="D36">
        <v>0</v>
      </c>
      <c r="E36">
        <v>0</v>
      </c>
      <c r="F36">
        <v>0</v>
      </c>
      <c r="G36">
        <v>0</v>
      </c>
      <c r="H36">
        <v>202856.94</v>
      </c>
    </row>
    <row r="37" spans="1:8" x14ac:dyDescent="0.25">
      <c r="A37" t="s">
        <v>150</v>
      </c>
      <c r="B37" t="s">
        <v>102</v>
      </c>
      <c r="C37" t="s">
        <v>96</v>
      </c>
      <c r="D37">
        <v>0</v>
      </c>
      <c r="E37">
        <v>0</v>
      </c>
      <c r="F37">
        <v>0</v>
      </c>
      <c r="G37">
        <v>0</v>
      </c>
      <c r="H37">
        <v>185858.88</v>
      </c>
    </row>
    <row r="38" spans="1:8" x14ac:dyDescent="0.25">
      <c r="A38" t="s">
        <v>150</v>
      </c>
      <c r="B38" t="s">
        <v>102</v>
      </c>
      <c r="C38" t="s">
        <v>97</v>
      </c>
      <c r="D38">
        <v>0</v>
      </c>
      <c r="E38">
        <v>0</v>
      </c>
      <c r="F38">
        <v>0</v>
      </c>
      <c r="G38">
        <v>0</v>
      </c>
      <c r="H38">
        <v>311121.3</v>
      </c>
    </row>
    <row r="39" spans="1:8" x14ac:dyDescent="0.25">
      <c r="A39" t="s">
        <v>150</v>
      </c>
      <c r="B39" t="s">
        <v>102</v>
      </c>
      <c r="C39" t="s">
        <v>98</v>
      </c>
      <c r="D39">
        <v>0</v>
      </c>
      <c r="E39">
        <v>0</v>
      </c>
      <c r="F39">
        <v>0</v>
      </c>
      <c r="G39">
        <v>0</v>
      </c>
      <c r="H39">
        <v>1062734.7</v>
      </c>
    </row>
    <row r="40" spans="1:8" x14ac:dyDescent="0.25">
      <c r="A40" t="s">
        <v>150</v>
      </c>
      <c r="B40" t="s">
        <v>102</v>
      </c>
      <c r="C40" t="s">
        <v>99</v>
      </c>
      <c r="D40">
        <v>0</v>
      </c>
      <c r="E40">
        <v>0</v>
      </c>
      <c r="F40">
        <v>0</v>
      </c>
      <c r="G40">
        <v>0</v>
      </c>
      <c r="H40">
        <v>1290101.1599999999</v>
      </c>
    </row>
    <row r="41" spans="1:8" x14ac:dyDescent="0.25">
      <c r="A41" t="s">
        <v>150</v>
      </c>
      <c r="B41" t="s">
        <v>102</v>
      </c>
      <c r="C41" t="s">
        <v>100</v>
      </c>
      <c r="D41">
        <v>0</v>
      </c>
      <c r="E41">
        <v>0</v>
      </c>
      <c r="F41">
        <v>0</v>
      </c>
      <c r="G41">
        <v>0</v>
      </c>
      <c r="H41">
        <v>416278.69000000006</v>
      </c>
    </row>
    <row r="42" spans="1:8" x14ac:dyDescent="0.25">
      <c r="A42" t="s">
        <v>150</v>
      </c>
      <c r="B42" t="s">
        <v>102</v>
      </c>
      <c r="C42" t="s">
        <v>101</v>
      </c>
      <c r="D42">
        <v>0</v>
      </c>
      <c r="E42">
        <v>0</v>
      </c>
      <c r="F42">
        <v>0</v>
      </c>
      <c r="G42">
        <v>0</v>
      </c>
      <c r="H42">
        <v>1141712.82</v>
      </c>
    </row>
    <row r="43" spans="1:8" x14ac:dyDescent="0.25">
      <c r="A43" t="s">
        <v>150</v>
      </c>
      <c r="B43" t="s">
        <v>107</v>
      </c>
      <c r="C43" t="s">
        <v>103</v>
      </c>
      <c r="D43">
        <v>0</v>
      </c>
      <c r="E43">
        <v>0</v>
      </c>
      <c r="F43">
        <v>0</v>
      </c>
      <c r="G43">
        <v>0</v>
      </c>
      <c r="H43">
        <v>975587.40999999992</v>
      </c>
    </row>
    <row r="44" spans="1:8" x14ac:dyDescent="0.25">
      <c r="A44" t="s">
        <v>150</v>
      </c>
      <c r="B44" t="s">
        <v>107</v>
      </c>
      <c r="C44" t="s">
        <v>104</v>
      </c>
      <c r="D44">
        <v>0</v>
      </c>
      <c r="E44">
        <v>0</v>
      </c>
      <c r="F44">
        <v>0</v>
      </c>
      <c r="G44">
        <v>0</v>
      </c>
      <c r="H44">
        <v>540212.03</v>
      </c>
    </row>
    <row r="45" spans="1:8" x14ac:dyDescent="0.25">
      <c r="A45" t="s">
        <v>150</v>
      </c>
      <c r="B45" t="s">
        <v>107</v>
      </c>
      <c r="C45" t="s">
        <v>105</v>
      </c>
      <c r="D45">
        <v>0</v>
      </c>
      <c r="E45">
        <v>0</v>
      </c>
      <c r="F45">
        <v>0</v>
      </c>
      <c r="G45">
        <v>0</v>
      </c>
      <c r="H45">
        <v>892665.76000000013</v>
      </c>
    </row>
    <row r="46" spans="1:8" x14ac:dyDescent="0.25">
      <c r="A46" t="s">
        <v>150</v>
      </c>
      <c r="B46" t="s">
        <v>107</v>
      </c>
      <c r="C46" t="s">
        <v>106</v>
      </c>
      <c r="D46">
        <v>0</v>
      </c>
      <c r="E46">
        <v>0</v>
      </c>
      <c r="F46">
        <v>0</v>
      </c>
      <c r="G46">
        <v>0</v>
      </c>
      <c r="H46">
        <v>916815.79999999993</v>
      </c>
    </row>
    <row r="47" spans="1:8" x14ac:dyDescent="0.25">
      <c r="A47" t="s">
        <v>151</v>
      </c>
      <c r="D47">
        <v>0</v>
      </c>
      <c r="E47">
        <v>0</v>
      </c>
    </row>
    <row r="48" spans="1:8" x14ac:dyDescent="0.25">
      <c r="A48" t="s">
        <v>151</v>
      </c>
      <c r="B48" t="s">
        <v>108</v>
      </c>
      <c r="C48" t="s">
        <v>109</v>
      </c>
      <c r="D48">
        <v>0</v>
      </c>
      <c r="E48">
        <v>0</v>
      </c>
      <c r="F48">
        <v>1263213.4099999999</v>
      </c>
      <c r="G48">
        <v>4562627.6399999997</v>
      </c>
      <c r="H48">
        <v>4625041</v>
      </c>
    </row>
    <row r="49" spans="1:8" x14ac:dyDescent="0.25">
      <c r="A49" t="s">
        <v>151</v>
      </c>
      <c r="B49" t="s">
        <v>108</v>
      </c>
      <c r="C49" t="s">
        <v>110</v>
      </c>
      <c r="D49">
        <v>0</v>
      </c>
      <c r="E49">
        <v>0</v>
      </c>
      <c r="F49">
        <v>761966.42999999993</v>
      </c>
      <c r="G49">
        <v>1738713.43</v>
      </c>
      <c r="H49">
        <v>1296765.3699999999</v>
      </c>
    </row>
    <row r="50" spans="1:8" x14ac:dyDescent="0.25">
      <c r="A50" t="s">
        <v>151</v>
      </c>
      <c r="B50" t="s">
        <v>111</v>
      </c>
      <c r="C50" t="s">
        <v>112</v>
      </c>
      <c r="D50">
        <v>0</v>
      </c>
      <c r="E50">
        <v>0</v>
      </c>
      <c r="F50">
        <v>0</v>
      </c>
      <c r="G50">
        <v>0</v>
      </c>
      <c r="H50">
        <v>823982.17</v>
      </c>
    </row>
    <row r="51" spans="1:8" x14ac:dyDescent="0.25">
      <c r="A51" t="s">
        <v>151</v>
      </c>
      <c r="B51" t="s">
        <v>111</v>
      </c>
      <c r="C51" t="s">
        <v>113</v>
      </c>
      <c r="D51">
        <v>0</v>
      </c>
      <c r="E51">
        <v>0</v>
      </c>
      <c r="F51">
        <v>0</v>
      </c>
      <c r="G51">
        <v>0</v>
      </c>
      <c r="H51">
        <v>2875385.28</v>
      </c>
    </row>
    <row r="52" spans="1:8" x14ac:dyDescent="0.25">
      <c r="A52" t="s">
        <v>152</v>
      </c>
      <c r="D52">
        <v>0</v>
      </c>
      <c r="E52">
        <v>0</v>
      </c>
      <c r="F52">
        <v>0</v>
      </c>
      <c r="G52">
        <v>0</v>
      </c>
    </row>
    <row r="53" spans="1:8" x14ac:dyDescent="0.25">
      <c r="A53" t="s">
        <v>152</v>
      </c>
      <c r="B53" t="s">
        <v>117</v>
      </c>
      <c r="C53" t="s">
        <v>114</v>
      </c>
      <c r="D53">
        <v>0</v>
      </c>
      <c r="E53">
        <v>0</v>
      </c>
      <c r="F53">
        <v>0</v>
      </c>
      <c r="G53">
        <v>0</v>
      </c>
      <c r="H53">
        <v>841239.91</v>
      </c>
    </row>
    <row r="54" spans="1:8" x14ac:dyDescent="0.25">
      <c r="A54" t="s">
        <v>152</v>
      </c>
      <c r="B54" t="s">
        <v>117</v>
      </c>
      <c r="C54" t="s">
        <v>115</v>
      </c>
      <c r="D54">
        <v>0</v>
      </c>
      <c r="E54">
        <v>0</v>
      </c>
      <c r="F54">
        <v>0</v>
      </c>
      <c r="G54">
        <v>0</v>
      </c>
      <c r="H54">
        <v>687411.67999999993</v>
      </c>
    </row>
    <row r="55" spans="1:8" x14ac:dyDescent="0.25">
      <c r="A55" t="s">
        <v>152</v>
      </c>
      <c r="B55" t="s">
        <v>117</v>
      </c>
      <c r="C55" t="s">
        <v>116</v>
      </c>
      <c r="D55">
        <v>0</v>
      </c>
      <c r="E55">
        <v>0</v>
      </c>
      <c r="F55">
        <v>0</v>
      </c>
      <c r="G55">
        <v>0</v>
      </c>
      <c r="H55">
        <v>393454.03</v>
      </c>
    </row>
    <row r="56" spans="1:8" x14ac:dyDescent="0.25">
      <c r="A56" t="s">
        <v>153</v>
      </c>
      <c r="D56">
        <v>0</v>
      </c>
      <c r="E56">
        <v>0</v>
      </c>
      <c r="F56">
        <v>0</v>
      </c>
    </row>
    <row r="57" spans="1:8" x14ac:dyDescent="0.25">
      <c r="A57" t="s">
        <v>153</v>
      </c>
      <c r="B57" t="s">
        <v>118</v>
      </c>
      <c r="C57" t="s">
        <v>119</v>
      </c>
      <c r="D57">
        <v>0</v>
      </c>
      <c r="E57">
        <v>0</v>
      </c>
      <c r="F57">
        <v>0</v>
      </c>
      <c r="G57">
        <v>4594777.92</v>
      </c>
      <c r="H57">
        <v>12712191.66</v>
      </c>
    </row>
    <row r="58" spans="1:8" x14ac:dyDescent="0.25">
      <c r="A58" t="s">
        <v>153</v>
      </c>
      <c r="B58" t="s">
        <v>120</v>
      </c>
      <c r="C58" t="s">
        <v>121</v>
      </c>
      <c r="D58">
        <v>0</v>
      </c>
      <c r="E58">
        <v>0</v>
      </c>
      <c r="F58">
        <v>0</v>
      </c>
      <c r="G58">
        <v>0</v>
      </c>
      <c r="H58">
        <v>396.51</v>
      </c>
    </row>
    <row r="59" spans="1:8" x14ac:dyDescent="0.25">
      <c r="A59" t="s">
        <v>154</v>
      </c>
      <c r="D59">
        <v>0</v>
      </c>
      <c r="E59">
        <v>0</v>
      </c>
      <c r="F59">
        <v>0</v>
      </c>
    </row>
    <row r="60" spans="1:8" x14ac:dyDescent="0.25">
      <c r="A60" t="s">
        <v>154</v>
      </c>
      <c r="B60" t="s">
        <v>122</v>
      </c>
      <c r="C60" t="s">
        <v>123</v>
      </c>
      <c r="D60">
        <v>0</v>
      </c>
      <c r="E60">
        <v>0</v>
      </c>
      <c r="F60">
        <v>0</v>
      </c>
      <c r="G60">
        <v>49060.6</v>
      </c>
      <c r="H60">
        <v>783361.08</v>
      </c>
    </row>
    <row r="61" spans="1:8" x14ac:dyDescent="0.25">
      <c r="A61" t="s">
        <v>154</v>
      </c>
      <c r="B61" t="s">
        <v>122</v>
      </c>
      <c r="C61" t="s">
        <v>124</v>
      </c>
      <c r="D61">
        <v>0</v>
      </c>
      <c r="E61">
        <v>0</v>
      </c>
      <c r="F61">
        <v>0</v>
      </c>
      <c r="G61">
        <v>46508.819999999992</v>
      </c>
      <c r="H61">
        <v>720930.12999999989</v>
      </c>
    </row>
    <row r="62" spans="1:8" x14ac:dyDescent="0.25">
      <c r="A62" t="s">
        <v>154</v>
      </c>
      <c r="B62" t="s">
        <v>122</v>
      </c>
      <c r="C62" t="s">
        <v>125</v>
      </c>
      <c r="D62">
        <v>0</v>
      </c>
      <c r="E62">
        <v>0</v>
      </c>
      <c r="F62">
        <v>0</v>
      </c>
      <c r="G62">
        <v>71905</v>
      </c>
      <c r="H62">
        <v>1284698.0699999998</v>
      </c>
    </row>
    <row r="63" spans="1:8" x14ac:dyDescent="0.25">
      <c r="A63" t="s">
        <v>154</v>
      </c>
      <c r="B63" t="s">
        <v>122</v>
      </c>
      <c r="C63" t="s">
        <v>126</v>
      </c>
      <c r="D63">
        <v>0</v>
      </c>
      <c r="E63">
        <v>0</v>
      </c>
      <c r="F63">
        <v>0</v>
      </c>
      <c r="G63">
        <v>6759.6799999999994</v>
      </c>
      <c r="H63">
        <v>29464.920000000002</v>
      </c>
    </row>
    <row r="64" spans="1:8" x14ac:dyDescent="0.25">
      <c r="A64" t="s">
        <v>154</v>
      </c>
      <c r="B64" t="s">
        <v>122</v>
      </c>
      <c r="C64" t="s">
        <v>127</v>
      </c>
      <c r="D64">
        <v>0</v>
      </c>
      <c r="E64">
        <v>0</v>
      </c>
      <c r="F64">
        <v>0</v>
      </c>
      <c r="G64">
        <v>5109.07</v>
      </c>
      <c r="H64">
        <v>31465.94</v>
      </c>
    </row>
    <row r="65" spans="1:8" x14ac:dyDescent="0.25">
      <c r="A65" t="s">
        <v>154</v>
      </c>
      <c r="B65" t="s">
        <v>122</v>
      </c>
      <c r="C65" t="s">
        <v>128</v>
      </c>
      <c r="D65">
        <v>0</v>
      </c>
      <c r="E65">
        <v>0</v>
      </c>
      <c r="F65">
        <v>0</v>
      </c>
      <c r="G65">
        <v>26937.89</v>
      </c>
      <c r="H65">
        <v>573331.13</v>
      </c>
    </row>
    <row r="66" spans="1:8" x14ac:dyDescent="0.25">
      <c r="A66" t="s">
        <v>154</v>
      </c>
      <c r="B66" t="s">
        <v>122</v>
      </c>
      <c r="C66" t="s">
        <v>129</v>
      </c>
      <c r="D66">
        <v>0</v>
      </c>
      <c r="E66">
        <v>0</v>
      </c>
      <c r="F66">
        <v>0</v>
      </c>
      <c r="G66">
        <v>5768.1</v>
      </c>
      <c r="H66">
        <v>32783.17</v>
      </c>
    </row>
    <row r="67" spans="1:8" x14ac:dyDescent="0.25">
      <c r="A67" t="s">
        <v>155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25">
      <c r="A68" t="s">
        <v>155</v>
      </c>
      <c r="B68" t="s">
        <v>130</v>
      </c>
      <c r="C68" t="s">
        <v>135</v>
      </c>
    </row>
    <row r="69" spans="1:8" x14ac:dyDescent="0.25">
      <c r="A69" t="s">
        <v>155</v>
      </c>
      <c r="B69" t="s">
        <v>130</v>
      </c>
      <c r="C69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H69"/>
  <sheetViews>
    <sheetView workbookViewId="0">
      <selection activeCell="C6" sqref="C6"/>
    </sheetView>
  </sheetViews>
  <sheetFormatPr defaultRowHeight="15" x14ac:dyDescent="0.25"/>
  <cols>
    <col min="1" max="1" width="18.140625" customWidth="1"/>
    <col min="2" max="2" width="23.140625" customWidth="1"/>
    <col min="3" max="3" width="17.28515625" customWidth="1"/>
  </cols>
  <sheetData>
    <row r="1" spans="1:8" x14ac:dyDescent="0.25">
      <c r="A1" t="s">
        <v>144</v>
      </c>
      <c r="B1" t="s">
        <v>143</v>
      </c>
      <c r="C1" t="s">
        <v>0</v>
      </c>
      <c r="D1" t="s">
        <v>158</v>
      </c>
      <c r="E1" t="s">
        <v>159</v>
      </c>
      <c r="F1" t="s">
        <v>160</v>
      </c>
      <c r="G1" t="s">
        <v>161</v>
      </c>
      <c r="H1" t="s">
        <v>162</v>
      </c>
    </row>
    <row r="2" spans="1:8" x14ac:dyDescent="0.25">
      <c r="A2" t="s">
        <v>145</v>
      </c>
      <c r="D2">
        <v>0</v>
      </c>
      <c r="E2">
        <v>0</v>
      </c>
      <c r="F2">
        <v>0</v>
      </c>
    </row>
    <row r="3" spans="1:8" x14ac:dyDescent="0.25">
      <c r="A3" t="s">
        <v>145</v>
      </c>
      <c r="B3" t="s">
        <v>33</v>
      </c>
      <c r="C3" t="s">
        <v>8</v>
      </c>
      <c r="D3">
        <v>0</v>
      </c>
      <c r="E3">
        <v>0</v>
      </c>
      <c r="F3">
        <v>0</v>
      </c>
      <c r="G3">
        <v>0</v>
      </c>
      <c r="H3">
        <v>14590649.51</v>
      </c>
    </row>
    <row r="4" spans="1:8" x14ac:dyDescent="0.25">
      <c r="A4" t="s">
        <v>145</v>
      </c>
      <c r="B4" t="s">
        <v>35</v>
      </c>
      <c r="C4" t="s">
        <v>9</v>
      </c>
      <c r="D4">
        <v>0</v>
      </c>
      <c r="E4">
        <v>0</v>
      </c>
      <c r="F4">
        <v>0</v>
      </c>
      <c r="G4">
        <v>0</v>
      </c>
      <c r="H4">
        <v>670023.99000000011</v>
      </c>
    </row>
    <row r="5" spans="1:8" x14ac:dyDescent="0.25">
      <c r="A5" t="s">
        <v>145</v>
      </c>
      <c r="B5" t="s">
        <v>79</v>
      </c>
      <c r="C5" t="s">
        <v>4</v>
      </c>
      <c r="D5">
        <v>0</v>
      </c>
      <c r="E5">
        <v>0</v>
      </c>
      <c r="F5">
        <v>0</v>
      </c>
      <c r="G5">
        <v>1838400.78</v>
      </c>
      <c r="H5">
        <v>3775171.1299999994</v>
      </c>
    </row>
    <row r="6" spans="1:8" x14ac:dyDescent="0.25">
      <c r="A6" t="s">
        <v>146</v>
      </c>
      <c r="D6">
        <v>0</v>
      </c>
    </row>
    <row r="7" spans="1:8" x14ac:dyDescent="0.25">
      <c r="A7" t="s">
        <v>146</v>
      </c>
      <c r="B7" t="s">
        <v>131</v>
      </c>
      <c r="C7" t="s">
        <v>36</v>
      </c>
      <c r="D7">
        <v>0</v>
      </c>
      <c r="E7">
        <v>1226444.26</v>
      </c>
      <c r="F7">
        <v>5374267.0999999996</v>
      </c>
      <c r="G7">
        <v>6952685.6200000001</v>
      </c>
      <c r="H7">
        <v>8242788.6899999985</v>
      </c>
    </row>
    <row r="8" spans="1:8" x14ac:dyDescent="0.25">
      <c r="A8" t="s">
        <v>146</v>
      </c>
      <c r="B8" t="s">
        <v>131</v>
      </c>
      <c r="C8" t="s">
        <v>37</v>
      </c>
      <c r="D8">
        <v>0</v>
      </c>
      <c r="E8">
        <v>0</v>
      </c>
      <c r="F8">
        <v>3722155.93</v>
      </c>
      <c r="G8">
        <v>7325287.6500000004</v>
      </c>
      <c r="H8">
        <v>9643134.3200000003</v>
      </c>
    </row>
    <row r="9" spans="1:8" x14ac:dyDescent="0.25">
      <c r="A9" t="s">
        <v>146</v>
      </c>
      <c r="B9" t="s">
        <v>131</v>
      </c>
      <c r="C9" t="s">
        <v>31</v>
      </c>
      <c r="D9">
        <v>0</v>
      </c>
      <c r="E9">
        <v>0</v>
      </c>
      <c r="F9">
        <v>0</v>
      </c>
      <c r="G9">
        <v>2925619.82</v>
      </c>
      <c r="H9">
        <v>5940686.9100000001</v>
      </c>
    </row>
    <row r="10" spans="1:8" x14ac:dyDescent="0.25">
      <c r="A10" t="s">
        <v>146</v>
      </c>
      <c r="B10" t="s">
        <v>131</v>
      </c>
      <c r="C10" t="s">
        <v>32</v>
      </c>
      <c r="D10">
        <v>0</v>
      </c>
      <c r="E10">
        <v>0</v>
      </c>
      <c r="F10">
        <v>0</v>
      </c>
      <c r="G10">
        <v>1389545.06</v>
      </c>
      <c r="H10">
        <v>2658106.58</v>
      </c>
    </row>
    <row r="11" spans="1:8" x14ac:dyDescent="0.25">
      <c r="A11" t="s">
        <v>146</v>
      </c>
      <c r="B11" t="s">
        <v>132</v>
      </c>
      <c r="C11" t="s">
        <v>38</v>
      </c>
      <c r="D11">
        <v>0</v>
      </c>
      <c r="E11">
        <v>0</v>
      </c>
      <c r="F11">
        <v>245429.34000000003</v>
      </c>
      <c r="G11">
        <v>1955823.05</v>
      </c>
      <c r="H11">
        <v>1735297.54</v>
      </c>
    </row>
    <row r="12" spans="1:8" x14ac:dyDescent="0.25">
      <c r="A12" t="s">
        <v>146</v>
      </c>
      <c r="B12" t="s">
        <v>132</v>
      </c>
      <c r="C12" t="s">
        <v>39</v>
      </c>
      <c r="D12">
        <v>0</v>
      </c>
      <c r="E12">
        <v>0</v>
      </c>
      <c r="F12">
        <v>40566.380000000005</v>
      </c>
      <c r="G12">
        <v>1953432.2699999998</v>
      </c>
      <c r="H12">
        <v>1853280.12</v>
      </c>
    </row>
    <row r="13" spans="1:8" x14ac:dyDescent="0.25">
      <c r="A13" t="s">
        <v>146</v>
      </c>
      <c r="B13" t="s">
        <v>133</v>
      </c>
      <c r="C13" t="s">
        <v>40</v>
      </c>
      <c r="D13">
        <v>0</v>
      </c>
      <c r="E13">
        <v>0</v>
      </c>
      <c r="F13">
        <v>0</v>
      </c>
      <c r="G13">
        <v>48351.360000000001</v>
      </c>
      <c r="H13">
        <v>1108635.83</v>
      </c>
    </row>
    <row r="14" spans="1:8" x14ac:dyDescent="0.25">
      <c r="A14" t="s">
        <v>146</v>
      </c>
      <c r="B14" t="s">
        <v>133</v>
      </c>
      <c r="C14" t="s">
        <v>41</v>
      </c>
      <c r="D14">
        <v>0</v>
      </c>
      <c r="E14">
        <v>0</v>
      </c>
      <c r="F14">
        <v>0</v>
      </c>
      <c r="G14">
        <v>51015.21</v>
      </c>
      <c r="H14">
        <v>969873.71000000008</v>
      </c>
    </row>
    <row r="15" spans="1:8" x14ac:dyDescent="0.25">
      <c r="A15" t="s">
        <v>146</v>
      </c>
      <c r="B15" t="s">
        <v>133</v>
      </c>
      <c r="C15" t="s">
        <v>42</v>
      </c>
      <c r="D15">
        <v>0</v>
      </c>
      <c r="E15">
        <v>0</v>
      </c>
      <c r="F15">
        <v>0</v>
      </c>
      <c r="G15">
        <v>56204.07</v>
      </c>
      <c r="H15">
        <v>1852862.73</v>
      </c>
    </row>
    <row r="16" spans="1:8" x14ac:dyDescent="0.25">
      <c r="A16" t="s">
        <v>146</v>
      </c>
      <c r="B16" t="s">
        <v>133</v>
      </c>
      <c r="C16" t="s">
        <v>43</v>
      </c>
      <c r="D16">
        <v>0</v>
      </c>
      <c r="E16">
        <v>0</v>
      </c>
      <c r="F16">
        <v>0</v>
      </c>
      <c r="G16">
        <v>44657.9</v>
      </c>
      <c r="H16">
        <v>1582759.2300000002</v>
      </c>
    </row>
    <row r="17" spans="1:8" x14ac:dyDescent="0.25">
      <c r="A17" t="s">
        <v>146</v>
      </c>
      <c r="B17" t="s">
        <v>134</v>
      </c>
      <c r="C17" t="s">
        <v>44</v>
      </c>
      <c r="D17">
        <v>0</v>
      </c>
      <c r="E17">
        <v>0</v>
      </c>
      <c r="F17">
        <v>0</v>
      </c>
      <c r="G17">
        <v>25070.43</v>
      </c>
      <c r="H17">
        <v>2749814.96</v>
      </c>
    </row>
    <row r="18" spans="1:8" x14ac:dyDescent="0.25">
      <c r="A18" t="s">
        <v>146</v>
      </c>
      <c r="B18" t="s">
        <v>134</v>
      </c>
      <c r="C18" t="s">
        <v>45</v>
      </c>
      <c r="D18">
        <v>0</v>
      </c>
      <c r="E18">
        <v>0</v>
      </c>
      <c r="F18">
        <v>0</v>
      </c>
      <c r="G18">
        <v>27384.11</v>
      </c>
      <c r="H18">
        <v>1352925.4499999997</v>
      </c>
    </row>
    <row r="19" spans="1:8" x14ac:dyDescent="0.25">
      <c r="A19" t="s">
        <v>147</v>
      </c>
      <c r="D19">
        <v>0</v>
      </c>
      <c r="E19">
        <v>0</v>
      </c>
      <c r="F19">
        <v>0</v>
      </c>
    </row>
    <row r="20" spans="1:8" x14ac:dyDescent="0.25">
      <c r="A20" t="s">
        <v>147</v>
      </c>
      <c r="B20" t="s">
        <v>46</v>
      </c>
      <c r="C20" t="s">
        <v>47</v>
      </c>
      <c r="D20">
        <v>0</v>
      </c>
      <c r="E20">
        <v>0</v>
      </c>
      <c r="F20">
        <v>0</v>
      </c>
      <c r="G20">
        <v>311517.01</v>
      </c>
      <c r="H20">
        <v>2790507.04</v>
      </c>
    </row>
    <row r="21" spans="1:8" x14ac:dyDescent="0.25">
      <c r="A21" t="s">
        <v>147</v>
      </c>
      <c r="B21" t="s">
        <v>46</v>
      </c>
      <c r="C21" t="s">
        <v>87</v>
      </c>
    </row>
    <row r="22" spans="1:8" x14ac:dyDescent="0.25">
      <c r="A22" t="s">
        <v>147</v>
      </c>
      <c r="B22" t="s">
        <v>46</v>
      </c>
      <c r="C22" t="s">
        <v>86</v>
      </c>
      <c r="D22">
        <v>0</v>
      </c>
      <c r="E22">
        <v>0</v>
      </c>
      <c r="F22">
        <v>0</v>
      </c>
      <c r="G22">
        <v>51129.760000000002</v>
      </c>
      <c r="H22">
        <v>2600175.84</v>
      </c>
    </row>
    <row r="23" spans="1:8" x14ac:dyDescent="0.25">
      <c r="A23" t="s">
        <v>148</v>
      </c>
      <c r="D23">
        <v>0</v>
      </c>
      <c r="E23">
        <v>0</v>
      </c>
      <c r="F23">
        <v>0</v>
      </c>
    </row>
    <row r="24" spans="1:8" x14ac:dyDescent="0.25">
      <c r="A24" t="s">
        <v>148</v>
      </c>
      <c r="B24" t="s">
        <v>85</v>
      </c>
      <c r="C24" t="s">
        <v>80</v>
      </c>
      <c r="D24">
        <v>0</v>
      </c>
      <c r="E24">
        <v>0</v>
      </c>
      <c r="F24">
        <v>0</v>
      </c>
      <c r="G24">
        <v>197816.95</v>
      </c>
      <c r="H24">
        <v>1174981.95</v>
      </c>
    </row>
    <row r="25" spans="1:8" x14ac:dyDescent="0.25">
      <c r="A25" t="s">
        <v>148</v>
      </c>
      <c r="B25" t="s">
        <v>85</v>
      </c>
      <c r="C25" t="s">
        <v>81</v>
      </c>
      <c r="D25">
        <v>0</v>
      </c>
      <c r="E25">
        <v>0</v>
      </c>
      <c r="F25">
        <v>0</v>
      </c>
      <c r="G25">
        <v>136384.74</v>
      </c>
      <c r="H25">
        <v>644200.60000000009</v>
      </c>
    </row>
    <row r="26" spans="1:8" x14ac:dyDescent="0.25">
      <c r="A26" t="s">
        <v>148</v>
      </c>
      <c r="B26" t="s">
        <v>85</v>
      </c>
      <c r="C26" t="s">
        <v>82</v>
      </c>
      <c r="D26">
        <v>0</v>
      </c>
      <c r="E26">
        <v>0</v>
      </c>
      <c r="F26">
        <v>0</v>
      </c>
      <c r="G26">
        <v>293999.95</v>
      </c>
      <c r="H26">
        <v>1587151.32</v>
      </c>
    </row>
    <row r="27" spans="1:8" x14ac:dyDescent="0.25">
      <c r="A27" t="s">
        <v>148</v>
      </c>
      <c r="B27" t="s">
        <v>85</v>
      </c>
      <c r="C27" t="s">
        <v>83</v>
      </c>
      <c r="D27">
        <v>0</v>
      </c>
      <c r="E27">
        <v>0</v>
      </c>
      <c r="F27">
        <v>0</v>
      </c>
      <c r="G27">
        <v>134262.82</v>
      </c>
      <c r="H27">
        <v>707220.87</v>
      </c>
    </row>
    <row r="28" spans="1:8" x14ac:dyDescent="0.25">
      <c r="A28" t="s">
        <v>148</v>
      </c>
      <c r="B28" t="s">
        <v>85</v>
      </c>
      <c r="C28" t="s">
        <v>84</v>
      </c>
      <c r="D28">
        <v>0</v>
      </c>
      <c r="E28">
        <v>0</v>
      </c>
      <c r="F28">
        <v>0</v>
      </c>
      <c r="G28">
        <v>166699.16999999995</v>
      </c>
      <c r="H28">
        <v>798626.75999999978</v>
      </c>
    </row>
    <row r="29" spans="1:8" x14ac:dyDescent="0.25">
      <c r="A29" t="s">
        <v>149</v>
      </c>
      <c r="D29">
        <v>0</v>
      </c>
      <c r="E29">
        <v>0</v>
      </c>
    </row>
    <row r="30" spans="1:8" x14ac:dyDescent="0.25">
      <c r="A30" t="s">
        <v>149</v>
      </c>
      <c r="B30" t="s">
        <v>88</v>
      </c>
      <c r="C30" t="s">
        <v>89</v>
      </c>
      <c r="D30">
        <v>0</v>
      </c>
      <c r="E30">
        <v>0</v>
      </c>
      <c r="F30">
        <v>1828057.83</v>
      </c>
      <c r="G30">
        <v>6142875.9499999993</v>
      </c>
      <c r="H30">
        <v>13294130.899999999</v>
      </c>
    </row>
    <row r="31" spans="1:8" x14ac:dyDescent="0.25">
      <c r="A31" t="s">
        <v>149</v>
      </c>
      <c r="B31" t="s">
        <v>90</v>
      </c>
      <c r="C31" t="s">
        <v>91</v>
      </c>
      <c r="D31">
        <v>0</v>
      </c>
      <c r="E31">
        <v>0</v>
      </c>
      <c r="F31">
        <v>0</v>
      </c>
      <c r="G31">
        <v>0</v>
      </c>
      <c r="H31">
        <v>42486.030000000006</v>
      </c>
    </row>
    <row r="32" spans="1:8" x14ac:dyDescent="0.25">
      <c r="A32" t="s">
        <v>149</v>
      </c>
      <c r="B32" t="s">
        <v>90</v>
      </c>
      <c r="C32" t="s">
        <v>92</v>
      </c>
      <c r="D32">
        <v>0</v>
      </c>
      <c r="E32">
        <v>0</v>
      </c>
      <c r="F32">
        <v>0</v>
      </c>
      <c r="G32">
        <v>0</v>
      </c>
      <c r="H32">
        <v>17451.210000000003</v>
      </c>
    </row>
    <row r="33" spans="1:8" x14ac:dyDescent="0.25">
      <c r="A33" t="s">
        <v>149</v>
      </c>
      <c r="B33" t="s">
        <v>90</v>
      </c>
      <c r="C33" t="s">
        <v>93</v>
      </c>
      <c r="D33">
        <v>0</v>
      </c>
      <c r="E33">
        <v>0</v>
      </c>
      <c r="F33">
        <v>0</v>
      </c>
      <c r="G33">
        <v>0</v>
      </c>
      <c r="H33">
        <v>36253.5</v>
      </c>
    </row>
    <row r="34" spans="1:8" x14ac:dyDescent="0.25">
      <c r="A34" t="s">
        <v>150</v>
      </c>
      <c r="D34">
        <v>0</v>
      </c>
      <c r="E34">
        <v>0</v>
      </c>
      <c r="F34">
        <v>0</v>
      </c>
      <c r="G34">
        <v>0</v>
      </c>
    </row>
    <row r="35" spans="1:8" x14ac:dyDescent="0.25">
      <c r="A35" t="s">
        <v>150</v>
      </c>
      <c r="B35" t="s">
        <v>102</v>
      </c>
      <c r="C35" t="s">
        <v>94</v>
      </c>
      <c r="D35">
        <v>0</v>
      </c>
      <c r="E35">
        <v>0</v>
      </c>
      <c r="F35">
        <v>0</v>
      </c>
      <c r="G35">
        <v>0</v>
      </c>
      <c r="H35">
        <v>157568.99</v>
      </c>
    </row>
    <row r="36" spans="1:8" x14ac:dyDescent="0.25">
      <c r="A36" t="s">
        <v>150</v>
      </c>
      <c r="B36" t="s">
        <v>102</v>
      </c>
      <c r="C36" t="s">
        <v>95</v>
      </c>
      <c r="D36">
        <v>0</v>
      </c>
      <c r="E36">
        <v>0</v>
      </c>
      <c r="F36">
        <v>0</v>
      </c>
      <c r="G36">
        <v>0</v>
      </c>
      <c r="H36">
        <v>202856.94</v>
      </c>
    </row>
    <row r="37" spans="1:8" x14ac:dyDescent="0.25">
      <c r="A37" t="s">
        <v>150</v>
      </c>
      <c r="B37" t="s">
        <v>102</v>
      </c>
      <c r="C37" t="s">
        <v>96</v>
      </c>
      <c r="D37">
        <v>0</v>
      </c>
      <c r="E37">
        <v>0</v>
      </c>
      <c r="F37">
        <v>0</v>
      </c>
      <c r="G37">
        <v>0</v>
      </c>
      <c r="H37">
        <v>185858.88</v>
      </c>
    </row>
    <row r="38" spans="1:8" x14ac:dyDescent="0.25">
      <c r="A38" t="s">
        <v>150</v>
      </c>
      <c r="B38" t="s">
        <v>102</v>
      </c>
      <c r="C38" t="s">
        <v>97</v>
      </c>
      <c r="D38">
        <v>0</v>
      </c>
      <c r="E38">
        <v>0</v>
      </c>
      <c r="F38">
        <v>0</v>
      </c>
      <c r="G38">
        <v>0</v>
      </c>
      <c r="H38">
        <v>311121.3</v>
      </c>
    </row>
    <row r="39" spans="1:8" x14ac:dyDescent="0.25">
      <c r="A39" t="s">
        <v>150</v>
      </c>
      <c r="B39" t="s">
        <v>102</v>
      </c>
      <c r="C39" t="s">
        <v>98</v>
      </c>
      <c r="D39">
        <v>0</v>
      </c>
      <c r="E39">
        <v>0</v>
      </c>
      <c r="F39">
        <v>0</v>
      </c>
      <c r="G39">
        <v>0</v>
      </c>
      <c r="H39">
        <v>1062734.7</v>
      </c>
    </row>
    <row r="40" spans="1:8" x14ac:dyDescent="0.25">
      <c r="A40" t="s">
        <v>150</v>
      </c>
      <c r="B40" t="s">
        <v>102</v>
      </c>
      <c r="C40" t="s">
        <v>99</v>
      </c>
      <c r="D40">
        <v>0</v>
      </c>
      <c r="E40">
        <v>0</v>
      </c>
      <c r="F40">
        <v>0</v>
      </c>
      <c r="G40">
        <v>0</v>
      </c>
      <c r="H40">
        <v>1290101.1599999999</v>
      </c>
    </row>
    <row r="41" spans="1:8" x14ac:dyDescent="0.25">
      <c r="A41" t="s">
        <v>150</v>
      </c>
      <c r="B41" t="s">
        <v>102</v>
      </c>
      <c r="C41" t="s">
        <v>100</v>
      </c>
      <c r="D41">
        <v>0</v>
      </c>
      <c r="E41">
        <v>0</v>
      </c>
      <c r="F41">
        <v>0</v>
      </c>
      <c r="G41">
        <v>0</v>
      </c>
      <c r="H41">
        <v>416278.69000000006</v>
      </c>
    </row>
    <row r="42" spans="1:8" x14ac:dyDescent="0.25">
      <c r="A42" t="s">
        <v>150</v>
      </c>
      <c r="B42" t="s">
        <v>102</v>
      </c>
      <c r="C42" t="s">
        <v>101</v>
      </c>
      <c r="D42">
        <v>0</v>
      </c>
      <c r="E42">
        <v>0</v>
      </c>
      <c r="F42">
        <v>0</v>
      </c>
      <c r="G42">
        <v>0</v>
      </c>
      <c r="H42">
        <v>1141712.82</v>
      </c>
    </row>
    <row r="43" spans="1:8" x14ac:dyDescent="0.25">
      <c r="A43" t="s">
        <v>150</v>
      </c>
      <c r="B43" t="s">
        <v>107</v>
      </c>
      <c r="C43" t="s">
        <v>103</v>
      </c>
      <c r="D43">
        <v>0</v>
      </c>
      <c r="E43">
        <v>0</v>
      </c>
      <c r="F43">
        <v>0</v>
      </c>
      <c r="G43">
        <v>0</v>
      </c>
      <c r="H43">
        <v>975587.40999999992</v>
      </c>
    </row>
    <row r="44" spans="1:8" x14ac:dyDescent="0.25">
      <c r="A44" t="s">
        <v>150</v>
      </c>
      <c r="B44" t="s">
        <v>107</v>
      </c>
      <c r="C44" t="s">
        <v>104</v>
      </c>
      <c r="D44">
        <v>0</v>
      </c>
      <c r="E44">
        <v>0</v>
      </c>
      <c r="F44">
        <v>0</v>
      </c>
      <c r="G44">
        <v>0</v>
      </c>
      <c r="H44">
        <v>540212.03</v>
      </c>
    </row>
    <row r="45" spans="1:8" x14ac:dyDescent="0.25">
      <c r="A45" t="s">
        <v>150</v>
      </c>
      <c r="B45" t="s">
        <v>107</v>
      </c>
      <c r="C45" t="s">
        <v>105</v>
      </c>
      <c r="D45">
        <v>0</v>
      </c>
      <c r="E45">
        <v>0</v>
      </c>
      <c r="F45">
        <v>0</v>
      </c>
      <c r="G45">
        <v>0</v>
      </c>
      <c r="H45">
        <v>892665.76000000013</v>
      </c>
    </row>
    <row r="46" spans="1:8" x14ac:dyDescent="0.25">
      <c r="A46" t="s">
        <v>150</v>
      </c>
      <c r="B46" t="s">
        <v>107</v>
      </c>
      <c r="C46" t="s">
        <v>106</v>
      </c>
      <c r="D46">
        <v>0</v>
      </c>
      <c r="E46">
        <v>0</v>
      </c>
      <c r="F46">
        <v>0</v>
      </c>
      <c r="G46">
        <v>0</v>
      </c>
      <c r="H46">
        <v>916815.79999999993</v>
      </c>
    </row>
    <row r="47" spans="1:8" x14ac:dyDescent="0.25">
      <c r="A47" t="s">
        <v>151</v>
      </c>
      <c r="D47">
        <v>0</v>
      </c>
      <c r="E47">
        <v>0</v>
      </c>
    </row>
    <row r="48" spans="1:8" x14ac:dyDescent="0.25">
      <c r="A48" t="s">
        <v>151</v>
      </c>
      <c r="B48" t="s">
        <v>108</v>
      </c>
      <c r="C48" t="s">
        <v>109</v>
      </c>
      <c r="D48">
        <v>0</v>
      </c>
      <c r="E48">
        <v>0</v>
      </c>
      <c r="F48">
        <v>1263213.4099999999</v>
      </c>
      <c r="G48">
        <v>4562627.6399999997</v>
      </c>
      <c r="H48">
        <v>4625041</v>
      </c>
    </row>
    <row r="49" spans="1:8" x14ac:dyDescent="0.25">
      <c r="A49" t="s">
        <v>151</v>
      </c>
      <c r="B49" t="s">
        <v>108</v>
      </c>
      <c r="C49" t="s">
        <v>110</v>
      </c>
      <c r="D49">
        <v>0</v>
      </c>
      <c r="E49">
        <v>0</v>
      </c>
      <c r="F49">
        <v>761966.42999999993</v>
      </c>
      <c r="G49">
        <v>1738713.43</v>
      </c>
      <c r="H49">
        <v>1296765.3699999999</v>
      </c>
    </row>
    <row r="50" spans="1:8" x14ac:dyDescent="0.25">
      <c r="A50" t="s">
        <v>151</v>
      </c>
      <c r="B50" t="s">
        <v>111</v>
      </c>
      <c r="C50" t="s">
        <v>112</v>
      </c>
      <c r="D50">
        <v>0</v>
      </c>
      <c r="E50">
        <v>0</v>
      </c>
      <c r="F50">
        <v>0</v>
      </c>
      <c r="G50">
        <v>0</v>
      </c>
      <c r="H50">
        <v>823982.17</v>
      </c>
    </row>
    <row r="51" spans="1:8" x14ac:dyDescent="0.25">
      <c r="A51" t="s">
        <v>151</v>
      </c>
      <c r="B51" t="s">
        <v>111</v>
      </c>
      <c r="C51" t="s">
        <v>113</v>
      </c>
      <c r="D51">
        <v>0</v>
      </c>
      <c r="E51">
        <v>0</v>
      </c>
      <c r="F51">
        <v>0</v>
      </c>
      <c r="G51">
        <v>0</v>
      </c>
      <c r="H51">
        <v>2875385.28</v>
      </c>
    </row>
    <row r="52" spans="1:8" x14ac:dyDescent="0.25">
      <c r="A52" t="s">
        <v>152</v>
      </c>
      <c r="D52">
        <v>0</v>
      </c>
      <c r="E52">
        <v>0</v>
      </c>
      <c r="F52">
        <v>0</v>
      </c>
      <c r="G52">
        <v>0</v>
      </c>
    </row>
    <row r="53" spans="1:8" x14ac:dyDescent="0.25">
      <c r="A53" t="s">
        <v>152</v>
      </c>
      <c r="B53" t="s">
        <v>117</v>
      </c>
      <c r="C53" t="s">
        <v>114</v>
      </c>
      <c r="D53">
        <v>0</v>
      </c>
      <c r="E53">
        <v>0</v>
      </c>
      <c r="F53">
        <v>0</v>
      </c>
      <c r="G53">
        <v>0</v>
      </c>
      <c r="H53">
        <v>841239.91</v>
      </c>
    </row>
    <row r="54" spans="1:8" x14ac:dyDescent="0.25">
      <c r="A54" t="s">
        <v>152</v>
      </c>
      <c r="B54" t="s">
        <v>117</v>
      </c>
      <c r="C54" t="s">
        <v>115</v>
      </c>
      <c r="D54">
        <v>0</v>
      </c>
      <c r="E54">
        <v>0</v>
      </c>
      <c r="F54">
        <v>0</v>
      </c>
      <c r="G54">
        <v>0</v>
      </c>
      <c r="H54">
        <v>687411.67999999993</v>
      </c>
    </row>
    <row r="55" spans="1:8" x14ac:dyDescent="0.25">
      <c r="A55" t="s">
        <v>152</v>
      </c>
      <c r="B55" t="s">
        <v>117</v>
      </c>
      <c r="C55" t="s">
        <v>116</v>
      </c>
      <c r="D55">
        <v>0</v>
      </c>
      <c r="E55">
        <v>0</v>
      </c>
      <c r="F55">
        <v>0</v>
      </c>
      <c r="G55">
        <v>0</v>
      </c>
      <c r="H55">
        <v>393454.03</v>
      </c>
    </row>
    <row r="56" spans="1:8" x14ac:dyDescent="0.25">
      <c r="A56" t="s">
        <v>153</v>
      </c>
      <c r="D56">
        <v>0</v>
      </c>
      <c r="E56">
        <v>0</v>
      </c>
      <c r="F56">
        <v>0</v>
      </c>
    </row>
    <row r="57" spans="1:8" x14ac:dyDescent="0.25">
      <c r="A57" t="s">
        <v>153</v>
      </c>
      <c r="B57" t="s">
        <v>118</v>
      </c>
      <c r="C57" t="s">
        <v>119</v>
      </c>
      <c r="D57">
        <v>0</v>
      </c>
      <c r="E57">
        <v>0</v>
      </c>
      <c r="F57">
        <v>0</v>
      </c>
      <c r="G57">
        <v>4594777.92</v>
      </c>
      <c r="H57">
        <v>12712191.66</v>
      </c>
    </row>
    <row r="58" spans="1:8" x14ac:dyDescent="0.25">
      <c r="A58" t="s">
        <v>153</v>
      </c>
      <c r="B58" t="s">
        <v>120</v>
      </c>
      <c r="C58" t="s">
        <v>121</v>
      </c>
      <c r="D58">
        <v>0</v>
      </c>
      <c r="E58">
        <v>0</v>
      </c>
      <c r="F58">
        <v>0</v>
      </c>
      <c r="G58">
        <v>0</v>
      </c>
      <c r="H58">
        <v>396.51</v>
      </c>
    </row>
    <row r="59" spans="1:8" x14ac:dyDescent="0.25">
      <c r="A59" t="s">
        <v>154</v>
      </c>
      <c r="D59">
        <v>0</v>
      </c>
      <c r="E59">
        <v>0</v>
      </c>
      <c r="F59">
        <v>0</v>
      </c>
    </row>
    <row r="60" spans="1:8" x14ac:dyDescent="0.25">
      <c r="A60" t="s">
        <v>154</v>
      </c>
      <c r="B60" t="s">
        <v>122</v>
      </c>
      <c r="C60" t="s">
        <v>123</v>
      </c>
      <c r="D60">
        <v>0</v>
      </c>
      <c r="E60">
        <v>0</v>
      </c>
      <c r="F60">
        <v>0</v>
      </c>
      <c r="G60">
        <v>49060.6</v>
      </c>
      <c r="H60">
        <v>783361.08</v>
      </c>
    </row>
    <row r="61" spans="1:8" x14ac:dyDescent="0.25">
      <c r="A61" t="s">
        <v>154</v>
      </c>
      <c r="B61" t="s">
        <v>122</v>
      </c>
      <c r="C61" t="s">
        <v>124</v>
      </c>
      <c r="D61">
        <v>0</v>
      </c>
      <c r="E61">
        <v>0</v>
      </c>
      <c r="F61">
        <v>0</v>
      </c>
      <c r="G61">
        <v>46508.819999999992</v>
      </c>
      <c r="H61">
        <v>720930.12999999989</v>
      </c>
    </row>
    <row r="62" spans="1:8" x14ac:dyDescent="0.25">
      <c r="A62" t="s">
        <v>154</v>
      </c>
      <c r="B62" t="s">
        <v>122</v>
      </c>
      <c r="C62" t="s">
        <v>125</v>
      </c>
      <c r="D62">
        <v>0</v>
      </c>
      <c r="E62">
        <v>0</v>
      </c>
      <c r="F62">
        <v>0</v>
      </c>
      <c r="G62">
        <v>71905</v>
      </c>
      <c r="H62">
        <v>1284698.0699999998</v>
      </c>
    </row>
    <row r="63" spans="1:8" x14ac:dyDescent="0.25">
      <c r="A63" t="s">
        <v>154</v>
      </c>
      <c r="B63" t="s">
        <v>122</v>
      </c>
      <c r="C63" t="s">
        <v>126</v>
      </c>
      <c r="D63">
        <v>0</v>
      </c>
      <c r="E63">
        <v>0</v>
      </c>
      <c r="F63">
        <v>0</v>
      </c>
      <c r="G63">
        <v>6759.6799999999994</v>
      </c>
      <c r="H63">
        <v>29464.920000000002</v>
      </c>
    </row>
    <row r="64" spans="1:8" x14ac:dyDescent="0.25">
      <c r="A64" t="s">
        <v>154</v>
      </c>
      <c r="B64" t="s">
        <v>122</v>
      </c>
      <c r="C64" t="s">
        <v>127</v>
      </c>
      <c r="D64">
        <v>0</v>
      </c>
      <c r="E64">
        <v>0</v>
      </c>
      <c r="F64">
        <v>0</v>
      </c>
      <c r="G64">
        <v>5109.07</v>
      </c>
      <c r="H64">
        <v>31465.94</v>
      </c>
    </row>
    <row r="65" spans="1:8" x14ac:dyDescent="0.25">
      <c r="A65" t="s">
        <v>154</v>
      </c>
      <c r="B65" t="s">
        <v>122</v>
      </c>
      <c r="C65" t="s">
        <v>128</v>
      </c>
      <c r="D65">
        <v>0</v>
      </c>
      <c r="E65">
        <v>0</v>
      </c>
      <c r="F65">
        <v>0</v>
      </c>
      <c r="G65">
        <v>26937.89</v>
      </c>
      <c r="H65">
        <v>573331.13</v>
      </c>
    </row>
    <row r="66" spans="1:8" x14ac:dyDescent="0.25">
      <c r="A66" t="s">
        <v>154</v>
      </c>
      <c r="B66" t="s">
        <v>122</v>
      </c>
      <c r="C66" t="s">
        <v>129</v>
      </c>
      <c r="D66">
        <v>0</v>
      </c>
      <c r="E66">
        <v>0</v>
      </c>
      <c r="F66">
        <v>0</v>
      </c>
      <c r="G66">
        <v>5768.1</v>
      </c>
      <c r="H66">
        <v>32783.17</v>
      </c>
    </row>
    <row r="67" spans="1:8" x14ac:dyDescent="0.25">
      <c r="A67" t="s">
        <v>155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25">
      <c r="A68" t="s">
        <v>155</v>
      </c>
      <c r="B68" t="s">
        <v>130</v>
      </c>
      <c r="C68" t="s">
        <v>135</v>
      </c>
    </row>
    <row r="69" spans="1:8" x14ac:dyDescent="0.25">
      <c r="A69" t="s">
        <v>155</v>
      </c>
      <c r="B69" t="s">
        <v>130</v>
      </c>
      <c r="C69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M156"/>
  <sheetViews>
    <sheetView tabSelected="1" zoomScaleNormal="100" workbookViewId="0">
      <pane ySplit="3" topLeftCell="A4" activePane="bottomLeft" state="frozen"/>
      <selection pane="bottomLeft" activeCell="E6" sqref="E6"/>
    </sheetView>
  </sheetViews>
  <sheetFormatPr defaultRowHeight="15" x14ac:dyDescent="0.25"/>
  <cols>
    <col min="1" max="1" width="14.28515625" bestFit="1" customWidth="1"/>
    <col min="2" max="2" width="24" style="17" customWidth="1"/>
    <col min="3" max="3" width="32.28515625" style="2" customWidth="1"/>
    <col min="4" max="4" width="7.7109375" style="2" bestFit="1" customWidth="1"/>
    <col min="5" max="5" width="15" style="2" bestFit="1" customWidth="1"/>
    <col min="6" max="7" width="16" style="2" bestFit="1" customWidth="1"/>
    <col min="8" max="8" width="17" style="2" bestFit="1" customWidth="1"/>
    <col min="9" max="9" width="15.28515625" bestFit="1" customWidth="1"/>
    <col min="10" max="10" width="16.28515625" bestFit="1" customWidth="1"/>
    <col min="13" max="13" width="43.140625" bestFit="1" customWidth="1"/>
  </cols>
  <sheetData>
    <row r="1" spans="1:13" x14ac:dyDescent="0.25">
      <c r="B1" s="17" t="s">
        <v>140</v>
      </c>
      <c r="M1" s="2"/>
    </row>
    <row r="2" spans="1:13" x14ac:dyDescent="0.25">
      <c r="D2" s="41" t="s">
        <v>156</v>
      </c>
      <c r="E2" s="41"/>
      <c r="F2" s="41"/>
      <c r="G2" s="41"/>
      <c r="H2" s="41"/>
    </row>
    <row r="3" spans="1:13" x14ac:dyDescent="0.25">
      <c r="A3" s="13" t="s">
        <v>144</v>
      </c>
      <c r="B3" s="13" t="s">
        <v>143</v>
      </c>
      <c r="C3" s="13" t="s">
        <v>0</v>
      </c>
      <c r="D3" s="37">
        <v>42826</v>
      </c>
      <c r="E3" s="37">
        <v>43191</v>
      </c>
      <c r="F3" s="37">
        <v>43556</v>
      </c>
      <c r="G3" s="37">
        <v>43922</v>
      </c>
      <c r="H3" s="37">
        <v>44287</v>
      </c>
      <c r="I3" s="25" t="s">
        <v>142</v>
      </c>
      <c r="J3" s="25" t="s">
        <v>141</v>
      </c>
      <c r="M3" s="2"/>
    </row>
    <row r="4" spans="1:13" x14ac:dyDescent="0.25">
      <c r="A4" s="28" t="s">
        <v>145</v>
      </c>
      <c r="B4" s="29"/>
      <c r="C4" s="29"/>
      <c r="D4" s="35"/>
      <c r="E4" s="35"/>
      <c r="F4" s="35"/>
      <c r="G4" s="35"/>
      <c r="H4" s="35"/>
      <c r="I4" s="36">
        <v>61825494.82</v>
      </c>
      <c r="J4" s="32">
        <v>903971123.44999909</v>
      </c>
      <c r="M4" s="2"/>
    </row>
    <row r="5" spans="1:13" x14ac:dyDescent="0.25">
      <c r="A5" s="28" t="s">
        <v>145</v>
      </c>
      <c r="B5" s="17" t="s">
        <v>33</v>
      </c>
      <c r="C5" s="2" t="s">
        <v>8</v>
      </c>
      <c r="D5" s="19"/>
      <c r="E5" s="19"/>
      <c r="F5" s="19"/>
      <c r="G5" s="19"/>
      <c r="H5" s="19"/>
      <c r="I5" s="26">
        <f>H5/$I$4</f>
        <v>0</v>
      </c>
      <c r="M5" s="2"/>
    </row>
    <row r="6" spans="1:13" x14ac:dyDescent="0.25">
      <c r="A6" s="28" t="s">
        <v>145</v>
      </c>
      <c r="B6" s="17" t="s">
        <v>35</v>
      </c>
      <c r="C6" s="2" t="s">
        <v>9</v>
      </c>
      <c r="D6" s="19"/>
      <c r="E6" s="19"/>
      <c r="F6" s="19"/>
      <c r="G6" s="19"/>
      <c r="H6" s="19"/>
      <c r="I6" s="26">
        <f>H6/$I$4</f>
        <v>0</v>
      </c>
      <c r="M6" s="2"/>
    </row>
    <row r="7" spans="1:13" x14ac:dyDescent="0.25">
      <c r="A7" s="28" t="s">
        <v>145</v>
      </c>
      <c r="B7" s="17" t="s">
        <v>79</v>
      </c>
      <c r="C7" s="2" t="s">
        <v>4</v>
      </c>
      <c r="D7" s="19"/>
      <c r="E7" s="19"/>
      <c r="F7" s="19"/>
      <c r="G7" s="19"/>
      <c r="H7" s="19"/>
      <c r="I7" s="26">
        <f>H7/$I$4</f>
        <v>0</v>
      </c>
      <c r="M7" s="2"/>
    </row>
    <row r="8" spans="1:13" x14ac:dyDescent="0.25">
      <c r="A8" s="28" t="s">
        <v>146</v>
      </c>
      <c r="B8" s="28"/>
      <c r="C8" s="28"/>
      <c r="D8" s="34"/>
      <c r="E8" s="34"/>
      <c r="F8" s="34"/>
      <c r="G8" s="34"/>
      <c r="H8" s="34"/>
      <c r="I8" s="32">
        <v>39690166.07</v>
      </c>
      <c r="J8" s="32">
        <v>1320574088.23</v>
      </c>
      <c r="M8" s="2"/>
    </row>
    <row r="9" spans="1:13" x14ac:dyDescent="0.25">
      <c r="A9" s="28" t="s">
        <v>146</v>
      </c>
      <c r="B9" s="17" t="s">
        <v>131</v>
      </c>
      <c r="C9" s="2" t="s">
        <v>36</v>
      </c>
      <c r="D9" s="19"/>
      <c r="E9" s="19"/>
      <c r="F9" s="19"/>
      <c r="G9" s="19"/>
      <c r="H9" s="19"/>
      <c r="I9" s="26">
        <f t="shared" ref="I9:I20" si="0">H9/$I$8</f>
        <v>0</v>
      </c>
      <c r="M9" s="2"/>
    </row>
    <row r="10" spans="1:13" x14ac:dyDescent="0.25">
      <c r="A10" s="28" t="s">
        <v>146</v>
      </c>
      <c r="B10" s="17" t="s">
        <v>131</v>
      </c>
      <c r="C10" s="2" t="s">
        <v>37</v>
      </c>
      <c r="D10" s="19"/>
      <c r="E10" s="19"/>
      <c r="F10" s="19"/>
      <c r="G10" s="19"/>
      <c r="H10" s="19"/>
      <c r="I10" s="26">
        <f t="shared" si="0"/>
        <v>0</v>
      </c>
      <c r="M10" s="2"/>
    </row>
    <row r="11" spans="1:13" x14ac:dyDescent="0.25">
      <c r="A11" s="28" t="s">
        <v>146</v>
      </c>
      <c r="B11" s="17" t="s">
        <v>131</v>
      </c>
      <c r="C11" s="2" t="s">
        <v>31</v>
      </c>
      <c r="D11" s="19"/>
      <c r="E11" s="19"/>
      <c r="F11" s="19"/>
      <c r="G11" s="19"/>
      <c r="H11" s="19"/>
      <c r="I11" s="26">
        <f t="shared" si="0"/>
        <v>0</v>
      </c>
      <c r="M11" s="2"/>
    </row>
    <row r="12" spans="1:13" x14ac:dyDescent="0.25">
      <c r="A12" s="28" t="s">
        <v>146</v>
      </c>
      <c r="B12" s="17" t="s">
        <v>131</v>
      </c>
      <c r="C12" s="2" t="s">
        <v>32</v>
      </c>
      <c r="D12" s="19"/>
      <c r="E12" s="19"/>
      <c r="F12" s="19"/>
      <c r="G12" s="19"/>
      <c r="H12" s="19"/>
      <c r="I12" s="26">
        <f t="shared" si="0"/>
        <v>0</v>
      </c>
      <c r="M12" s="2"/>
    </row>
    <row r="13" spans="1:13" x14ac:dyDescent="0.25">
      <c r="A13" s="28" t="s">
        <v>146</v>
      </c>
      <c r="B13" s="17" t="s">
        <v>132</v>
      </c>
      <c r="C13" s="2" t="s">
        <v>38</v>
      </c>
      <c r="D13" s="19"/>
      <c r="E13" s="19"/>
      <c r="F13" s="19"/>
      <c r="G13" s="19"/>
      <c r="H13" s="19"/>
      <c r="I13" s="26">
        <f t="shared" si="0"/>
        <v>0</v>
      </c>
      <c r="M13" s="2"/>
    </row>
    <row r="14" spans="1:13" x14ac:dyDescent="0.25">
      <c r="A14" s="28" t="s">
        <v>146</v>
      </c>
      <c r="B14" s="17" t="s">
        <v>132</v>
      </c>
      <c r="C14" s="2" t="s">
        <v>39</v>
      </c>
      <c r="D14" s="19"/>
      <c r="E14" s="19"/>
      <c r="F14" s="19"/>
      <c r="G14" s="19"/>
      <c r="H14" s="19"/>
      <c r="I14" s="26">
        <f t="shared" si="0"/>
        <v>0</v>
      </c>
      <c r="M14" s="2"/>
    </row>
    <row r="15" spans="1:13" x14ac:dyDescent="0.25">
      <c r="A15" s="28" t="s">
        <v>146</v>
      </c>
      <c r="B15" s="17" t="s">
        <v>133</v>
      </c>
      <c r="C15" s="2" t="s">
        <v>40</v>
      </c>
      <c r="D15" s="19"/>
      <c r="E15" s="19"/>
      <c r="F15" s="19"/>
      <c r="G15" s="19"/>
      <c r="H15" s="19"/>
      <c r="I15" s="26">
        <f t="shared" si="0"/>
        <v>0</v>
      </c>
      <c r="M15" s="2"/>
    </row>
    <row r="16" spans="1:13" x14ac:dyDescent="0.25">
      <c r="A16" s="28" t="s">
        <v>146</v>
      </c>
      <c r="B16" s="17" t="s">
        <v>133</v>
      </c>
      <c r="C16" s="2" t="s">
        <v>41</v>
      </c>
      <c r="D16" s="19"/>
      <c r="E16" s="19"/>
      <c r="F16" s="19"/>
      <c r="G16" s="19"/>
      <c r="H16" s="19"/>
      <c r="I16" s="26">
        <f t="shared" si="0"/>
        <v>0</v>
      </c>
      <c r="M16" s="2"/>
    </row>
    <row r="17" spans="1:13" x14ac:dyDescent="0.25">
      <c r="A17" s="28" t="s">
        <v>146</v>
      </c>
      <c r="B17" s="17" t="s">
        <v>133</v>
      </c>
      <c r="C17" s="2" t="s">
        <v>42</v>
      </c>
      <c r="D17" s="19"/>
      <c r="E17" s="19"/>
      <c r="F17" s="19"/>
      <c r="G17" s="19"/>
      <c r="H17" s="19"/>
      <c r="I17" s="26">
        <f t="shared" si="0"/>
        <v>0</v>
      </c>
      <c r="M17" s="2"/>
    </row>
    <row r="18" spans="1:13" x14ac:dyDescent="0.25">
      <c r="A18" s="28" t="s">
        <v>146</v>
      </c>
      <c r="B18" s="17" t="s">
        <v>133</v>
      </c>
      <c r="C18" s="2" t="s">
        <v>43</v>
      </c>
      <c r="D18" s="19"/>
      <c r="E18" s="19"/>
      <c r="F18" s="19"/>
      <c r="G18" s="19"/>
      <c r="H18" s="19"/>
      <c r="I18" s="26">
        <f t="shared" si="0"/>
        <v>0</v>
      </c>
      <c r="M18" s="2"/>
    </row>
    <row r="19" spans="1:13" x14ac:dyDescent="0.25">
      <c r="A19" s="28" t="s">
        <v>146</v>
      </c>
      <c r="B19" s="17" t="s">
        <v>134</v>
      </c>
      <c r="C19" s="2" t="s">
        <v>44</v>
      </c>
      <c r="D19" s="19"/>
      <c r="E19" s="19"/>
      <c r="F19" s="19"/>
      <c r="G19" s="19"/>
      <c r="H19" s="19"/>
      <c r="I19" s="26">
        <f t="shared" si="0"/>
        <v>0</v>
      </c>
      <c r="M19" s="2"/>
    </row>
    <row r="20" spans="1:13" x14ac:dyDescent="0.25">
      <c r="A20" s="28" t="s">
        <v>146</v>
      </c>
      <c r="B20" s="17" t="s">
        <v>134</v>
      </c>
      <c r="C20" s="2" t="s">
        <v>45</v>
      </c>
      <c r="D20" s="19"/>
      <c r="E20" s="19"/>
      <c r="F20" s="19"/>
      <c r="G20" s="19"/>
      <c r="H20" s="19"/>
      <c r="I20" s="26">
        <f t="shared" si="0"/>
        <v>0</v>
      </c>
      <c r="M20" s="2"/>
    </row>
    <row r="21" spans="1:13" x14ac:dyDescent="0.25">
      <c r="A21" s="28" t="s">
        <v>147</v>
      </c>
      <c r="B21" s="28"/>
      <c r="C21" s="28"/>
      <c r="D21" s="34"/>
      <c r="E21" s="34"/>
      <c r="F21" s="34"/>
      <c r="G21" s="34"/>
      <c r="H21" s="34"/>
      <c r="I21" s="32">
        <v>27101859.68</v>
      </c>
      <c r="J21" s="32">
        <v>5751283725.320014</v>
      </c>
      <c r="M21" s="2"/>
    </row>
    <row r="22" spans="1:13" x14ac:dyDescent="0.25">
      <c r="A22" s="28" t="s">
        <v>147</v>
      </c>
      <c r="B22" s="17" t="s">
        <v>46</v>
      </c>
      <c r="C22" s="2" t="s">
        <v>47</v>
      </c>
      <c r="D22" s="19"/>
      <c r="E22" s="19"/>
      <c r="F22" s="19"/>
      <c r="G22" s="19"/>
      <c r="H22" s="19"/>
      <c r="I22" s="26">
        <f>H22/$I$21</f>
        <v>0</v>
      </c>
      <c r="M22" s="2"/>
    </row>
    <row r="23" spans="1:13" x14ac:dyDescent="0.25">
      <c r="A23" s="28" t="s">
        <v>147</v>
      </c>
      <c r="B23" s="17" t="s">
        <v>46</v>
      </c>
      <c r="C23" s="24" t="s">
        <v>87</v>
      </c>
      <c r="D23" s="19"/>
      <c r="E23" s="19"/>
      <c r="F23" s="19"/>
      <c r="G23" s="19"/>
      <c r="H23" s="31"/>
      <c r="I23" s="26">
        <f>H23/$I$21</f>
        <v>0</v>
      </c>
      <c r="M23" s="2"/>
    </row>
    <row r="24" spans="1:13" x14ac:dyDescent="0.25">
      <c r="A24" s="28" t="s">
        <v>147</v>
      </c>
      <c r="B24" s="17" t="s">
        <v>46</v>
      </c>
      <c r="C24" s="2" t="s">
        <v>86</v>
      </c>
      <c r="D24" s="19"/>
      <c r="E24" s="19"/>
      <c r="F24" s="19"/>
      <c r="G24" s="19"/>
      <c r="H24" s="19"/>
      <c r="I24" s="26">
        <f>H24/$I$21</f>
        <v>0</v>
      </c>
      <c r="M24" s="6"/>
    </row>
    <row r="25" spans="1:13" x14ac:dyDescent="0.25">
      <c r="A25" s="28" t="s">
        <v>148</v>
      </c>
      <c r="B25" s="28"/>
      <c r="C25" s="28"/>
      <c r="D25" s="34"/>
      <c r="E25" s="34"/>
      <c r="F25" s="34"/>
      <c r="G25" s="34"/>
      <c r="H25" s="34"/>
      <c r="I25" s="32">
        <v>4912181.5</v>
      </c>
      <c r="J25" s="32">
        <v>214330780.57999995</v>
      </c>
      <c r="M25" s="6"/>
    </row>
    <row r="26" spans="1:13" x14ac:dyDescent="0.25">
      <c r="A26" s="28" t="s">
        <v>148</v>
      </c>
      <c r="B26" s="17" t="s">
        <v>85</v>
      </c>
      <c r="C26" s="2" t="s">
        <v>80</v>
      </c>
      <c r="D26" s="19"/>
      <c r="E26" s="19"/>
      <c r="F26" s="19"/>
      <c r="G26" s="19"/>
      <c r="H26" s="19"/>
      <c r="I26" s="26">
        <f>H26/$I$25</f>
        <v>0</v>
      </c>
      <c r="M26" s="6"/>
    </row>
    <row r="27" spans="1:13" x14ac:dyDescent="0.25">
      <c r="A27" s="28" t="s">
        <v>148</v>
      </c>
      <c r="B27" s="17" t="s">
        <v>85</v>
      </c>
      <c r="C27" s="2" t="s">
        <v>81</v>
      </c>
      <c r="D27" s="19"/>
      <c r="E27" s="19"/>
      <c r="F27" s="19"/>
      <c r="G27" s="19"/>
      <c r="H27" s="19"/>
      <c r="I27" s="26">
        <f>H27/$I$25</f>
        <v>0</v>
      </c>
      <c r="M27" s="6"/>
    </row>
    <row r="28" spans="1:13" x14ac:dyDescent="0.25">
      <c r="A28" s="28" t="s">
        <v>148</v>
      </c>
      <c r="B28" s="17" t="s">
        <v>85</v>
      </c>
      <c r="C28" s="2" t="s">
        <v>82</v>
      </c>
      <c r="D28" s="19"/>
      <c r="E28" s="19"/>
      <c r="F28" s="19"/>
      <c r="G28" s="19"/>
      <c r="H28" s="19"/>
      <c r="I28" s="26">
        <f>H28/$I$25</f>
        <v>0</v>
      </c>
      <c r="M28" s="2"/>
    </row>
    <row r="29" spans="1:13" x14ac:dyDescent="0.25">
      <c r="A29" s="28" t="s">
        <v>148</v>
      </c>
      <c r="B29" s="17" t="s">
        <v>85</v>
      </c>
      <c r="C29" s="2" t="s">
        <v>83</v>
      </c>
      <c r="D29" s="19"/>
      <c r="E29" s="19"/>
      <c r="F29" s="19"/>
      <c r="G29" s="19"/>
      <c r="H29" s="19"/>
      <c r="I29" s="26">
        <f>H29/$I$25</f>
        <v>0</v>
      </c>
      <c r="M29" s="2"/>
    </row>
    <row r="30" spans="1:13" x14ac:dyDescent="0.25">
      <c r="A30" s="28" t="s">
        <v>148</v>
      </c>
      <c r="B30" s="17" t="s">
        <v>85</v>
      </c>
      <c r="C30" s="2" t="s">
        <v>84</v>
      </c>
      <c r="D30" s="19"/>
      <c r="E30" s="19"/>
      <c r="F30" s="19"/>
      <c r="G30" s="19"/>
      <c r="H30" s="19"/>
      <c r="I30" s="26">
        <f>H30/$I$25</f>
        <v>0</v>
      </c>
      <c r="M30" s="2"/>
    </row>
    <row r="31" spans="1:13" x14ac:dyDescent="0.25">
      <c r="A31" s="28" t="s">
        <v>149</v>
      </c>
      <c r="B31" s="28"/>
      <c r="C31" s="28"/>
      <c r="D31" s="34"/>
      <c r="E31" s="34"/>
      <c r="F31" s="34"/>
      <c r="G31" s="34"/>
      <c r="H31" s="34"/>
      <c r="I31" s="32">
        <v>13390321.639999999</v>
      </c>
      <c r="J31" s="32">
        <v>631705015.64999998</v>
      </c>
      <c r="M31" s="2"/>
    </row>
    <row r="32" spans="1:13" x14ac:dyDescent="0.25">
      <c r="A32" s="28" t="s">
        <v>149</v>
      </c>
      <c r="B32" s="17" t="s">
        <v>88</v>
      </c>
      <c r="C32" s="2" t="s">
        <v>89</v>
      </c>
      <c r="D32" s="19"/>
      <c r="E32" s="19"/>
      <c r="F32" s="19"/>
      <c r="G32" s="19"/>
      <c r="H32" s="19"/>
      <c r="I32" s="27">
        <f>H32/$I$31</f>
        <v>0</v>
      </c>
      <c r="M32" s="2"/>
    </row>
    <row r="33" spans="1:13" x14ac:dyDescent="0.25">
      <c r="A33" s="28" t="s">
        <v>149</v>
      </c>
      <c r="B33" s="17" t="s">
        <v>90</v>
      </c>
      <c r="C33" s="2" t="s">
        <v>91</v>
      </c>
      <c r="D33" s="19"/>
      <c r="E33" s="19"/>
      <c r="F33" s="19"/>
      <c r="G33" s="19"/>
      <c r="H33" s="19"/>
      <c r="I33" s="27">
        <f>H33/$I$31</f>
        <v>0</v>
      </c>
      <c r="M33" s="2"/>
    </row>
    <row r="34" spans="1:13" x14ac:dyDescent="0.25">
      <c r="A34" s="28" t="s">
        <v>149</v>
      </c>
      <c r="B34" s="17" t="s">
        <v>90</v>
      </c>
      <c r="C34" s="2" t="s">
        <v>92</v>
      </c>
      <c r="D34" s="19"/>
      <c r="E34" s="19"/>
      <c r="F34" s="19"/>
      <c r="G34" s="19"/>
      <c r="H34" s="19"/>
      <c r="I34" s="27">
        <f>H34/$I$31</f>
        <v>0</v>
      </c>
      <c r="M34" s="2"/>
    </row>
    <row r="35" spans="1:13" x14ac:dyDescent="0.25">
      <c r="A35" s="28" t="s">
        <v>149</v>
      </c>
      <c r="B35" s="17" t="s">
        <v>90</v>
      </c>
      <c r="C35" s="2" t="s">
        <v>93</v>
      </c>
      <c r="D35" s="19"/>
      <c r="E35" s="19"/>
      <c r="F35" s="19"/>
      <c r="G35" s="19"/>
      <c r="H35" s="19"/>
      <c r="I35" s="27">
        <f>H35/$I$31</f>
        <v>0</v>
      </c>
      <c r="M35" s="6"/>
    </row>
    <row r="36" spans="1:13" x14ac:dyDescent="0.25">
      <c r="A36" s="28" t="s">
        <v>150</v>
      </c>
      <c r="B36" s="28"/>
      <c r="C36" s="28"/>
      <c r="D36" s="34"/>
      <c r="E36" s="34"/>
      <c r="F36" s="34"/>
      <c r="G36" s="34"/>
      <c r="H36" s="34"/>
      <c r="I36" s="32">
        <v>397485319.39999998</v>
      </c>
      <c r="J36" s="32">
        <v>3913828584.249999</v>
      </c>
      <c r="M36" s="6"/>
    </row>
    <row r="37" spans="1:13" x14ac:dyDescent="0.25">
      <c r="A37" s="28" t="s">
        <v>150</v>
      </c>
      <c r="B37" s="17" t="s">
        <v>102</v>
      </c>
      <c r="C37" s="2" t="s">
        <v>94</v>
      </c>
      <c r="D37" s="19"/>
      <c r="E37" s="19"/>
      <c r="F37" s="19"/>
      <c r="G37" s="19"/>
      <c r="H37" s="19"/>
      <c r="I37" s="27">
        <f t="shared" ref="I37:I48" si="1">H37/$I$36</f>
        <v>0</v>
      </c>
      <c r="M37" s="2"/>
    </row>
    <row r="38" spans="1:13" x14ac:dyDescent="0.25">
      <c r="A38" s="28" t="s">
        <v>150</v>
      </c>
      <c r="B38" s="17" t="s">
        <v>102</v>
      </c>
      <c r="C38" s="2" t="s">
        <v>95</v>
      </c>
      <c r="D38" s="19"/>
      <c r="E38" s="19"/>
      <c r="F38" s="19"/>
      <c r="G38" s="19"/>
      <c r="H38" s="19"/>
      <c r="I38" s="27">
        <f t="shared" si="1"/>
        <v>0</v>
      </c>
      <c r="M38" s="6"/>
    </row>
    <row r="39" spans="1:13" x14ac:dyDescent="0.25">
      <c r="A39" s="28" t="s">
        <v>150</v>
      </c>
      <c r="B39" s="17" t="s">
        <v>102</v>
      </c>
      <c r="C39" s="2" t="s">
        <v>96</v>
      </c>
      <c r="D39" s="19"/>
      <c r="E39" s="19"/>
      <c r="F39" s="19"/>
      <c r="G39" s="19"/>
      <c r="H39" s="19"/>
      <c r="I39" s="27">
        <f t="shared" si="1"/>
        <v>0</v>
      </c>
      <c r="M39" s="2"/>
    </row>
    <row r="40" spans="1:13" x14ac:dyDescent="0.25">
      <c r="A40" s="28" t="s">
        <v>150</v>
      </c>
      <c r="B40" s="17" t="s">
        <v>102</v>
      </c>
      <c r="C40" s="2" t="s">
        <v>97</v>
      </c>
      <c r="D40" s="19"/>
      <c r="E40" s="19"/>
      <c r="F40" s="19"/>
      <c r="G40" s="19"/>
      <c r="H40" s="19"/>
      <c r="I40" s="27">
        <f t="shared" si="1"/>
        <v>0</v>
      </c>
    </row>
    <row r="41" spans="1:13" x14ac:dyDescent="0.25">
      <c r="A41" s="28" t="s">
        <v>150</v>
      </c>
      <c r="B41" s="17" t="s">
        <v>102</v>
      </c>
      <c r="C41" s="2" t="s">
        <v>98</v>
      </c>
      <c r="D41" s="19"/>
      <c r="E41" s="19"/>
      <c r="F41" s="19"/>
      <c r="G41" s="19"/>
      <c r="H41" s="19"/>
      <c r="I41" s="27">
        <f t="shared" si="1"/>
        <v>0</v>
      </c>
    </row>
    <row r="42" spans="1:13" x14ac:dyDescent="0.25">
      <c r="A42" s="28" t="s">
        <v>150</v>
      </c>
      <c r="B42" s="17" t="s">
        <v>102</v>
      </c>
      <c r="C42" s="2" t="s">
        <v>99</v>
      </c>
      <c r="D42" s="19"/>
      <c r="E42" s="19"/>
      <c r="F42" s="19"/>
      <c r="G42" s="19"/>
      <c r="H42" s="19"/>
      <c r="I42" s="27">
        <f t="shared" si="1"/>
        <v>0</v>
      </c>
    </row>
    <row r="43" spans="1:13" x14ac:dyDescent="0.25">
      <c r="A43" s="28" t="s">
        <v>150</v>
      </c>
      <c r="B43" s="17" t="s">
        <v>102</v>
      </c>
      <c r="C43" s="2" t="s">
        <v>100</v>
      </c>
      <c r="D43" s="19"/>
      <c r="E43" s="19"/>
      <c r="F43" s="19"/>
      <c r="G43" s="19"/>
      <c r="H43" s="19"/>
      <c r="I43" s="27">
        <f t="shared" si="1"/>
        <v>0</v>
      </c>
    </row>
    <row r="44" spans="1:13" x14ac:dyDescent="0.25">
      <c r="A44" s="28" t="s">
        <v>150</v>
      </c>
      <c r="B44" s="17" t="s">
        <v>102</v>
      </c>
      <c r="C44" s="2" t="s">
        <v>101</v>
      </c>
      <c r="D44" s="19"/>
      <c r="E44" s="19"/>
      <c r="F44" s="19"/>
      <c r="G44" s="19"/>
      <c r="H44" s="19"/>
      <c r="I44" s="27">
        <f t="shared" si="1"/>
        <v>0</v>
      </c>
    </row>
    <row r="45" spans="1:13" x14ac:dyDescent="0.25">
      <c r="A45" s="28" t="s">
        <v>150</v>
      </c>
      <c r="B45" s="17" t="s">
        <v>107</v>
      </c>
      <c r="C45" s="2" t="s">
        <v>103</v>
      </c>
      <c r="D45" s="19"/>
      <c r="E45" s="19"/>
      <c r="F45" s="19"/>
      <c r="G45" s="19"/>
      <c r="H45" s="19"/>
      <c r="I45" s="27">
        <f t="shared" si="1"/>
        <v>0</v>
      </c>
    </row>
    <row r="46" spans="1:13" x14ac:dyDescent="0.25">
      <c r="A46" s="28" t="s">
        <v>150</v>
      </c>
      <c r="B46" s="17" t="s">
        <v>107</v>
      </c>
      <c r="C46" s="2" t="s">
        <v>104</v>
      </c>
      <c r="D46" s="19"/>
      <c r="E46" s="19"/>
      <c r="F46" s="19"/>
      <c r="G46" s="19"/>
      <c r="H46" s="19"/>
      <c r="I46" s="27">
        <f t="shared" si="1"/>
        <v>0</v>
      </c>
    </row>
    <row r="47" spans="1:13" x14ac:dyDescent="0.25">
      <c r="A47" s="28" t="s">
        <v>150</v>
      </c>
      <c r="B47" s="17" t="s">
        <v>107</v>
      </c>
      <c r="C47" s="2" t="s">
        <v>105</v>
      </c>
      <c r="D47" s="19"/>
      <c r="E47" s="19"/>
      <c r="F47" s="19"/>
      <c r="G47" s="19"/>
      <c r="H47" s="19"/>
      <c r="I47" s="27">
        <f t="shared" si="1"/>
        <v>0</v>
      </c>
    </row>
    <row r="48" spans="1:13" x14ac:dyDescent="0.25">
      <c r="A48" s="28" t="s">
        <v>150</v>
      </c>
      <c r="B48" s="17" t="s">
        <v>107</v>
      </c>
      <c r="C48" s="2" t="s">
        <v>106</v>
      </c>
      <c r="D48" s="19"/>
      <c r="E48" s="19"/>
      <c r="F48" s="19"/>
      <c r="G48" s="19"/>
      <c r="H48" s="19"/>
      <c r="I48" s="27">
        <f t="shared" si="1"/>
        <v>0</v>
      </c>
    </row>
    <row r="49" spans="1:10" x14ac:dyDescent="0.25">
      <c r="A49" s="28" t="s">
        <v>151</v>
      </c>
      <c r="B49" s="28"/>
      <c r="C49" s="28"/>
      <c r="D49" s="34"/>
      <c r="E49" s="34"/>
      <c r="F49" s="34"/>
      <c r="G49" s="34"/>
      <c r="H49" s="34"/>
      <c r="I49" s="32">
        <v>9621173.8199999984</v>
      </c>
      <c r="J49" s="32">
        <v>172504848.32000002</v>
      </c>
    </row>
    <row r="50" spans="1:10" x14ac:dyDescent="0.25">
      <c r="A50" s="28" t="s">
        <v>151</v>
      </c>
      <c r="B50" s="17" t="s">
        <v>108</v>
      </c>
      <c r="C50" s="2" t="s">
        <v>109</v>
      </c>
      <c r="D50" s="19"/>
      <c r="E50" s="19"/>
      <c r="F50" s="19"/>
      <c r="G50" s="19"/>
      <c r="H50" s="19"/>
      <c r="I50" s="27">
        <f>H50/$I$49</f>
        <v>0</v>
      </c>
    </row>
    <row r="51" spans="1:10" x14ac:dyDescent="0.25">
      <c r="A51" s="28" t="s">
        <v>151</v>
      </c>
      <c r="B51" s="17" t="s">
        <v>108</v>
      </c>
      <c r="C51" s="2" t="s">
        <v>110</v>
      </c>
      <c r="D51" s="19"/>
      <c r="E51" s="19"/>
      <c r="F51" s="19"/>
      <c r="G51" s="19"/>
      <c r="H51" s="19"/>
      <c r="I51" s="27">
        <f>H51/$I$49</f>
        <v>0</v>
      </c>
    </row>
    <row r="52" spans="1:10" x14ac:dyDescent="0.25">
      <c r="A52" s="28" t="s">
        <v>151</v>
      </c>
      <c r="B52" s="17" t="s">
        <v>111</v>
      </c>
      <c r="C52" s="2" t="s">
        <v>112</v>
      </c>
      <c r="D52" s="19"/>
      <c r="E52" s="19"/>
      <c r="F52" s="19"/>
      <c r="G52" s="19"/>
      <c r="H52" s="19"/>
      <c r="I52" s="27">
        <f>H52/$I$49</f>
        <v>0</v>
      </c>
    </row>
    <row r="53" spans="1:10" x14ac:dyDescent="0.25">
      <c r="A53" s="28" t="s">
        <v>151</v>
      </c>
      <c r="B53" s="17" t="s">
        <v>111</v>
      </c>
      <c r="C53" s="2" t="s">
        <v>113</v>
      </c>
      <c r="D53" s="19"/>
      <c r="E53" s="19"/>
      <c r="F53" s="19"/>
      <c r="G53" s="19"/>
      <c r="H53" s="19"/>
      <c r="I53" s="27">
        <f>H53/$I$49</f>
        <v>0</v>
      </c>
    </row>
    <row r="54" spans="1:10" x14ac:dyDescent="0.25">
      <c r="A54" s="28" t="s">
        <v>152</v>
      </c>
      <c r="B54" s="28"/>
      <c r="C54" s="28"/>
      <c r="D54" s="34"/>
      <c r="E54" s="34"/>
      <c r="F54" s="34"/>
      <c r="G54" s="34"/>
      <c r="H54" s="34"/>
      <c r="I54" s="32">
        <v>24441585.690000001</v>
      </c>
      <c r="J54" s="32">
        <v>5751283725.320014</v>
      </c>
    </row>
    <row r="55" spans="1:10" x14ac:dyDescent="0.25">
      <c r="A55" s="28" t="s">
        <v>152</v>
      </c>
      <c r="B55" s="17" t="s">
        <v>117</v>
      </c>
      <c r="C55" s="2" t="s">
        <v>114</v>
      </c>
      <c r="D55" s="19"/>
      <c r="E55" s="19"/>
      <c r="F55" s="19"/>
      <c r="G55" s="19"/>
      <c r="H55" s="19"/>
      <c r="I55" s="27">
        <f>H55/$I$54</f>
        <v>0</v>
      </c>
    </row>
    <row r="56" spans="1:10" x14ac:dyDescent="0.25">
      <c r="A56" s="28" t="s">
        <v>152</v>
      </c>
      <c r="B56" s="17" t="s">
        <v>117</v>
      </c>
      <c r="C56" s="2" t="s">
        <v>115</v>
      </c>
      <c r="D56" s="19"/>
      <c r="E56" s="19"/>
      <c r="F56" s="19"/>
      <c r="G56" s="19"/>
      <c r="H56" s="19"/>
      <c r="I56" s="27">
        <f>H56/$I$54</f>
        <v>0</v>
      </c>
    </row>
    <row r="57" spans="1:10" x14ac:dyDescent="0.25">
      <c r="A57" s="28" t="s">
        <v>152</v>
      </c>
      <c r="B57" s="17" t="s">
        <v>117</v>
      </c>
      <c r="C57" s="2" t="s">
        <v>116</v>
      </c>
      <c r="D57" s="19"/>
      <c r="E57" s="19"/>
      <c r="F57" s="19"/>
      <c r="G57" s="19"/>
      <c r="H57" s="19"/>
      <c r="I57" s="27">
        <f>H57/$I$54</f>
        <v>0</v>
      </c>
    </row>
    <row r="58" spans="1:10" x14ac:dyDescent="0.25">
      <c r="A58" s="28" t="s">
        <v>153</v>
      </c>
      <c r="B58" s="28"/>
      <c r="C58" s="28"/>
      <c r="D58" s="34"/>
      <c r="E58" s="34"/>
      <c r="F58" s="34"/>
      <c r="G58" s="34"/>
      <c r="H58" s="34"/>
      <c r="I58" s="30">
        <v>21308792.830000002</v>
      </c>
      <c r="J58" s="30">
        <v>277799666.13</v>
      </c>
    </row>
    <row r="59" spans="1:10" x14ac:dyDescent="0.25">
      <c r="A59" s="28" t="s">
        <v>153</v>
      </c>
      <c r="B59" s="17" t="s">
        <v>118</v>
      </c>
      <c r="C59" s="2" t="s">
        <v>119</v>
      </c>
      <c r="D59" s="19"/>
      <c r="E59" s="19"/>
      <c r="F59" s="19"/>
      <c r="G59" s="19"/>
      <c r="H59" s="19"/>
      <c r="I59" s="26">
        <f>H59/$I$58</f>
        <v>0</v>
      </c>
    </row>
    <row r="60" spans="1:10" x14ac:dyDescent="0.25">
      <c r="A60" s="28" t="s">
        <v>153</v>
      </c>
      <c r="B60" s="17" t="s">
        <v>120</v>
      </c>
      <c r="C60" s="2" t="s">
        <v>121</v>
      </c>
      <c r="D60" s="19"/>
      <c r="E60" s="19"/>
      <c r="F60" s="19"/>
      <c r="G60" s="19"/>
      <c r="H60" s="19"/>
      <c r="I60" s="33">
        <f>H60/$I$58</f>
        <v>0</v>
      </c>
    </row>
    <row r="61" spans="1:10" x14ac:dyDescent="0.25">
      <c r="A61" s="28" t="s">
        <v>154</v>
      </c>
      <c r="B61" s="28"/>
      <c r="C61" s="28"/>
      <c r="D61" s="34"/>
      <c r="E61" s="34"/>
      <c r="F61" s="34"/>
      <c r="G61" s="34"/>
      <c r="H61" s="34"/>
      <c r="I61" s="32">
        <v>8538052.9299999978</v>
      </c>
      <c r="J61" s="32">
        <v>36186104.620000005</v>
      </c>
    </row>
    <row r="62" spans="1:10" x14ac:dyDescent="0.25">
      <c r="A62" s="28" t="s">
        <v>154</v>
      </c>
      <c r="B62" s="17" t="s">
        <v>122</v>
      </c>
      <c r="C62" s="2" t="s">
        <v>123</v>
      </c>
      <c r="D62" s="19"/>
      <c r="E62" s="19"/>
      <c r="F62" s="19"/>
      <c r="G62" s="19"/>
      <c r="H62" s="19"/>
      <c r="I62" s="26">
        <f>H62/$I$61</f>
        <v>0</v>
      </c>
    </row>
    <row r="63" spans="1:10" x14ac:dyDescent="0.25">
      <c r="A63" s="28" t="s">
        <v>154</v>
      </c>
      <c r="B63" s="17" t="s">
        <v>122</v>
      </c>
      <c r="C63" s="2" t="s">
        <v>124</v>
      </c>
      <c r="D63" s="19"/>
      <c r="E63" s="19"/>
      <c r="F63" s="19"/>
      <c r="G63" s="19"/>
      <c r="H63" s="19"/>
      <c r="I63" s="26">
        <f t="shared" ref="I63:I68" si="2">H63/$I$61</f>
        <v>0</v>
      </c>
    </row>
    <row r="64" spans="1:10" x14ac:dyDescent="0.25">
      <c r="A64" s="28" t="s">
        <v>154</v>
      </c>
      <c r="B64" s="17" t="s">
        <v>122</v>
      </c>
      <c r="C64" s="2" t="s">
        <v>125</v>
      </c>
      <c r="D64" s="19"/>
      <c r="E64" s="19"/>
      <c r="F64" s="19"/>
      <c r="G64" s="19"/>
      <c r="H64" s="19"/>
      <c r="I64" s="26">
        <f t="shared" si="2"/>
        <v>0</v>
      </c>
    </row>
    <row r="65" spans="1:10" x14ac:dyDescent="0.25">
      <c r="A65" s="28" t="s">
        <v>154</v>
      </c>
      <c r="B65" s="17" t="s">
        <v>122</v>
      </c>
      <c r="C65" s="2" t="s">
        <v>126</v>
      </c>
      <c r="D65" s="19"/>
      <c r="E65" s="19"/>
      <c r="F65" s="19"/>
      <c r="G65" s="19"/>
      <c r="H65" s="19"/>
      <c r="I65" s="26">
        <f t="shared" si="2"/>
        <v>0</v>
      </c>
    </row>
    <row r="66" spans="1:10" x14ac:dyDescent="0.25">
      <c r="A66" s="28" t="s">
        <v>154</v>
      </c>
      <c r="B66" s="17" t="s">
        <v>122</v>
      </c>
      <c r="C66" s="2" t="s">
        <v>127</v>
      </c>
      <c r="D66" s="19"/>
      <c r="E66" s="19"/>
      <c r="F66" s="19"/>
      <c r="G66" s="19"/>
      <c r="H66" s="19"/>
      <c r="I66" s="26">
        <f t="shared" si="2"/>
        <v>0</v>
      </c>
    </row>
    <row r="67" spans="1:10" x14ac:dyDescent="0.25">
      <c r="A67" s="28" t="s">
        <v>154</v>
      </c>
      <c r="B67" s="17" t="s">
        <v>122</v>
      </c>
      <c r="C67" s="2" t="s">
        <v>128</v>
      </c>
      <c r="D67" s="19"/>
      <c r="E67" s="19"/>
      <c r="F67" s="19"/>
      <c r="G67" s="19"/>
      <c r="H67" s="19"/>
      <c r="I67" s="26">
        <f t="shared" si="2"/>
        <v>0</v>
      </c>
    </row>
    <row r="68" spans="1:10" x14ac:dyDescent="0.25">
      <c r="A68" s="28" t="s">
        <v>154</v>
      </c>
      <c r="B68" s="17" t="s">
        <v>122</v>
      </c>
      <c r="C68" s="2" t="s">
        <v>129</v>
      </c>
      <c r="D68" s="19"/>
      <c r="E68" s="19"/>
      <c r="F68" s="19"/>
      <c r="G68" s="19"/>
      <c r="H68" s="19"/>
      <c r="I68" s="26">
        <f t="shared" si="2"/>
        <v>0</v>
      </c>
    </row>
    <row r="69" spans="1:10" x14ac:dyDescent="0.25">
      <c r="A69" s="28" t="s">
        <v>155</v>
      </c>
      <c r="B69" s="28"/>
      <c r="C69" s="28"/>
      <c r="D69" s="34"/>
      <c r="E69" s="34"/>
      <c r="F69" s="34"/>
      <c r="G69" s="34"/>
      <c r="H69" s="34"/>
      <c r="I69" s="32">
        <v>152338360.63999999</v>
      </c>
      <c r="J69" s="32">
        <v>676447026.24000001</v>
      </c>
    </row>
    <row r="70" spans="1:10" x14ac:dyDescent="0.25">
      <c r="A70" s="28" t="s">
        <v>155</v>
      </c>
      <c r="B70" s="17" t="s">
        <v>130</v>
      </c>
      <c r="C70" s="2" t="s">
        <v>135</v>
      </c>
      <c r="D70" s="19"/>
      <c r="E70" s="19"/>
      <c r="F70" s="19"/>
      <c r="G70" s="19"/>
      <c r="H70" s="19"/>
    </row>
    <row r="71" spans="1:10" x14ac:dyDescent="0.25">
      <c r="A71" s="28" t="s">
        <v>155</v>
      </c>
      <c r="B71" s="17" t="s">
        <v>130</v>
      </c>
      <c r="C71" s="2" t="s">
        <v>138</v>
      </c>
      <c r="D71" s="19"/>
      <c r="E71" s="19"/>
      <c r="F71" s="19"/>
      <c r="G71" s="19"/>
      <c r="H71" s="19"/>
    </row>
    <row r="72" spans="1:10" x14ac:dyDescent="0.25">
      <c r="A72" s="28" t="s">
        <v>136</v>
      </c>
      <c r="B72" s="28"/>
      <c r="C72" s="28"/>
      <c r="D72" s="20"/>
      <c r="E72" s="39"/>
      <c r="F72" s="39"/>
      <c r="G72" s="39"/>
      <c r="H72" s="39"/>
    </row>
    <row r="73" spans="1:10" x14ac:dyDescent="0.25">
      <c r="D73" s="21" t="s">
        <v>137</v>
      </c>
      <c r="E73" s="21"/>
      <c r="F73" s="22" t="e">
        <f>F72/E72-1</f>
        <v>#DIV/0!</v>
      </c>
      <c r="G73" s="22" t="e">
        <f>G72/F72-1</f>
        <v>#DIV/0!</v>
      </c>
      <c r="H73" s="22" t="e">
        <f>H72/G72-1</f>
        <v>#DIV/0!</v>
      </c>
    </row>
    <row r="74" spans="1:10" x14ac:dyDescent="0.25">
      <c r="D74" s="19"/>
      <c r="E74" s="19"/>
      <c r="F74" s="19"/>
      <c r="G74" s="19"/>
      <c r="H74" s="19"/>
    </row>
    <row r="75" spans="1:10" x14ac:dyDescent="0.25">
      <c r="D75" s="19"/>
      <c r="E75" s="19"/>
      <c r="F75" s="19"/>
      <c r="G75" s="19"/>
      <c r="H75" s="19"/>
    </row>
    <row r="76" spans="1:10" x14ac:dyDescent="0.25">
      <c r="D76" s="19"/>
      <c r="E76" s="19"/>
      <c r="F76" s="19"/>
      <c r="G76" s="19"/>
      <c r="H76" s="19"/>
    </row>
    <row r="77" spans="1:10" x14ac:dyDescent="0.25">
      <c r="D77" s="19"/>
      <c r="E77" s="19"/>
      <c r="F77" s="19"/>
      <c r="G77" s="19"/>
      <c r="H77" s="19"/>
    </row>
    <row r="78" spans="1:10" x14ac:dyDescent="0.25">
      <c r="D78" s="19"/>
      <c r="E78" s="19"/>
      <c r="F78" s="19"/>
      <c r="G78" s="19"/>
      <c r="H78" s="19"/>
    </row>
    <row r="79" spans="1:10" x14ac:dyDescent="0.25">
      <c r="D79" s="19"/>
      <c r="E79" s="19"/>
      <c r="F79" s="19"/>
      <c r="G79" s="19"/>
      <c r="H79" s="19"/>
    </row>
    <row r="80" spans="1:10" x14ac:dyDescent="0.25">
      <c r="D80" s="19"/>
      <c r="E80" s="19"/>
      <c r="F80" s="19"/>
      <c r="G80" s="19"/>
      <c r="H80" s="19"/>
    </row>
    <row r="81" spans="4:8" x14ac:dyDescent="0.25">
      <c r="D81" s="19"/>
      <c r="E81" s="19"/>
      <c r="F81" s="19"/>
      <c r="G81" s="19"/>
      <c r="H81" s="19"/>
    </row>
    <row r="82" spans="4:8" x14ac:dyDescent="0.25">
      <c r="D82" s="19"/>
      <c r="E82" s="19"/>
      <c r="F82" s="19"/>
      <c r="G82" s="19"/>
      <c r="H82" s="19"/>
    </row>
    <row r="83" spans="4:8" x14ac:dyDescent="0.25">
      <c r="D83" s="19"/>
      <c r="E83" s="19"/>
      <c r="F83" s="19"/>
      <c r="G83" s="19"/>
      <c r="H83" s="19"/>
    </row>
    <row r="84" spans="4:8" x14ac:dyDescent="0.25">
      <c r="D84" s="19"/>
      <c r="E84" s="19"/>
      <c r="F84" s="19"/>
      <c r="G84" s="19"/>
      <c r="H84" s="19"/>
    </row>
    <row r="85" spans="4:8" x14ac:dyDescent="0.25">
      <c r="D85" s="19"/>
      <c r="E85" s="19"/>
      <c r="F85" s="19"/>
      <c r="G85" s="19"/>
      <c r="H85" s="19"/>
    </row>
    <row r="86" spans="4:8" x14ac:dyDescent="0.25">
      <c r="D86" s="19"/>
      <c r="E86" s="19"/>
      <c r="F86" s="19"/>
      <c r="G86" s="19"/>
      <c r="H86" s="19"/>
    </row>
    <row r="87" spans="4:8" x14ac:dyDescent="0.25">
      <c r="D87" s="19"/>
      <c r="E87" s="19"/>
      <c r="F87" s="19"/>
      <c r="G87" s="19"/>
      <c r="H87" s="19"/>
    </row>
    <row r="88" spans="4:8" x14ac:dyDescent="0.25">
      <c r="D88" s="19"/>
      <c r="E88" s="19"/>
      <c r="F88" s="19"/>
      <c r="G88" s="19"/>
      <c r="H88" s="19"/>
    </row>
    <row r="89" spans="4:8" x14ac:dyDescent="0.25">
      <c r="D89" s="19"/>
      <c r="E89" s="19"/>
      <c r="F89" s="19"/>
      <c r="G89" s="19"/>
      <c r="H89" s="19"/>
    </row>
    <row r="90" spans="4:8" x14ac:dyDescent="0.25">
      <c r="D90" s="19"/>
      <c r="E90" s="19"/>
      <c r="F90" s="19"/>
      <c r="G90" s="19"/>
      <c r="H90" s="19"/>
    </row>
    <row r="91" spans="4:8" x14ac:dyDescent="0.25">
      <c r="D91" s="19"/>
      <c r="E91" s="19"/>
      <c r="F91" s="19"/>
      <c r="G91" s="19"/>
      <c r="H91" s="19"/>
    </row>
    <row r="92" spans="4:8" x14ac:dyDescent="0.25">
      <c r="D92" s="19"/>
      <c r="E92" s="19"/>
      <c r="F92" s="19"/>
      <c r="G92" s="19"/>
      <c r="H92" s="19"/>
    </row>
    <row r="93" spans="4:8" x14ac:dyDescent="0.25">
      <c r="D93" s="19"/>
      <c r="E93" s="19"/>
      <c r="F93" s="19"/>
      <c r="G93" s="19"/>
      <c r="H93" s="19"/>
    </row>
    <row r="94" spans="4:8" x14ac:dyDescent="0.25">
      <c r="D94" s="19"/>
      <c r="E94" s="19"/>
      <c r="F94" s="19"/>
      <c r="G94" s="19"/>
      <c r="H94" s="19"/>
    </row>
    <row r="95" spans="4:8" x14ac:dyDescent="0.25">
      <c r="D95" s="19"/>
      <c r="E95" s="19"/>
      <c r="F95" s="19"/>
      <c r="G95" s="19"/>
      <c r="H95" s="19"/>
    </row>
    <row r="96" spans="4:8" x14ac:dyDescent="0.25">
      <c r="D96" s="19"/>
      <c r="E96" s="19"/>
      <c r="F96" s="19"/>
      <c r="G96" s="19"/>
      <c r="H96" s="19"/>
    </row>
    <row r="97" spans="4:8" x14ac:dyDescent="0.25">
      <c r="D97" s="19"/>
      <c r="E97" s="19"/>
      <c r="F97" s="19"/>
      <c r="G97" s="19"/>
      <c r="H97" s="19"/>
    </row>
    <row r="98" spans="4:8" x14ac:dyDescent="0.25">
      <c r="D98" s="19"/>
      <c r="E98" s="19"/>
      <c r="F98" s="19"/>
      <c r="G98" s="19"/>
      <c r="H98" s="19"/>
    </row>
    <row r="99" spans="4:8" x14ac:dyDescent="0.25">
      <c r="D99" s="19"/>
      <c r="E99" s="19"/>
      <c r="F99" s="19"/>
      <c r="G99" s="19"/>
      <c r="H99" s="19"/>
    </row>
    <row r="100" spans="4:8" x14ac:dyDescent="0.25">
      <c r="D100" s="19"/>
      <c r="E100" s="19"/>
      <c r="F100" s="19"/>
      <c r="G100" s="19"/>
      <c r="H100" s="19"/>
    </row>
    <row r="101" spans="4:8" x14ac:dyDescent="0.25">
      <c r="D101" s="19"/>
      <c r="E101" s="19"/>
      <c r="F101" s="19"/>
      <c r="G101" s="19"/>
      <c r="H101" s="19"/>
    </row>
    <row r="102" spans="4:8" x14ac:dyDescent="0.25">
      <c r="D102" s="19"/>
      <c r="E102" s="19"/>
      <c r="F102" s="19"/>
      <c r="G102" s="19"/>
      <c r="H102" s="19"/>
    </row>
    <row r="103" spans="4:8" x14ac:dyDescent="0.25">
      <c r="D103" s="19"/>
      <c r="E103" s="19"/>
      <c r="F103" s="19"/>
      <c r="G103" s="19"/>
      <c r="H103" s="19"/>
    </row>
    <row r="104" spans="4:8" x14ac:dyDescent="0.25">
      <c r="D104" s="19"/>
      <c r="E104" s="19"/>
      <c r="F104" s="19"/>
      <c r="G104" s="19"/>
      <c r="H104" s="19"/>
    </row>
    <row r="105" spans="4:8" x14ac:dyDescent="0.25">
      <c r="D105" s="19"/>
      <c r="E105" s="19"/>
      <c r="F105" s="19"/>
      <c r="G105" s="19"/>
      <c r="H105" s="19"/>
    </row>
    <row r="106" spans="4:8" x14ac:dyDescent="0.25">
      <c r="D106" s="19"/>
      <c r="E106" s="19"/>
      <c r="F106" s="19"/>
      <c r="G106" s="19"/>
      <c r="H106" s="19"/>
    </row>
    <row r="107" spans="4:8" x14ac:dyDescent="0.25">
      <c r="D107" s="19"/>
      <c r="E107" s="19"/>
      <c r="F107" s="19"/>
      <c r="G107" s="19"/>
      <c r="H107" s="19"/>
    </row>
    <row r="108" spans="4:8" x14ac:dyDescent="0.25">
      <c r="D108" s="19"/>
      <c r="E108" s="19"/>
      <c r="F108" s="19"/>
      <c r="G108" s="19"/>
      <c r="H108" s="19"/>
    </row>
    <row r="109" spans="4:8" x14ac:dyDescent="0.25">
      <c r="D109" s="19"/>
      <c r="E109" s="19"/>
      <c r="F109" s="19"/>
      <c r="G109" s="19"/>
      <c r="H109" s="19"/>
    </row>
    <row r="110" spans="4:8" x14ac:dyDescent="0.25">
      <c r="D110" s="19"/>
      <c r="E110" s="19"/>
      <c r="F110" s="19"/>
      <c r="G110" s="19"/>
      <c r="H110" s="19"/>
    </row>
    <row r="111" spans="4:8" x14ac:dyDescent="0.25">
      <c r="D111" s="19"/>
      <c r="E111" s="19"/>
      <c r="F111" s="19"/>
      <c r="G111" s="19"/>
      <c r="H111" s="19"/>
    </row>
    <row r="112" spans="4:8" x14ac:dyDescent="0.25">
      <c r="D112" s="19"/>
      <c r="E112" s="19"/>
      <c r="F112" s="19"/>
      <c r="G112" s="19"/>
      <c r="H112" s="19"/>
    </row>
    <row r="113" spans="4:8" x14ac:dyDescent="0.25">
      <c r="D113" s="19"/>
      <c r="E113" s="19"/>
      <c r="F113" s="19"/>
      <c r="G113" s="19"/>
      <c r="H113" s="19"/>
    </row>
    <row r="114" spans="4:8" x14ac:dyDescent="0.25">
      <c r="D114" s="19"/>
      <c r="E114" s="19"/>
      <c r="F114" s="19"/>
      <c r="G114" s="19"/>
      <c r="H114" s="19"/>
    </row>
    <row r="115" spans="4:8" x14ac:dyDescent="0.25">
      <c r="D115" s="19"/>
      <c r="E115" s="19"/>
      <c r="F115" s="19"/>
      <c r="G115" s="19"/>
      <c r="H115" s="19"/>
    </row>
    <row r="116" spans="4:8" x14ac:dyDescent="0.25">
      <c r="D116" s="19"/>
      <c r="E116" s="19"/>
      <c r="F116" s="19"/>
      <c r="G116" s="19"/>
      <c r="H116" s="19"/>
    </row>
    <row r="117" spans="4:8" x14ac:dyDescent="0.25">
      <c r="D117" s="19"/>
      <c r="E117" s="19"/>
      <c r="F117" s="19"/>
      <c r="G117" s="19"/>
      <c r="H117" s="19"/>
    </row>
    <row r="118" spans="4:8" x14ac:dyDescent="0.25">
      <c r="D118" s="19"/>
      <c r="E118" s="19"/>
      <c r="F118" s="19"/>
      <c r="G118" s="19"/>
      <c r="H118" s="19"/>
    </row>
    <row r="119" spans="4:8" x14ac:dyDescent="0.25">
      <c r="D119" s="19"/>
      <c r="E119" s="19"/>
      <c r="F119" s="19"/>
      <c r="G119" s="19"/>
      <c r="H119" s="19"/>
    </row>
    <row r="120" spans="4:8" x14ac:dyDescent="0.25">
      <c r="D120" s="19"/>
      <c r="E120" s="19"/>
      <c r="F120" s="19"/>
      <c r="G120" s="19"/>
      <c r="H120" s="19"/>
    </row>
    <row r="121" spans="4:8" x14ac:dyDescent="0.25">
      <c r="D121" s="19"/>
      <c r="E121" s="19"/>
      <c r="F121" s="19"/>
      <c r="G121" s="19"/>
      <c r="H121" s="19"/>
    </row>
    <row r="122" spans="4:8" x14ac:dyDescent="0.25">
      <c r="D122" s="19"/>
      <c r="E122" s="19"/>
      <c r="F122" s="19"/>
      <c r="G122" s="19"/>
      <c r="H122" s="19"/>
    </row>
    <row r="123" spans="4:8" x14ac:dyDescent="0.25">
      <c r="D123" s="19"/>
      <c r="E123" s="19"/>
      <c r="F123" s="19"/>
      <c r="G123" s="19"/>
      <c r="H123" s="19"/>
    </row>
    <row r="124" spans="4:8" x14ac:dyDescent="0.25">
      <c r="D124" s="19"/>
      <c r="E124" s="19"/>
      <c r="F124" s="19"/>
      <c r="G124" s="19"/>
      <c r="H124" s="19"/>
    </row>
    <row r="125" spans="4:8" x14ac:dyDescent="0.25">
      <c r="D125" s="19"/>
      <c r="E125" s="19"/>
      <c r="F125" s="19"/>
      <c r="G125" s="19"/>
      <c r="H125" s="19"/>
    </row>
    <row r="126" spans="4:8" x14ac:dyDescent="0.25">
      <c r="D126" s="19"/>
      <c r="E126" s="19"/>
      <c r="F126" s="19"/>
      <c r="G126" s="19"/>
      <c r="H126" s="19"/>
    </row>
    <row r="127" spans="4:8" x14ac:dyDescent="0.25">
      <c r="D127" s="19"/>
      <c r="E127" s="19"/>
      <c r="F127" s="19"/>
      <c r="G127" s="19"/>
      <c r="H127" s="19"/>
    </row>
    <row r="128" spans="4:8" x14ac:dyDescent="0.25">
      <c r="D128" s="19"/>
      <c r="E128" s="19"/>
      <c r="F128" s="19"/>
      <c r="G128" s="19"/>
      <c r="H128" s="19"/>
    </row>
    <row r="129" spans="4:8" x14ac:dyDescent="0.25">
      <c r="D129" s="19"/>
      <c r="E129" s="19"/>
      <c r="F129" s="19"/>
      <c r="G129" s="19"/>
      <c r="H129" s="19"/>
    </row>
    <row r="130" spans="4:8" x14ac:dyDescent="0.25">
      <c r="D130" s="19"/>
      <c r="E130" s="19"/>
      <c r="F130" s="19"/>
      <c r="G130" s="19"/>
      <c r="H130" s="19"/>
    </row>
    <row r="131" spans="4:8" x14ac:dyDescent="0.25">
      <c r="D131" s="19"/>
      <c r="E131" s="19"/>
      <c r="F131" s="19"/>
      <c r="G131" s="19"/>
      <c r="H131" s="19"/>
    </row>
    <row r="132" spans="4:8" x14ac:dyDescent="0.25">
      <c r="D132" s="19"/>
      <c r="E132" s="19"/>
      <c r="F132" s="19"/>
      <c r="G132" s="19"/>
      <c r="H132" s="19"/>
    </row>
    <row r="133" spans="4:8" x14ac:dyDescent="0.25">
      <c r="D133" s="19"/>
      <c r="E133" s="19"/>
      <c r="F133" s="19"/>
      <c r="G133" s="19"/>
      <c r="H133" s="19"/>
    </row>
    <row r="134" spans="4:8" x14ac:dyDescent="0.25">
      <c r="D134" s="19"/>
      <c r="E134" s="19"/>
      <c r="F134" s="19"/>
      <c r="G134" s="19"/>
      <c r="H134" s="19"/>
    </row>
    <row r="135" spans="4:8" x14ac:dyDescent="0.25">
      <c r="D135" s="19"/>
      <c r="E135" s="19"/>
      <c r="F135" s="19"/>
      <c r="G135" s="19"/>
      <c r="H135" s="19"/>
    </row>
    <row r="136" spans="4:8" x14ac:dyDescent="0.25">
      <c r="D136" s="19"/>
      <c r="E136" s="19"/>
      <c r="F136" s="19"/>
      <c r="G136" s="19"/>
      <c r="H136" s="19"/>
    </row>
    <row r="137" spans="4:8" x14ac:dyDescent="0.25">
      <c r="D137" s="19"/>
      <c r="E137" s="19"/>
      <c r="F137" s="19"/>
      <c r="G137" s="19"/>
      <c r="H137" s="19"/>
    </row>
    <row r="138" spans="4:8" x14ac:dyDescent="0.25">
      <c r="D138" s="19"/>
      <c r="E138" s="19"/>
      <c r="F138" s="19"/>
      <c r="G138" s="19"/>
      <c r="H138" s="19"/>
    </row>
    <row r="139" spans="4:8" x14ac:dyDescent="0.25">
      <c r="D139" s="19"/>
      <c r="E139" s="19"/>
      <c r="F139" s="19"/>
      <c r="G139" s="19"/>
      <c r="H139" s="19"/>
    </row>
    <row r="140" spans="4:8" x14ac:dyDescent="0.25">
      <c r="D140" s="19"/>
      <c r="E140" s="19"/>
      <c r="F140" s="19"/>
      <c r="G140" s="19"/>
      <c r="H140" s="19"/>
    </row>
    <row r="141" spans="4:8" x14ac:dyDescent="0.25">
      <c r="D141" s="19"/>
      <c r="E141" s="19"/>
      <c r="F141" s="19"/>
      <c r="G141" s="19"/>
      <c r="H141" s="19"/>
    </row>
    <row r="142" spans="4:8" x14ac:dyDescent="0.25">
      <c r="D142" s="19"/>
      <c r="E142" s="19"/>
      <c r="F142" s="19"/>
      <c r="G142" s="19"/>
      <c r="H142" s="19"/>
    </row>
    <row r="143" spans="4:8" x14ac:dyDescent="0.25">
      <c r="D143" s="19"/>
      <c r="E143" s="19"/>
      <c r="F143" s="19"/>
      <c r="G143" s="19"/>
      <c r="H143" s="19"/>
    </row>
    <row r="144" spans="4:8" x14ac:dyDescent="0.25">
      <c r="D144" s="19"/>
      <c r="E144" s="19"/>
      <c r="F144" s="19"/>
      <c r="G144" s="19"/>
      <c r="H144" s="19"/>
    </row>
    <row r="145" spans="4:8" x14ac:dyDescent="0.25">
      <c r="D145" s="19"/>
      <c r="E145" s="19"/>
      <c r="F145" s="19"/>
      <c r="G145" s="19"/>
      <c r="H145" s="19"/>
    </row>
    <row r="146" spans="4:8" x14ac:dyDescent="0.25">
      <c r="D146" s="19"/>
      <c r="E146" s="19"/>
      <c r="F146" s="19"/>
      <c r="G146" s="19"/>
      <c r="H146" s="19"/>
    </row>
    <row r="147" spans="4:8" x14ac:dyDescent="0.25">
      <c r="D147" s="19"/>
      <c r="E147" s="19"/>
      <c r="F147" s="19"/>
      <c r="G147" s="19"/>
      <c r="H147" s="19"/>
    </row>
    <row r="148" spans="4:8" x14ac:dyDescent="0.25">
      <c r="D148" s="19"/>
      <c r="E148" s="19"/>
      <c r="F148" s="19"/>
      <c r="G148" s="19"/>
      <c r="H148" s="19"/>
    </row>
    <row r="149" spans="4:8" x14ac:dyDescent="0.25">
      <c r="D149" s="19"/>
      <c r="E149" s="19"/>
      <c r="F149" s="19"/>
      <c r="G149" s="19"/>
      <c r="H149" s="19"/>
    </row>
    <row r="150" spans="4:8" x14ac:dyDescent="0.25">
      <c r="D150" s="19"/>
      <c r="E150" s="19"/>
      <c r="F150" s="19"/>
      <c r="G150" s="19"/>
      <c r="H150" s="19"/>
    </row>
    <row r="151" spans="4:8" x14ac:dyDescent="0.25">
      <c r="D151" s="19"/>
      <c r="E151" s="19"/>
      <c r="F151" s="19"/>
      <c r="G151" s="19"/>
      <c r="H151" s="19"/>
    </row>
    <row r="152" spans="4:8" x14ac:dyDescent="0.25">
      <c r="D152" s="19"/>
      <c r="E152" s="19"/>
      <c r="F152" s="19"/>
      <c r="G152" s="19"/>
      <c r="H152" s="19"/>
    </row>
    <row r="153" spans="4:8" x14ac:dyDescent="0.25">
      <c r="D153" s="19"/>
      <c r="E153" s="19"/>
      <c r="F153" s="19"/>
      <c r="G153" s="19"/>
      <c r="H153" s="19"/>
    </row>
    <row r="154" spans="4:8" x14ac:dyDescent="0.25">
      <c r="D154" s="19"/>
      <c r="E154" s="19"/>
      <c r="F154" s="19"/>
      <c r="G154" s="19"/>
      <c r="H154" s="19"/>
    </row>
    <row r="155" spans="4:8" x14ac:dyDescent="0.25">
      <c r="D155" s="19"/>
      <c r="E155" s="19"/>
      <c r="F155" s="19"/>
      <c r="G155" s="19"/>
      <c r="H155" s="19"/>
    </row>
    <row r="156" spans="4:8" x14ac:dyDescent="0.25">
      <c r="D156" s="19"/>
      <c r="E156" s="19"/>
      <c r="F156" s="19"/>
      <c r="G156" s="19"/>
      <c r="H156" s="19"/>
    </row>
  </sheetData>
  <mergeCells count="1">
    <mergeCell ref="D2:H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6"/>
  <sheetViews>
    <sheetView showGridLines="0" topLeftCell="A4" workbookViewId="0">
      <selection activeCell="G19" sqref="G19"/>
    </sheetView>
  </sheetViews>
  <sheetFormatPr defaultRowHeight="15" x14ac:dyDescent="0.25"/>
  <cols>
    <col min="1" max="1" width="20.85546875" customWidth="1"/>
    <col min="2" max="2" width="14.42578125" bestFit="1" customWidth="1"/>
    <col min="3" max="4" width="15.42578125" bestFit="1" customWidth="1"/>
    <col min="5" max="5" width="16.42578125" bestFit="1" customWidth="1"/>
    <col min="6" max="6" width="14.85546875" customWidth="1"/>
    <col min="7" max="8" width="14.85546875" bestFit="1" customWidth="1"/>
  </cols>
  <sheetData>
    <row r="1" spans="1:5" x14ac:dyDescent="0.25">
      <c r="A1" s="38" t="s">
        <v>144</v>
      </c>
      <c r="B1" t="s">
        <v>157</v>
      </c>
    </row>
    <row r="2" spans="1:5" x14ac:dyDescent="0.25">
      <c r="A2" s="38" t="s">
        <v>143</v>
      </c>
      <c r="B2" t="s">
        <v>157</v>
      </c>
    </row>
    <row r="3" spans="1:5" x14ac:dyDescent="0.25">
      <c r="A3" s="38" t="s">
        <v>0</v>
      </c>
      <c r="B3" t="s">
        <v>157</v>
      </c>
    </row>
    <row r="5" spans="1:5" x14ac:dyDescent="0.25">
      <c r="A5" t="s">
        <v>163</v>
      </c>
      <c r="B5" t="s">
        <v>164</v>
      </c>
      <c r="C5" t="s">
        <v>165</v>
      </c>
      <c r="D5" t="s">
        <v>166</v>
      </c>
      <c r="E5" t="s">
        <v>167</v>
      </c>
    </row>
    <row r="6" spans="1:5" x14ac:dyDescent="0.25">
      <c r="A6" s="40">
        <v>0</v>
      </c>
      <c r="B6" s="40">
        <v>1226444.26</v>
      </c>
      <c r="C6" s="40">
        <v>13235656.42</v>
      </c>
      <c r="D6" s="40">
        <v>43136331.830000006</v>
      </c>
      <c r="E6" s="40">
        <v>118224613.24999996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"/>
  <sheetViews>
    <sheetView showGridLines="0" workbookViewId="0">
      <selection activeCell="L20" sqref="L2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39"/>
  <sheetViews>
    <sheetView workbookViewId="0">
      <selection sqref="A1:A39"/>
    </sheetView>
  </sheetViews>
  <sheetFormatPr defaultRowHeight="15" x14ac:dyDescent="0.25"/>
  <sheetData>
    <row r="1" spans="1:1" x14ac:dyDescent="0.25">
      <c r="A1" s="23" t="s">
        <v>139</v>
      </c>
    </row>
    <row r="2" spans="1:1" x14ac:dyDescent="0.25">
      <c r="A2" s="2" t="s">
        <v>34</v>
      </c>
    </row>
    <row r="3" spans="1:1" x14ac:dyDescent="0.25">
      <c r="A3" s="2" t="s">
        <v>49</v>
      </c>
    </row>
    <row r="4" spans="1:1" x14ac:dyDescent="0.25">
      <c r="A4" s="2"/>
    </row>
    <row r="5" spans="1:1" x14ac:dyDescent="0.25">
      <c r="A5" s="2" t="s">
        <v>48</v>
      </c>
    </row>
    <row r="6" spans="1:1" x14ac:dyDescent="0.25">
      <c r="A6" s="2" t="s">
        <v>50</v>
      </c>
    </row>
    <row r="7" spans="1:1" x14ac:dyDescent="0.25">
      <c r="A7" s="2" t="s">
        <v>51</v>
      </c>
    </row>
    <row r="8" spans="1:1" x14ac:dyDescent="0.25">
      <c r="A8" s="2"/>
    </row>
    <row r="9" spans="1:1" x14ac:dyDescent="0.25">
      <c r="A9" s="2" t="s">
        <v>52</v>
      </c>
    </row>
    <row r="10" spans="1:1" x14ac:dyDescent="0.25">
      <c r="A10" s="2" t="s">
        <v>53</v>
      </c>
    </row>
    <row r="11" spans="1:1" x14ac:dyDescent="0.25">
      <c r="A11" s="2" t="s">
        <v>54</v>
      </c>
    </row>
    <row r="12" spans="1:1" x14ac:dyDescent="0.25">
      <c r="A12" s="2" t="s">
        <v>55</v>
      </c>
    </row>
    <row r="13" spans="1:1" x14ac:dyDescent="0.25">
      <c r="A13" s="2" t="s">
        <v>56</v>
      </c>
    </row>
    <row r="14" spans="1:1" x14ac:dyDescent="0.25">
      <c r="A14" s="2" t="s">
        <v>57</v>
      </c>
    </row>
    <row r="15" spans="1:1" x14ac:dyDescent="0.25">
      <c r="A15" s="2" t="s">
        <v>58</v>
      </c>
    </row>
    <row r="16" spans="1:1" x14ac:dyDescent="0.25">
      <c r="A16" s="2" t="s">
        <v>59</v>
      </c>
    </row>
    <row r="17" spans="1:1" x14ac:dyDescent="0.25">
      <c r="A17" s="2" t="s">
        <v>60</v>
      </c>
    </row>
    <row r="18" spans="1:1" x14ac:dyDescent="0.25">
      <c r="A18" s="2" t="s">
        <v>61</v>
      </c>
    </row>
    <row r="19" spans="1:1" x14ac:dyDescent="0.25">
      <c r="A19" s="2" t="s">
        <v>62</v>
      </c>
    </row>
    <row r="20" spans="1:1" x14ac:dyDescent="0.25">
      <c r="A20" s="2" t="s">
        <v>63</v>
      </c>
    </row>
    <row r="21" spans="1:1" x14ac:dyDescent="0.25">
      <c r="A21" s="2"/>
    </row>
    <row r="22" spans="1:1" x14ac:dyDescent="0.25">
      <c r="A22" s="2" t="s">
        <v>64</v>
      </c>
    </row>
    <row r="23" spans="1:1" x14ac:dyDescent="0.25">
      <c r="A23" s="2" t="s">
        <v>65</v>
      </c>
    </row>
    <row r="24" spans="1:1" x14ac:dyDescent="0.25">
      <c r="A24" s="6" t="s">
        <v>66</v>
      </c>
    </row>
    <row r="25" spans="1:1" x14ac:dyDescent="0.25">
      <c r="A25" s="6"/>
    </row>
    <row r="26" spans="1:1" x14ac:dyDescent="0.25">
      <c r="A26" s="6" t="s">
        <v>67</v>
      </c>
    </row>
    <row r="27" spans="1:1" x14ac:dyDescent="0.25">
      <c r="A27" s="6" t="s">
        <v>68</v>
      </c>
    </row>
    <row r="28" spans="1:1" x14ac:dyDescent="0.25">
      <c r="A28" s="2" t="s">
        <v>69</v>
      </c>
    </row>
    <row r="29" spans="1:1" x14ac:dyDescent="0.25">
      <c r="A29" s="2" t="s">
        <v>70</v>
      </c>
    </row>
    <row r="30" spans="1:1" x14ac:dyDescent="0.25">
      <c r="A30" s="2" t="s">
        <v>71</v>
      </c>
    </row>
    <row r="31" spans="1:1" x14ac:dyDescent="0.25">
      <c r="A31" s="2"/>
    </row>
    <row r="32" spans="1:1" x14ac:dyDescent="0.25">
      <c r="A32" s="2" t="s">
        <v>72</v>
      </c>
    </row>
    <row r="33" spans="1:1" x14ac:dyDescent="0.25">
      <c r="A33" s="2" t="s">
        <v>73</v>
      </c>
    </row>
    <row r="34" spans="1:1" x14ac:dyDescent="0.25">
      <c r="A34" s="2" t="s">
        <v>74</v>
      </c>
    </row>
    <row r="35" spans="1:1" x14ac:dyDescent="0.25">
      <c r="A35" s="6" t="s">
        <v>75</v>
      </c>
    </row>
    <row r="36" spans="1:1" x14ac:dyDescent="0.25">
      <c r="A36" s="6"/>
    </row>
    <row r="37" spans="1:1" x14ac:dyDescent="0.25">
      <c r="A37" s="2" t="s">
        <v>76</v>
      </c>
    </row>
    <row r="38" spans="1:1" x14ac:dyDescent="0.25">
      <c r="A38" s="6" t="s">
        <v>77</v>
      </c>
    </row>
    <row r="39" spans="1:1" x14ac:dyDescent="0.25">
      <c r="A39" s="2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27"/>
  <sheetViews>
    <sheetView topLeftCell="A15" workbookViewId="0">
      <selection activeCell="B18" sqref="B18:B25"/>
    </sheetView>
  </sheetViews>
  <sheetFormatPr defaultRowHeight="15" x14ac:dyDescent="0.25"/>
  <cols>
    <col min="2" max="2" width="34" customWidth="1"/>
    <col min="3" max="15" width="10" bestFit="1" customWidth="1"/>
    <col min="16" max="16" width="18.42578125" bestFit="1" customWidth="1"/>
    <col min="17" max="17" width="12.140625" bestFit="1" customWidth="1"/>
    <col min="18" max="18" width="13.28515625" bestFit="1" customWidth="1"/>
  </cols>
  <sheetData>
    <row r="1" spans="1:19" x14ac:dyDescent="0.25">
      <c r="A1" s="1"/>
      <c r="B1" s="42" t="s">
        <v>15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9" x14ac:dyDescent="0.25">
      <c r="A2" s="1"/>
      <c r="B2" s="13" t="s">
        <v>0</v>
      </c>
      <c r="C2" s="13" t="s">
        <v>17</v>
      </c>
      <c r="D2" s="13" t="s">
        <v>18</v>
      </c>
      <c r="E2" s="13" t="s">
        <v>19</v>
      </c>
      <c r="F2" s="13" t="s">
        <v>20</v>
      </c>
      <c r="G2" s="13" t="s">
        <v>21</v>
      </c>
      <c r="H2" s="13" t="s">
        <v>22</v>
      </c>
      <c r="I2" s="13" t="s">
        <v>23</v>
      </c>
      <c r="J2" s="13" t="s">
        <v>24</v>
      </c>
      <c r="K2" s="13" t="s">
        <v>25</v>
      </c>
      <c r="L2" s="13" t="s">
        <v>26</v>
      </c>
      <c r="M2" s="13" t="s">
        <v>27</v>
      </c>
      <c r="N2" s="13" t="s">
        <v>28</v>
      </c>
      <c r="O2" s="13" t="s">
        <v>29</v>
      </c>
      <c r="P2" s="12" t="s">
        <v>30</v>
      </c>
      <c r="Q2" s="12" t="s">
        <v>12</v>
      </c>
      <c r="R2" s="12" t="s">
        <v>11</v>
      </c>
      <c r="S2" s="12" t="s">
        <v>13</v>
      </c>
    </row>
    <row r="3" spans="1:19" x14ac:dyDescent="0.25">
      <c r="A3" s="2"/>
      <c r="B3" s="2" t="s">
        <v>1</v>
      </c>
      <c r="C3" s="3">
        <v>8434</v>
      </c>
      <c r="D3" s="3">
        <v>9990</v>
      </c>
      <c r="E3" s="3">
        <v>10482</v>
      </c>
      <c r="F3" s="3">
        <v>11391</v>
      </c>
      <c r="G3" s="3">
        <v>10874</v>
      </c>
      <c r="H3" s="3">
        <v>10972</v>
      </c>
      <c r="I3" s="3">
        <v>11546</v>
      </c>
      <c r="J3" s="3">
        <v>10931</v>
      </c>
      <c r="K3" s="3">
        <v>10641</v>
      </c>
      <c r="L3" s="3">
        <v>10141</v>
      </c>
      <c r="M3" s="3">
        <v>9487</v>
      </c>
      <c r="N3" s="3">
        <v>11372</v>
      </c>
      <c r="O3" s="3">
        <v>9600</v>
      </c>
      <c r="P3" s="16">
        <f>SUM(D3:O3)</f>
        <v>127427</v>
      </c>
      <c r="Q3" s="4">
        <f t="shared" ref="Q3:Q12" si="0">O3/N3-1</f>
        <v>-0.15582131551178335</v>
      </c>
      <c r="R3" s="5">
        <f t="shared" ref="R3:R12" si="1">((O3/K3)^(1/4))-1</f>
        <v>-2.5409446677674197E-2</v>
      </c>
      <c r="S3" s="5">
        <f t="shared" ref="S3:S10" si="2">((O3/F3)^(1/9))-1</f>
        <v>-1.8827230327584155E-2</v>
      </c>
    </row>
    <row r="4" spans="1:19" x14ac:dyDescent="0.25">
      <c r="A4" s="2"/>
      <c r="B4" s="2" t="s">
        <v>2</v>
      </c>
      <c r="C4" s="3">
        <v>5337</v>
      </c>
      <c r="D4" s="3">
        <v>12932</v>
      </c>
      <c r="E4" s="3">
        <v>8361</v>
      </c>
      <c r="F4" s="3">
        <v>8518</v>
      </c>
      <c r="G4" s="3">
        <v>7910</v>
      </c>
      <c r="H4" s="3">
        <v>7202</v>
      </c>
      <c r="I4" s="3">
        <v>8035</v>
      </c>
      <c r="J4" s="3">
        <v>7232</v>
      </c>
      <c r="K4" s="3">
        <v>6538</v>
      </c>
      <c r="L4" s="3">
        <v>5810</v>
      </c>
      <c r="M4" s="3">
        <v>5695</v>
      </c>
      <c r="N4" s="3">
        <v>6649</v>
      </c>
      <c r="O4" s="3">
        <v>5778</v>
      </c>
      <c r="P4" s="16">
        <f t="shared" ref="P4:P11" si="3">SUM(D4:O4)</f>
        <v>90660</v>
      </c>
      <c r="Q4" s="4">
        <f t="shared" si="0"/>
        <v>-0.13099714242743266</v>
      </c>
      <c r="R4" s="5">
        <f t="shared" si="1"/>
        <v>-3.0421101075714496E-2</v>
      </c>
      <c r="S4" s="5">
        <f t="shared" si="2"/>
        <v>-4.220823170162713E-2</v>
      </c>
    </row>
    <row r="5" spans="1:19" x14ac:dyDescent="0.25">
      <c r="A5" s="2"/>
      <c r="B5" s="2" t="s">
        <v>3</v>
      </c>
      <c r="C5" s="3">
        <v>4045</v>
      </c>
      <c r="D5" s="3">
        <v>4700</v>
      </c>
      <c r="E5" s="3">
        <v>5270</v>
      </c>
      <c r="F5" s="3">
        <v>5888</v>
      </c>
      <c r="G5" s="3">
        <v>5857</v>
      </c>
      <c r="H5" s="3">
        <v>5747</v>
      </c>
      <c r="I5" s="3">
        <v>5743</v>
      </c>
      <c r="J5" s="3">
        <v>5994</v>
      </c>
      <c r="K5" s="3">
        <v>5499</v>
      </c>
      <c r="L5" s="3">
        <v>5516</v>
      </c>
      <c r="M5" s="3">
        <v>5064</v>
      </c>
      <c r="N5" s="3">
        <v>7720</v>
      </c>
      <c r="O5" s="3">
        <v>7775</v>
      </c>
      <c r="P5" s="16">
        <f t="shared" si="3"/>
        <v>70773</v>
      </c>
      <c r="Q5" s="4">
        <f t="shared" si="0"/>
        <v>7.1243523316062429E-3</v>
      </c>
      <c r="R5" s="5">
        <f t="shared" si="1"/>
        <v>9.044601447120737E-2</v>
      </c>
      <c r="S5" s="5">
        <f t="shared" si="2"/>
        <v>3.1370565745353574E-2</v>
      </c>
    </row>
    <row r="6" spans="1:19" x14ac:dyDescent="0.25">
      <c r="A6" s="2"/>
      <c r="B6" s="2" t="s">
        <v>4</v>
      </c>
      <c r="C6" s="3">
        <v>2843</v>
      </c>
      <c r="D6" s="3">
        <v>3085</v>
      </c>
      <c r="E6" s="3">
        <v>3391</v>
      </c>
      <c r="F6" s="3">
        <v>3802</v>
      </c>
      <c r="G6" s="3">
        <v>3500</v>
      </c>
      <c r="H6" s="3">
        <v>3485</v>
      </c>
      <c r="I6" s="3">
        <v>3591</v>
      </c>
      <c r="J6" s="3">
        <v>3372</v>
      </c>
      <c r="K6" s="3">
        <v>3483</v>
      </c>
      <c r="L6" s="3">
        <v>3129</v>
      </c>
      <c r="M6" s="3">
        <v>2927</v>
      </c>
      <c r="N6" s="3">
        <v>4212</v>
      </c>
      <c r="O6" s="3">
        <v>4342</v>
      </c>
      <c r="P6" s="16">
        <f t="shared" si="3"/>
        <v>42319</v>
      </c>
      <c r="Q6" s="4">
        <f t="shared" si="0"/>
        <v>3.0864197530864113E-2</v>
      </c>
      <c r="R6" s="5">
        <f t="shared" si="1"/>
        <v>5.6657125851881318E-2</v>
      </c>
      <c r="S6" s="5">
        <f t="shared" si="2"/>
        <v>1.4865838830758316E-2</v>
      </c>
    </row>
    <row r="7" spans="1:19" x14ac:dyDescent="0.25">
      <c r="A7" s="2"/>
      <c r="B7" s="2" t="s">
        <v>5</v>
      </c>
      <c r="C7" s="3">
        <v>990</v>
      </c>
      <c r="D7" s="3">
        <v>1226</v>
      </c>
      <c r="E7" s="3">
        <v>1185</v>
      </c>
      <c r="F7" s="3">
        <v>1635</v>
      </c>
      <c r="G7" s="3">
        <v>3552</v>
      </c>
      <c r="H7" s="3">
        <v>2033</v>
      </c>
      <c r="I7" s="3">
        <v>1105</v>
      </c>
      <c r="J7" s="3">
        <v>1021</v>
      </c>
      <c r="K7" s="3">
        <v>899</v>
      </c>
      <c r="L7" s="3">
        <v>834</v>
      </c>
      <c r="M7" s="3">
        <v>770</v>
      </c>
      <c r="N7" s="3">
        <v>963</v>
      </c>
      <c r="O7" s="3">
        <v>937</v>
      </c>
      <c r="P7" s="16">
        <f t="shared" si="3"/>
        <v>16160</v>
      </c>
      <c r="Q7" s="4">
        <f t="shared" si="0"/>
        <v>-2.6998961578400871E-2</v>
      </c>
      <c r="R7" s="5">
        <f t="shared" si="1"/>
        <v>1.0403809101566797E-2</v>
      </c>
      <c r="S7" s="5">
        <f t="shared" si="2"/>
        <v>-5.9982888463403161E-2</v>
      </c>
    </row>
    <row r="8" spans="1:19" x14ac:dyDescent="0.25">
      <c r="A8" s="2"/>
      <c r="B8" s="2" t="s">
        <v>6</v>
      </c>
      <c r="C8" s="3">
        <v>2170</v>
      </c>
      <c r="D8" s="3">
        <v>2507</v>
      </c>
      <c r="E8" s="3">
        <v>2421</v>
      </c>
      <c r="F8" s="3">
        <v>2698</v>
      </c>
      <c r="G8" s="3">
        <v>2462</v>
      </c>
      <c r="H8" s="3">
        <v>2593</v>
      </c>
      <c r="I8" s="3">
        <v>2103</v>
      </c>
      <c r="J8" s="3">
        <v>1946</v>
      </c>
      <c r="K8" s="3">
        <v>1278</v>
      </c>
      <c r="L8" s="3">
        <v>2214</v>
      </c>
      <c r="M8" s="3">
        <v>1943</v>
      </c>
      <c r="N8" s="3">
        <v>2399</v>
      </c>
      <c r="O8" s="3">
        <v>1998</v>
      </c>
      <c r="P8" s="16">
        <f t="shared" si="3"/>
        <v>26562</v>
      </c>
      <c r="Q8" s="4">
        <f t="shared" si="0"/>
        <v>-0.16715298040850357</v>
      </c>
      <c r="R8" s="5">
        <f t="shared" si="1"/>
        <v>0.1181914250684839</v>
      </c>
      <c r="S8" s="5">
        <f t="shared" si="2"/>
        <v>-3.2823025579613696E-2</v>
      </c>
    </row>
    <row r="9" spans="1:19" x14ac:dyDescent="0.25">
      <c r="A9" s="2"/>
      <c r="B9" s="2" t="s">
        <v>7</v>
      </c>
      <c r="C9" s="3">
        <v>4046</v>
      </c>
      <c r="D9" s="3">
        <v>6938</v>
      </c>
      <c r="E9" s="3">
        <v>8017</v>
      </c>
      <c r="F9" s="3">
        <v>9030</v>
      </c>
      <c r="G9" s="3">
        <v>6472</v>
      </c>
      <c r="H9" s="3">
        <v>5151</v>
      </c>
      <c r="I9" s="3">
        <v>5130</v>
      </c>
      <c r="J9" s="3">
        <v>5198</v>
      </c>
      <c r="K9" s="3">
        <v>5089</v>
      </c>
      <c r="L9" s="3">
        <v>4719</v>
      </c>
      <c r="M9" s="3">
        <v>4451</v>
      </c>
      <c r="N9" s="3">
        <v>4404</v>
      </c>
      <c r="O9" s="3">
        <v>3465</v>
      </c>
      <c r="P9" s="16">
        <f t="shared" si="3"/>
        <v>68064</v>
      </c>
      <c r="Q9" s="4">
        <f t="shared" si="0"/>
        <v>-0.21321525885558579</v>
      </c>
      <c r="R9" s="5">
        <f t="shared" si="1"/>
        <v>-9.1619721141272592E-2</v>
      </c>
      <c r="S9" s="5">
        <f t="shared" si="2"/>
        <v>-0.10095899809156328</v>
      </c>
    </row>
    <row r="10" spans="1:19" x14ac:dyDescent="0.25">
      <c r="A10" s="2"/>
      <c r="B10" s="7" t="s">
        <v>8</v>
      </c>
      <c r="C10" s="8">
        <v>0</v>
      </c>
      <c r="D10" s="8">
        <v>7</v>
      </c>
      <c r="E10" s="8">
        <v>237</v>
      </c>
      <c r="F10" s="8">
        <v>4633</v>
      </c>
      <c r="G10" s="8">
        <v>8606</v>
      </c>
      <c r="H10" s="8">
        <v>11013</v>
      </c>
      <c r="I10" s="8">
        <v>13928</v>
      </c>
      <c r="J10" s="8">
        <v>14705</v>
      </c>
      <c r="K10" s="8">
        <v>15955</v>
      </c>
      <c r="L10" s="8">
        <v>14745</v>
      </c>
      <c r="M10" s="8">
        <v>15612</v>
      </c>
      <c r="N10" s="8">
        <v>18429</v>
      </c>
      <c r="O10" s="8">
        <v>15669</v>
      </c>
      <c r="P10" s="16">
        <f t="shared" si="3"/>
        <v>133539</v>
      </c>
      <c r="Q10" s="9">
        <f t="shared" si="0"/>
        <v>-0.14976395897769823</v>
      </c>
      <c r="R10" s="10">
        <f t="shared" si="1"/>
        <v>-4.5117965295452533E-3</v>
      </c>
      <c r="S10" s="10">
        <f t="shared" si="2"/>
        <v>0.14497937728945032</v>
      </c>
    </row>
    <row r="11" spans="1:19" x14ac:dyDescent="0.25">
      <c r="A11" s="2"/>
      <c r="B11" s="7" t="s">
        <v>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1</v>
      </c>
      <c r="L11" s="8">
        <v>206</v>
      </c>
      <c r="M11" s="8">
        <v>963</v>
      </c>
      <c r="N11" s="8">
        <v>1487</v>
      </c>
      <c r="O11" s="8">
        <v>1797</v>
      </c>
      <c r="P11" s="16">
        <f t="shared" si="3"/>
        <v>4454</v>
      </c>
      <c r="Q11" s="9">
        <f t="shared" si="0"/>
        <v>0.20847343644922667</v>
      </c>
      <c r="R11" s="10">
        <f t="shared" si="1"/>
        <v>5.5108399449267136</v>
      </c>
      <c r="S11" s="10" t="s">
        <v>14</v>
      </c>
    </row>
    <row r="12" spans="1:19" x14ac:dyDescent="0.25">
      <c r="A12" s="2"/>
      <c r="B12" s="17" t="s">
        <v>10</v>
      </c>
      <c r="C12" s="18">
        <v>27865</v>
      </c>
      <c r="D12" s="18">
        <v>41385</v>
      </c>
      <c r="E12" s="18">
        <v>39364</v>
      </c>
      <c r="F12" s="18">
        <v>47595</v>
      </c>
      <c r="G12" s="18">
        <v>49233</v>
      </c>
      <c r="H12" s="18">
        <v>48196</v>
      </c>
      <c r="I12" s="18">
        <v>51181</v>
      </c>
      <c r="J12" s="18">
        <v>50399</v>
      </c>
      <c r="K12" s="18">
        <v>49383</v>
      </c>
      <c r="L12" s="18">
        <v>47314</v>
      </c>
      <c r="M12" s="18">
        <v>46912</v>
      </c>
      <c r="N12" s="18">
        <v>57635</v>
      </c>
      <c r="O12" s="18">
        <v>51361</v>
      </c>
      <c r="P12" s="16">
        <f>SUM(D12:O12)</f>
        <v>579958</v>
      </c>
      <c r="Q12" s="4">
        <f t="shared" si="0"/>
        <v>-0.10885746508198146</v>
      </c>
      <c r="R12" s="5">
        <f t="shared" si="1"/>
        <v>9.8665804328259554E-3</v>
      </c>
      <c r="S12" s="5">
        <f>((O12/F12)^(1/9))-1</f>
        <v>8.4971661396795461E-3</v>
      </c>
    </row>
    <row r="14" spans="1:19" x14ac:dyDescent="0.25">
      <c r="N14" s="11">
        <f>N10/M10-1</f>
        <v>0.18043812451960028</v>
      </c>
    </row>
    <row r="16" spans="1:19" x14ac:dyDescent="0.25">
      <c r="B16" s="42" t="s">
        <v>16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2:19" x14ac:dyDescent="0.25">
      <c r="B17" s="13" t="s">
        <v>0</v>
      </c>
      <c r="C17" s="13" t="s">
        <v>17</v>
      </c>
      <c r="D17" s="13" t="s">
        <v>18</v>
      </c>
      <c r="E17" s="13" t="s">
        <v>19</v>
      </c>
      <c r="F17" s="13" t="s">
        <v>20</v>
      </c>
      <c r="G17" s="13" t="s">
        <v>21</v>
      </c>
      <c r="H17" s="13" t="s">
        <v>22</v>
      </c>
      <c r="I17" s="13" t="s">
        <v>23</v>
      </c>
      <c r="J17" s="13" t="s">
        <v>24</v>
      </c>
      <c r="K17" s="13" t="s">
        <v>25</v>
      </c>
      <c r="L17" s="13" t="s">
        <v>26</v>
      </c>
      <c r="M17" s="13" t="s">
        <v>27</v>
      </c>
      <c r="N17" s="13" t="s">
        <v>28</v>
      </c>
      <c r="O17" s="13" t="s">
        <v>29</v>
      </c>
      <c r="P17" s="12" t="s">
        <v>30</v>
      </c>
      <c r="Q17" s="12" t="s">
        <v>12</v>
      </c>
      <c r="R17" s="12" t="s">
        <v>11</v>
      </c>
      <c r="S17" s="12" t="s">
        <v>13</v>
      </c>
    </row>
    <row r="18" spans="2:19" x14ac:dyDescent="0.25">
      <c r="B18" s="2" t="s">
        <v>1</v>
      </c>
      <c r="C18" s="3">
        <v>1055262.08</v>
      </c>
      <c r="D18" s="3">
        <v>1238460.2999999998</v>
      </c>
      <c r="E18" s="3">
        <v>1283311.26</v>
      </c>
      <c r="F18" s="3">
        <v>1378538.8199999998</v>
      </c>
      <c r="G18" s="3">
        <v>1326736.74</v>
      </c>
      <c r="H18" s="3">
        <v>1342095.04</v>
      </c>
      <c r="I18" s="3">
        <v>1432050.38</v>
      </c>
      <c r="J18" s="3">
        <v>1362658.4599999997</v>
      </c>
      <c r="K18" s="3">
        <v>1315866.06</v>
      </c>
      <c r="L18" s="3">
        <v>1258396.69</v>
      </c>
      <c r="M18" s="3">
        <v>1128194.04</v>
      </c>
      <c r="N18" s="3">
        <v>1353722.8800000001</v>
      </c>
      <c r="O18" s="3">
        <v>1245888</v>
      </c>
      <c r="P18" s="16">
        <f>SUM(D18:O18)</f>
        <v>15665918.67</v>
      </c>
      <c r="Q18" s="4">
        <f t="shared" ref="Q18:Q27" si="4">O18/N18-1</f>
        <v>-7.9658016860880809E-2</v>
      </c>
      <c r="R18" s="5">
        <f t="shared" ref="R18:R27" si="5">((O18/K18)^(1/4))-1</f>
        <v>-1.3568733681134759E-2</v>
      </c>
      <c r="S18" s="5">
        <f t="shared" ref="S18:S25" si="6">((O18/F18)^(1/9))-1</f>
        <v>-1.1178779348278156E-2</v>
      </c>
    </row>
    <row r="19" spans="2:19" x14ac:dyDescent="0.25">
      <c r="B19" s="2" t="s">
        <v>2</v>
      </c>
      <c r="C19" s="3">
        <v>444251.88</v>
      </c>
      <c r="D19" s="3">
        <v>1060294.68</v>
      </c>
      <c r="E19" s="3">
        <v>691371.09000000008</v>
      </c>
      <c r="F19" s="3">
        <v>704097.88</v>
      </c>
      <c r="G19" s="3">
        <v>652021.30000000005</v>
      </c>
      <c r="H19" s="3">
        <v>594669.14</v>
      </c>
      <c r="I19" s="3">
        <v>651156.4</v>
      </c>
      <c r="J19" s="3">
        <v>595772.16000000003</v>
      </c>
      <c r="K19" s="3">
        <v>536312.14</v>
      </c>
      <c r="L19" s="3">
        <v>475374.19999999995</v>
      </c>
      <c r="M19" s="3">
        <v>467502.54999999993</v>
      </c>
      <c r="N19" s="3">
        <v>545085.02</v>
      </c>
      <c r="O19" s="3">
        <v>521348.94</v>
      </c>
      <c r="P19" s="16">
        <f t="shared" ref="P19:P27" si="7">SUM(D19:O19)</f>
        <v>7495005.5000000009</v>
      </c>
      <c r="Q19" s="4">
        <f t="shared" si="4"/>
        <v>-4.3545647246002184E-2</v>
      </c>
      <c r="R19" s="5">
        <f t="shared" si="5"/>
        <v>-7.0492303587875726E-3</v>
      </c>
      <c r="S19" s="5">
        <f t="shared" si="6"/>
        <v>-3.2837397182664096E-2</v>
      </c>
    </row>
    <row r="20" spans="2:19" x14ac:dyDescent="0.25">
      <c r="B20" s="2" t="s">
        <v>3</v>
      </c>
      <c r="C20" s="3">
        <v>510195.85</v>
      </c>
      <c r="D20" s="3">
        <v>589803</v>
      </c>
      <c r="E20" s="3">
        <v>716193</v>
      </c>
      <c r="F20" s="3">
        <v>796293.11999999988</v>
      </c>
      <c r="G20" s="3">
        <v>791222.13000000012</v>
      </c>
      <c r="H20" s="3">
        <v>773948.49000000011</v>
      </c>
      <c r="I20" s="3">
        <v>782368.8899999999</v>
      </c>
      <c r="J20" s="3">
        <v>818960.22</v>
      </c>
      <c r="K20" s="3">
        <v>747149.13</v>
      </c>
      <c r="L20" s="3">
        <v>751389.52000000014</v>
      </c>
      <c r="M20" s="3">
        <v>690121.91999999993</v>
      </c>
      <c r="N20" s="3">
        <v>1050537.5999999999</v>
      </c>
      <c r="O20" s="3">
        <v>1130718.25</v>
      </c>
      <c r="P20" s="16">
        <f t="shared" si="7"/>
        <v>9638705.2699999996</v>
      </c>
      <c r="Q20" s="4">
        <f t="shared" si="4"/>
        <v>7.6323446205067036E-2</v>
      </c>
      <c r="R20" s="5">
        <f t="shared" si="5"/>
        <v>0.10914104383086287</v>
      </c>
      <c r="S20" s="5">
        <f t="shared" si="6"/>
        <v>3.9729005720982258E-2</v>
      </c>
    </row>
    <row r="21" spans="2:19" x14ac:dyDescent="0.25">
      <c r="B21" s="2" t="s">
        <v>4</v>
      </c>
      <c r="C21" s="3">
        <v>238158.11000000002</v>
      </c>
      <c r="D21" s="3">
        <v>257103.89999999997</v>
      </c>
      <c r="E21" s="3">
        <v>296576.86</v>
      </c>
      <c r="F21" s="3">
        <v>333549.45999999996</v>
      </c>
      <c r="G21" s="3">
        <v>306635.00000000006</v>
      </c>
      <c r="H21" s="3">
        <v>305251.15000000002</v>
      </c>
      <c r="I21" s="3">
        <v>326134.62000000005</v>
      </c>
      <c r="J21" s="3">
        <v>308774.03999999998</v>
      </c>
      <c r="K21" s="3">
        <v>313504.82999999996</v>
      </c>
      <c r="L21" s="3">
        <v>276415.86000000004</v>
      </c>
      <c r="M21" s="3">
        <v>256902.79</v>
      </c>
      <c r="N21" s="3">
        <v>375710.4</v>
      </c>
      <c r="O21" s="3">
        <v>418612.22</v>
      </c>
      <c r="P21" s="16">
        <f t="shared" si="7"/>
        <v>3775171.13</v>
      </c>
      <c r="Q21" s="4">
        <f t="shared" si="4"/>
        <v>0.11418853457343725</v>
      </c>
      <c r="R21" s="5">
        <f t="shared" si="5"/>
        <v>7.4959040367367447E-2</v>
      </c>
      <c r="S21" s="5">
        <f t="shared" si="6"/>
        <v>2.556052396480335E-2</v>
      </c>
    </row>
    <row r="22" spans="2:19" x14ac:dyDescent="0.25">
      <c r="B22" s="2" t="s">
        <v>5</v>
      </c>
      <c r="C22" s="3">
        <v>60488.999999999993</v>
      </c>
      <c r="D22" s="3">
        <v>75129.279999999999</v>
      </c>
      <c r="E22" s="3">
        <v>76314</v>
      </c>
      <c r="F22" s="3">
        <v>103855.2</v>
      </c>
      <c r="G22" s="3">
        <v>227718.72</v>
      </c>
      <c r="H22" s="3">
        <v>130152.65999999999</v>
      </c>
      <c r="I22" s="3">
        <v>70609.5</v>
      </c>
      <c r="J22" s="3">
        <v>65384.84</v>
      </c>
      <c r="K22" s="3">
        <v>58641.77</v>
      </c>
      <c r="L22" s="3">
        <v>53709.599999999999</v>
      </c>
      <c r="M22" s="3">
        <v>49680.4</v>
      </c>
      <c r="N22" s="3">
        <v>62315.729999999996</v>
      </c>
      <c r="O22" s="3">
        <v>64559.3</v>
      </c>
      <c r="P22" s="16">
        <f t="shared" si="7"/>
        <v>1038071</v>
      </c>
      <c r="Q22" s="4">
        <f t="shared" si="4"/>
        <v>3.6003269158525475E-2</v>
      </c>
      <c r="R22" s="5">
        <f t="shared" si="5"/>
        <v>2.4325385064384752E-2</v>
      </c>
      <c r="S22" s="5">
        <f t="shared" si="6"/>
        <v>-5.1452788138472871E-2</v>
      </c>
    </row>
    <row r="23" spans="2:19" x14ac:dyDescent="0.25">
      <c r="B23" s="2" t="s">
        <v>6</v>
      </c>
      <c r="C23" s="3">
        <v>194215</v>
      </c>
      <c r="D23" s="3">
        <v>222496.25</v>
      </c>
      <c r="E23" s="3">
        <v>228033.99</v>
      </c>
      <c r="F23" s="3">
        <v>248809.56</v>
      </c>
      <c r="G23" s="3">
        <v>229655.36</v>
      </c>
      <c r="H23" s="3">
        <v>239696.91999999998</v>
      </c>
      <c r="I23" s="3">
        <v>195473.85000000003</v>
      </c>
      <c r="J23" s="3">
        <v>183488.34</v>
      </c>
      <c r="K23" s="3">
        <v>119186.28</v>
      </c>
      <c r="L23" s="3">
        <v>206942.58</v>
      </c>
      <c r="M23" s="3">
        <v>182097.96000000002</v>
      </c>
      <c r="N23" s="3">
        <v>224138.57</v>
      </c>
      <c r="O23" s="3">
        <v>199540.25999999998</v>
      </c>
      <c r="P23" s="16">
        <f t="shared" si="7"/>
        <v>2479559.92</v>
      </c>
      <c r="Q23" s="4">
        <f t="shared" si="4"/>
        <v>-0.10974599329334533</v>
      </c>
      <c r="R23" s="5">
        <f t="shared" si="5"/>
        <v>0.13749911439232987</v>
      </c>
      <c r="S23" s="5">
        <f t="shared" si="6"/>
        <v>-2.422093390332436E-2</v>
      </c>
    </row>
    <row r="24" spans="2:19" x14ac:dyDescent="0.25">
      <c r="B24" s="2" t="s">
        <v>7</v>
      </c>
      <c r="C24" s="3">
        <v>387890.01999999996</v>
      </c>
      <c r="D24" s="3">
        <v>658277.43999999994</v>
      </c>
      <c r="E24" s="3">
        <v>751433.41</v>
      </c>
      <c r="F24" s="3">
        <v>829857</v>
      </c>
      <c r="G24" s="3">
        <v>608626.88</v>
      </c>
      <c r="H24" s="3">
        <v>488108.76</v>
      </c>
      <c r="I24" s="3">
        <v>490992.3</v>
      </c>
      <c r="J24" s="3">
        <v>497500.58</v>
      </c>
      <c r="K24" s="3">
        <v>485592.38000000006</v>
      </c>
      <c r="L24" s="3">
        <v>451183.58999999997</v>
      </c>
      <c r="M24" s="3">
        <v>425560.11</v>
      </c>
      <c r="N24" s="3">
        <v>420670.08</v>
      </c>
      <c r="O24" s="3">
        <v>364587.3</v>
      </c>
      <c r="P24" s="16">
        <f t="shared" si="7"/>
        <v>6472389.8300000001</v>
      </c>
      <c r="Q24" s="4">
        <f t="shared" si="4"/>
        <v>-0.13331772965645672</v>
      </c>
      <c r="R24" s="5">
        <f t="shared" si="5"/>
        <v>-6.914418023621216E-2</v>
      </c>
      <c r="S24" s="5">
        <f t="shared" si="6"/>
        <v>-8.733600152354859E-2</v>
      </c>
    </row>
    <row r="25" spans="2:19" x14ac:dyDescent="0.25">
      <c r="B25" s="2" t="s">
        <v>8</v>
      </c>
      <c r="C25" s="3">
        <v>0</v>
      </c>
      <c r="D25" s="3">
        <v>767.34</v>
      </c>
      <c r="E25" s="3">
        <v>25982.31</v>
      </c>
      <c r="F25" s="3">
        <v>508054.77999999997</v>
      </c>
      <c r="G25" s="3">
        <v>943475.78</v>
      </c>
      <c r="H25" s="3">
        <v>1190285.04</v>
      </c>
      <c r="I25" s="3">
        <v>1512998.64</v>
      </c>
      <c r="J25" s="3">
        <v>1609021.0999999999</v>
      </c>
      <c r="K25" s="3">
        <v>1734627.6</v>
      </c>
      <c r="L25" s="3">
        <v>1605877.9499999997</v>
      </c>
      <c r="M25" s="3">
        <v>1674230.88</v>
      </c>
      <c r="N25" s="3">
        <v>1984803.2999999998</v>
      </c>
      <c r="O25" s="3">
        <v>1800524.79</v>
      </c>
      <c r="P25" s="16">
        <f t="shared" si="7"/>
        <v>14590649.509999998</v>
      </c>
      <c r="Q25" s="9">
        <f t="shared" si="4"/>
        <v>-9.2844721691061172E-2</v>
      </c>
      <c r="R25" s="10">
        <f t="shared" si="5"/>
        <v>9.3649345887232283E-3</v>
      </c>
      <c r="S25" s="10">
        <f t="shared" si="6"/>
        <v>0.15094424273161611</v>
      </c>
    </row>
    <row r="26" spans="2:19" x14ac:dyDescent="0.25">
      <c r="B26" s="2" t="s">
        <v>9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141.12</v>
      </c>
      <c r="L26" s="3">
        <v>30141.919999999998</v>
      </c>
      <c r="M26" s="3">
        <v>142639.56</v>
      </c>
      <c r="N26" s="3">
        <v>215852.92</v>
      </c>
      <c r="O26" s="3">
        <v>281248.46999999997</v>
      </c>
      <c r="P26" s="16">
        <f t="shared" si="7"/>
        <v>670023.99</v>
      </c>
      <c r="Q26" s="9">
        <f t="shared" si="4"/>
        <v>0.30296347160835246</v>
      </c>
      <c r="R26" s="10">
        <f t="shared" si="5"/>
        <v>5.6815219609098468</v>
      </c>
      <c r="S26" s="10" t="s">
        <v>14</v>
      </c>
    </row>
    <row r="27" spans="2:19" ht="15.75" thickBot="1" x14ac:dyDescent="0.3">
      <c r="B27" s="14" t="s">
        <v>10</v>
      </c>
      <c r="C27" s="15">
        <v>2890461.94</v>
      </c>
      <c r="D27" s="15">
        <v>4102332.189999999</v>
      </c>
      <c r="E27" s="15">
        <v>4069215.9200000004</v>
      </c>
      <c r="F27" s="15">
        <v>4903055.8199999994</v>
      </c>
      <c r="G27" s="15">
        <v>5086091.91</v>
      </c>
      <c r="H27" s="15">
        <v>5064207.2</v>
      </c>
      <c r="I27" s="15">
        <v>5461784.5800000001</v>
      </c>
      <c r="J27" s="15">
        <v>5441559.7399999993</v>
      </c>
      <c r="K27" s="15">
        <v>5311021.3099999996</v>
      </c>
      <c r="L27" s="15">
        <v>5109431.91</v>
      </c>
      <c r="M27" s="15">
        <v>5016930.209999999</v>
      </c>
      <c r="N27" s="15">
        <v>6232836.5</v>
      </c>
      <c r="O27" s="15">
        <v>6027027.5299999993</v>
      </c>
      <c r="P27" s="15">
        <f t="shared" si="7"/>
        <v>61825494.82</v>
      </c>
      <c r="Q27" s="4">
        <f t="shared" si="4"/>
        <v>-3.302011371548097E-2</v>
      </c>
      <c r="R27" s="5">
        <f t="shared" si="5"/>
        <v>3.2122588284771103E-2</v>
      </c>
      <c r="S27" s="5">
        <f>((O27/F27)^(1/9))-1</f>
        <v>2.3197789123630352E-2</v>
      </c>
    </row>
  </sheetData>
  <mergeCells count="2">
    <mergeCell ref="B1:R1"/>
    <mergeCell ref="B16:R1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Planilha1</vt:lpstr>
      <vt:lpstr>Planilha5</vt:lpstr>
      <vt:lpstr>Total</vt:lpstr>
      <vt:lpstr>Gráfico Dinânamico</vt:lpstr>
      <vt:lpstr>Gráfico fixo</vt:lpstr>
      <vt:lpstr>Planilha2</vt:lpstr>
      <vt:lpstr>Colflex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Lais Batista Carmo Silva</dc:creator>
  <cp:lastModifiedBy>Wellington Juvenal Ferreira Fonseca</cp:lastModifiedBy>
  <dcterms:created xsi:type="dcterms:W3CDTF">2021-06-25T14:53:19Z</dcterms:created>
  <dcterms:modified xsi:type="dcterms:W3CDTF">2021-08-05T18:48:36Z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tualizar_1" visible="true" label="Atualizar" imageMso="ListMacros" onAction="Atualizar"/>
      </mso:documentControls>
    </mso:qat>
  </mso:ribbon>
</mso:customUI>
</file>