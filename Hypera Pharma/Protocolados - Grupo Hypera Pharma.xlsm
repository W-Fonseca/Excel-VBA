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fileSharing userName="Wellington Juvenal Ferreira Fonseca" algorithmName="SHA-512" hashValue="/+rQyCZT/0stPbQjL2mDWXsk9aRhj41CGsN6GZNfI89Frpl26lNQt5Tc5dDrcvdGfUYHpn3ytpikDPG+O8oO8g==" saltValue="QIbS7Fp/VaXKn9rlsGybHg==" spinCount="100000"/>
  <workbookPr filterPrivacy="1" updateLinks="never" codeName="EstaPasta_de_trabalho" defaultThemeVersion="124226"/>
  <bookViews>
    <workbookView xWindow="0" yWindow="0" windowWidth="20490" windowHeight="7620" tabRatio="787" firstSheet="1" activeTab="1"/>
  </bookViews>
  <sheets>
    <sheet name="Formulas" sheetId="21" state="hidden" r:id="rId1"/>
    <sheet name="PROT" sheetId="26" r:id="rId2"/>
    <sheet name="DEF" sheetId="2" r:id="rId3"/>
    <sheet name="ENCER e INDEF" sheetId="5" r:id="rId4"/>
    <sheet name="CANCELAMENTOS" sheetId="23" r:id="rId5"/>
    <sheet name="SEG_EFIC" sheetId="8" r:id="rId6"/>
    <sheet name="INC LISTAS" sheetId="12" r:id="rId7"/>
    <sheet name="CBPF" sheetId="25" r:id="rId8"/>
    <sheet name="PRIORIZ" sheetId="9" state="hidden" r:id="rId9"/>
  </sheets>
  <externalReferences>
    <externalReference r:id="rId10"/>
    <externalReference r:id="rId11"/>
    <externalReference r:id="rId12"/>
    <externalReference r:id="rId13"/>
  </externalReferences>
  <definedNames>
    <definedName name="_xlnm._FilterDatabase" localSheetId="4" hidden="1">CANCELAMENTOS!$A$2:$BF$33</definedName>
    <definedName name="_xlnm._FilterDatabase" localSheetId="2" hidden="1">DEF!$B$1:$T$505</definedName>
    <definedName name="_xlnm._FilterDatabase" localSheetId="3" hidden="1">'ENCER e INDEF'!$A$1:$O$221</definedName>
    <definedName name="_xlnm._FilterDatabase" localSheetId="6" hidden="1">'INC LISTAS'!$A$1:$P$40</definedName>
    <definedName name="_xlnm._FilterDatabase" localSheetId="8" hidden="1">PRIORIZ!$A$1:$N$1</definedName>
    <definedName name="_xlnm._FilterDatabase" localSheetId="1" hidden="1">PROT!$ET$1:$EV$1</definedName>
    <definedName name="_xlnm._FilterDatabase" localSheetId="5" hidden="1">SEG_EFIC!$A$2:$K$45</definedName>
    <definedName name="_xlnm.Print_Area" localSheetId="4">CANCELAMENTOS!$A$2:$BF$81</definedName>
    <definedName name="_xlnm.Print_Area" localSheetId="2">DEF!$A$1:$AL$512</definedName>
    <definedName name="_xlnm.Print_Area" localSheetId="3">'ENCER e INDEF'!$A$1:$O$303</definedName>
    <definedName name="_xlnm.Print_Area" localSheetId="1">PROT!#REF!</definedName>
    <definedName name="categoria">[1]Plan2!$A$1:$A$6</definedName>
    <definedName name="empresa">[2]Plan2!$A$8:$A$10</definedName>
    <definedName name="Fármaco" localSheetId="4">#REF!</definedName>
    <definedName name="Fármaco">#REF!</definedName>
    <definedName name="le" localSheetId="4">#REF!</definedName>
    <definedName name="le" localSheetId="5">#REF!</definedName>
    <definedName name="le">#REF!</definedName>
    <definedName name="Tipo">[3]Plan2!$A$6:$A$7</definedName>
    <definedName name="_xlnm.Print_Titles" localSheetId="1">PROT!#REF!</definedName>
    <definedName name="Z_CD2F3172_217B_4039_928B_417DE767923B_.wvu.Cols" localSheetId="1" hidden="1">PROT!#REF!</definedName>
    <definedName name="Z_CD2F3172_217B_4039_928B_417DE767923B_.wvu.FilterData" localSheetId="4" hidden="1">CANCELAMENTOS!$A$2:$BF$2</definedName>
    <definedName name="Z_CD2F3172_217B_4039_928B_417DE767923B_.wvu.FilterData" localSheetId="1" hidden="1">PROT!$C$1:$Z$1</definedName>
    <definedName name="Z_CD2F3172_217B_4039_928B_417DE767923B_.wvu.PrintArea" localSheetId="4" hidden="1">CANCELAMENTOS!$A$2:$BF$2</definedName>
    <definedName name="Z_CD2F3172_217B_4039_928B_417DE767923B_.wvu.PrintArea" localSheetId="1" hidden="1">PROT!#REF!</definedName>
    <definedName name="Z_CD2F3172_217B_4039_928B_417DE767923B_.wvu.PrintTitles" localSheetId="1" hidden="1">PROT!#REF!</definedName>
  </definedNames>
  <calcPr calcId="162913"/>
</workbook>
</file>

<file path=xl/calcChain.xml><?xml version="1.0" encoding="utf-8"?>
<calcChain xmlns="http://schemas.openxmlformats.org/spreadsheetml/2006/main">
  <c r="EP109" i="26" l="1"/>
  <c r="EQ109" i="26"/>
  <c r="EP107" i="26" l="1"/>
  <c r="EQ107" i="26"/>
  <c r="EP106" i="26"/>
  <c r="EQ106" i="26"/>
  <c r="EP105" i="26" l="1"/>
  <c r="EQ105" i="26"/>
  <c r="EN505" i="2" l="1"/>
  <c r="EM505" i="2"/>
  <c r="AC501" i="2"/>
  <c r="AB501" i="2"/>
  <c r="AB498" i="2"/>
  <c r="AA498" i="2"/>
  <c r="AB492" i="2"/>
  <c r="HE454" i="2"/>
  <c r="AK117" i="2"/>
  <c r="AK116" i="2"/>
  <c r="AK115" i="2"/>
  <c r="AK114" i="2"/>
  <c r="AK113" i="2"/>
  <c r="AK112" i="2"/>
  <c r="AK111" i="2"/>
  <c r="AK110" i="2"/>
  <c r="AK109" i="2"/>
  <c r="AK108" i="2"/>
  <c r="AK107" i="2"/>
  <c r="AK106" i="2"/>
  <c r="AK105" i="2"/>
  <c r="AK104" i="2"/>
  <c r="AK103" i="2"/>
  <c r="AK102" i="2"/>
  <c r="AK101" i="2"/>
  <c r="AK100" i="2"/>
  <c r="AK99" i="2"/>
  <c r="AK98" i="2"/>
  <c r="AK97" i="2"/>
  <c r="AK96" i="2"/>
  <c r="AK95" i="2"/>
  <c r="AK94" i="2"/>
  <c r="AK93" i="2"/>
  <c r="AK92" i="2"/>
  <c r="AK91" i="2"/>
  <c r="AK90" i="2"/>
  <c r="AK89" i="2"/>
  <c r="AK88" i="2"/>
  <c r="AK87" i="2"/>
  <c r="AK86" i="2"/>
  <c r="AK85" i="2"/>
  <c r="AK84" i="2"/>
  <c r="AK83" i="2"/>
  <c r="AK82" i="2"/>
  <c r="AK81" i="2"/>
  <c r="AK80" i="2"/>
  <c r="AK79" i="2"/>
  <c r="AK78" i="2"/>
  <c r="AK77" i="2"/>
  <c r="AK76" i="2"/>
  <c r="AK75" i="2"/>
  <c r="AK74" i="2"/>
  <c r="AK73" i="2"/>
  <c r="AK72" i="2"/>
  <c r="AK71" i="2"/>
  <c r="AK70" i="2"/>
  <c r="AK69" i="2"/>
  <c r="AK68" i="2"/>
  <c r="AK67" i="2"/>
  <c r="AK66" i="2"/>
  <c r="AK65" i="2"/>
  <c r="AK64" i="2"/>
  <c r="AK63" i="2"/>
  <c r="AK62" i="2"/>
  <c r="AK61" i="2"/>
  <c r="AK60" i="2"/>
  <c r="AK59" i="2"/>
  <c r="AK58" i="2"/>
  <c r="AK57" i="2"/>
  <c r="AK56" i="2"/>
  <c r="AK55" i="2"/>
  <c r="AK54" i="2"/>
  <c r="AK53" i="2"/>
  <c r="AK52" i="2"/>
  <c r="AK51" i="2"/>
  <c r="AK50" i="2"/>
  <c r="AK49" i="2"/>
  <c r="AK48" i="2"/>
  <c r="AK47" i="2"/>
  <c r="AK46" i="2"/>
  <c r="AK45" i="2"/>
  <c r="AK44" i="2"/>
  <c r="AK43" i="2"/>
  <c r="AK42" i="2"/>
  <c r="AK41" i="2"/>
  <c r="AK40" i="2"/>
  <c r="AK39" i="2"/>
  <c r="AK38" i="2"/>
  <c r="AK37" i="2"/>
  <c r="AK36" i="2"/>
  <c r="AK35" i="2"/>
  <c r="AK34" i="2"/>
  <c r="AK33" i="2"/>
  <c r="AK32" i="2"/>
  <c r="AK31" i="2"/>
  <c r="AK30" i="2"/>
  <c r="AK29" i="2"/>
  <c r="AK28" i="2"/>
  <c r="AK27" i="2"/>
  <c r="AK26" i="2"/>
  <c r="AK25" i="2"/>
  <c r="AK24" i="2"/>
  <c r="AK23" i="2"/>
  <c r="AK22" i="2"/>
  <c r="AK21" i="2"/>
  <c r="AK20" i="2"/>
  <c r="AK19" i="2"/>
  <c r="AK18" i="2"/>
  <c r="AK17" i="2"/>
  <c r="AK16" i="2"/>
  <c r="AK15" i="2"/>
  <c r="AK14" i="2"/>
  <c r="AK13" i="2"/>
  <c r="AK12" i="2"/>
  <c r="AK11" i="2"/>
  <c r="AK10" i="2"/>
  <c r="AK9" i="2"/>
  <c r="AK8" i="2"/>
  <c r="AK7" i="2"/>
  <c r="AK6" i="2"/>
  <c r="AK5" i="2"/>
  <c r="AK4" i="2"/>
  <c r="AK3" i="2"/>
  <c r="AK2" i="2"/>
  <c r="EQ108" i="26"/>
  <c r="EP108" i="26"/>
  <c r="EQ104" i="26"/>
  <c r="EP104" i="26"/>
  <c r="EQ103" i="26"/>
  <c r="EP103" i="26"/>
  <c r="EQ102" i="26"/>
  <c r="EP102" i="26"/>
  <c r="EQ101" i="26"/>
  <c r="EP101" i="26"/>
  <c r="EQ100" i="26"/>
  <c r="EP100" i="26"/>
  <c r="EQ99" i="26"/>
  <c r="EP99" i="26"/>
  <c r="EQ98" i="26"/>
  <c r="EP98" i="26"/>
  <c r="EQ97" i="26"/>
  <c r="EP97" i="26"/>
  <c r="EQ96" i="26"/>
  <c r="EP96" i="26"/>
  <c r="EQ95" i="26"/>
  <c r="EP95" i="26"/>
  <c r="EQ94" i="26"/>
  <c r="EP94" i="26"/>
  <c r="EQ93" i="26"/>
  <c r="EP93" i="26"/>
  <c r="EQ92" i="26"/>
  <c r="EP92" i="26"/>
  <c r="EQ91" i="26"/>
  <c r="EP91" i="26"/>
  <c r="EQ90" i="26"/>
  <c r="EP90" i="26"/>
  <c r="EQ89" i="26"/>
  <c r="EP89" i="26"/>
  <c r="EQ88" i="26"/>
  <c r="EP88" i="26"/>
  <c r="EQ87" i="26"/>
  <c r="EP87" i="26"/>
  <c r="EQ86" i="26"/>
  <c r="EP86" i="26"/>
  <c r="EQ85" i="26"/>
  <c r="EP85" i="26"/>
  <c r="EQ84" i="26"/>
  <c r="EP84" i="26"/>
  <c r="EQ83" i="26"/>
  <c r="EP83" i="26"/>
  <c r="EQ82" i="26"/>
  <c r="EP82" i="26"/>
  <c r="EQ81" i="26"/>
  <c r="EP81" i="26"/>
  <c r="EQ80" i="26"/>
  <c r="EP80" i="26"/>
  <c r="EQ79" i="26"/>
  <c r="EP79" i="26"/>
  <c r="EQ78" i="26"/>
  <c r="EP78" i="26"/>
  <c r="EQ77" i="26"/>
  <c r="EP77" i="26"/>
  <c r="EQ76" i="26"/>
  <c r="EP76" i="26"/>
  <c r="EQ75" i="26"/>
  <c r="EP75" i="26"/>
  <c r="EQ74" i="26"/>
  <c r="EP74" i="26"/>
  <c r="EQ73" i="26"/>
  <c r="EP73" i="26"/>
  <c r="EQ72" i="26"/>
  <c r="EP72" i="26"/>
  <c r="EQ71" i="26"/>
  <c r="EP71" i="26"/>
  <c r="EQ70" i="26"/>
  <c r="EP70" i="26"/>
  <c r="EQ69" i="26"/>
  <c r="EP69" i="26"/>
  <c r="EQ68" i="26"/>
  <c r="EP68" i="26"/>
  <c r="EQ67" i="26"/>
  <c r="EP67" i="26"/>
  <c r="EQ66" i="26"/>
  <c r="EP66" i="26"/>
  <c r="EQ65" i="26"/>
  <c r="EP65" i="26"/>
  <c r="EQ64" i="26"/>
  <c r="EP64" i="26"/>
  <c r="EQ63" i="26"/>
  <c r="EP63" i="26"/>
  <c r="EQ62" i="26"/>
  <c r="EP62" i="26"/>
  <c r="EQ61" i="26"/>
  <c r="EP61" i="26"/>
  <c r="EQ60" i="26"/>
  <c r="EP60" i="26"/>
  <c r="EQ59" i="26"/>
  <c r="EP59" i="26"/>
  <c r="EQ58" i="26"/>
  <c r="EP58" i="26"/>
  <c r="EQ57" i="26"/>
  <c r="EP57" i="26"/>
  <c r="EQ56" i="26"/>
  <c r="EP56" i="26"/>
  <c r="EQ55" i="26"/>
  <c r="EP55" i="26"/>
  <c r="EQ54" i="26"/>
  <c r="EP54" i="26"/>
  <c r="EQ53" i="26"/>
  <c r="EP53" i="26"/>
  <c r="EQ52" i="26"/>
  <c r="EP52" i="26"/>
  <c r="EQ51" i="26"/>
  <c r="EP51" i="26"/>
  <c r="EQ50" i="26"/>
  <c r="EP50" i="26"/>
  <c r="EQ49" i="26"/>
  <c r="EP49" i="26"/>
  <c r="EQ48" i="26"/>
  <c r="EP48" i="26"/>
  <c r="EQ47" i="26"/>
  <c r="EP47" i="26"/>
  <c r="EQ46" i="26"/>
  <c r="EP46" i="26"/>
  <c r="EQ45" i="26"/>
  <c r="EP45" i="26"/>
  <c r="EQ44" i="26"/>
  <c r="EP44" i="26"/>
  <c r="EQ43" i="26"/>
  <c r="EP43" i="26"/>
  <c r="EQ42" i="26"/>
  <c r="EP42" i="26"/>
  <c r="EQ41" i="26"/>
  <c r="EP41" i="26"/>
  <c r="EQ40" i="26"/>
  <c r="EP40" i="26"/>
  <c r="EQ39" i="26"/>
  <c r="EP39" i="26"/>
  <c r="EQ38" i="26"/>
  <c r="EP38" i="26"/>
  <c r="EQ37" i="26"/>
  <c r="EP37" i="26"/>
  <c r="EQ36" i="26"/>
  <c r="EP36" i="26"/>
  <c r="EQ35" i="26"/>
  <c r="EP35" i="26"/>
  <c r="EQ34" i="26"/>
  <c r="EP34" i="26"/>
  <c r="EQ33" i="26"/>
  <c r="EP33" i="26"/>
  <c r="EQ32" i="26"/>
  <c r="EP32" i="26"/>
  <c r="EQ31" i="26"/>
  <c r="EP31" i="26"/>
  <c r="EQ30" i="26"/>
  <c r="EP30" i="26"/>
  <c r="EQ29" i="26"/>
  <c r="EP29" i="26"/>
  <c r="EQ28" i="26"/>
  <c r="EP28" i="26"/>
  <c r="EQ27" i="26"/>
  <c r="EP27" i="26"/>
  <c r="EQ26" i="26"/>
  <c r="EP26" i="26"/>
  <c r="EQ25" i="26"/>
  <c r="EP25" i="26"/>
  <c r="EQ24" i="26"/>
  <c r="EP24" i="26"/>
  <c r="EQ23" i="26"/>
  <c r="EP23" i="26"/>
  <c r="EQ22" i="26"/>
  <c r="EP22" i="26"/>
  <c r="EQ21" i="26"/>
  <c r="EP21" i="26"/>
  <c r="EQ20" i="26"/>
  <c r="EP20" i="26"/>
  <c r="EQ19" i="26"/>
  <c r="EP19" i="26"/>
  <c r="EQ18" i="26"/>
  <c r="EP18" i="26"/>
  <c r="EQ17" i="26"/>
  <c r="EP17" i="26"/>
  <c r="EQ16" i="26"/>
  <c r="EP16" i="26"/>
  <c r="EQ15" i="26"/>
  <c r="EP15" i="26"/>
  <c r="EQ14" i="26"/>
  <c r="EP14" i="26"/>
  <c r="EQ13" i="26"/>
  <c r="EP13" i="26"/>
  <c r="EQ12" i="26"/>
  <c r="EP12" i="26"/>
  <c r="EQ11" i="26"/>
  <c r="EP11" i="26"/>
  <c r="EQ10" i="26"/>
  <c r="EP10" i="26"/>
  <c r="EQ9" i="26"/>
  <c r="EP9" i="26"/>
  <c r="EQ8" i="26"/>
  <c r="EP8" i="26"/>
  <c r="EQ7" i="26"/>
  <c r="EP7" i="26"/>
  <c r="J12" i="21"/>
  <c r="I12" i="21"/>
  <c r="J11" i="21"/>
  <c r="I11" i="21"/>
  <c r="J10" i="21"/>
  <c r="I10" i="21"/>
</calcChain>
</file>

<file path=xl/comments1.xml><?xml version="1.0" encoding="utf-8"?>
<comments xmlns="http://schemas.openxmlformats.org/spreadsheetml/2006/main">
  <authors>
    <author>Autor</author>
  </authors>
  <commentList>
    <comment ref="O1" authorId="0" shapeId="0">
      <text>
        <r>
          <rPr>
            <b/>
            <sz val="9"/>
            <color indexed="81"/>
            <rFont val="Segoe UI"/>
            <family val="2"/>
          </rPr>
          <t>Autor:</t>
        </r>
        <r>
          <rPr>
            <sz val="9"/>
            <color indexed="81"/>
            <rFont val="Segoe UI"/>
            <family val="2"/>
          </rPr>
          <t xml:space="preserve">
Data de Recebimento do </t>
        </r>
      </text>
    </comment>
  </commentList>
</comments>
</file>

<file path=xl/sharedStrings.xml><?xml version="1.0" encoding="utf-8"?>
<sst xmlns="http://schemas.openxmlformats.org/spreadsheetml/2006/main" count="17105" uniqueCount="6612">
  <si>
    <t>Processo</t>
  </si>
  <si>
    <t>Produto</t>
  </si>
  <si>
    <t>Principio Ativo</t>
  </si>
  <si>
    <t>Categoria</t>
  </si>
  <si>
    <t>Forma Farmacêutica</t>
  </si>
  <si>
    <t>Tipo de Petição</t>
  </si>
  <si>
    <t>Data de submissão</t>
  </si>
  <si>
    <t>Expediente</t>
  </si>
  <si>
    <t>Concentração</t>
  </si>
  <si>
    <t>25351.526204/2009-47</t>
  </si>
  <si>
    <t>etinilestradiol + drospirenona</t>
  </si>
  <si>
    <t>Similar</t>
  </si>
  <si>
    <t>comprimido revestido</t>
  </si>
  <si>
    <t>Registro de Medicamento</t>
  </si>
  <si>
    <t>0,03mg + 3mg</t>
  </si>
  <si>
    <t>25351.526148/2009-16</t>
  </si>
  <si>
    <t>Genérico</t>
  </si>
  <si>
    <t>dorzolamida + maleato de timolol</t>
  </si>
  <si>
    <t>solução oftálmica</t>
  </si>
  <si>
    <t>20mg/g + 5mg/mL</t>
  </si>
  <si>
    <t>766639/09-0</t>
  </si>
  <si>
    <t>25351.150340/2007-14</t>
  </si>
  <si>
    <t>nimesulida</t>
  </si>
  <si>
    <t xml:space="preserve">nimesulida </t>
  </si>
  <si>
    <t>comprimido simples</t>
  </si>
  <si>
    <t>100mg</t>
  </si>
  <si>
    <t>25351.376297/2009-85</t>
  </si>
  <si>
    <t xml:space="preserve">finasterida </t>
  </si>
  <si>
    <t>1mg</t>
  </si>
  <si>
    <t>25351.535744/2009-50</t>
  </si>
  <si>
    <t>cloridrato de ticlopidina</t>
  </si>
  <si>
    <t>250mg</t>
  </si>
  <si>
    <t>Neo Fresh</t>
  </si>
  <si>
    <t>carmelose sódica</t>
  </si>
  <si>
    <t>5mg/mL</t>
  </si>
  <si>
    <t>25351.385316/2009-15</t>
  </si>
  <si>
    <t>cloridrato de venlafaxina</t>
  </si>
  <si>
    <t>75mg e 150mg</t>
  </si>
  <si>
    <t>25351.383571/2009-05</t>
  </si>
  <si>
    <t>Venfaxineo XR</t>
  </si>
  <si>
    <t>25mg, 50mg e 100mg</t>
  </si>
  <si>
    <t>alopurinol</t>
  </si>
  <si>
    <t>300mg</t>
  </si>
  <si>
    <t>Veruf B</t>
  </si>
  <si>
    <t>ácido fusídico + valerato de betametasona</t>
  </si>
  <si>
    <t>creme dermatológico</t>
  </si>
  <si>
    <t>20mg/g + 1mg/g</t>
  </si>
  <si>
    <t>Ácido fusídico + valerato de betametasona creme</t>
  </si>
  <si>
    <t>25351.536441/2009-46</t>
  </si>
  <si>
    <t>Plaketneo</t>
  </si>
  <si>
    <t>10mg/g</t>
  </si>
  <si>
    <t>400mg</t>
  </si>
  <si>
    <t xml:space="preserve">diclofenaco sódico </t>
  </si>
  <si>
    <t>cloridrato de hidroxizina</t>
  </si>
  <si>
    <t>suspensão oral</t>
  </si>
  <si>
    <t>25mg</t>
  </si>
  <si>
    <t>0,354mg/mL</t>
  </si>
  <si>
    <t>Ibufran</t>
  </si>
  <si>
    <t>25000.004083/88</t>
  </si>
  <si>
    <t>Neotaren</t>
  </si>
  <si>
    <t>25000.001490/89</t>
  </si>
  <si>
    <t>Neo Hidroclor</t>
  </si>
  <si>
    <t xml:space="preserve">hidroclorotiazida </t>
  </si>
  <si>
    <t>gel tópico</t>
  </si>
  <si>
    <t>Cetilplex</t>
  </si>
  <si>
    <t>ibuprofeno</t>
  </si>
  <si>
    <t>Comprimido</t>
  </si>
  <si>
    <t>Lorentil</t>
  </si>
  <si>
    <t>cloridrato de terbinafina</t>
  </si>
  <si>
    <t>Beclonato</t>
  </si>
  <si>
    <t>suspensão injetável</t>
  </si>
  <si>
    <t>Zylonol</t>
  </si>
  <si>
    <t>25351.589555/2009-31</t>
  </si>
  <si>
    <t>25351.001060/2010-10</t>
  </si>
  <si>
    <t>25351.755926/2009-39</t>
  </si>
  <si>
    <t>25351.755342/2009-15</t>
  </si>
  <si>
    <t>dipropionato de betametasona + fosfato dissódico de betametasona</t>
  </si>
  <si>
    <t>25 mg</t>
  </si>
  <si>
    <t>25351.093964/2010-21</t>
  </si>
  <si>
    <t>50mg/mL</t>
  </si>
  <si>
    <t>meropeném triidratado</t>
  </si>
  <si>
    <t xml:space="preserve">25351.474065/2010-18 </t>
  </si>
  <si>
    <t>Lacrilux</t>
  </si>
  <si>
    <t>dextrana 70 + hipromelose</t>
  </si>
  <si>
    <t xml:space="preserve">25351.472380/2010-45 </t>
  </si>
  <si>
    <t>Aarti Drugs Ltd</t>
  </si>
  <si>
    <t>Nortec Química</t>
  </si>
  <si>
    <t>Shangai Aurisco</t>
  </si>
  <si>
    <t>Basf</t>
  </si>
  <si>
    <t>D: Industriale Chimica                         EE: Diosynth Organon</t>
  </si>
  <si>
    <t>Cadila Healthcare</t>
  </si>
  <si>
    <t>Globe Química</t>
  </si>
  <si>
    <t>D: Duke Chem                               T: Vem Petrochem</t>
  </si>
  <si>
    <t>CPKelco</t>
  </si>
  <si>
    <t>Nexchem Pharmaceutical Co</t>
  </si>
  <si>
    <t>Amoli Organic</t>
  </si>
  <si>
    <t xml:space="preserve">Changzhou Pharmaceutical Factory </t>
  </si>
  <si>
    <t>D - Pharmacosmos
H - The Down Chemical Company</t>
  </si>
  <si>
    <t>aceclofenaco</t>
  </si>
  <si>
    <t>losartana potássica  + hidroclorotiazida</t>
  </si>
  <si>
    <t>50mg + 12,5mg</t>
  </si>
  <si>
    <t>paracetamol</t>
  </si>
  <si>
    <t>100mg/mL</t>
  </si>
  <si>
    <t>cefalexina</t>
  </si>
  <si>
    <t>500 mg</t>
  </si>
  <si>
    <t>Específico</t>
  </si>
  <si>
    <t>Gerivix</t>
  </si>
  <si>
    <t>Anqiu Lu'na</t>
  </si>
  <si>
    <t>25351.567635/2010-11</t>
  </si>
  <si>
    <t>Lupin</t>
  </si>
  <si>
    <t>25351.565127/2010-00</t>
  </si>
  <si>
    <t>Neoclofen</t>
  </si>
  <si>
    <t>NA</t>
  </si>
  <si>
    <t>omeprazol</t>
  </si>
  <si>
    <t>10 mg, 20 mg e 40 mg</t>
  </si>
  <si>
    <t>Neoprazol</t>
  </si>
  <si>
    <t xml:space="preserve">Cadila </t>
  </si>
  <si>
    <t>25351.565108/2010-99</t>
  </si>
  <si>
    <t xml:space="preserve">25351.592857/2010-99 </t>
  </si>
  <si>
    <t xml:space="preserve">25351.622464/2010-38 </t>
  </si>
  <si>
    <t>10 mg</t>
  </si>
  <si>
    <t>acetilcisteína</t>
  </si>
  <si>
    <t>Zambom Group SPA</t>
  </si>
  <si>
    <t>600 mg</t>
  </si>
  <si>
    <t xml:space="preserve">25351.663290/2010-25 </t>
  </si>
  <si>
    <t xml:space="preserve">25351.663243/2010-13 </t>
  </si>
  <si>
    <t>loperamida</t>
  </si>
  <si>
    <t>Sifavitor</t>
  </si>
  <si>
    <t>25351.696472/2010-31</t>
  </si>
  <si>
    <t>alendronato de sódio</t>
  </si>
  <si>
    <t>Nivedita</t>
  </si>
  <si>
    <t>lansoprazol + claritromicina + amoxicilina</t>
  </si>
  <si>
    <t>Pylorikit</t>
  </si>
  <si>
    <t>30 mg + 500 mg + 500 mg</t>
  </si>
  <si>
    <t>Zheijiang Warrant</t>
  </si>
  <si>
    <t>dipirona sódica + cafeína + orfenadrina</t>
  </si>
  <si>
    <t>D: Wuhan Wuyao
C: Jilin Shulan
O: RL fine chemical</t>
  </si>
  <si>
    <t>25351.751383/2010-93</t>
  </si>
  <si>
    <t>25351.751639/2010-92</t>
  </si>
  <si>
    <t>25351.764457/2010-41</t>
  </si>
  <si>
    <t>25351.764599/2010-81</t>
  </si>
  <si>
    <t>25351.768033/2010-61</t>
  </si>
  <si>
    <t>25351.770323/2010-65</t>
  </si>
  <si>
    <t>Zach System</t>
  </si>
  <si>
    <t>cloridrato de metformina</t>
  </si>
  <si>
    <t>Sri Krishna</t>
  </si>
  <si>
    <t>dipirona sódica</t>
  </si>
  <si>
    <t>Wuhan Wuyao</t>
  </si>
  <si>
    <t>bissulfato de clopidogrel</t>
  </si>
  <si>
    <t>Plavineo</t>
  </si>
  <si>
    <t>succinato sódico de metilprednisolona</t>
  </si>
  <si>
    <t>amilorida + hidroclorotiazida</t>
  </si>
  <si>
    <t>sulfametoxazol + trimetoprima</t>
  </si>
  <si>
    <t>Bac-Sulfitrin</t>
  </si>
  <si>
    <t>paracetamol + cafeína</t>
  </si>
  <si>
    <t>Neocopan Duo</t>
  </si>
  <si>
    <t>furosemida</t>
  </si>
  <si>
    <t>Neolefrin Dia</t>
  </si>
  <si>
    <t>ganciclovir sódico</t>
  </si>
  <si>
    <t>25351.001075/2011-35</t>
  </si>
  <si>
    <t>25351.007080/2011-15</t>
  </si>
  <si>
    <t>015311117</t>
  </si>
  <si>
    <t>25351.010593/2011-56</t>
  </si>
  <si>
    <t>015291119</t>
  </si>
  <si>
    <t>25351.010575/2011-71</t>
  </si>
  <si>
    <t>25351.010673/2011-27</t>
  </si>
  <si>
    <t>25351.010566/2011-88</t>
  </si>
  <si>
    <t>015316118</t>
  </si>
  <si>
    <t>25351.010598/2011-91</t>
  </si>
  <si>
    <t>25351.010276/2011-76</t>
  </si>
  <si>
    <t>014863116</t>
  </si>
  <si>
    <t>622554103</t>
  </si>
  <si>
    <t>726505101</t>
  </si>
  <si>
    <t>782484100</t>
  </si>
  <si>
    <t>876111106</t>
  </si>
  <si>
    <t>982360103</t>
  </si>
  <si>
    <t>003174117</t>
  </si>
  <si>
    <t>001565112</t>
  </si>
  <si>
    <t>016254110</t>
  </si>
  <si>
    <t>25351.011290/2011-42</t>
  </si>
  <si>
    <t>25351.011142/2011-03</t>
  </si>
  <si>
    <t>016021111</t>
  </si>
  <si>
    <t>015881110</t>
  </si>
  <si>
    <t>25351.011012/2011-37</t>
  </si>
  <si>
    <t>25351.011124/2011-11</t>
  </si>
  <si>
    <t>IPCA Laboratories Limited </t>
  </si>
  <si>
    <t> 800mg + 20mg</t>
  </si>
  <si>
    <t>MSN Laboratories Ltd</t>
  </si>
  <si>
    <t xml:space="preserve">75mg </t>
  </si>
  <si>
    <t xml:space="preserve">125mg e 500mg </t>
  </si>
  <si>
    <t xml:space="preserve"> 25mg + 2,5mg e 50mg + 5mg</t>
  </si>
  <si>
    <t>Zhejiang Zhebei Pharmaceutical.</t>
  </si>
  <si>
    <t xml:space="preserve"> 500mg</t>
  </si>
  <si>
    <t xml:space="preserve">H: Changzhou Pharmaceutical Factory
A: Bal Pharma Ltd. 
</t>
  </si>
  <si>
    <t>400mg + 80mg</t>
  </si>
  <si>
    <t xml:space="preserve">500mg + 65mg </t>
  </si>
  <si>
    <t>745516100</t>
  </si>
  <si>
    <t>821352106</t>
  </si>
  <si>
    <t>876061106</t>
  </si>
  <si>
    <t>921046106</t>
  </si>
  <si>
    <t>649684109</t>
  </si>
  <si>
    <t>648771108</t>
  </si>
  <si>
    <t>glimepirida - INTAS</t>
  </si>
  <si>
    <t>pravastatina - INTAS</t>
  </si>
  <si>
    <t>glimepirida</t>
  </si>
  <si>
    <t>pravastatina</t>
  </si>
  <si>
    <t>INTAS
(Hetero Drugs Limites)</t>
  </si>
  <si>
    <t>INTAS
(Biocon)</t>
  </si>
  <si>
    <t>orlistate</t>
  </si>
  <si>
    <t>Biocon</t>
  </si>
  <si>
    <t>atorvastatina</t>
  </si>
  <si>
    <t>Atorvasterol</t>
  </si>
  <si>
    <t>Lipoxen</t>
  </si>
  <si>
    <t>25351.198050/2011-60</t>
  </si>
  <si>
    <t>25351.198284/2011-41</t>
  </si>
  <si>
    <t>25351.198518/2011-58</t>
  </si>
  <si>
    <t>25351.215313/2011-54</t>
  </si>
  <si>
    <t>25351.214781/2011-60</t>
  </si>
  <si>
    <t>299624113</t>
  </si>
  <si>
    <t>300353111</t>
  </si>
  <si>
    <t>dicloridrato de flunarizina</t>
  </si>
  <si>
    <t>Principal: Fleming
Qualif.: RL Fine Chem - RayChem</t>
  </si>
  <si>
    <t>25351.295176/2011-53</t>
  </si>
  <si>
    <t>410064116</t>
  </si>
  <si>
    <t>Neo Metformin</t>
  </si>
  <si>
    <t>422584118</t>
  </si>
  <si>
    <t>25351.304143/2011-86</t>
  </si>
  <si>
    <t>422042111</t>
  </si>
  <si>
    <t>25351.332114/2011-25</t>
  </si>
  <si>
    <t>Sun Pharmaceutical</t>
  </si>
  <si>
    <t>cloridrato de clomipramina</t>
  </si>
  <si>
    <t>462250112</t>
  </si>
  <si>
    <t>cloridrato de ranitidina</t>
  </si>
  <si>
    <t>25351.347134/2011-55</t>
  </si>
  <si>
    <t>25351.344257/2011-89</t>
  </si>
  <si>
    <t>479411117</t>
  </si>
  <si>
    <t>483380115</t>
  </si>
  <si>
    <t>276288119</t>
  </si>
  <si>
    <t>276601119</t>
  </si>
  <si>
    <t>276955117</t>
  </si>
  <si>
    <t>cloridrato de sertralina</t>
  </si>
  <si>
    <t>Matrix</t>
  </si>
  <si>
    <t>25351.386639/2011-02</t>
  </si>
  <si>
    <t>541131119</t>
  </si>
  <si>
    <t>aztreonam + L arginina</t>
  </si>
  <si>
    <t>25351.400706/2011-27</t>
  </si>
  <si>
    <t>560442117</t>
  </si>
  <si>
    <t>25351.420183/2011-17</t>
  </si>
  <si>
    <t>letrozol</t>
  </si>
  <si>
    <t>25351.423632/2011-43</t>
  </si>
  <si>
    <t>25351.423813/2011-58</t>
  </si>
  <si>
    <t>25351.424058/2011-91</t>
  </si>
  <si>
    <t>25351.426056/2011-38</t>
  </si>
  <si>
    <t>anastrozol</t>
  </si>
  <si>
    <t>gestodeno + etinilestradiol</t>
  </si>
  <si>
    <t>2,5 mg</t>
  </si>
  <si>
    <t>1,0 mg</t>
  </si>
  <si>
    <t>0,075 mg + 0,02 mg</t>
  </si>
  <si>
    <t>587244118</t>
  </si>
  <si>
    <t>595648110</t>
  </si>
  <si>
    <t>Natco Pharma Limited</t>
  </si>
  <si>
    <t xml:space="preserve">G: Beijing Keyifeng / Newchem
EE: Beijing Keyifeng </t>
  </si>
  <si>
    <t>olanzapina</t>
  </si>
  <si>
    <t>Lake Chemicals</t>
  </si>
  <si>
    <t>756621112</t>
  </si>
  <si>
    <t>25351.539285/2011-58</t>
  </si>
  <si>
    <t xml:space="preserve">778277112 </t>
  </si>
  <si>
    <t>25351.554352/2011-10</t>
  </si>
  <si>
    <t>cloridrato de nortriptilina</t>
  </si>
  <si>
    <t>10mg, 25mg, 50mg e 75mg</t>
  </si>
  <si>
    <t>cloridrato de sibutramina</t>
  </si>
  <si>
    <t>Nosch</t>
  </si>
  <si>
    <t>10 mg e 15 mg</t>
  </si>
  <si>
    <t>800mg + 160mg</t>
  </si>
  <si>
    <t>R L Fine Chem</t>
  </si>
  <si>
    <t>Kairav</t>
  </si>
  <si>
    <t>25351.574676/2011-67</t>
  </si>
  <si>
    <t>805935117</t>
  </si>
  <si>
    <t>25351.584526/2011-53</t>
  </si>
  <si>
    <t>819894112</t>
  </si>
  <si>
    <t>25351.567063/2011-12</t>
  </si>
  <si>
    <t>795982116</t>
  </si>
  <si>
    <t>valsartana</t>
  </si>
  <si>
    <t xml:space="preserve">Zhuhai Sanxin Fine Chemical </t>
  </si>
  <si>
    <t>25351.643617/2011-91</t>
  </si>
  <si>
    <t>903993117</t>
  </si>
  <si>
    <t>836526111</t>
  </si>
  <si>
    <t>25351.596243/2011-71</t>
  </si>
  <si>
    <t>topiramato</t>
  </si>
  <si>
    <t>25351.657398/2011-20</t>
  </si>
  <si>
    <t>923257115</t>
  </si>
  <si>
    <t>bimatoprosta</t>
  </si>
  <si>
    <t>0,3mg/mL</t>
  </si>
  <si>
    <t>Chirogate International</t>
  </si>
  <si>
    <t>tartarato de brimonidina + maleato de timolol</t>
  </si>
  <si>
    <t>B: Farmak
T: Vem Petrochem &amp; Farma</t>
  </si>
  <si>
    <t>2,0mg/mL + 5,0mg/mL</t>
  </si>
  <si>
    <t>latanoprosta</t>
  </si>
  <si>
    <t>Iffect Chemphar Co.</t>
  </si>
  <si>
    <t>50 µg/mL</t>
  </si>
  <si>
    <t>Neoftal</t>
  </si>
  <si>
    <t>Neovision</t>
  </si>
  <si>
    <t>951654119</t>
  </si>
  <si>
    <t>25351.677716/2011-45</t>
  </si>
  <si>
    <t>Visoneo</t>
  </si>
  <si>
    <t>Waycome Pharmaceutical</t>
  </si>
  <si>
    <t>acetato de ciproterona + etinilestradiol</t>
  </si>
  <si>
    <t>2,0mg + 0,035mg</t>
  </si>
  <si>
    <t>974886115</t>
  </si>
  <si>
    <t>974872115</t>
  </si>
  <si>
    <t xml:space="preserve">25351.694145/2011-09 </t>
  </si>
  <si>
    <t>25351.694138/2011-68</t>
  </si>
  <si>
    <t>25351.687096/2011-18</t>
  </si>
  <si>
    <t>25351.693760/2011-51</t>
  </si>
  <si>
    <t>974349119</t>
  </si>
  <si>
    <t>Polivitamínico e polimineral</t>
  </si>
  <si>
    <t>25351.703022/2011-32</t>
  </si>
  <si>
    <t>25351.723279/2011-14</t>
  </si>
  <si>
    <t>40mg</t>
  </si>
  <si>
    <t>Rajasthan</t>
  </si>
  <si>
    <t>25351.714194/2011-15</t>
  </si>
  <si>
    <t>25351.734424/2011-02</t>
  </si>
  <si>
    <t>392104112</t>
  </si>
  <si>
    <t>25351.743105/2011-51</t>
  </si>
  <si>
    <t>travoprosta</t>
  </si>
  <si>
    <t>504136118</t>
  </si>
  <si>
    <t>0,04mg/mL</t>
  </si>
  <si>
    <t>Everlight Chemical Industrial Corporation</t>
  </si>
  <si>
    <t xml:space="preserve">S: Virchow Laboratories
T: Shandong Fucang
</t>
  </si>
  <si>
    <t>Travoneo</t>
  </si>
  <si>
    <t>984373116</t>
  </si>
  <si>
    <t>25351.700892/2011-30</t>
  </si>
  <si>
    <t>987527111</t>
  </si>
  <si>
    <t>1010862119</t>
  </si>
  <si>
    <t>25351.778903/2011-45</t>
  </si>
  <si>
    <t>valsartana + hidroclorotiazida</t>
  </si>
  <si>
    <t>V: Zhuhai Sanxin
H: Changzhou</t>
  </si>
  <si>
    <t>olmesartana</t>
  </si>
  <si>
    <t>20 e 40mg</t>
  </si>
  <si>
    <t>Benetec</t>
  </si>
  <si>
    <t>Lifty</t>
  </si>
  <si>
    <t>1, 2 e 4mg</t>
  </si>
  <si>
    <t>Doxaneo</t>
  </si>
  <si>
    <t>80mg + 12,5mg / 160mg + 12,5mg / 160mg + 25mg / 320mg + 12,5mg / 320mg + 25mg</t>
  </si>
  <si>
    <t>25351.000184/2012-00</t>
  </si>
  <si>
    <t>25351.000164/2012-60</t>
  </si>
  <si>
    <t>25351.791463/2011-92</t>
  </si>
  <si>
    <t>25351.000222/2012-49</t>
  </si>
  <si>
    <t>25351.000196/2012-73</t>
  </si>
  <si>
    <t>25351.000237/2012-02</t>
  </si>
  <si>
    <t>25351.787615/2011-84</t>
  </si>
  <si>
    <t>0000188121</t>
  </si>
  <si>
    <t>0000200123</t>
  </si>
  <si>
    <t>0000167128</t>
  </si>
  <si>
    <t>0000247120</t>
  </si>
  <si>
    <t>4mg</t>
  </si>
  <si>
    <t>25351.072060/2012-83</t>
  </si>
  <si>
    <t>pantoprazol</t>
  </si>
  <si>
    <t>0103075122</t>
  </si>
  <si>
    <t>pantoprazol - INTAS</t>
  </si>
  <si>
    <t>20mg e 40mg</t>
  </si>
  <si>
    <t>0110128125</t>
  </si>
  <si>
    <t>25351.077126/2012-81</t>
  </si>
  <si>
    <t>RPG</t>
  </si>
  <si>
    <t>Rajasthan (pó liófilo)
Cebon (ativo)</t>
  </si>
  <si>
    <t>25351.115681/2012-38</t>
  </si>
  <si>
    <t>600mg</t>
  </si>
  <si>
    <t>25351.102658/2012-84</t>
  </si>
  <si>
    <t>Gastropan - INTAS</t>
  </si>
  <si>
    <t>0147346128</t>
  </si>
  <si>
    <t>25351.566152/2011-89</t>
  </si>
  <si>
    <t>clonazepam</t>
  </si>
  <si>
    <t>0,5mg e 2,0mg</t>
  </si>
  <si>
    <t>0274072129</t>
  </si>
  <si>
    <t>25351.190215/2012-13</t>
  </si>
  <si>
    <t>169679093</t>
  </si>
  <si>
    <t>123943101 </t>
  </si>
  <si>
    <t>992498111</t>
  </si>
  <si>
    <t>0,060mg + 0,015mg</t>
  </si>
  <si>
    <t xml:space="preserve">0442915120 </t>
  </si>
  <si>
    <t>Ysneo</t>
  </si>
  <si>
    <t>metildopa</t>
  </si>
  <si>
    <t>Zhejiang Chiral Medicine Chemicals</t>
  </si>
  <si>
    <t>250mg e 500mg</t>
  </si>
  <si>
    <t>Lee Pharma Ltd</t>
  </si>
  <si>
    <t>itraconazol</t>
  </si>
  <si>
    <t>100mg + 25mg</t>
  </si>
  <si>
    <t>L: Zhejiang Huahai
H: Changzhou Pharmaceutical factory</t>
  </si>
  <si>
    <t>olmesartana + hidroclorotiazida</t>
  </si>
  <si>
    <t>40mg + 25mg
20mg + 12,5mg</t>
  </si>
  <si>
    <t>25351.541633/2011-31</t>
  </si>
  <si>
    <t>Neopress H</t>
  </si>
  <si>
    <t>25351.341468/2012-11</t>
  </si>
  <si>
    <t>0489070121</t>
  </si>
  <si>
    <t>25351.345090/2012-15</t>
  </si>
  <si>
    <t>Anqiu Luan</t>
  </si>
  <si>
    <t>32mg/mL</t>
  </si>
  <si>
    <t>25351.563889/2011-98</t>
  </si>
  <si>
    <t>Benetec HCT</t>
  </si>
  <si>
    <t>25351.373043/2012-72</t>
  </si>
  <si>
    <t>0533290127</t>
  </si>
  <si>
    <t>0533574124</t>
  </si>
  <si>
    <t>0553019129</t>
  </si>
  <si>
    <t>25351.387047/2012-67</t>
  </si>
  <si>
    <t>25351.397080/2012-41</t>
  </si>
  <si>
    <t>25351.399105/2012-41</t>
  </si>
  <si>
    <t>Tyneo Criança</t>
  </si>
  <si>
    <t>25351.419095/2012-56</t>
  </si>
  <si>
    <t>lamotrigina - Intas</t>
  </si>
  <si>
    <t>lamotrigina</t>
  </si>
  <si>
    <t>Intas</t>
  </si>
  <si>
    <t>50mg e 100mg</t>
  </si>
  <si>
    <t>0599459124</t>
  </si>
  <si>
    <t>5mg/mL + 2mg/mL</t>
  </si>
  <si>
    <t>10mg</t>
  </si>
  <si>
    <t>risperidona</t>
  </si>
  <si>
    <t>risperidona - Intas</t>
  </si>
  <si>
    <t>1mg, 2mg e 3mg</t>
  </si>
  <si>
    <t>25351.438678/2012-30</t>
  </si>
  <si>
    <t>25351.433793/2012-46</t>
  </si>
  <si>
    <t>oxalato de escitalopram</t>
  </si>
  <si>
    <t>10mg e 20mg</t>
  </si>
  <si>
    <t>Principal: Enaltec
Qualificação: Sun Pharmaceutical</t>
  </si>
  <si>
    <t>Moehs Productos Químicos</t>
  </si>
  <si>
    <t>120mg e 160mg</t>
  </si>
  <si>
    <t>diclofenaco potássico - INTAS</t>
  </si>
  <si>
    <t>diclofenaco potássico</t>
  </si>
  <si>
    <t>25351.447136/2012-54</t>
  </si>
  <si>
    <t>25351.451354/2012-45</t>
  </si>
  <si>
    <t>25351.472876/2012-67</t>
  </si>
  <si>
    <t>0641700121</t>
  </si>
  <si>
    <t>0648041121</t>
  </si>
  <si>
    <t>0679597128</t>
  </si>
  <si>
    <t>esomeprazol - ALTHAIA</t>
  </si>
  <si>
    <t xml:space="preserve">25351.498557/2012-19 </t>
  </si>
  <si>
    <t>0715355124</t>
  </si>
  <si>
    <t>paracetamol + cafeína + ácido acetilsalicílico</t>
  </si>
  <si>
    <t>250mg + 65mg + 250mg</t>
  </si>
  <si>
    <t>P: Granules India Ltd
C: Shandong Xinhua Pharm. Co., Ltd 
AAS: Rhodia</t>
  </si>
  <si>
    <t>anastrozol - INTAS</t>
  </si>
  <si>
    <t>letrozol - INTAS</t>
  </si>
  <si>
    <t>0818760126</t>
  </si>
  <si>
    <t>25351.571790/2012-13</t>
  </si>
  <si>
    <t>Neo Bendazol</t>
  </si>
  <si>
    <t>albendazol</t>
  </si>
  <si>
    <t>Sequent</t>
  </si>
  <si>
    <t>25351.541871/2011-79</t>
  </si>
  <si>
    <t xml:space="preserve">25351.516495/2012-75 </t>
  </si>
  <si>
    <t>0739094127</t>
  </si>
  <si>
    <t>Apratea</t>
  </si>
  <si>
    <t>25351.668197/2009-23</t>
  </si>
  <si>
    <t>25351.221283/2010-01</t>
  </si>
  <si>
    <t>paracetamol +  cloridrato de fenilefrina + maleato de clorfeniramina</t>
  </si>
  <si>
    <t>400 MG + 4 MG + 4 MG</t>
  </si>
  <si>
    <t>Novo</t>
  </si>
  <si>
    <t xml:space="preserve">Registro de Concentração Nova no País </t>
  </si>
  <si>
    <t>25351.308168/2012-12</t>
  </si>
  <si>
    <t>25351.642870/2009-84</t>
  </si>
  <si>
    <t>sulfato ferroso heptaidratado + ácido fosfórico</t>
  </si>
  <si>
    <t>Inclusão de Sabor/odor/cor (Sabor guaraná e morango)</t>
  </si>
  <si>
    <t>tartarato de brimonidina</t>
  </si>
  <si>
    <t>25351.555217/2012-22</t>
  </si>
  <si>
    <t>paracetamol + ácido acetilsalicílico + cafeína</t>
  </si>
  <si>
    <t>25351.637612/2009-19</t>
  </si>
  <si>
    <t>citrato de colina + betaína + (racemetionina) DL-metionina</t>
  </si>
  <si>
    <t xml:space="preserve">Inclusão de Nova Apresentação por Alteração de Sabor                                </t>
  </si>
  <si>
    <t>25351.637887/2009-02</t>
  </si>
  <si>
    <t>bicarbonato de sódio + carbonato de sódio + ácido cítrico</t>
  </si>
  <si>
    <t xml:space="preserve">Estomazil Sachê (sabor limão e sem sabor)     </t>
  </si>
  <si>
    <t>25351.544344/2012-18</t>
  </si>
  <si>
    <t>esomeprazol magnésio</t>
  </si>
  <si>
    <t>25351.637088/2010-36</t>
  </si>
  <si>
    <t>Fonergin</t>
  </si>
  <si>
    <t>cloridrato de benzidamina</t>
  </si>
  <si>
    <t xml:space="preserve">25351.058294/2012-88 </t>
  </si>
  <si>
    <t>diclofenaco dietilamônio</t>
  </si>
  <si>
    <t>25351.058321/2012-82</t>
  </si>
  <si>
    <t>25351.606215/2010-78</t>
  </si>
  <si>
    <t>Glaucoliv</t>
  </si>
  <si>
    <t>maleato de timolol</t>
  </si>
  <si>
    <t>25351.637570/2009-67</t>
  </si>
  <si>
    <t>cloreto de cetilpiridínio</t>
  </si>
  <si>
    <t>Gurgol (Sabor ice, menta e frutas vermelhas)</t>
  </si>
  <si>
    <t>25351.381389/2012-23</t>
  </si>
  <si>
    <t>Lacrilax</t>
  </si>
  <si>
    <t>25351.317201/2011-57</t>
  </si>
  <si>
    <t>Lopigrel</t>
  </si>
  <si>
    <t>75mg</t>
  </si>
  <si>
    <t>25351.724876/2010-23</t>
  </si>
  <si>
    <t>Maxsulid Retard</t>
  </si>
  <si>
    <t>200mg</t>
  </si>
  <si>
    <t>25351.506027/2011-11</t>
  </si>
  <si>
    <t>Minusté</t>
  </si>
  <si>
    <t>epigalocatequina galato</t>
  </si>
  <si>
    <t>150mg</t>
  </si>
  <si>
    <t>25351.380703/2012-55</t>
  </si>
  <si>
    <t>Ofloxino</t>
  </si>
  <si>
    <t>ofloxacino</t>
  </si>
  <si>
    <t>25351.318661/2011-00</t>
  </si>
  <si>
    <t>Peridal</t>
  </si>
  <si>
    <t>domperidona</t>
  </si>
  <si>
    <t>25351.380629/2012-49</t>
  </si>
  <si>
    <t>Pressaliv</t>
  </si>
  <si>
    <t>cloridrato de dorzolamida + maleato de timolol</t>
  </si>
  <si>
    <t>20mg/mL</t>
  </si>
  <si>
    <t xml:space="preserve"> 25351.576237/2010-17</t>
  </si>
  <si>
    <t>Sinafil</t>
  </si>
  <si>
    <t>citrato de sildenafila</t>
  </si>
  <si>
    <t>25351.420859/2012-56</t>
  </si>
  <si>
    <t>Tromin</t>
  </si>
  <si>
    <t>tobramicina</t>
  </si>
  <si>
    <t>3mg/mL</t>
  </si>
  <si>
    <t>25351.380691/2012-59</t>
  </si>
  <si>
    <t>cromoglicato dissódico</t>
  </si>
  <si>
    <t>20mg/mL e 40mg/mL</t>
  </si>
  <si>
    <t>25351.381408/2012-64</t>
  </si>
  <si>
    <t xml:space="preserve">Visaliv </t>
  </si>
  <si>
    <t>cloridrato de nafazolina + maleato de feniramina</t>
  </si>
  <si>
    <t>0,25mg/mL + 3,0mg/mL</t>
  </si>
  <si>
    <t>25351.399458/2012-41</t>
  </si>
  <si>
    <t>1mg/mL</t>
  </si>
  <si>
    <t>25351.418437/2012-34</t>
  </si>
  <si>
    <t>Visomax</t>
  </si>
  <si>
    <t>cloridrato de nafazolina + sulfato de zinco</t>
  </si>
  <si>
    <t>0,15mg/mL</t>
  </si>
  <si>
    <t>25351.587899/2010-21</t>
  </si>
  <si>
    <t>Zoptpress</t>
  </si>
  <si>
    <t>cloridrato de dorzolamina</t>
  </si>
  <si>
    <t>25351.404135/2012-63</t>
  </si>
  <si>
    <t>Zybetax</t>
  </si>
  <si>
    <t>cloridrato de betaxolol</t>
  </si>
  <si>
    <t>Epocler (Sabor abacaxi, laranja, menta e lima-limão)</t>
  </si>
  <si>
    <t>Estomazil Frasco</t>
  </si>
  <si>
    <t>Fabricante do Fármaco</t>
  </si>
  <si>
    <t>Shandong Xinhua</t>
  </si>
  <si>
    <t>Lipoclin (Farmasa)</t>
  </si>
  <si>
    <t>120mg</t>
  </si>
  <si>
    <t>25351.498305/2012-35</t>
  </si>
  <si>
    <t>25351.316225/2010-31</t>
  </si>
  <si>
    <t xml:space="preserve">25351.659284/2010-23 </t>
  </si>
  <si>
    <t>Clidan B</t>
  </si>
  <si>
    <t xml:space="preserve">clindamicina + peróxido de bezoíla </t>
  </si>
  <si>
    <t>1,0% + 5,0%</t>
  </si>
  <si>
    <t>25351.088964/2009-51</t>
  </si>
  <si>
    <t>Coristina Expectorante</t>
  </si>
  <si>
    <t>guaifenesina</t>
  </si>
  <si>
    <t>16mg/mL e 17mg/mL</t>
  </si>
  <si>
    <t xml:space="preserve">25000.002183/79 </t>
  </si>
  <si>
    <t>maleato de dexclorfeniramina</t>
  </si>
  <si>
    <t>10 MG/G</t>
  </si>
  <si>
    <t>25351.174104/2010-44</t>
  </si>
  <si>
    <t>Nplate</t>
  </si>
  <si>
    <t>romiplostim</t>
  </si>
  <si>
    <t>0795508121</t>
  </si>
  <si>
    <t>799935106</t>
  </si>
  <si>
    <t>759878105</t>
  </si>
  <si>
    <t>840603101</t>
  </si>
  <si>
    <t>440892116</t>
  </si>
  <si>
    <t>0083446127</t>
  </si>
  <si>
    <t>0083502121</t>
  </si>
  <si>
    <t>0545141128</t>
  </si>
  <si>
    <t>0544199124</t>
  </si>
  <si>
    <t>0544069126</t>
  </si>
  <si>
    <t>0544139121</t>
  </si>
  <si>
    <t xml:space="preserve">0780077121 </t>
  </si>
  <si>
    <t>0545175122</t>
  </si>
  <si>
    <t>0569801124</t>
  </si>
  <si>
    <t>0598378129</t>
  </si>
  <si>
    <t>0601853120</t>
  </si>
  <si>
    <t>0714986127</t>
  </si>
  <si>
    <t>870659100</t>
  </si>
  <si>
    <t>229757104</t>
  </si>
  <si>
    <t>0854082129</t>
  </si>
  <si>
    <t>704833105</t>
  </si>
  <si>
    <t>0215290128</t>
  </si>
  <si>
    <t>0440920125</t>
  </si>
  <si>
    <t>0535774128</t>
  </si>
  <si>
    <t>682232081</t>
  </si>
  <si>
    <t>25351.653557/2012-18</t>
  </si>
  <si>
    <t>0936988121</t>
  </si>
  <si>
    <t>25351.555617/2011-09</t>
  </si>
  <si>
    <t>0937082120</t>
  </si>
  <si>
    <t xml:space="preserve">25351.653637/2012-82 </t>
  </si>
  <si>
    <t>Empresa</t>
  </si>
  <si>
    <t>Cosmed</t>
  </si>
  <si>
    <t>Neo Química</t>
  </si>
  <si>
    <t>Flomicin</t>
  </si>
  <si>
    <t>Saccharomyces Boulardii</t>
  </si>
  <si>
    <t>Gnosis</t>
  </si>
  <si>
    <t>levonorgestrel</t>
  </si>
  <si>
    <t>Beijing Keyfeng</t>
  </si>
  <si>
    <t>0,75mg</t>
  </si>
  <si>
    <t>Neodia</t>
  </si>
  <si>
    <t>brometo de pinavério</t>
  </si>
  <si>
    <t>Iffect</t>
  </si>
  <si>
    <t>50 e 100mg</t>
  </si>
  <si>
    <t>telmisartana</t>
  </si>
  <si>
    <t>Addera D3</t>
  </si>
  <si>
    <t>levofloxacino</t>
  </si>
  <si>
    <t>cinarizina</t>
  </si>
  <si>
    <t>passiflora incarnata L</t>
  </si>
  <si>
    <t>40mg e 80mg</t>
  </si>
  <si>
    <t>1.000; 5.000; 7.000; 10.000 e 50.000 UI</t>
  </si>
  <si>
    <t>500mg</t>
  </si>
  <si>
    <t>25mg e 75mg</t>
  </si>
  <si>
    <t>20mg</t>
  </si>
  <si>
    <t>25351.678784/2012-85</t>
  </si>
  <si>
    <t>25351.711501/2012-76</t>
  </si>
  <si>
    <t>0976978121</t>
  </si>
  <si>
    <t>0984864129</t>
  </si>
  <si>
    <t>0980649121</t>
  </si>
  <si>
    <t>25351.682090/2012-11</t>
  </si>
  <si>
    <t>25351.687892/2012-46</t>
  </si>
  <si>
    <t>25351.005527/2013-72</t>
  </si>
  <si>
    <t>25351.730992/2013-41</t>
  </si>
  <si>
    <t>1044444131</t>
  </si>
  <si>
    <t>25351.651342/2009-27</t>
  </si>
  <si>
    <t>1044942136</t>
  </si>
  <si>
    <t>25351.005329/2013-18</t>
  </si>
  <si>
    <t>0007785132</t>
  </si>
  <si>
    <t>25351.731019/2013-12</t>
  </si>
  <si>
    <t>1044466131</t>
  </si>
  <si>
    <t>25351.009200/2013-11</t>
  </si>
  <si>
    <t>25351.016899/2013-63</t>
  </si>
  <si>
    <t>Rakshit Drugs</t>
  </si>
  <si>
    <t>Zhejiang Tianyu</t>
  </si>
  <si>
    <t>Flemings</t>
  </si>
  <si>
    <t>Shangyu Jingxin</t>
  </si>
  <si>
    <t>25351.497320/2012-47</t>
  </si>
  <si>
    <t>Fosfosol</t>
  </si>
  <si>
    <t>aspartato de arginina</t>
  </si>
  <si>
    <t>25351.082856/2013-51</t>
  </si>
  <si>
    <t>25351.066587/2013-21</t>
  </si>
  <si>
    <t>Floxneo</t>
  </si>
  <si>
    <t>Status</t>
  </si>
  <si>
    <t>25351002156/2011-32</t>
  </si>
  <si>
    <t xml:space="preserve">azitromicina </t>
  </si>
  <si>
    <t>25992.016857/75</t>
  </si>
  <si>
    <t>Histamin</t>
  </si>
  <si>
    <t xml:space="preserve">maleato de dexclorfeniramina </t>
  </si>
  <si>
    <t>25000.008732/96-11</t>
  </si>
  <si>
    <t>xarope</t>
  </si>
  <si>
    <t>25351.452599/2005-27</t>
  </si>
  <si>
    <t>854981088</t>
  </si>
  <si>
    <t>197529133</t>
  </si>
  <si>
    <t>25351.139207/2013-56</t>
  </si>
  <si>
    <t>0223640131</t>
  </si>
  <si>
    <t>25351.155198/2013-29</t>
  </si>
  <si>
    <t>0220042132</t>
  </si>
  <si>
    <t>Fabricante</t>
  </si>
  <si>
    <t>Data da publicação</t>
  </si>
  <si>
    <t>25351.008937/2007-59</t>
  </si>
  <si>
    <t>emulsão oral</t>
  </si>
  <si>
    <t>011215/07-1</t>
  </si>
  <si>
    <t>25351.129766/2008-81 </t>
  </si>
  <si>
    <t>165481/08-1 </t>
  </si>
  <si>
    <t>25351.410584/2007-53</t>
  </si>
  <si>
    <t>530061/07-4</t>
  </si>
  <si>
    <t>25351.299319/2008-99</t>
  </si>
  <si>
    <t>379670/08-1</t>
  </si>
  <si>
    <t>25351.303951/2007-63</t>
  </si>
  <si>
    <t>391904/07-8</t>
  </si>
  <si>
    <t>25351.647083/2007-21</t>
  </si>
  <si>
    <t>cloridrato de dobutamina</t>
  </si>
  <si>
    <t>80448/07-1</t>
  </si>
  <si>
    <t>25351.162667/2008-10 </t>
  </si>
  <si>
    <t>diclofenaco sódico</t>
  </si>
  <si>
    <t>206591/08-6</t>
  </si>
  <si>
    <t>25351.579717/2007-13</t>
  </si>
  <si>
    <t>753793/07-6</t>
  </si>
  <si>
    <t>25351.472117/2007-17</t>
  </si>
  <si>
    <t>601950/07-1</t>
  </si>
  <si>
    <t>Optneo</t>
  </si>
  <si>
    <t>167323/08-8</t>
  </si>
  <si>
    <t>25000.025736/96-18</t>
  </si>
  <si>
    <t>Fotax</t>
  </si>
  <si>
    <t>cefotaxima sódica</t>
  </si>
  <si>
    <t>477710/08-7</t>
  </si>
  <si>
    <t>217510/08-0</t>
  </si>
  <si>
    <t>25351.050501/2008-43</t>
  </si>
  <si>
    <t>064567/08-2</t>
  </si>
  <si>
    <t>25351.058620/2008-44 </t>
  </si>
  <si>
    <t>077227/08-5</t>
  </si>
  <si>
    <t>25351.257720/2005-17</t>
  </si>
  <si>
    <t>atenolol</t>
  </si>
  <si>
    <t>comprimido</t>
  </si>
  <si>
    <t>305725/05-9</t>
  </si>
  <si>
    <t>25351.064642/2008-43 </t>
  </si>
  <si>
    <t>085445/08-0</t>
  </si>
  <si>
    <t>25351.224609/08-89</t>
  </si>
  <si>
    <t>Dienzepax</t>
  </si>
  <si>
    <t>diazepam</t>
  </si>
  <si>
    <t>5mg e 10mg</t>
  </si>
  <si>
    <t>284618/08-7</t>
  </si>
  <si>
    <t>25351.399200/08-15</t>
  </si>
  <si>
    <t>Veruf</t>
  </si>
  <si>
    <t>ácido fusídico</t>
  </si>
  <si>
    <t>20mg/g</t>
  </si>
  <si>
    <t>519091/08-6</t>
  </si>
  <si>
    <t>25351.303989/2008-17</t>
  </si>
  <si>
    <t>385172/08-9</t>
  </si>
  <si>
    <t>25351.399059/2008-51</t>
  </si>
  <si>
    <t>518850/08-4</t>
  </si>
  <si>
    <t>25351.018810/2008-29</t>
  </si>
  <si>
    <t xml:space="preserve">cloridrato de terbinafina </t>
  </si>
  <si>
    <t>023915/08-1</t>
  </si>
  <si>
    <t>25351.605156/2007-15</t>
  </si>
  <si>
    <t xml:space="preserve">cromoglicato dissódico </t>
  </si>
  <si>
    <t>754219/07-4</t>
  </si>
  <si>
    <t>40mg/mL</t>
  </si>
  <si>
    <t>25351.060866/2008-86 </t>
  </si>
  <si>
    <t xml:space="preserve">bromoprida </t>
  </si>
  <si>
    <t>4mg/mL</t>
  </si>
  <si>
    <t>080508/08-4</t>
  </si>
  <si>
    <t>25351.019232/2008-48</t>
  </si>
  <si>
    <t xml:space="preserve">cloranfenicol </t>
  </si>
  <si>
    <t>024398/08-1</t>
  </si>
  <si>
    <t>14</t>
  </si>
  <si>
    <t>25351.021471/2008-68</t>
  </si>
  <si>
    <t>cetorolaco de trometamol</t>
  </si>
  <si>
    <t>027273/08-6</t>
  </si>
  <si>
    <t>25351.018707/2008-89</t>
  </si>
  <si>
    <t>Neocular</t>
  </si>
  <si>
    <t xml:space="preserve">cetorolaco de trometamol </t>
  </si>
  <si>
    <t>25000.020906/97-31</t>
  </si>
  <si>
    <t>Tiloxineo</t>
  </si>
  <si>
    <t>tenoxicam</t>
  </si>
  <si>
    <t>086934/08-1</t>
  </si>
  <si>
    <t>25351.389613/2007-19 </t>
  </si>
  <si>
    <t xml:space="preserve">dimeticona </t>
  </si>
  <si>
    <t xml:space="preserve">40mg  </t>
  </si>
  <si>
    <t>502596/07-6</t>
  </si>
  <si>
    <t>25351.518611/08-16</t>
  </si>
  <si>
    <t>Neo Fólico</t>
  </si>
  <si>
    <t>ácido fólico</t>
  </si>
  <si>
    <t>5mg</t>
  </si>
  <si>
    <t>677189/08-1</t>
  </si>
  <si>
    <t>8</t>
  </si>
  <si>
    <t>digluconato de clorexidina</t>
  </si>
  <si>
    <t>solução tópica</t>
  </si>
  <si>
    <t>10mg/mL</t>
  </si>
  <si>
    <t>Verumil</t>
  </si>
  <si>
    <t>creme</t>
  </si>
  <si>
    <t>25351.304228/08-82</t>
  </si>
  <si>
    <t>Neofloxin</t>
  </si>
  <si>
    <t>norfloxacino</t>
  </si>
  <si>
    <t>385461/08-2</t>
  </si>
  <si>
    <t>25352.625923/07-94</t>
  </si>
  <si>
    <t>0255430/08-2</t>
  </si>
  <si>
    <t>17</t>
  </si>
  <si>
    <t>25351.495127/08-10</t>
  </si>
  <si>
    <t>cloridrato de tiamina</t>
  </si>
  <si>
    <t>647813/08-1</t>
  </si>
  <si>
    <t>25351.151906/2008-06</t>
  </si>
  <si>
    <t>fumarato de cetotifeno</t>
  </si>
  <si>
    <t>193289/08-6</t>
  </si>
  <si>
    <t>25351.195309/2009-05</t>
  </si>
  <si>
    <t>Amana</t>
  </si>
  <si>
    <t>-</t>
  </si>
  <si>
    <t>252569/09-1</t>
  </si>
  <si>
    <t>25351.452460/08-26</t>
  </si>
  <si>
    <t xml:space="preserve">atenolol  </t>
  </si>
  <si>
    <t>595860/08-1</t>
  </si>
  <si>
    <t>50mg</t>
  </si>
  <si>
    <t>25351.707381/2008-68</t>
  </si>
  <si>
    <t>Clanistil</t>
  </si>
  <si>
    <t xml:space="preserve">maleato de feniramina + cloridrato de nafazolina </t>
  </si>
  <si>
    <t>30mg/mL + 20mg/mL</t>
  </si>
  <si>
    <t>908939/08-0</t>
  </si>
  <si>
    <t>2mg/mL</t>
  </si>
  <si>
    <t>25351.075348/2008-67 </t>
  </si>
  <si>
    <t xml:space="preserve">losartana potássica </t>
  </si>
  <si>
    <t>099503/08-7</t>
  </si>
  <si>
    <t>Neo Digoxin</t>
  </si>
  <si>
    <t>digoxina</t>
  </si>
  <si>
    <t>0,25mg</t>
  </si>
  <si>
    <t>736335/08-4</t>
  </si>
  <si>
    <t>25351.860456/2008-24</t>
  </si>
  <si>
    <t>Perfectha</t>
  </si>
  <si>
    <t>ácido hialurônico</t>
  </si>
  <si>
    <t>302962/08-0</t>
  </si>
  <si>
    <t>25351.704910/2008-71</t>
  </si>
  <si>
    <t xml:space="preserve">2mg </t>
  </si>
  <si>
    <t>905936/08-9 </t>
  </si>
  <si>
    <t>25351.074134/2005-21</t>
  </si>
  <si>
    <t xml:space="preserve">digoxina </t>
  </si>
  <si>
    <t>088051/05-5</t>
  </si>
  <si>
    <t>25351.211967/2008-21</t>
  </si>
  <si>
    <t xml:space="preserve">ofloxacino </t>
  </si>
  <si>
    <t>268409/08-8</t>
  </si>
  <si>
    <t>25351.108131/2009-01</t>
  </si>
  <si>
    <t xml:space="preserve">ibuprofeno   </t>
  </si>
  <si>
    <t>138585/09-2</t>
  </si>
  <si>
    <t>25351.161386/2009-97</t>
  </si>
  <si>
    <t>clotrimazol</t>
  </si>
  <si>
    <t>creme vaginal</t>
  </si>
  <si>
    <t>210231/09-5</t>
  </si>
  <si>
    <t>25000.009995/97-38</t>
  </si>
  <si>
    <t>Neosoro nebulizador</t>
  </si>
  <si>
    <t>cloreto de sódio</t>
  </si>
  <si>
    <t>solução nasal</t>
  </si>
  <si>
    <t>0,5mg/mL</t>
  </si>
  <si>
    <t>790321/08-9</t>
  </si>
  <si>
    <t>25351.014663/2010-46</t>
  </si>
  <si>
    <t>Lansilat</t>
  </si>
  <si>
    <t>lanolina</t>
  </si>
  <si>
    <t>25351.224697/2008-19 </t>
  </si>
  <si>
    <t>284734/08-5 </t>
  </si>
  <si>
    <t>25351.127719/2009-13</t>
  </si>
  <si>
    <t>acetonido de triancinolona + associações</t>
  </si>
  <si>
    <t>pomada</t>
  </si>
  <si>
    <t>1mg/g + 2,5mg/g + 0,25mg/g + 100.000UI/g</t>
  </si>
  <si>
    <t>165357/09-1</t>
  </si>
  <si>
    <t>25351.259899/2007-09</t>
  </si>
  <si>
    <t xml:space="preserve">cloridrato de ciprofloxacino </t>
  </si>
  <si>
    <t>3,5mg/mL</t>
  </si>
  <si>
    <t>332960/07-7</t>
  </si>
  <si>
    <t>25351.138295/2009-02</t>
  </si>
  <si>
    <t>dipirona sódica + cafeína</t>
  </si>
  <si>
    <t xml:space="preserve">dipirona sódica  + cafeína </t>
  </si>
  <si>
    <t>500 mg + 65 mg</t>
  </si>
  <si>
    <t>179135/09-4</t>
  </si>
  <si>
    <t>25351.112291/2009-12</t>
  </si>
  <si>
    <t xml:space="preserve">glibenclamida </t>
  </si>
  <si>
    <t>glibenclamida</t>
  </si>
  <si>
    <t>143988/09-0</t>
  </si>
  <si>
    <t>25351.025771/2003-10</t>
  </si>
  <si>
    <t>hidroclorotiazida</t>
  </si>
  <si>
    <t>983617/08-9</t>
  </si>
  <si>
    <t>25351.170184/2009-19</t>
  </si>
  <si>
    <t xml:space="preserve">cloridrato de betaxolol </t>
  </si>
  <si>
    <t>221339/09-7</t>
  </si>
  <si>
    <t>25351180363/2002-31</t>
  </si>
  <si>
    <t xml:space="preserve">dipirona sódica </t>
  </si>
  <si>
    <t>1g</t>
  </si>
  <si>
    <t>647681/08-3</t>
  </si>
  <si>
    <t xml:space="preserve">25000.010716/96-99 </t>
  </si>
  <si>
    <t>Neo Loratadin</t>
  </si>
  <si>
    <t>loratadina</t>
  </si>
  <si>
    <t>1 mg/mL</t>
  </si>
  <si>
    <t>25351.214546/2009-63</t>
  </si>
  <si>
    <t>cloridrato de bromexina</t>
  </si>
  <si>
    <t>Vem Petrochem</t>
  </si>
  <si>
    <t xml:space="preserve">xarope </t>
  </si>
  <si>
    <t>276478/09-4</t>
  </si>
  <si>
    <t>25351.811350/2008-09 </t>
  </si>
  <si>
    <t>bromazepam</t>
  </si>
  <si>
    <t>Sintefina indústria e Comércio Ltda.</t>
  </si>
  <si>
    <t>3mg e 6mg</t>
  </si>
  <si>
    <t>778379/08-5 </t>
  </si>
  <si>
    <t>25351.314317/2009-07</t>
  </si>
  <si>
    <t xml:space="preserve">Bontoss </t>
  </si>
  <si>
    <t>403494/09-5</t>
  </si>
  <si>
    <t>25351.384414/2009-68</t>
  </si>
  <si>
    <t>Topliv</t>
  </si>
  <si>
    <t>furoato de mometasona</t>
  </si>
  <si>
    <t>Zheijiang Tiantai Aurisco</t>
  </si>
  <si>
    <t>1mg/g</t>
  </si>
  <si>
    <t>496441/09-1</t>
  </si>
  <si>
    <t>25000.029375/96-25</t>
  </si>
  <si>
    <t>Daktazol</t>
  </si>
  <si>
    <t xml:space="preserve">nitrato de miconazol </t>
  </si>
  <si>
    <t>Ms Girdhar    /  Formil</t>
  </si>
  <si>
    <t>391798/07-3</t>
  </si>
  <si>
    <t>25351.192994/2009-85</t>
  </si>
  <si>
    <t>cloridrato de tramadol</t>
  </si>
  <si>
    <t xml:space="preserve"> Cadila Healthcare</t>
  </si>
  <si>
    <t>249756/09-5</t>
  </si>
  <si>
    <t>25351.276537/2009-15</t>
  </si>
  <si>
    <t>Livzon New Nort River Pharmaceutical Co. Ltd.</t>
  </si>
  <si>
    <t>354936/09-4</t>
  </si>
  <si>
    <t>Aguardando Retificação de Publicação. O número de registro é do Neo Química e o detentor é a Hypermarcas</t>
  </si>
  <si>
    <t>25351.395976/2008-66</t>
  </si>
  <si>
    <t>metronidazol</t>
  </si>
  <si>
    <t xml:space="preserve">Formil Química </t>
  </si>
  <si>
    <t>geleia vaginal</t>
  </si>
  <si>
    <t>100mg/g</t>
  </si>
  <si>
    <t>514044/08-7</t>
  </si>
  <si>
    <t>Vem Petrochem Ltd</t>
  </si>
  <si>
    <t>solução oral</t>
  </si>
  <si>
    <t>418224/09-3</t>
  </si>
  <si>
    <t>482498/09-9</t>
  </si>
  <si>
    <t>Dorona Cafi</t>
  </si>
  <si>
    <t xml:space="preserve">D e C: Shandong Xinhua </t>
  </si>
  <si>
    <t>500mg + 65mg</t>
  </si>
  <si>
    <t>179104/09-4</t>
  </si>
  <si>
    <t xml:space="preserve">cloridrato de hidroxizina </t>
  </si>
  <si>
    <t>Zhejiang Warrant Ltd</t>
  </si>
  <si>
    <t>Tanyx</t>
  </si>
  <si>
    <t>diclofenaco sódio</t>
  </si>
  <si>
    <t xml:space="preserve"> Amoli Organics</t>
  </si>
  <si>
    <t>480987/09-4</t>
  </si>
  <si>
    <t>25351.009638/2010-32</t>
  </si>
  <si>
    <t>Neopantol</t>
  </si>
  <si>
    <t>dexpantenol</t>
  </si>
  <si>
    <t>Pomada</t>
  </si>
  <si>
    <t xml:space="preserve">25351.274415/2010-08 </t>
  </si>
  <si>
    <t>Betsona</t>
  </si>
  <si>
    <t xml:space="preserve">valerato de betametasona </t>
  </si>
  <si>
    <t xml:space="preserve">Newchem s.p.a </t>
  </si>
  <si>
    <t>solução capilar</t>
  </si>
  <si>
    <t>058044/07-9</t>
  </si>
  <si>
    <t xml:space="preserve">25351.267169/2010-88 </t>
  </si>
  <si>
    <t>Neo Clotrymazil</t>
  </si>
  <si>
    <t>Simstrading</t>
  </si>
  <si>
    <t>332235/09-1</t>
  </si>
  <si>
    <t>25351.238227/2009-11</t>
  </si>
  <si>
    <t>ciprofibrato</t>
  </si>
  <si>
    <t>Nexchem Pharmaceutical</t>
  </si>
  <si>
    <t>306389/09-5</t>
  </si>
  <si>
    <t xml:space="preserve">25351.314317/2009-07 </t>
  </si>
  <si>
    <t>Bontoss</t>
  </si>
  <si>
    <t>25351.463834/2009-35</t>
  </si>
  <si>
    <t>gabapentina</t>
  </si>
  <si>
    <t>Hikal Ltd</t>
  </si>
  <si>
    <t>600728/09-7</t>
  </si>
  <si>
    <t>25351.238197/2009-22</t>
  </si>
  <si>
    <t>Lipneo</t>
  </si>
  <si>
    <t>306345/09-3</t>
  </si>
  <si>
    <t>25351.267843/2010-49</t>
  </si>
  <si>
    <t>Termopirona</t>
  </si>
  <si>
    <t>Shandong Tinhua Pharmaceutical</t>
  </si>
  <si>
    <t>648790/08-4</t>
  </si>
  <si>
    <t>25351.580902/2010-84</t>
  </si>
  <si>
    <t>Neocal D</t>
  </si>
  <si>
    <t>carbonato de cálcio + vitamina D</t>
  </si>
  <si>
    <t>25351.224777/2008-74</t>
  </si>
  <si>
    <t>sulfato de neomicina + bacitracina</t>
  </si>
  <si>
    <t>N: Pharmacia &amp; Up Jonh
B: Alpharma AS</t>
  </si>
  <si>
    <t>5mg/g + 250UI/g</t>
  </si>
  <si>
    <t>25351.170236/2009-86</t>
  </si>
  <si>
    <t>Histamin Expecto</t>
  </si>
  <si>
    <t>maleato de dexclorfeniramina + sulf. pseudoefedrina + guaifenesina</t>
  </si>
  <si>
    <t>M: Nivedita Chemicals PVT. LTD                                                    SP: Nortec Química                                     G: Rhodia</t>
  </si>
  <si>
    <t>0,4mg/mL + 4mg/mL + 20mg/mL</t>
  </si>
  <si>
    <t>221426/09-1</t>
  </si>
  <si>
    <t>25351.170212/2009-36</t>
  </si>
  <si>
    <t>maleato de dexclorfeniramina + sulf. Pseudoefedrina + guaifenesina</t>
  </si>
  <si>
    <t>221383/09-4</t>
  </si>
  <si>
    <t xml:space="preserve">ibuprofeno </t>
  </si>
  <si>
    <t>146075/09-7</t>
  </si>
  <si>
    <t>25000.010716/96-99</t>
  </si>
  <si>
    <t>057582/09-8</t>
  </si>
  <si>
    <t>25351.105927/2009-11 </t>
  </si>
  <si>
    <t>ivermectina</t>
  </si>
  <si>
    <t>Huashu Pharmaceutical</t>
  </si>
  <si>
    <t>134883/09-3</t>
  </si>
  <si>
    <t>Loxam</t>
  </si>
  <si>
    <t>meloxicam</t>
  </si>
  <si>
    <t>Zhejiang Excel Pharmaceutical</t>
  </si>
  <si>
    <t>165433/08-1</t>
  </si>
  <si>
    <t>25351.415280/2010-92</t>
  </si>
  <si>
    <t>Sildenafil</t>
  </si>
  <si>
    <t>Rakshit Drugs Pvt Ltd</t>
  </si>
  <si>
    <t>542403/10-8</t>
  </si>
  <si>
    <t>25351.415365/2010-05</t>
  </si>
  <si>
    <t>Virineo</t>
  </si>
  <si>
    <t>542505101</t>
  </si>
  <si>
    <t>25351.105889/2009-76</t>
  </si>
  <si>
    <t>Iverneo</t>
  </si>
  <si>
    <t>6mg</t>
  </si>
  <si>
    <t>134813/09-2</t>
  </si>
  <si>
    <t>25351.122315/2009-72</t>
  </si>
  <si>
    <t xml:space="preserve">Neodia </t>
  </si>
  <si>
    <t>157489/09-2</t>
  </si>
  <si>
    <t>25351.119198/2009-96</t>
  </si>
  <si>
    <t>153493/09-9</t>
  </si>
  <si>
    <t xml:space="preserve">25351.551630/2010-85 </t>
  </si>
  <si>
    <t xml:space="preserve">clotrimazol </t>
  </si>
  <si>
    <t>Sims Trading</t>
  </si>
  <si>
    <t>727156105</t>
  </si>
  <si>
    <t>25351.376281/2009-05</t>
  </si>
  <si>
    <t>485740/09-2</t>
  </si>
  <si>
    <t>25351.112727/2010-78</t>
  </si>
  <si>
    <t>mesalazina</t>
  </si>
  <si>
    <t>Louyang Frangyuan Medical &amp; Chemical Co., Ltd</t>
  </si>
  <si>
    <t>800mg</t>
  </si>
  <si>
    <t>25351.551165/2010-23</t>
  </si>
  <si>
    <t>Farmak, A.S</t>
  </si>
  <si>
    <t>25351.551248/2010-20</t>
  </si>
  <si>
    <t>Nivedita Chemicals PVT</t>
  </si>
  <si>
    <t>2mg</t>
  </si>
  <si>
    <t>25351.551280/2010-36</t>
  </si>
  <si>
    <t>zhejiang Sanmen East-Asia  Pharmaceutical Co, Ltd</t>
  </si>
  <si>
    <t>25351.551612/2010-06</t>
  </si>
  <si>
    <t>N: Loba Feinche / F: Harika Drugs / F: Supriya Chemicals</t>
  </si>
  <si>
    <t>25351.758868/2010-39</t>
  </si>
  <si>
    <t>25000.010212/97-96</t>
  </si>
  <si>
    <t xml:space="preserve">Neocoflan </t>
  </si>
  <si>
    <t xml:space="preserve">diclofenaco dietilamônio </t>
  </si>
  <si>
    <t>Aarti Drugs Limited</t>
  </si>
  <si>
    <t>11,6mg/mL</t>
  </si>
  <si>
    <t>aerosol</t>
  </si>
  <si>
    <t>316557/09-4 </t>
  </si>
  <si>
    <t>Aguardando retificação. Publicado em nome do NQ (Publicada a retificação em 30/08/11)</t>
  </si>
  <si>
    <t>Nivedita Chemical</t>
  </si>
  <si>
    <t>602259076</t>
  </si>
  <si>
    <t>Aguardando retificação. Publicado em nome do NQ 
(Publicada retificação em 15/08/11)</t>
  </si>
  <si>
    <t>2,8mg/mL</t>
  </si>
  <si>
    <t>25351.112490/2010-83</t>
  </si>
  <si>
    <t>Mesaneo</t>
  </si>
  <si>
    <t>Aguardando retificação. Esta concentração não foi publicada</t>
  </si>
  <si>
    <t>25000.029720/96-11</t>
  </si>
  <si>
    <t>Neosulida</t>
  </si>
  <si>
    <t>gel dermatológico</t>
  </si>
  <si>
    <t>070532/08-2</t>
  </si>
  <si>
    <t>198765/08-8</t>
  </si>
  <si>
    <t>25351.333557/2010-57</t>
  </si>
  <si>
    <t>Medecell</t>
  </si>
  <si>
    <t>25351.331283/2010-78</t>
  </si>
  <si>
    <t>Perfectha Derm Subskin</t>
  </si>
  <si>
    <t>Obvieline</t>
  </si>
  <si>
    <t>25351.259597/2010-25</t>
  </si>
  <si>
    <t>Amilorid</t>
  </si>
  <si>
    <t xml:space="preserve">25mg + 2,5mg </t>
  </si>
  <si>
    <t>974689/08-7</t>
  </si>
  <si>
    <t>25351.092671/2010-35</t>
  </si>
  <si>
    <t xml:space="preserve">gabapentina </t>
  </si>
  <si>
    <t>1 - Hikal Ltd                                        2 -Shangai Coming Hi-Technology</t>
  </si>
  <si>
    <t>25351.267932/2010-19</t>
  </si>
  <si>
    <t>Miorrelax</t>
  </si>
  <si>
    <t>25351.551607/2010-13</t>
  </si>
  <si>
    <t>losartana potássica</t>
  </si>
  <si>
    <t>Registrado em nome da Hypermarcas - solicitada retificação de publicação em 26/12/11</t>
  </si>
  <si>
    <t>25351.311147/2008-39</t>
  </si>
  <si>
    <t>1) DSM Anti-Infectives Chimferm, S.A 
2) Lupin Limited</t>
  </si>
  <si>
    <t>250mg/5mL</t>
  </si>
  <si>
    <t>394121/08-3</t>
  </si>
  <si>
    <t>25351.247735/2009-10 </t>
  </si>
  <si>
    <t>espironolactona</t>
  </si>
  <si>
    <t>318719/09-5 </t>
  </si>
  <si>
    <t>25351.246260/2009-83 </t>
  </si>
  <si>
    <t>Aldneo</t>
  </si>
  <si>
    <t>316840/09-9 </t>
  </si>
  <si>
    <t>25351.529652/2009-18</t>
  </si>
  <si>
    <t>cloridrato de fluoxetina</t>
  </si>
  <si>
    <t>687454/09-1</t>
  </si>
  <si>
    <t>25351.589153/2009-44</t>
  </si>
  <si>
    <t>Timosopt</t>
  </si>
  <si>
    <t>766143/09-6 </t>
  </si>
  <si>
    <t>25351.093124/2010-88</t>
  </si>
  <si>
    <t>Gabarontin</t>
  </si>
  <si>
    <t xml:space="preserve">cápsula </t>
  </si>
  <si>
    <t>25351.150201/2010-92</t>
  </si>
  <si>
    <t>desonida</t>
  </si>
  <si>
    <t>1. Nexchem
2. Aarti Drugs</t>
  </si>
  <si>
    <t>0,5mg/g</t>
  </si>
  <si>
    <t>25351.150237/2010-19</t>
  </si>
  <si>
    <t>Desocare</t>
  </si>
  <si>
    <t>25351.182996/2011-99</t>
  </si>
  <si>
    <t>cilostazol - TEVA</t>
  </si>
  <si>
    <t>cilostazol</t>
  </si>
  <si>
    <t>Teva</t>
  </si>
  <si>
    <t>254890119</t>
  </si>
  <si>
    <t>25351.733819/2009-11</t>
  </si>
  <si>
    <t>N: Loba  Z: Vetec</t>
  </si>
  <si>
    <t>0,15mg/mL + 0,30mg/mL</t>
  </si>
  <si>
    <t>25351.673883/2009-51</t>
  </si>
  <si>
    <t>alprazolam</t>
  </si>
  <si>
    <t>0,25mg, 0,5mg, 1mg e 2mg</t>
  </si>
  <si>
    <t>25351.733725/2009-12</t>
  </si>
  <si>
    <t>Colírio Neo Brasil</t>
  </si>
  <si>
    <t xml:space="preserve">600mg </t>
  </si>
  <si>
    <t>25351.679377/2011-41</t>
  </si>
  <si>
    <t>tibolona</t>
  </si>
  <si>
    <t>Industriale Chimica</t>
  </si>
  <si>
    <t>2,5mg</t>
  </si>
  <si>
    <t>954023117</t>
  </si>
  <si>
    <t>25351.419949/2011-96</t>
  </si>
  <si>
    <t>Cebravasc</t>
  </si>
  <si>
    <t>586924112</t>
  </si>
  <si>
    <t>Faltou publicar o de 50mg. Solicitada retificação de publicação em 10/09/12</t>
  </si>
  <si>
    <t>25351.843463/2008-81</t>
  </si>
  <si>
    <t>045889089</t>
  </si>
  <si>
    <t>Publicado em nome da Hypermarcas. Solicitada retificação de publicação em 17/09/12</t>
  </si>
  <si>
    <t>25351.376320/2009-73</t>
  </si>
  <si>
    <t xml:space="preserve">cloridrato de oximetazolina </t>
  </si>
  <si>
    <t>25351.199506/2011-85</t>
  </si>
  <si>
    <t xml:space="preserve">278338110 </t>
  </si>
  <si>
    <t>25000.031465/97-30</t>
  </si>
  <si>
    <t>Neozolam</t>
  </si>
  <si>
    <t xml:space="preserve">alprazolam </t>
  </si>
  <si>
    <t>Sintefina</t>
  </si>
  <si>
    <t>679370093</t>
  </si>
  <si>
    <t>25351.686985/2011-51</t>
  </si>
  <si>
    <t>irbesartana</t>
  </si>
  <si>
    <t>Zheijiang Tiannyu
Zheijiang Huahai</t>
  </si>
  <si>
    <t>964481114</t>
  </si>
  <si>
    <t>25351.687007/2011-81</t>
  </si>
  <si>
    <t>964496112</t>
  </si>
  <si>
    <t>25351.270998/2010-77</t>
  </si>
  <si>
    <t>capsula mole</t>
  </si>
  <si>
    <t>184654120</t>
  </si>
  <si>
    <t>25351.298081/2008-84</t>
  </si>
  <si>
    <t>gotas</t>
  </si>
  <si>
    <t xml:space="preserve">comprimido </t>
  </si>
  <si>
    <t>25351.376310/2009-51</t>
  </si>
  <si>
    <t>Finacap</t>
  </si>
  <si>
    <t>finasterida</t>
  </si>
  <si>
    <t>25351.353477/2009-89</t>
  </si>
  <si>
    <t>mebendazol + tiabendazol</t>
  </si>
  <si>
    <t xml:space="preserve">mebendazol  + tiabendazol </t>
  </si>
  <si>
    <t xml:space="preserve">M: Formil                                        T: Nortec Química </t>
  </si>
  <si>
    <t>100mg/5mL + 166mg/5mL</t>
  </si>
  <si>
    <t>25351.383463/2009-21</t>
  </si>
  <si>
    <t>25351.448490/2009-18</t>
  </si>
  <si>
    <t>cloridrato de tetraciclina + anfotericina B</t>
  </si>
  <si>
    <t>T: Ningxia Qiyuan                             A: Synbiotics Ltd                            A: North China</t>
  </si>
  <si>
    <t>25mg/g + 12,5mg/g</t>
  </si>
  <si>
    <t>581052/09-3 </t>
  </si>
  <si>
    <t>Exigência cumprida em 01/03/10 (Expediente nº 165043/10-2). ARQUIVADO (DMF)
Processo arquivado em 08/10/10 devido ao não recebimento do DMF da MP tetraciclina</t>
  </si>
  <si>
    <t>25351.094025/2010-06</t>
  </si>
  <si>
    <t>Newchem
            Pharmacia &amp; Upjohn                  
Alpharma Kft
DSM Capua</t>
  </si>
  <si>
    <t>25351.010063/2011-58</t>
  </si>
  <si>
    <t>ciprofloxacino + dexametasona</t>
  </si>
  <si>
    <t xml:space="preserve">C: Zhejian Guoban Pharmaceutical Co.,Ltd
D: Newchem S.p.A.
</t>
  </si>
  <si>
    <t xml:space="preserve"> 3,5mg/mL + 1,0mg/mL</t>
  </si>
  <si>
    <t>014567110</t>
  </si>
  <si>
    <t>Processo Arquivado</t>
  </si>
  <si>
    <t>25351.010060/2011-71</t>
  </si>
  <si>
    <t>Proxacin D</t>
  </si>
  <si>
    <t>014560112</t>
  </si>
  <si>
    <t>25351.273664/2010-83</t>
  </si>
  <si>
    <t>Última exigência cumprida em 01/07/2011 sob expediente nº 568317113
Processo Arquivado</t>
  </si>
  <si>
    <t>25351.526082/2009-14</t>
  </si>
  <si>
    <t>Lilás</t>
  </si>
  <si>
    <t>682793/09-4</t>
  </si>
  <si>
    <t>Última exigência cumprida em 30/06/2011 sob expediente nº ANVISA2011062245PA</t>
  </si>
  <si>
    <t>25351.183720/2011-80</t>
  </si>
  <si>
    <t xml:space="preserve">valerato de betametasona +
sulfato de gentamicina +
tolnaftato +
clioquinol </t>
  </si>
  <si>
    <t>V: Newchem / Insswift
G: Yantai Justaware
T: Aarti Drugs
C: Synthexim</t>
  </si>
  <si>
    <t>0,5mg/g
1,0mg/g
10mg/g
10mg/g</t>
  </si>
  <si>
    <t>255986112</t>
  </si>
  <si>
    <t>gel</t>
  </si>
  <si>
    <t>1. Cadila healthcare
2. Glenmark</t>
  </si>
  <si>
    <t>AC: Taizhou taifa
E: Beyjing
Qualificação
AC: Newchem</t>
  </si>
  <si>
    <t>AC: Taizhou taifa
E: Beyjing
Qualificação
AC: Newchem</t>
  </si>
  <si>
    <t>Brainfarma</t>
  </si>
  <si>
    <t>Torsilax</t>
  </si>
  <si>
    <t xml:space="preserve"> (carisoprodol 125mg+diclofenaco sódico 50mg  + paracetamol 300mg + cafeína 30mg) caixa com 6 e 8 comprimidos</t>
  </si>
  <si>
    <t>0299206130 </t>
  </si>
  <si>
    <t xml:space="preserve">25351.539304/2011-99  </t>
  </si>
  <si>
    <t xml:space="preserve">Milena </t>
  </si>
  <si>
    <t xml:space="preserve">25351.756250/2008-71 </t>
  </si>
  <si>
    <t>fosfato sódico de prednisolona</t>
  </si>
  <si>
    <t>11mg/mL</t>
  </si>
  <si>
    <t>0,5mg/g + 1mg/g + 10mg/g + 10mg/g</t>
  </si>
  <si>
    <t>A documentação foi arquivada por solicitação da empresa.</t>
  </si>
  <si>
    <t>Neosartan</t>
  </si>
  <si>
    <t>Estomazil</t>
  </si>
  <si>
    <t>bicarbonato de sódio 462mg/g + carbonato de sódio 90mg/g + ácido cítrico 438mg/g</t>
  </si>
  <si>
    <t>Anaseptil Care</t>
  </si>
  <si>
    <t>462mg/g +  90mg/g + 438mg/g</t>
  </si>
  <si>
    <t>25351.375687/2013-76</t>
  </si>
  <si>
    <t>25351.379334/2013-75</t>
  </si>
  <si>
    <t>25351.388674/2013-69</t>
  </si>
  <si>
    <t xml:space="preserve">25351.637887/2009-02
</t>
  </si>
  <si>
    <t>teicoplanina</t>
  </si>
  <si>
    <t xml:space="preserve">teicoplanina </t>
  </si>
  <si>
    <t>25351.643877/2009-75</t>
  </si>
  <si>
    <t>Engov</t>
  </si>
  <si>
    <t>maleato de mepiramina
hidróxido de alumínio
ácido acetilsalicílico
cafeína</t>
  </si>
  <si>
    <t>novo</t>
  </si>
  <si>
    <t>25351.179977/2013-11</t>
  </si>
  <si>
    <t>levonorgestrel + etinilestradiol</t>
  </si>
  <si>
    <t xml:space="preserve">clortalidona </t>
  </si>
  <si>
    <t>25351.441358/2013-20</t>
  </si>
  <si>
    <t>IPCA</t>
  </si>
  <si>
    <t>0,15 + 0,03mg</t>
  </si>
  <si>
    <t>25mg e 50mg</t>
  </si>
  <si>
    <t>bacitracina zíncica + sulfato de neomicina</t>
  </si>
  <si>
    <t>250 UI/g + 5 mg/g</t>
  </si>
  <si>
    <t xml:space="preserve"> Fabricante bacitracina zíncica: Alpharma S.A.;
 sulfato de neomicina: Pharmacia Upjohn 
</t>
  </si>
  <si>
    <t>25351.651507/2009-11</t>
  </si>
  <si>
    <t>Hypermarcas</t>
  </si>
  <si>
    <t>25351.075935/2013-11</t>
  </si>
  <si>
    <t>Migranex</t>
  </si>
  <si>
    <t>cafeína + AAS + paracetamol</t>
  </si>
  <si>
    <t>Registro de Medicamento Similar, em conformidade com o art. 2º da IN 06/2008</t>
  </si>
  <si>
    <t>25351.441490/2013-99</t>
  </si>
  <si>
    <t>bromigan</t>
  </si>
  <si>
    <t>olmesartana medoxomila + hidroclorotiazida</t>
  </si>
  <si>
    <t>25351.480009/2013-05</t>
  </si>
  <si>
    <t>20mg + 12,5mg
40mg + 25mg</t>
  </si>
  <si>
    <t>11,6mg/g</t>
  </si>
  <si>
    <t>25351.459025/2013-51</t>
  </si>
  <si>
    <t>cetorolaco trometamol</t>
  </si>
  <si>
    <t>notificação simplificada</t>
  </si>
  <si>
    <t>25351.496292/2013-84</t>
  </si>
  <si>
    <t>lorazepam</t>
  </si>
  <si>
    <t>atenolol + clortalidona</t>
  </si>
  <si>
    <t>Helidera</t>
  </si>
  <si>
    <t xml:space="preserve">hedera helix </t>
  </si>
  <si>
    <t>N/A</t>
  </si>
  <si>
    <t>25351.530450/2013-13</t>
  </si>
  <si>
    <t>15mg/mL do extrato</t>
  </si>
  <si>
    <t>Tônico Blumen</t>
  </si>
  <si>
    <t xml:space="preserve">0,833mg/mL + 4,666mg/ml </t>
  </si>
  <si>
    <t>Inclusão de Sabor/odor/cor (Sabor guaraná e morango) - aditamento</t>
  </si>
  <si>
    <t>462mg/g+90mg/g + 438mg/g</t>
  </si>
  <si>
    <t>olmesartana medoxomila</t>
  </si>
  <si>
    <t xml:space="preserve">olmesartana medoxomila </t>
  </si>
  <si>
    <t>dipirona sódica monoidratada + fosfato de codeína</t>
  </si>
  <si>
    <t>1000mg + 30mg</t>
  </si>
  <si>
    <t>25351.546810/2013-61</t>
  </si>
  <si>
    <t>25351.191063/2011-68</t>
  </si>
  <si>
    <t>266250117</t>
  </si>
  <si>
    <t xml:space="preserve">World (Jiangsu) Industry </t>
  </si>
  <si>
    <t>25351.043467/2012-32</t>
  </si>
  <si>
    <t>25351.233008/2010-51</t>
  </si>
  <si>
    <t>25351.551256/2010-45</t>
  </si>
  <si>
    <t xml:space="preserve">registro de medicamento </t>
  </si>
  <si>
    <t>Virilon Ginseng</t>
  </si>
  <si>
    <t>25351.541097/2013-27</t>
  </si>
  <si>
    <t xml:space="preserve">1. principal: Jubilant Organosys Ltd;
2. Qualificação aditado: Dr. Reddy's </t>
  </si>
  <si>
    <t>Neosval HCT</t>
  </si>
  <si>
    <t>Tamarine</t>
  </si>
  <si>
    <t>Cassia angustifolia + Cassia fistula</t>
  </si>
  <si>
    <t>29,268mg + 23,4mg</t>
  </si>
  <si>
    <t>fitoterápico</t>
  </si>
  <si>
    <t>40mg, 80, 160,320mg</t>
  </si>
  <si>
    <t>2,0mg/mL , 5,0mg/mL</t>
  </si>
  <si>
    <t xml:space="preserve">2,5mg/mL, 5,0mg/mL </t>
  </si>
  <si>
    <t xml:space="preserve"> 500mcg, 250mcg</t>
  </si>
  <si>
    <t>0055865136</t>
  </si>
  <si>
    <t>0256020138</t>
  </si>
  <si>
    <t>0117420137</t>
  </si>
  <si>
    <t xml:space="preserve">0365034131
</t>
  </si>
  <si>
    <t>0625183138</t>
  </si>
  <si>
    <t>0643585138</t>
  </si>
  <si>
    <t>0651662139</t>
  </si>
  <si>
    <t>0684153138</t>
  </si>
  <si>
    <t>0708188130</t>
  </si>
  <si>
    <t>0708220137</t>
  </si>
  <si>
    <t>25351.561807/2013-17</t>
  </si>
  <si>
    <t>valsartana + anlodipino</t>
  </si>
  <si>
    <t>desogestrel + etinilestradiol</t>
  </si>
  <si>
    <t xml:space="preserve">desogestrel + etinilestradiol </t>
  </si>
  <si>
    <t>80mg + 5mg / 160mg + 5mg / 160mg + 10mg / 320mg + 5mg / 320mg + 10mg</t>
  </si>
  <si>
    <t>25351.666662/2013-52</t>
  </si>
  <si>
    <t>Priorização de análise - Embasado na RDC 28/2007</t>
  </si>
  <si>
    <t>0956443/13-8</t>
  </si>
  <si>
    <t>25351.649198/2013-41</t>
  </si>
  <si>
    <t>0,15mg + 0,03mg</t>
  </si>
  <si>
    <t xml:space="preserve">25351.651432/2013-91 </t>
  </si>
  <si>
    <t xml:space="preserve">25351.663841/2013-02 </t>
  </si>
  <si>
    <t>Doril Enxaqueca</t>
  </si>
  <si>
    <t>25351.676885/2013-82</t>
  </si>
  <si>
    <t xml:space="preserve"> 2,0mg + 0,035mg </t>
  </si>
  <si>
    <t>25351.676454/2013-60</t>
  </si>
  <si>
    <t>Solicitado encerramento de petição em 25/06/2013. Já se encontra como petição encerrada no site (DECISÃO DO COMITÊ REGULATÓRIO)</t>
  </si>
  <si>
    <t xml:space="preserve">25351.565284/2013-26 </t>
  </si>
  <si>
    <t>Solicitado encerramento de petição em 21/11/2013. 
por solicitação da Diretoria / MKT - baixo volume de vendas - protocolado em 21/11/2013 sob número de expediente 0980130/13-8.</t>
  </si>
  <si>
    <t>Solicitado encerramento de petição em 21/11/2013. 
por solicitação da Diretoria / MKT - baixo volume de vendas - protocolado em 21/11/2013 sob número de expediente 0980120/13-1.</t>
  </si>
  <si>
    <t>763273098</t>
  </si>
  <si>
    <t xml:space="preserve">Hypermarcas </t>
  </si>
  <si>
    <t>Calmyline</t>
  </si>
  <si>
    <t>0929690135</t>
  </si>
  <si>
    <t xml:space="preserve">0932913137 </t>
  </si>
  <si>
    <t xml:space="preserve">0950647131 </t>
  </si>
  <si>
    <t>0241155135</t>
  </si>
  <si>
    <t>25351.555628/2011-43</t>
  </si>
  <si>
    <t xml:space="preserve">Acetato de Ciproterona: Taizhou Taifa e Newchem
Etinilestradiol: Beijing Keyifeng.
</t>
  </si>
  <si>
    <t xml:space="preserve">Flomicin </t>
  </si>
  <si>
    <t xml:space="preserve">25351.696434/2013-12 </t>
  </si>
  <si>
    <t xml:space="preserve">25351.706312/2013-72 </t>
  </si>
  <si>
    <t xml:space="preserve">25351.697950/2013-83 </t>
  </si>
  <si>
    <t xml:space="preserve">Saccharomyces boulardii </t>
  </si>
  <si>
    <t xml:space="preserve">25351.648451/2013-13 </t>
  </si>
  <si>
    <t>cloridrato de olopatadina</t>
  </si>
  <si>
    <t xml:space="preserve">25351.718749/2013-44 </t>
  </si>
  <si>
    <t xml:space="preserve"> 1,11mg/mL e 2,22mg/mL</t>
  </si>
  <si>
    <t>1,11mg/mL e 2,22mg/mL</t>
  </si>
  <si>
    <t xml:space="preserve">25351.727699/2013-11 </t>
  </si>
  <si>
    <t>Aarti Drugs</t>
  </si>
  <si>
    <t>25351.732157/2013-37</t>
  </si>
  <si>
    <t xml:space="preserve">Maracugina  </t>
  </si>
  <si>
    <t>25351.316468/2012-31</t>
  </si>
  <si>
    <t xml:space="preserve">Helidera </t>
  </si>
  <si>
    <t>Heldera Helix</t>
  </si>
  <si>
    <t>75mcg</t>
  </si>
  <si>
    <t xml:space="preserve">montelucaste de sódio  </t>
  </si>
  <si>
    <t xml:space="preserve">hidrogenotartarato de rivastigmina  </t>
  </si>
  <si>
    <t>4mg e 5mg</t>
  </si>
  <si>
    <t xml:space="preserve">1,5mg / 3,0mg / 4,5mg / 6,0mg </t>
  </si>
  <si>
    <t>comprimido mastigável</t>
  </si>
  <si>
    <t>cápsula dura</t>
  </si>
  <si>
    <t>25351.746408/2013-90</t>
  </si>
  <si>
    <t>25351.746430/2013-22</t>
  </si>
  <si>
    <t>25351.684737/2012-64</t>
  </si>
  <si>
    <t>25351.746437/2013-16</t>
  </si>
  <si>
    <t xml:space="preserve">25351.744844/2013-94 </t>
  </si>
  <si>
    <t>500mg e 1g</t>
  </si>
  <si>
    <t>Carisoprodol: Fleming Laboratories                   Diclofenaco sódico: Aarti Drugs                                   Cafeína: Shandong Xinhua Paracetamol: Anqiu Lu'an</t>
  </si>
  <si>
    <t>montelucaste de sódio</t>
  </si>
  <si>
    <t xml:space="preserve"> 1,5mg / 3,0mg / 4,5mg/ 6,0mg  </t>
  </si>
  <si>
    <t>0954845139</t>
  </si>
  <si>
    <t>FILA</t>
  </si>
  <si>
    <t>Registro Gen e Sim</t>
  </si>
  <si>
    <t>0927618131</t>
  </si>
  <si>
    <t>12mg</t>
  </si>
  <si>
    <t>Dramavit B6</t>
  </si>
  <si>
    <t>dimenidrinato + piridoxina</t>
  </si>
  <si>
    <t>50mg + 10mg</t>
  </si>
  <si>
    <t>cetoprofeno</t>
  </si>
  <si>
    <t>25351.003667/2014-18</t>
  </si>
  <si>
    <t>25351.535300/2012-41</t>
  </si>
  <si>
    <t>25351.003995/2014-49</t>
  </si>
  <si>
    <t>25351.651335/2009-92</t>
  </si>
  <si>
    <t xml:space="preserve">25351.005626/2014-16 </t>
  </si>
  <si>
    <t>25351.5309304/2011-99</t>
  </si>
  <si>
    <t>carisoprodol + diclofenaco sódico + paracetamol + cafeína</t>
  </si>
  <si>
    <t>125mg + 50mg + 30mg</t>
  </si>
  <si>
    <t xml:space="preserve">0951646138 </t>
  </si>
  <si>
    <t>1074728131</t>
  </si>
  <si>
    <t>1074745131</t>
  </si>
  <si>
    <t xml:space="preserve">0004999149 </t>
  </si>
  <si>
    <t>0007430146</t>
  </si>
  <si>
    <t>0004578141</t>
  </si>
  <si>
    <t xml:space="preserve">1074757135 </t>
  </si>
  <si>
    <t>0001122143</t>
  </si>
  <si>
    <t>Resultado dos Requerimentos</t>
  </si>
  <si>
    <t xml:space="preserve">Reunião </t>
  </si>
  <si>
    <t>Justificativa</t>
  </si>
  <si>
    <t>128990/11-0</t>
  </si>
  <si>
    <t>Reunião Ordinária 16/12/2011</t>
  </si>
  <si>
    <t>De acordo com nosso banco de dados, existem outros medicamentos genéricos registrados com o ativo em questão. Dessa forma, não se trata de genérico inédito.</t>
  </si>
  <si>
    <t>411837/11-5</t>
  </si>
  <si>
    <t>Reunião Ordinária 30/05/2011</t>
  </si>
  <si>
    <t>617448/11-5</t>
  </si>
  <si>
    <t>Reunião Ordinária 08/08/2011</t>
  </si>
  <si>
    <t>170116/11-9</t>
  </si>
  <si>
    <t>987318/11-0 (ANVISA2011109319PA) - manual/ 129725/11-2 - eletrônico</t>
  </si>
  <si>
    <t>Reunião Ordinária 16/12/2011 - manual/ Reunião Ordinária 16/12/2011 - eletrônica</t>
  </si>
  <si>
    <t>Já existem medicamentos genéricos e similares registrados com o ativo em questão. Dessa forma, não há evidência de desabastecimento de mercado ou de nenhum outro critério para priorização do pleito. (manual) /
Priorização solicitada duas vezes para o mesmo assunto. Foi analisada a petição 987318/11-0 (eletrônica)</t>
  </si>
  <si>
    <t>007887/12-5</t>
  </si>
  <si>
    <t>Reunião Ordinária 09/02/2012</t>
  </si>
  <si>
    <t>De acordo com nosso banco de dados existem outros medicamentos similares e genéricos com a mesma associação, concentração e forma farmacêutica que podem suprir o mercado nacional.De acordo com nosso banco de dados existem outros medicamentos similares e genéricos com a mesma associação, concentração e forma farmacêutica que podem suprir o mercado nacional.</t>
  </si>
  <si>
    <t>212359/13-2</t>
  </si>
  <si>
    <t>Encerrada</t>
  </si>
  <si>
    <t>Reunião Ordinária 10/07/2013</t>
  </si>
  <si>
    <t>Expediente duplicata de outro.</t>
  </si>
  <si>
    <t>0689297/13-3</t>
  </si>
  <si>
    <t>0160370/13-1</t>
  </si>
  <si>
    <t>1077198/13-1</t>
  </si>
  <si>
    <t>7/3/2012 (primeira) / 05/04/2012 (segunda)</t>
  </si>
  <si>
    <t>0188151/12-5 (primeira) / 0282099/12-4 (segunda)</t>
  </si>
  <si>
    <t>Reunião Ordinária 29/03/2012 (Primeira) / Reunião Ordinária 14/05/2012 (Segunda)</t>
  </si>
  <si>
    <t>Existem outros medicamentos similares e genéricos com o ativo em questão. Portanto, não se trata de genérico inédito. (Primeira) / A forma farmacêutica solicitada
não está citada na RENAME e nem garante o aumento do
acesso da população brasileira. Já existem registros de medicamentos similares e genéricos com o ativo em questão nas formas farmacêuticas preconizadas pela RENAME (solução oral e comprimido) que podem abastecer o mercado nacional e os programas do SUS. (Segunda)</t>
  </si>
  <si>
    <t>0704282/13-5</t>
  </si>
  <si>
    <t>Reunião Ordinária 08/11/2013</t>
  </si>
  <si>
    <t>Genérico inédito</t>
  </si>
  <si>
    <t>614754/11-2</t>
  </si>
  <si>
    <t>De acordo com nosso banco de dados,
existe outro medicamento genérico
registrado com o ativo em questão, o qual
é comercializado no mercado brasileiro.</t>
  </si>
  <si>
    <t>595648/11-0</t>
  </si>
  <si>
    <t>O registro de medicamentos com denominação exclusivamente genérica terá prioridade sobre o dos demais, conforme disposto em ato da Diretoria Colegiada da Agência Nacional de Vigilância Sanitária</t>
  </si>
  <si>
    <t>Motivo Petição Não Priorizada</t>
  </si>
  <si>
    <t xml:space="preserve"> Priorização negada</t>
  </si>
  <si>
    <t>Priorização negada - manual / Encerrada - eletrônica</t>
  </si>
  <si>
    <t>Priorização negada (Primeira) / Não Priorizada (Segunda)</t>
  </si>
  <si>
    <t>Priorização de análise - Inclusão de nova apresentação fracionável</t>
  </si>
  <si>
    <t>25351.539304/2011-99</t>
  </si>
  <si>
    <t xml:space="preserve">PRIORIZAÇÃO DE ANÁLISE - Embasado na RDC 28/2007 </t>
  </si>
  <si>
    <t>0223765122</t>
  </si>
  <si>
    <t>0781971134</t>
  </si>
  <si>
    <t>0223737127</t>
  </si>
  <si>
    <t xml:space="preserve">Solicitado encerramento da petição em 27/01/14 expediente: 071355144 - parecer diretoria </t>
  </si>
  <si>
    <t>0775216134</t>
  </si>
  <si>
    <t>0944359132 </t>
  </si>
  <si>
    <t>cápsula mole</t>
  </si>
  <si>
    <t xml:space="preserve">Addera D3 </t>
  </si>
  <si>
    <t>colecalciferol</t>
  </si>
  <si>
    <t>polaramine loção</t>
  </si>
  <si>
    <t>Estomazil (guaraná)</t>
  </si>
  <si>
    <t xml:space="preserve">desarquivamento com desistencia da petição  </t>
  </si>
  <si>
    <t>cloridrato de sotalol</t>
  </si>
  <si>
    <t>1_Exigência cumprida em 08/07/2013 n° conhecimento: 201307090182PR.
2_Exigência cumprida em 08/11/2013 sob n° de expediente 0942325/13-7.
3_ Exigência _ Prorrogação de prazo  protocolado em 13/01/2013 sob expediente 0038261/14-2.
Terceira exigencia cumprida em 10/03/2014 expediente 0177325149.</t>
  </si>
  <si>
    <t>25351.027662/2014-61</t>
  </si>
  <si>
    <t xml:space="preserve">25351.045707/2014-86 </t>
  </si>
  <si>
    <t>25351.045754/2014-98</t>
  </si>
  <si>
    <t>cloridrato de pioglitazona</t>
  </si>
  <si>
    <t xml:space="preserve">cloridrato de pioglitazona </t>
  </si>
  <si>
    <t>15mg, 30mg e 45mg</t>
  </si>
  <si>
    <t>Dr. Reddy's Laboratories Limited</t>
  </si>
  <si>
    <t>0193297147</t>
  </si>
  <si>
    <t>25351.142409/2014-91</t>
  </si>
  <si>
    <t>25351.163987/2014-14</t>
  </si>
  <si>
    <t>0222144/14-6</t>
  </si>
  <si>
    <t xml:space="preserve">25351.176074/2014-10 </t>
  </si>
  <si>
    <t xml:space="preserve">0063165145 </t>
  </si>
  <si>
    <t>Femineo</t>
  </si>
  <si>
    <t>25351.423685/2011-10</t>
  </si>
  <si>
    <t>específico</t>
  </si>
  <si>
    <t>similar</t>
  </si>
  <si>
    <t>genérico</t>
  </si>
  <si>
    <t>25351.267590/2014-80</t>
  </si>
  <si>
    <t>Targivit</t>
  </si>
  <si>
    <t>0367862148</t>
  </si>
  <si>
    <t>1mg e 2mg</t>
  </si>
  <si>
    <t>25351.322388/2014-88</t>
  </si>
  <si>
    <t>desogestrel</t>
  </si>
  <si>
    <t>25351.386184/2014-08</t>
  </si>
  <si>
    <t>tadalafila</t>
  </si>
  <si>
    <t>5mg e 20mg</t>
  </si>
  <si>
    <t>Gestofen</t>
  </si>
  <si>
    <t>0535178142</t>
  </si>
  <si>
    <t>Onciflan A</t>
  </si>
  <si>
    <t>triancinolona acetonida</t>
  </si>
  <si>
    <t>1,0mg/g</t>
  </si>
  <si>
    <t>25351.440319/2014-42</t>
  </si>
  <si>
    <t xml:space="preserve">Newchem
</t>
  </si>
  <si>
    <t xml:space="preserve">Solicitado encerramento de petição - empresa por orientação da Diretoria em 20/05/2014 expediente: 0401045141 </t>
  </si>
  <si>
    <t>Sequedin</t>
  </si>
  <si>
    <t>hemifumarato de quetiapina</t>
  </si>
  <si>
    <t>25351.477475/2014-22</t>
  </si>
  <si>
    <t>rosuvastatina cálcica</t>
  </si>
  <si>
    <t>25351.480275/2014-09</t>
  </si>
  <si>
    <t xml:space="preserve">5mg, 10mg, 20mg, 40mg </t>
  </si>
  <si>
    <t>Clone</t>
  </si>
  <si>
    <t>25351.531552/2014-10</t>
  </si>
  <si>
    <t>25351.531447/2014-81</t>
  </si>
  <si>
    <t>25351.531553/2014-64</t>
  </si>
  <si>
    <t>25351.531554/2014-17</t>
  </si>
  <si>
    <t>25351.532654/2014-52</t>
  </si>
  <si>
    <t xml:space="preserve">Forvital </t>
  </si>
  <si>
    <t xml:space="preserve">25351.545983/2014-63 </t>
  </si>
  <si>
    <t>priorização negada</t>
  </si>
  <si>
    <t>25351.545984/2014-16</t>
  </si>
  <si>
    <t>25351.633205/2014-21</t>
  </si>
  <si>
    <t>Desistência da petição, protocolado em 04/04/2011. Protocolado em 16/10/2014 sob expediente n° 0939329143 .</t>
  </si>
  <si>
    <t>Desitência da petição, protocolado em 16/10/2014 sob expedinete n°  0939307142.</t>
  </si>
  <si>
    <t>25351.659268/2014-59</t>
  </si>
  <si>
    <t>butilbrometo de escopolamina + dipirona</t>
  </si>
  <si>
    <t>6,67mg/mL + 333,4mg/mL</t>
  </si>
  <si>
    <t>25351.679511/2014-80</t>
  </si>
  <si>
    <t>nitrato de butoconazol</t>
  </si>
  <si>
    <t>25351.704069/2014-95</t>
  </si>
  <si>
    <t>diclofenaco colestiramina</t>
  </si>
  <si>
    <t>140mg</t>
  </si>
  <si>
    <t>25351.703086/2014-44</t>
  </si>
  <si>
    <t>dipirona+mucato de isometepteno + cafeína</t>
  </si>
  <si>
    <t>300mg + 30mg + 30mg</t>
  </si>
  <si>
    <t>Priorização de análise- Embasado na RDCN° 37/2014 e IN n° 3/2014.</t>
  </si>
  <si>
    <t>25351.563866/2011-77</t>
  </si>
  <si>
    <t>Doralgina</t>
  </si>
  <si>
    <t>25351.746579/2014-14</t>
  </si>
  <si>
    <t>sinvastatina</t>
  </si>
  <si>
    <t>10, 20, 40, e 80mg</t>
  </si>
  <si>
    <t>Desistência da Petição, protocolado em 27/10/2014 sob expediente n° 0969021/14-2. Foi registrado o CLONE.</t>
  </si>
  <si>
    <t xml:space="preserve">
1.Desistência da petição - protocolado em 08/08/2014 sob expediente n°0653951143 .
</t>
  </si>
  <si>
    <t>25351.771303/2014-81</t>
  </si>
  <si>
    <t>celecoxibe</t>
  </si>
  <si>
    <t>celecoxibe 100 e 200mg</t>
  </si>
  <si>
    <t xml:space="preserve">sinvastatina  </t>
  </si>
  <si>
    <t xml:space="preserve">comprimido revestido </t>
  </si>
  <si>
    <t>100 e 200mg</t>
  </si>
  <si>
    <t xml:space="preserve">Revastin </t>
  </si>
  <si>
    <t>10,20,40,80mg</t>
  </si>
  <si>
    <t xml:space="preserve">1. desistencia de petição: MKT não tem interesse se a marca não for Fosfosol ou Vitassay force (ambas recusadas pela anvisa). </t>
  </si>
  <si>
    <t>5mcg/mL</t>
  </si>
  <si>
    <t xml:space="preserve">diclofenaco colestiramina </t>
  </si>
  <si>
    <t xml:space="preserve">latanoprosta </t>
  </si>
  <si>
    <t xml:space="preserve">publicado registro da nova concentração e retificação da renovação do registro </t>
  </si>
  <si>
    <t>sildenafila 20mg</t>
  </si>
  <si>
    <t>desistencia da petição para pedir registro de clone (processo mae: guaifenesina Brainfarma). Dada impossibilidade de cumprimento de exigencia de bioisenção.</t>
  </si>
  <si>
    <t>telmisartana + hidroclorotiazida</t>
  </si>
  <si>
    <t>80+25mg, 80+12,5mg, 40 + 12,5mg</t>
  </si>
  <si>
    <t>25351.555344/2011-47</t>
  </si>
  <si>
    <t>25351.787543/2014-61</t>
  </si>
  <si>
    <t>25351.789267/2014-82</t>
  </si>
  <si>
    <t>25351.000984/2015-64</t>
  </si>
  <si>
    <t>Neo Metformin XR</t>
  </si>
  <si>
    <t>500 e 750mg</t>
  </si>
  <si>
    <t>25351.555406/2011-32</t>
  </si>
  <si>
    <t xml:space="preserve">cloridrato de metformina </t>
  </si>
  <si>
    <t>comprimido de liberação prolongada</t>
  </si>
  <si>
    <t>Cortneo</t>
  </si>
  <si>
    <t>cetoconazol + dipropionato de betametasona + sulfato de neomicina</t>
  </si>
  <si>
    <t>25351.013378/2015-93</t>
  </si>
  <si>
    <t>20mg/g + 0,64mg/g + 2,5mg/g</t>
  </si>
  <si>
    <t>25351.008526/2015-71</t>
  </si>
  <si>
    <t>ezetimiba</t>
  </si>
  <si>
    <t>geleia oral</t>
  </si>
  <si>
    <t>4,878mg + 4,719mg</t>
  </si>
  <si>
    <t>desloratadina</t>
  </si>
  <si>
    <t>25351.004305/2015-91</t>
  </si>
  <si>
    <t>25351.767117/2014-21</t>
  </si>
  <si>
    <t>25351.773427/2014-85</t>
  </si>
  <si>
    <t>25351.784685/2014-97</t>
  </si>
  <si>
    <t>25351.013826/2015-74</t>
  </si>
  <si>
    <t>Desistência da petição  protocolado em 13/10/2014 sob expediente n° 0922053144 .
Desistencia da petição para solicitação registro de clone.</t>
  </si>
  <si>
    <t>0013184159</t>
  </si>
  <si>
    <t>0020368158</t>
  </si>
  <si>
    <t>0002652152</t>
  </si>
  <si>
    <t>0007653158</t>
  </si>
  <si>
    <t>25351.002455/2015-90</t>
  </si>
  <si>
    <t xml:space="preserve">25351.012277/2015-52 </t>
  </si>
  <si>
    <t>25351.015575/2015-20</t>
  </si>
  <si>
    <t>Benfor</t>
  </si>
  <si>
    <t>ibandronato de sódio</t>
  </si>
  <si>
    <t>Bac-sulfitrin</t>
  </si>
  <si>
    <t>25351.015631/2015-51</t>
  </si>
  <si>
    <t>divalproato de sódio</t>
  </si>
  <si>
    <t>25351.015624/2015-16</t>
  </si>
  <si>
    <t>Neozargan</t>
  </si>
  <si>
    <t>cloridrato de prometazina</t>
  </si>
  <si>
    <t>25351.015583/2015-93</t>
  </si>
  <si>
    <t>paracetamol + fosfato de codeína</t>
  </si>
  <si>
    <t>500mg + 7,5mg e 500mg + 30mg</t>
  </si>
  <si>
    <t>966768/14-7</t>
  </si>
  <si>
    <t>25351.771388/2014-61</t>
  </si>
  <si>
    <t xml:space="preserve">O registro de medicamentos com denominação exclusivamente genérica terá prioridade sobre o dos demais, conforme disposto em ato da Diretoria Colegiada da Agência Nacional de Vigilância Sanitária e
c, item I, do artigo 5° que diz: “Art. 5º A priorização da análise técnica de petição aplica-se aos medicamentos e produtos biológicos enquadrados em um ou mais dos seguintes critérios e que atingirem a pontuação mínima de 10 pontos: I - petição de registro:... c) segundo e terceiro protocolos de medicamento genérico com o objetivo de ampliar a concorrência no mercado para dado fármaco”. </t>
  </si>
  <si>
    <t>1117969/14-4</t>
  </si>
  <si>
    <t xml:space="preserve">40mg + 12,5mg
80mg + 12,5mg
80mg + 25mg
</t>
  </si>
  <si>
    <t>0533763131</t>
  </si>
  <si>
    <t>0058758/15-3</t>
  </si>
  <si>
    <t>Priorização deferida</t>
  </si>
  <si>
    <t>1162617148</t>
  </si>
  <si>
    <t>olmesartana + indapamina</t>
  </si>
  <si>
    <t>25351.787754/2014-21</t>
  </si>
  <si>
    <t>40mg + 1,5mg</t>
  </si>
  <si>
    <t>25351.779639/2014-23</t>
  </si>
  <si>
    <t>olmesartana medoxomila + besilato de anlodipino + indapamida</t>
  </si>
  <si>
    <t>40mg + 5mg + 1,5mg</t>
  </si>
  <si>
    <t>Priorização de análise - Embasado na RDC n° 37/2014 e IN n° 3/2014</t>
  </si>
  <si>
    <t>0092947/15-6</t>
  </si>
  <si>
    <t>Cadila Pharmaceuticals Limited</t>
  </si>
  <si>
    <t>olmesartana medoxomila + indapamina</t>
  </si>
  <si>
    <t>registro de medicamento</t>
  </si>
  <si>
    <t>Aarti Drugs Ltd (principal)
Amoli Organics (qualificação)</t>
  </si>
  <si>
    <t xml:space="preserve">fitoterápico </t>
  </si>
  <si>
    <t>100, 200 e 600mg</t>
  </si>
  <si>
    <t>granulado</t>
  </si>
  <si>
    <t>25351.010091/2011-55</t>
  </si>
  <si>
    <t>25351.496313/2013-73</t>
  </si>
  <si>
    <t>A: Kopran Ltd
C: IPCA Laboratories Limited</t>
  </si>
  <si>
    <t>50mg+ 12,5mg  e 100mg + 25mg</t>
  </si>
  <si>
    <t>Principal: Shandong Lukang
Qualificação: Iffect Chemphar
Obs.: os fabricantes são para a associação de aztreonam e arginina</t>
  </si>
  <si>
    <t>pó para solução injetável</t>
  </si>
  <si>
    <t>Iffect Chemphar Co., Ltd.</t>
  </si>
  <si>
    <t xml:space="preserve">similar </t>
  </si>
  <si>
    <t xml:space="preserve">25351.551260/2010-09 </t>
  </si>
  <si>
    <t xml:space="preserve">aerossol </t>
  </si>
  <si>
    <t>Centro flora</t>
  </si>
  <si>
    <t xml:space="preserve">25351.169497/2013-12  </t>
  </si>
  <si>
    <t>carisoprodol + diclofenaco + cafeína + paracetamol</t>
  </si>
  <si>
    <t>25351.555091/2011-25</t>
  </si>
  <si>
    <t>Hubei Xunda Pharmaceutical Co., Ltd</t>
  </si>
  <si>
    <t>Aari Drugs Ltd</t>
  </si>
  <si>
    <t>Shijiazhua Pharma</t>
  </si>
  <si>
    <t>150mg e 300mg</t>
  </si>
  <si>
    <t>10mg e 15mg</t>
  </si>
  <si>
    <t>Enaltec labs</t>
  </si>
  <si>
    <t xml:space="preserve">10mg e 20mg </t>
  </si>
  <si>
    <t xml:space="preserve"> comprimido revestido</t>
  </si>
  <si>
    <t xml:space="preserve"> solução oral</t>
  </si>
  <si>
    <t xml:space="preserve">Principal: Dr. Reddy's Laboratories
Qualificação: Alembic Laboratories </t>
  </si>
  <si>
    <t>Descon</t>
  </si>
  <si>
    <t>paracetamol +                                                   maleato de clorfeniramina +                cloridrato de fenilefrina</t>
  </si>
  <si>
    <t>40mg/mL + 0,6mg/mL + 0,6mg/mL</t>
  </si>
  <si>
    <t xml:space="preserve">desogestrel  </t>
  </si>
  <si>
    <t>D: Industriale Chimica S.r.l.      
E: Beijing Keyfeng Biotech Development Co., Ltd.</t>
  </si>
  <si>
    <t>Boehringer Ingelheim Pharma KG</t>
  </si>
  <si>
    <t>300mg/mL + 50mg/mL + 35mg/mL</t>
  </si>
  <si>
    <t xml:space="preserve">D: Recordati Indústria
CP:DSM Bright Science   </t>
  </si>
  <si>
    <t>Jubilant Life Science LTD</t>
  </si>
  <si>
    <t>Union Quimica Farmacêutica S.A.</t>
  </si>
  <si>
    <t>1,5mg/mL</t>
  </si>
  <si>
    <t>colutório</t>
  </si>
  <si>
    <t>G: Beijing (principal) e Newchem (qualificação)
E: Industriale (principal) e Beijing (qualificação)</t>
  </si>
  <si>
    <t>Aartii Drugs Limited</t>
  </si>
  <si>
    <t>pastilha</t>
  </si>
  <si>
    <t>Principal: Dr. Reddy's Laboratories
Qualificação: Alembic Laboratories</t>
  </si>
  <si>
    <t>imipeném + cilastatina sódica</t>
  </si>
  <si>
    <t>Principal: High Tech Pharm
Qualificação: Zhejiang Hisun
Obs.: os DMF's contemplam a associação dos ativos</t>
  </si>
  <si>
    <t>500mg + 500mg</t>
  </si>
  <si>
    <t>50µg/mL</t>
  </si>
  <si>
    <t>L: Beijing Keyfeng
E: Beijing Keyfeng</t>
  </si>
  <si>
    <t>25351.157685/2013-77</t>
  </si>
  <si>
    <t>Lexoneo</t>
  </si>
  <si>
    <t>Principal: Formil Química Ltda
Qualificação: Centaur Pharmaceuticals Pvt. Ltd.</t>
  </si>
  <si>
    <t>Zhejiang East-Asia  Pharmaceutical</t>
  </si>
  <si>
    <t>H: Changzhou Pharmaceutical Factory                                 
LP: Zhejiang Huahai Pharmaceutical Co., Ltd</t>
  </si>
  <si>
    <t>centro flora</t>
  </si>
  <si>
    <t>Unimark Remedies</t>
  </si>
  <si>
    <t>cápsulas com microgrânulos de liberação prolongada</t>
  </si>
  <si>
    <t>0063237146</t>
  </si>
  <si>
    <t>Principal: Aarti Drugs Ltd
Qualificação: Amoli Organics</t>
  </si>
  <si>
    <t>paracetamol + cloridrato de fenilefrina</t>
  </si>
  <si>
    <t>inclusão de nova concentração  já registrada no país</t>
  </si>
  <si>
    <t xml:space="preserve">V: Zhuhai Sanxin Fine Chemical Co., Ltd.
BA: Cadila Healthcare Limited
</t>
  </si>
  <si>
    <t>25351.566118/2011-76</t>
  </si>
  <si>
    <t>inclusão de nova forma farmacêutica já registrada no país</t>
  </si>
  <si>
    <t>2,5mg , 5mg e 10mg</t>
  </si>
  <si>
    <t>O: Iffect Chemphar
H: Changzhou Pharmaceutical</t>
  </si>
  <si>
    <t>25351.180849/2014-62</t>
  </si>
  <si>
    <t>0245887140</t>
  </si>
  <si>
    <t xml:space="preserve">hidrogenotartarato de rivastigmina </t>
  </si>
  <si>
    <t>0038763141</t>
  </si>
  <si>
    <t>Principal: Crystal Pharma A/S
Qualificação: Biofer S.p.A.</t>
  </si>
  <si>
    <t xml:space="preserve">S: Virchow Laboratories
T: Shandong Xinhua </t>
  </si>
  <si>
    <t>S: Virchow Laboratories
T: Shandong Fucang</t>
  </si>
  <si>
    <t>cassia angustifolia: INDENA
cassia fistula: Centroflora</t>
  </si>
  <si>
    <t>Cassia angustifolia vahl + Cassia fistula</t>
  </si>
  <si>
    <t>Iffect Chemphar Co. Ltd</t>
  </si>
  <si>
    <t>200mg e 400mg</t>
  </si>
  <si>
    <t>Tyneo DC</t>
  </si>
  <si>
    <t>P: Granules India Ltd
C: Shandong Xinhua Pharm. Co., Ltd</t>
  </si>
  <si>
    <t>V: Zhuhai Sanxin Fine Chemical Co., Ltd.           
BA: Cadila Healthcare Limited</t>
  </si>
  <si>
    <t>valsartana + besilato de anlodipino</t>
  </si>
  <si>
    <t>D: Pharmacosmos A/S 
H: The Dow Chemical Company</t>
  </si>
  <si>
    <t>25mg,100mg ,200mg e 300mg</t>
  </si>
  <si>
    <t>Saccharomyces boulardii</t>
  </si>
  <si>
    <t>25351.417714/2014-16</t>
  </si>
  <si>
    <t>biológico</t>
  </si>
  <si>
    <t>registro de medicamento clone</t>
  </si>
  <si>
    <t>solução gotas</t>
  </si>
  <si>
    <t>pomada dermatológica</t>
  </si>
  <si>
    <t>Atroveran Pro</t>
  </si>
  <si>
    <t>dipirona + mucato de isometepteno + cafeína</t>
  </si>
  <si>
    <t xml:space="preserve">0579749147 </t>
  </si>
  <si>
    <t>pomada bucal</t>
  </si>
  <si>
    <t>25351.783058/2014-39</t>
  </si>
  <si>
    <t>25351.047934/2015-41</t>
  </si>
  <si>
    <t>0071194152</t>
  </si>
  <si>
    <t>0024068151</t>
  </si>
  <si>
    <t>0018808155</t>
  </si>
  <si>
    <t>0024079156</t>
  </si>
  <si>
    <t>0023901151</t>
  </si>
  <si>
    <t>0005154153</t>
  </si>
  <si>
    <t>1152566145</t>
  </si>
  <si>
    <t>25351.057102/2015-32</t>
  </si>
  <si>
    <t>drágea</t>
  </si>
  <si>
    <t>1134919141</t>
  </si>
  <si>
    <t>1053357145</t>
  </si>
  <si>
    <t>25351.435347/2014-24</t>
  </si>
  <si>
    <t>0604884146</t>
  </si>
  <si>
    <t>25351.578920/2014-93</t>
  </si>
  <si>
    <t xml:space="preserve">olanzapina </t>
  </si>
  <si>
    <t xml:space="preserve"> 2,5mg, 5mg e 10mg</t>
  </si>
  <si>
    <t>0807695142</t>
  </si>
  <si>
    <t xml:space="preserve">albendazol </t>
  </si>
  <si>
    <t xml:space="preserve"> 40mg/mL</t>
  </si>
  <si>
    <t xml:space="preserve">suspensão oral </t>
  </si>
  <si>
    <t>0021118154</t>
  </si>
  <si>
    <t>25351.118093/2015-63</t>
  </si>
  <si>
    <t xml:space="preserve"> 10mg</t>
  </si>
  <si>
    <t>25351.090723/2015-28</t>
  </si>
  <si>
    <t xml:space="preserve">paracetamol + fosfato de codeína </t>
  </si>
  <si>
    <t>25351.115412/2015-89</t>
  </si>
  <si>
    <t>25351.119630/2015-92</t>
  </si>
  <si>
    <t>25351.106609/2015-27</t>
  </si>
  <si>
    <t>25351.115405/2015-87</t>
  </si>
  <si>
    <t xml:space="preserve">celecoxibe </t>
  </si>
  <si>
    <t>100mg e 200mg</t>
  </si>
  <si>
    <t>25351.106610/2015-51</t>
  </si>
  <si>
    <t>25351.106611/2015-04</t>
  </si>
  <si>
    <t>25351.119632/2015-81</t>
  </si>
  <si>
    <t>80 +25mg ; 80 + 12,5mg  e 40+12,5mg</t>
  </si>
  <si>
    <t xml:space="preserve">400mg </t>
  </si>
  <si>
    <t>ezetimiba - ALTHAIA</t>
  </si>
  <si>
    <t>0023994151</t>
  </si>
  <si>
    <t>25351.119634/2015-71</t>
  </si>
  <si>
    <t xml:space="preserve">registro de medicamento, em conformidade com o art. 2° da IN 06/2008 </t>
  </si>
  <si>
    <t>valerato de betametasona + sulfato de gentamicina + tolnaftato + clioquinol</t>
  </si>
  <si>
    <t>Aarti Industries Limited</t>
  </si>
  <si>
    <t>Fab. principal: Biocon Limeted
Qualificação: Dr. Reddy's
Qualificação: Teva Pharmaceutical</t>
  </si>
  <si>
    <t>B: Alchem International Limited
D:Wuhan Wuyao Pharmaceutical Co.,Ltd</t>
  </si>
  <si>
    <t xml:space="preserve">Nortec Química S.A. </t>
  </si>
  <si>
    <t>D: Wuhan Woyao Pharmaceutical Co., Ltd.
M: Nortec Química
C:Shandong Xinhua Pharmaceuticl Company Limited</t>
  </si>
  <si>
    <t xml:space="preserve">cloridrato de moxifloxacino </t>
  </si>
  <si>
    <t>C: Piramal Enterprises Limited.
B: Crystal Pharma SAU
S: Pfizer CentreSource</t>
  </si>
  <si>
    <t>V: (princip.)  Newchem S.p.A.
V: (qualif.)  Ind-Swift Laboratories Limited
S) Yantai Justaware Pharmaceutical Co. Ltd.
T: AARTI Drugs Limited
C: Synthexim</t>
  </si>
  <si>
    <t xml:space="preserve">Fabricante principal: Aurobindo 
 Qualificação: Pholpharma S.A.
</t>
  </si>
  <si>
    <t>DSM Nutritional Products</t>
  </si>
  <si>
    <t>Centroflora</t>
  </si>
  <si>
    <t>T: Zhejiang Tianyu Pharm. Co., Ltd
H: IPCA Laboratories Limited</t>
  </si>
  <si>
    <t>S: Virchow Laboratories Limited
T: Shouguang Fukang Pharmaceutical Co, LTD</t>
  </si>
  <si>
    <t>Dr. Reddy’s Laboratories Limited</t>
  </si>
  <si>
    <t>Sun Pharmaceutical Industries Limited</t>
  </si>
  <si>
    <t>Harika Drugs</t>
  </si>
  <si>
    <t>P: Anqiu Lu´an Pharmaceutical
MC: Supriya Chemicals
CF:  Nortec Química</t>
  </si>
  <si>
    <t>Petição encerrada</t>
  </si>
  <si>
    <t xml:space="preserve">Iffect (foi informada a desistência desse fabricante na resposta à exigência) e Enaltec
</t>
  </si>
  <si>
    <t>Principal: Aurobindo
Qualificação: Polpharma S.A.</t>
  </si>
  <si>
    <t>0169386157</t>
  </si>
  <si>
    <t>0129760151</t>
  </si>
  <si>
    <t>0165611152</t>
  </si>
  <si>
    <t>0171581150</t>
  </si>
  <si>
    <t>0152846157</t>
  </si>
  <si>
    <t>0165602153</t>
  </si>
  <si>
    <t>0152847155</t>
  </si>
  <si>
    <t>0152848153</t>
  </si>
  <si>
    <t>0171583156</t>
  </si>
  <si>
    <t>25351.110422/2015-28</t>
  </si>
  <si>
    <t>0157959152</t>
  </si>
  <si>
    <t>0171586151</t>
  </si>
  <si>
    <t>25351.119635/2015-15</t>
  </si>
  <si>
    <t>0171585152</t>
  </si>
  <si>
    <t>25351.119633/2015-26</t>
  </si>
  <si>
    <t xml:space="preserve">25351.128798/2015-99 </t>
  </si>
  <si>
    <t>Henan Lihua Pharmaceutical</t>
  </si>
  <si>
    <t>1,34mg e 1,25mg</t>
  </si>
  <si>
    <t xml:space="preserve">Gelol Sport </t>
  </si>
  <si>
    <t>ibuprofeno - RELTHY</t>
  </si>
  <si>
    <t>1148337147</t>
  </si>
  <si>
    <t>Tamarine (sem adição de açúcar)</t>
  </si>
  <si>
    <t>25351.653637/2012-82</t>
  </si>
  <si>
    <t>O registro de medicamentos com denominação exclusivamente genérica terá prioridade sobre o dos demais, conforme disposto em ato da Diretoria Colegiada da Agência Nacional de Vigilância Sanitária e inciso b, item I, do artigo 5° que diz: “Art. 5º A priorização da análise técnica de petição
aplica-se aos medicamentos e produtos biológicos enquadrados em um ou mais dos seguintes
critérios e que atingirem a pontuação mínima de 10 pontos: I - petição de registro:... b)
primeiro protocolo de medicamento genérico de venda sob prescrição médica para dado
fármaco”.</t>
  </si>
  <si>
    <t>25351.160579/2015-02</t>
  </si>
  <si>
    <t>25351.160580/2015-29</t>
  </si>
  <si>
    <t>0231674159</t>
  </si>
  <si>
    <t>25351.160573/2015-27</t>
  </si>
  <si>
    <t>25351.157181/2015-81</t>
  </si>
  <si>
    <t>0226768153</t>
  </si>
  <si>
    <t>200mg/30mL (mel)  e 200mg/15mL (cereja); 200mg/12,5mL (mel)</t>
  </si>
  <si>
    <t>0612154143</t>
  </si>
  <si>
    <t>Rhodia organique</t>
  </si>
  <si>
    <t>25351.636483/2009-54</t>
  </si>
  <si>
    <t>0521569132</t>
  </si>
  <si>
    <t>Fluviral</t>
  </si>
  <si>
    <t>paracetamol + maleato de clorfeniramina + cloridrato de fenilefrina</t>
  </si>
  <si>
    <t>400mg+4mg +4mg</t>
  </si>
  <si>
    <t>MC: Keshava</t>
  </si>
  <si>
    <t>Allendrus</t>
  </si>
  <si>
    <t>25351.539074/2011-98</t>
  </si>
  <si>
    <t xml:space="preserve">Lezepan </t>
  </si>
  <si>
    <t>25351.563863/2011-90</t>
  </si>
  <si>
    <t>0,5mg e 1,0mg</t>
  </si>
  <si>
    <t>0253356151</t>
  </si>
  <si>
    <t>0253349159</t>
  </si>
  <si>
    <t xml:space="preserve">A: Kopran Ltd
C: IPCA Laboratories Limited
</t>
  </si>
  <si>
    <t>cloridrato de moxifloxacino</t>
  </si>
  <si>
    <t>144496/15-4</t>
  </si>
  <si>
    <t>Priorização indeferida</t>
  </si>
  <si>
    <t>Reunião ordinária dia 20/03/2015</t>
  </si>
  <si>
    <t>Após a consulta à base de dados PMB/IMS-HELTH, verificou-se que há comercialização ativa do fármaco cloridrato de moxifloxacino - medicamento genérico, comprimido; 400mg por outra empresa. Além do acima exposto, esclarece-se que há outros registros válidos para o medicamento em questão. Por fim , a empresa não enviou ou esclareceu, por meio de documentação, DMF ou outro meio, documento que comprovasse a nacionalidade do fabricante do IFA. Desta forma, indefere-se o pedido de priorização de análise.</t>
  </si>
  <si>
    <t>25351.787754/0001-91</t>
  </si>
  <si>
    <t>dipirona monoidratada + fosfato de codeína</t>
  </si>
  <si>
    <t>100mg + 30mg</t>
  </si>
  <si>
    <t>olmesartana medoxomila + indapamida</t>
  </si>
  <si>
    <t>40mg + 5,0mg + 1,5mg</t>
  </si>
  <si>
    <t>Com inovação incremental fabricado no País ou que atendam sua regra de origem ou Processo Produtivo Básico, desde que o núcleo tecnológico do produto também seja fabricado no País.</t>
  </si>
  <si>
    <t>148139/15-8</t>
  </si>
  <si>
    <t>160592/15-5</t>
  </si>
  <si>
    <t>165056/15-4</t>
  </si>
  <si>
    <t>Esclarece-se que a pontuação mínima para que haja concessão da priorização de análise é de 10 (dez) pontos; conforme previsto no art. 5 da RDC 37/2014. Desta forma indefere-se a petição em questão.</t>
  </si>
  <si>
    <t>O registro de medicamentos com denominação exclusivamente genérica terá prioridade sobre o dos demais, conforme disposto em ato da Diretoria Colegiada da  Agência Nacional de Vigilância Sanitária.</t>
  </si>
  <si>
    <t>0267598/15-6</t>
  </si>
  <si>
    <t>25351.186275/2015-67</t>
  </si>
  <si>
    <t>0268338155</t>
  </si>
  <si>
    <t xml:space="preserve">25351.186271/2015-89 </t>
  </si>
  <si>
    <t>0268334152</t>
  </si>
  <si>
    <t>25351.186272/2015-23</t>
  </si>
  <si>
    <t>0268335151</t>
  </si>
  <si>
    <t>bissulfato de clopidogrel
(Matriz: Plavineo - Brain)</t>
  </si>
  <si>
    <t>Visionplus
(Matriz: Lacrilux - Brain)</t>
  </si>
  <si>
    <t>esomeprazol  
(Matriz: esomeprazol - ALTHAIA)</t>
  </si>
  <si>
    <t>Esoneo - ALTHAIA
(Matriz: esomeprazol - ALTHAIA)</t>
  </si>
  <si>
    <t>Atrofem 
(Matriz: ibuprofeno - Brain)</t>
  </si>
  <si>
    <t>Neocardis
(Matriz: telmisartana - Brain)</t>
  </si>
  <si>
    <t>Calminex Sport
(Matriz: Gelol Sport - Cosmed)</t>
  </si>
  <si>
    <t>Decipram
(Matriz: oxalato de escitalopram -Brain)</t>
  </si>
  <si>
    <t>Atenoric
(Matriz: atenolol + clortalidona- Brain)</t>
  </si>
  <si>
    <t>Demezal
(Matriz: hidrogenotartarato de rivastigmina - Brain)</t>
  </si>
  <si>
    <t>Revigma
(Matriz: hidrogenotartarato de rivastigmina - Brain)</t>
  </si>
  <si>
    <t>Ceraprev
(Matriz: desogestrel - Brain)</t>
  </si>
  <si>
    <t>Mylla
(Matriz: desogestrel - Brain)</t>
  </si>
  <si>
    <t>Glizatil
(Matriz: cloridrato de pioglitazona -Brain)</t>
  </si>
  <si>
    <t>Piozane
(Matriz: cloridrato de pioglitazona -Brain)</t>
  </si>
  <si>
    <t>Lorapan
(Matriz: lorazepam - Brain)</t>
  </si>
  <si>
    <t>Tamaflora
(Matriz:Flomicin - Brain)</t>
  </si>
  <si>
    <t>Crestatin
(Matriz:rosuvastatina cálcica - Brain)</t>
  </si>
  <si>
    <t>triancinolona acetonida
(Matriz: Onciflan-A - Cosmed)</t>
  </si>
  <si>
    <t>Acenolon A
(Matriz: Onciflan-A - Brain)</t>
  </si>
  <si>
    <t>hemifumarato de quetiapina
(Matriz: Sequedin - Brain)</t>
  </si>
  <si>
    <t>Quetam
(Matriz: Sequedin - Brain)</t>
  </si>
  <si>
    <t>Lipidem
(Matriz: rosuvastatina cálcica - Brain)</t>
  </si>
  <si>
    <t>Prosoft
(Matriz: Neovision -Brain)</t>
  </si>
  <si>
    <t>Femynazol
(Matriz: nitrato de butoconazol - Brain)</t>
  </si>
  <si>
    <t>albendazol 
(Matriz: Neo bendazol - Brain)</t>
  </si>
  <si>
    <t>cetoconazol + dipropionato de betametasona + sulfato de neomicina
(Matriz: Cortneo - Brain)</t>
  </si>
  <si>
    <t>Ezeticol
(Matriz: ezetimiba - Brain)</t>
  </si>
  <si>
    <t>Cebracox
(Matriz: celecoxibe - Brain)</t>
  </si>
  <si>
    <t>Cozet
(Matriz: ezetimiba - Brain)</t>
  </si>
  <si>
    <t>Moxacin
(Matriz: cloridrato de moxifloxacino - Brain)</t>
  </si>
  <si>
    <t>Neoflox
(Matriz: cloridrato de moxifloxacino - Brain)</t>
  </si>
  <si>
    <t>Droniban
(Matriz: Benfor - Brain)</t>
  </si>
  <si>
    <t>ibandronato de sódio
(Matriz: Benfor - Brain)</t>
  </si>
  <si>
    <t>Coristina expectorante
(Matriz: guaifenezina - Brain)</t>
  </si>
  <si>
    <t>Devaprol
(Matriz: divalproato de sódio - Brain)</t>
  </si>
  <si>
    <t>Divapron
(Matriz: divalproato de sódio - Brain)</t>
  </si>
  <si>
    <t>Fenotazin
(Matriz: Neozargan - Brain)</t>
  </si>
  <si>
    <t>Diflanac
(Matriz: diclofenaco colestiramina - Brain)</t>
  </si>
  <si>
    <t>25351.184156/2015-70</t>
  </si>
  <si>
    <t>Dorona Cafi
(Matriz: Cafilisador - Cosmed)</t>
  </si>
  <si>
    <t>dipirona + caféina</t>
  </si>
  <si>
    <t>0265232153</t>
  </si>
  <si>
    <t>conforme Matriz</t>
  </si>
  <si>
    <t>mesilato de doxazosina</t>
  </si>
  <si>
    <t xml:space="preserve">25351.211902/2015-13 </t>
  </si>
  <si>
    <t xml:space="preserve">0306684153 </t>
  </si>
  <si>
    <t xml:space="preserve">25351.352395/2014-88 </t>
  </si>
  <si>
    <t>Descon
(Matriz: Resfryneo - Brain)</t>
  </si>
  <si>
    <t>paracetamol + cloridrato de fenilefrina + maleato de clorfeniramina</t>
  </si>
  <si>
    <t>0486136141</t>
  </si>
  <si>
    <t>conforme matriz</t>
  </si>
  <si>
    <t xml:space="preserve">25351.379341/2014-60 </t>
  </si>
  <si>
    <t xml:space="preserve">200mg/5mL + 3mg/5mL + 3mg/5mL </t>
  </si>
  <si>
    <t>pravastatina 
(Matriz: pravastatina - ACCORD)</t>
  </si>
  <si>
    <t>10mg, 20mg e 40mg</t>
  </si>
  <si>
    <t>0526068140</t>
  </si>
  <si>
    <t>maleato de dexclorfeniramina + cloridrato de fenilefrina + cafeína + ácido acetil salicilico</t>
  </si>
  <si>
    <t>25351.379391/2014-47</t>
  </si>
  <si>
    <t>1mg+ 10mg + 30mg + 400 mg</t>
  </si>
  <si>
    <t xml:space="preserve">25351.416523/2014-29 </t>
  </si>
  <si>
    <t>cetoconazol</t>
  </si>
  <si>
    <t>cetoconazol
(Matriz: Cetoneo - Brain)</t>
  </si>
  <si>
    <t xml:space="preserve">25351.416499/2014-28 </t>
  </si>
  <si>
    <t xml:space="preserve">0577895146 </t>
  </si>
  <si>
    <t>Mometax
(Matriz: Topliv - Brain)</t>
  </si>
  <si>
    <t>25351.417699/2014-06</t>
  </si>
  <si>
    <t>PANAX GINSENG C. A. MEY + assoc.</t>
  </si>
  <si>
    <t>Vitasay Gynseng
(Matriz:Virilon Ginseng - Brain)</t>
  </si>
  <si>
    <t>polivitamínico</t>
  </si>
  <si>
    <t>0579744146</t>
  </si>
  <si>
    <t xml:space="preserve">25351.417718/2014-96 </t>
  </si>
  <si>
    <t>Beclonato
(Matriz:Diprospan - Hyper)</t>
  </si>
  <si>
    <t>5,0mg/mL + 2,0mg/mL</t>
  </si>
  <si>
    <t xml:space="preserve">0579753145 </t>
  </si>
  <si>
    <t>ácido ascórbico</t>
  </si>
  <si>
    <t>Biotônico C
(Matriz: Citroplex - Brain)</t>
  </si>
  <si>
    <t xml:space="preserve">25351.417702/2014-83 </t>
  </si>
  <si>
    <t xml:space="preserve">0579747141 </t>
  </si>
  <si>
    <t>cefalexina
(Matriz:Cefanid - Brain)</t>
  </si>
  <si>
    <t xml:space="preserve">25351.417719/2014-31 </t>
  </si>
  <si>
    <t>Dorilpro Flex
(Matriz: naproxeno sódico - Brain)</t>
  </si>
  <si>
    <t>naproxeno sódico</t>
  </si>
  <si>
    <t>550mg</t>
  </si>
  <si>
    <t xml:space="preserve">25351.417720/2014-65 </t>
  </si>
  <si>
    <t xml:space="preserve">0579754143 </t>
  </si>
  <si>
    <t xml:space="preserve">0579755141 </t>
  </si>
  <si>
    <t>25351.417701/2014-39</t>
  </si>
  <si>
    <t>Vitasay C
(Matriz: Coristina C - Hyper)</t>
  </si>
  <si>
    <t xml:space="preserve">ampicilina </t>
  </si>
  <si>
    <t xml:space="preserve"> pó para suspensão oral</t>
  </si>
  <si>
    <t>25351.435350/2014-48</t>
  </si>
  <si>
    <t>0604887141</t>
  </si>
  <si>
    <t>25351.619028/2014-70</t>
  </si>
  <si>
    <t>0917893147</t>
  </si>
  <si>
    <t>25351.578917/2014-70</t>
  </si>
  <si>
    <t>0807692148</t>
  </si>
  <si>
    <t>carbonato de cálcio + colecalciferol</t>
  </si>
  <si>
    <t>500mg + 200UI</t>
  </si>
  <si>
    <t xml:space="preserve">25351.451043/2014-12 </t>
  </si>
  <si>
    <t xml:space="preserve">0627304141 </t>
  </si>
  <si>
    <t>pó para suspensão oral</t>
  </si>
  <si>
    <t>25351.542589/2014-73</t>
  </si>
  <si>
    <t>0755606143</t>
  </si>
  <si>
    <t>simeticona</t>
  </si>
  <si>
    <t>25351.435349/2014-13</t>
  </si>
  <si>
    <t>75mg/mL</t>
  </si>
  <si>
    <t>sulfato de neomicina + bacitracina zíncica</t>
  </si>
  <si>
    <t>5mg/g + 250 UI/g</t>
  </si>
  <si>
    <t>25351.500994/2014-14</t>
  </si>
  <si>
    <t>0698662145</t>
  </si>
  <si>
    <t>13,3mg + 0,33mg + 0,13mg/mL</t>
  </si>
  <si>
    <t xml:space="preserve">25351.093884/2015-73 </t>
  </si>
  <si>
    <t>25351.542587/2014-84</t>
  </si>
  <si>
    <t>0755604147</t>
  </si>
  <si>
    <t>25351.025985/2015-11</t>
  </si>
  <si>
    <t>25351.451088/2014-89</t>
  </si>
  <si>
    <t>25351.417700/2014-94</t>
  </si>
  <si>
    <t xml:space="preserve">0579745144 </t>
  </si>
  <si>
    <t>25351.542588/2014-29</t>
  </si>
  <si>
    <t>0755605145</t>
  </si>
  <si>
    <t>Vitasay Cálcio D
(Matriz: Neocal D - Brain)</t>
  </si>
  <si>
    <t>Merthiolate Pró
(Matriz: Epicitrin - Brain)</t>
  </si>
  <si>
    <t>0740826149</t>
  </si>
  <si>
    <t>0740825141</t>
  </si>
  <si>
    <t>0740827147</t>
  </si>
  <si>
    <t>0740790144</t>
  </si>
  <si>
    <t xml:space="preserve">0760188143 </t>
  </si>
  <si>
    <t>0742186149</t>
  </si>
  <si>
    <t>0760189141</t>
  </si>
  <si>
    <t>0937696148</t>
  </si>
  <si>
    <t>Cefanid
(Matriz: cefalexina - Brain)</t>
  </si>
  <si>
    <t>Lexoneo
(Matriz: oxalato de escitalopram - Brain)</t>
  </si>
  <si>
    <t>atenolol
(Matriz:ateneum - Brain)</t>
  </si>
  <si>
    <t>Apracur Grip
(Matriz:: Coristina D - Hyper)</t>
  </si>
  <si>
    <t>Clinvastin
(Matriz: sinvastatina - Brain)</t>
  </si>
  <si>
    <t>0268337157</t>
  </si>
  <si>
    <t>25351.186274/2015-12</t>
  </si>
  <si>
    <t xml:space="preserve">25351.352392/2014-44 </t>
  </si>
  <si>
    <t>cloridrato de loperamida</t>
  </si>
  <si>
    <t xml:space="preserve">25351.379660/2014-75 </t>
  </si>
  <si>
    <t>maleato de trimebutina</t>
  </si>
  <si>
    <t>0486133147</t>
  </si>
  <si>
    <t xml:space="preserve">0526454145 </t>
  </si>
  <si>
    <t>cloridrato de loperamida
(Matriz: Magnostase - Brain)</t>
  </si>
  <si>
    <t>maleato de trimebutina
(Matriz: Digedrat- Cosmed)</t>
  </si>
  <si>
    <t xml:space="preserve">25351.352391/2014-08 </t>
  </si>
  <si>
    <t>25351.352393/2014-99</t>
  </si>
  <si>
    <t xml:space="preserve">25351.352394/2014-33 </t>
  </si>
  <si>
    <t>valerato de betametasona + gentamicina + tolnaftato + clioquinol</t>
  </si>
  <si>
    <t xml:space="preserve">25351.379214/2014-61 </t>
  </si>
  <si>
    <t xml:space="preserve">25351.379186/2014-81 </t>
  </si>
  <si>
    <t xml:space="preserve">25351.379212/2014-71 </t>
  </si>
  <si>
    <t xml:space="preserve">25351.379161/2014-88 </t>
  </si>
  <si>
    <t xml:space="preserve">25351.379162/2014-22 </t>
  </si>
  <si>
    <t xml:space="preserve">25351.379190/2014-40 </t>
  </si>
  <si>
    <t xml:space="preserve">25351.379580/2014-10 </t>
  </si>
  <si>
    <t>25351379833/2014-55</t>
  </si>
  <si>
    <t>bromoprida</t>
  </si>
  <si>
    <t>25351.379780/2014-72</t>
  </si>
  <si>
    <t>cloridrato de lidocaína</t>
  </si>
  <si>
    <t>Alivium</t>
  </si>
  <si>
    <t xml:space="preserve">25351.379687/2014-68 </t>
  </si>
  <si>
    <t xml:space="preserve">25351.379772/2014-26 </t>
  </si>
  <si>
    <t>0,5mg/g + 1,0mg/g + 10mg/g + 10mg/g</t>
  </si>
  <si>
    <t>1mg, 2mg e 4mg</t>
  </si>
  <si>
    <t>200mcg e 400mcg</t>
  </si>
  <si>
    <t>0,50mg/g</t>
  </si>
  <si>
    <t>creme dermatologico</t>
  </si>
  <si>
    <t>0486132149</t>
  </si>
  <si>
    <t>0486134145</t>
  </si>
  <si>
    <t>0486135143</t>
  </si>
  <si>
    <t>0525866149</t>
  </si>
  <si>
    <t>0525806145</t>
  </si>
  <si>
    <t>0525808141</t>
  </si>
  <si>
    <t>0525841143</t>
  </si>
  <si>
    <t>0489348144</t>
  </si>
  <si>
    <t>0526368149</t>
  </si>
  <si>
    <t>0526671148</t>
  </si>
  <si>
    <t xml:space="preserve">0526611/14-4 </t>
  </si>
  <si>
    <t>525545147</t>
  </si>
  <si>
    <t xml:space="preserve">0526483/14-9 </t>
  </si>
  <si>
    <t>0526592144</t>
  </si>
  <si>
    <t>0579752147</t>
  </si>
  <si>
    <t>190885075</t>
  </si>
  <si>
    <t>dipirona + cafeína
(Matriz: Cafilisador -  Cosmed)</t>
  </si>
  <si>
    <t>dipirona + cafeína</t>
  </si>
  <si>
    <t>25351.671932/2014-96</t>
  </si>
  <si>
    <t>0992555144</t>
  </si>
  <si>
    <t>0937082/12-0</t>
  </si>
  <si>
    <t>Esclarece-se que o medicamento alvo da priorização de análise não é de venda sob prescrição médica. Desta forma, a redação dada pela alínea "e" do Inciso I da IN 03/2014 não é aplicável a este caso.</t>
  </si>
  <si>
    <t>Reunião realizada
no dia 23/04/2015</t>
  </si>
  <si>
    <t>Desistência à pedido por preferência em  continuar à análise do CLONE - protocolado em  30/04/2015 sob n° de conhecimento 0387170153.</t>
  </si>
  <si>
    <t xml:space="preserve">25351.260344/2015-10 </t>
  </si>
  <si>
    <t>0375161159</t>
  </si>
  <si>
    <t>0445633155</t>
  </si>
  <si>
    <t>25351.310659/2015-15</t>
  </si>
  <si>
    <t>aciclovir
(Matriz: Heclivir - Brain)</t>
  </si>
  <si>
    <t>aciclovir</t>
  </si>
  <si>
    <t>paracetamol + cafeína
(Matriz: Tyneo DC - Brain)</t>
  </si>
  <si>
    <t>0075759/14-4</t>
  </si>
  <si>
    <t>1095915/14-7</t>
  </si>
  <si>
    <t>Observação</t>
  </si>
  <si>
    <t>25351.332058/2015-55</t>
  </si>
  <si>
    <t>Virineo
(Matriz: citrato de sildenafila - Brain)</t>
  </si>
  <si>
    <t>0476653159</t>
  </si>
  <si>
    <t>400mg+4mg+4mg</t>
  </si>
  <si>
    <t>loção</t>
  </si>
  <si>
    <t>(0,833 + 4,666) mg/mL</t>
  </si>
  <si>
    <t>(100 + 50 + 10)mg/mL</t>
  </si>
  <si>
    <t xml:space="preserve">Tal pedido se fez necessário, para atender ao solicitado nos itens 3 e 4 do Ofício n° 0402438159/2015 
“3. Para registro da concentração 1g desse mesmo medicamento genérico, a empresa deve peticionar “1414 - GENERICO - Inclusão de nova concentração já registrada no País”.
“4. Portanto, solicitamos que, dentro de cinco dias úteis, seja peticionado “10765 – GGMED – Desistência a pedido” para o processo nº. 25351.304143/2011-86, referente à solicitação de registro medicamento genérico cloridrato de metformina comprimido 1g.”
</t>
  </si>
  <si>
    <t>0664738143</t>
  </si>
  <si>
    <t>0668877142</t>
  </si>
  <si>
    <t>0974721144</t>
  </si>
  <si>
    <t>Desistência à pedido  do MKT por não aceitarem uma nova marca a não ser APRACUR GRIP, no qual a ANVISA não permitiu a marca proposta. (Protocolado em 03/06/15 sob expediente n°0498337/15-8).</t>
  </si>
  <si>
    <t>registro de medicamento, em conformidade com o art. 2° da IN 06/2008   -  aditado à RDC 31 - CLONE.</t>
  </si>
  <si>
    <t xml:space="preserve">inclusão de nova apresentação por alteração de sabor </t>
  </si>
  <si>
    <t xml:space="preserve">inclusão de nova apresentação por inclusão de sabor </t>
  </si>
  <si>
    <t>25351.368498/2015-41</t>
  </si>
  <si>
    <t>0531681152</t>
  </si>
  <si>
    <t>1072782135</t>
  </si>
  <si>
    <t>0526105148</t>
  </si>
  <si>
    <t>1155417147</t>
  </si>
  <si>
    <t>0185774156</t>
  </si>
  <si>
    <t>0259878157</t>
  </si>
  <si>
    <t>1049391133</t>
  </si>
  <si>
    <t>1098319148</t>
  </si>
  <si>
    <t>1159967147</t>
  </si>
  <si>
    <t xml:space="preserve">pó </t>
  </si>
  <si>
    <t>comprimido Simples</t>
  </si>
  <si>
    <t>0,075mg + 0,03mg</t>
  </si>
  <si>
    <t xml:space="preserve">Recebemos Ofício nº 0230503158/2015, referente ao assunto – Aditamento: adequação a medicamento clone, relacionado ao processo n° 25351.459025/2013-51, solicitando que a empresa indicasse, através de ofício a ser enviado para este e-mail, qual expediente de aditamento de adequação a medicamento clone, deveria ser analisado para o processo supracitado.
Em atendimento ao solicitado, a empresa ratifica o interesse em manter o expediente n° 0717594/14-9, protocolado em 28/08/2014, referente ao clone Calminex Sport (diclofenaco dietilamônio) 11,6mg/g – gel, cujo processo matriz é o produto Gelol Sport (processo n° 25351.058321/2012-82).
</t>
  </si>
  <si>
    <t xml:space="preserve">20mg e 40mg </t>
  </si>
  <si>
    <t>0110128/12-5</t>
  </si>
  <si>
    <t xml:space="preserve">Considerando que cada processo clone só pode ser vinculado a um processo matriz (RDC 31/2014), Foi protocolado o aditamento  em 22/04/2015, e também por meio de e-mail, informar que a empresa Cosmed Indústria de Cosméticos e Medicamentos S.A. tem interesse em manter apenas o expediente n° 0717564147, protocolado em 28/08/2014, referente ao clone Decipram (oxalato de escitalopram) 10mg, 20mg – comprimido revestido para análise do processo n° 25351.663841/2013-02, tendo como matriz somente o processo n° 25351.451354/2012-45.
Consequentemente, solicitamos que o expediente n° 0717556146 seja desconsiderado.
</t>
  </si>
  <si>
    <t>Neotramol
(Matriz: cloridrato de tramadol - Brain)</t>
  </si>
  <si>
    <t>Desistência a pedido, protocolado em 29/06/2015 sob expediente n°0575418/15-6.</t>
  </si>
  <si>
    <t>Desistência à pedido. Para cumprimento de exigência n°0557679/15-2 e por já termos o clone deferido. Desistência protocolada em 29/06/2015 sob expediente n°0575806/15-8.</t>
  </si>
  <si>
    <t>Desistência a pedido, protocolado em 29/06/2015 sob expediente n°0575811/15-4.</t>
  </si>
  <si>
    <t>0586070/15-9</t>
  </si>
  <si>
    <t>25351.169497/2013-12</t>
  </si>
  <si>
    <t>300mg + 125mg + 50mg + 30mg</t>
  </si>
  <si>
    <t>1038135140</t>
  </si>
  <si>
    <t xml:space="preserve">25351.587832/2010-26 </t>
  </si>
  <si>
    <t xml:space="preserve">25351.595012/2010-18 </t>
  </si>
  <si>
    <t xml:space="preserve">25351.651335/2009-92 </t>
  </si>
  <si>
    <t>dexametasona</t>
  </si>
  <si>
    <t xml:space="preserve"> 40mg</t>
  </si>
  <si>
    <t xml:space="preserve">Alivium </t>
  </si>
  <si>
    <t>0,075mg + 0,02mg</t>
  </si>
  <si>
    <t>cápsula + comprimido revestido + cápsula</t>
  </si>
  <si>
    <t>pó para solução oral</t>
  </si>
  <si>
    <t>0008073/13-0</t>
  </si>
  <si>
    <t>Anuência em Processo de Pesquisa Clínica – Medicamentos Sintéticos</t>
  </si>
  <si>
    <t>25351.046515/2013-60</t>
  </si>
  <si>
    <t>polaramine expectorante</t>
  </si>
  <si>
    <t>25351.575146/2010-04</t>
  </si>
  <si>
    <t>25351.245705/2010-31</t>
  </si>
  <si>
    <t xml:space="preserve">50mg+12,5mg+10mg </t>
  </si>
  <si>
    <t>losartana + hidroclorotiazida + atorvastatina (polipílula)</t>
  </si>
  <si>
    <t xml:space="preserve">400mg+65mg </t>
  </si>
  <si>
    <t xml:space="preserve">ibuprofeno + cafeína </t>
  </si>
  <si>
    <t xml:space="preserve">losartana + hidroclorotiazida + atorvastatina </t>
  </si>
  <si>
    <t>Mantecorp</t>
  </si>
  <si>
    <t>maleato de dexclorfeniramina + sulfato de pseudoefedrina + guaifenesina</t>
  </si>
  <si>
    <t>cloridrato de dobutamina
(Matriz: Neobutamina - Brain)</t>
  </si>
  <si>
    <t xml:space="preserve">250mg/20mL </t>
  </si>
  <si>
    <t>solução injetável</t>
  </si>
  <si>
    <t>Desistência à pedido - protocolado em 06/07/15 sob expediente n°0598230/15-8
Status da desistência: ANUÍDO</t>
  </si>
  <si>
    <t>diclofenaco potássico
(Matriz:diclofenaco potássico- ACCORD)</t>
  </si>
  <si>
    <t>glimepirida
(Matriz:glimepirida- ACCORD)</t>
  </si>
  <si>
    <t>lamotrigina 
(Matriz:lamotrigina- ACCORD)</t>
  </si>
  <si>
    <t>pantoprazol
(Matriz:pantoprazol- ACCORD)</t>
  </si>
  <si>
    <t>risperidona
(Matriz:risperidona l- ACCORD)</t>
  </si>
  <si>
    <t xml:space="preserve">
0098667/14-4
</t>
  </si>
  <si>
    <t xml:space="preserve">paracetamol + carisoprodol + diclofenaco sódico + cafeína </t>
  </si>
  <si>
    <t>vitamina D</t>
  </si>
  <si>
    <t xml:space="preserve"> 200mg / 100mg</t>
  </si>
  <si>
    <t>25351.449433/2015-03</t>
  </si>
  <si>
    <t>0651662159</t>
  </si>
  <si>
    <t>25351.451014/2015-23</t>
  </si>
  <si>
    <t>nitrato de miconazol + tinidazol</t>
  </si>
  <si>
    <t>20mg/g + 20mg/g</t>
  </si>
  <si>
    <t>Amplium G
(Matriz: tinidazol + nitrato de miconazol - Cosmed)</t>
  </si>
  <si>
    <t xml:space="preserve">11,6mg/g </t>
  </si>
  <si>
    <t>solução aerossol</t>
  </si>
  <si>
    <t>Reunião realizada no dia 27 de julho de 2015</t>
  </si>
  <si>
    <t>nistatina</t>
  </si>
  <si>
    <t>Calminex Sport Aerossol 
(Matriz: Gelol Sport - Cosmed)</t>
  </si>
  <si>
    <t>Polaramine expectorante
(Matriz: Histamin Expecto - Brain)</t>
  </si>
  <si>
    <t>25351.484331/2015-26</t>
  </si>
  <si>
    <t>0702685154</t>
  </si>
  <si>
    <t>dipirona</t>
  </si>
  <si>
    <t>1g e 500mg</t>
  </si>
  <si>
    <t>25351.481294/2015-02</t>
  </si>
  <si>
    <t>0698487158</t>
  </si>
  <si>
    <t>25351.484327/2015-68</t>
  </si>
  <si>
    <t>0702678151</t>
  </si>
  <si>
    <t xml:space="preserve">dipirona + mucato de isometepteno + cafeína </t>
  </si>
  <si>
    <t>drágea simples</t>
  </si>
  <si>
    <t>1383 - SUMED - PRIORIZAÇÃO DE ANÁLISE</t>
  </si>
  <si>
    <t>0707145/15-1</t>
  </si>
  <si>
    <t xml:space="preserve">A empresa esclarece, que considera relevante seu pedido de priorização de análise haja vista se tratar de pedido de registro de uma associação medicamentosa de amplo uso para a qual atualmente não há produto genérico disponível no mercado. Desta forma, a inserção de tal produto no mercado será inédita e significativamente benéfica para o consumidor por representar uma opção mais econômica e consequentemente ampliar a concorrência no mercado da associação em pauta. </t>
  </si>
  <si>
    <t>876150107</t>
  </si>
  <si>
    <t>1003712148</t>
  </si>
  <si>
    <t>1162323143</t>
  </si>
  <si>
    <t>25351.459804/2015-57</t>
  </si>
  <si>
    <t>0667088151</t>
  </si>
  <si>
    <t>20,40 e 80mg</t>
  </si>
  <si>
    <t>653888156</t>
  </si>
  <si>
    <t>Não possui fármaco identificador com a família proposta: Biotônico
Desistência protocolada em 26/06/2015 sob expediente n° 0569011/15-1.</t>
  </si>
  <si>
    <t>Não possui fármaco identificador com a família proposta: Doril
Desistência protocolada em 26/06/2015 sob expediente n° 0568985/15-6.</t>
  </si>
  <si>
    <t>Não possui fármaco identificador com Coristina. 
Desistência protocolada em 26/06/2015 sob expediente n° 0568973/15-2.</t>
  </si>
  <si>
    <t xml:space="preserve"> Não possui fármaco identificador com a família proposta: Merthiolate
Desistência protocolada em 26/06/2015 sob expediente n° 0568999/15-6.</t>
  </si>
  <si>
    <t>25351.496535/2015-18</t>
  </si>
  <si>
    <t>0721057154</t>
  </si>
  <si>
    <t>Termopirona CP 
(Matriz: dipirona - Brain)</t>
  </si>
  <si>
    <t>Glionil
(Matriz: glibenclamida - Brain)</t>
  </si>
  <si>
    <t>salicilato de metila + cânfora + mentol +  terebentina</t>
  </si>
  <si>
    <t>Lacto - Gás</t>
  </si>
  <si>
    <t>captopril</t>
  </si>
  <si>
    <t>Cibrato
(matriz: ciprofibrato - Brain)</t>
  </si>
  <si>
    <t>Tibial
(matriz: tibolona - Brain)</t>
  </si>
  <si>
    <t>valerato de betametasona + sulfato de gentamicina + tolnaftato + clioquinol - Brain)</t>
  </si>
  <si>
    <t>Quadrilon
(matriz: Quadriderm - Cosmed)</t>
  </si>
  <si>
    <t>10mg/g + 1mg/g + 10mg/g + 0,5mg/g</t>
  </si>
  <si>
    <t xml:space="preserve">20mg + 12,5mg e 40mg + 25mg </t>
  </si>
  <si>
    <t>25351.521726/2015-17</t>
  </si>
  <si>
    <t>0758469155</t>
  </si>
  <si>
    <t>25351.522284/2015-26</t>
  </si>
  <si>
    <t>0759261152</t>
  </si>
  <si>
    <t>nitrato de miconazol</t>
  </si>
  <si>
    <t xml:space="preserve">carisoprodol  + diclofenaco sódico + paracetamol  + cafeína </t>
  </si>
  <si>
    <t>125mg + 50mg + 300mg + 30mg</t>
  </si>
  <si>
    <t>Daktazol creme 
(matriz: nitrato de miconazol - Brain)</t>
  </si>
  <si>
    <t>Daktazol loção 
(matriz: nitrato de miconazol - Brain)</t>
  </si>
  <si>
    <t xml:space="preserve">paracetamol  + ácido acetilsalicílico + cafeína </t>
  </si>
  <si>
    <t>250mg + 65mg  + 65mg</t>
  </si>
  <si>
    <t xml:space="preserve"> Dorfin enxaqueca 
(matriz: Doril enxaqueca - Cosmed)</t>
  </si>
  <si>
    <t>registro de medicamento clone - Pós Registro</t>
  </si>
  <si>
    <t xml:space="preserve"> 20mg/g</t>
  </si>
  <si>
    <t xml:space="preserve">cloridrato de tramadol </t>
  </si>
  <si>
    <t xml:space="preserve">meloxicam </t>
  </si>
  <si>
    <t>15mg</t>
  </si>
  <si>
    <t xml:space="preserve">tartarato de brimonidina </t>
  </si>
  <si>
    <t xml:space="preserve"> 2mg/mL</t>
  </si>
  <si>
    <t xml:space="preserve">cloreto de sódio </t>
  </si>
  <si>
    <t xml:space="preserve">tenoxicam </t>
  </si>
  <si>
    <t xml:space="preserve">estriol </t>
  </si>
  <si>
    <t xml:space="preserve">norfloxacino </t>
  </si>
  <si>
    <t xml:space="preserve">diazepam </t>
  </si>
  <si>
    <t>25351.548460/2015-50</t>
  </si>
  <si>
    <t>0798386157</t>
  </si>
  <si>
    <t>Reunião realizada
no dia 23 de abril de 2015</t>
  </si>
  <si>
    <t>Esclarece-se que o medicamento  alvo da priorização de análise  não é de venda sob prescrição  médica. Desta forma, a redação dada pelas alíneas "e", "g" e "k" do Inciso I da IN 03/2014 não são aplicáveis a este caso. O produto em questão é um medicamento isento de prescrição médica.</t>
  </si>
  <si>
    <t>Reunião realizada
no dia 27 de agosto de 2015</t>
  </si>
  <si>
    <t>Reunião ordinária realizada no dia 07/10/2013</t>
  </si>
  <si>
    <t>Não há previsão de priorização por meio da I.N. nº 06/2008</t>
  </si>
  <si>
    <t>Reunião ordinária realizada no dia 31 de janeiro de 2014</t>
  </si>
  <si>
    <t xml:space="preserve">levofloxacino </t>
  </si>
  <si>
    <t>cloridrato de metformina
(matriz: Neo metformin - Brain)</t>
  </si>
  <si>
    <t>pantoprazol sódico sesquiidratado</t>
  </si>
  <si>
    <t>Desistência à pedido - protocolado em 06/03/15 sob expediente n°0214433/15-6.
O marketing sinalizou não ter mais interesse no registro.</t>
  </si>
  <si>
    <t>Desistência à pedido, protocolado em 11/06/15 sob n° de expediente 0522252/15-4.
O marketing sinalizou não ter mais interesse no registro.</t>
  </si>
  <si>
    <t>registro de medicamento, em conformidade com o art. 2° da IN 06/2008.</t>
  </si>
  <si>
    <t>140mg e 420mg e 28mg/mL</t>
  </si>
  <si>
    <t>comprimido e solução oral</t>
  </si>
  <si>
    <t xml:space="preserve"> 140mg e 420mg e 28mg/mL</t>
  </si>
  <si>
    <t>comprimido revestido e solução oral</t>
  </si>
  <si>
    <t>20mg/g ; 200mg; 20mg/g</t>
  </si>
  <si>
    <t>creme dermatológico
 comprimido e xampú</t>
  </si>
  <si>
    <t>cápsula dura e pó liófilo</t>
  </si>
  <si>
    <t xml:space="preserve">100mg e 200mg </t>
  </si>
  <si>
    <t>5mg e 0,5mg/mL</t>
  </si>
  <si>
    <t>25mg e 20mg/g</t>
  </si>
  <si>
    <t>comprimido revestido e creme dermatológico</t>
  </si>
  <si>
    <t>0,5mg/mL e  5mg</t>
  </si>
  <si>
    <t>50mg/g e 200mg</t>
  </si>
  <si>
    <t>creme dermatológico e
comprimido</t>
  </si>
  <si>
    <t>25.000UI/g e 100.000UI/mL</t>
  </si>
  <si>
    <t>creme e suspensão gotas</t>
  </si>
  <si>
    <t>25351.548470/2015-95</t>
  </si>
  <si>
    <t>0798403151</t>
  </si>
  <si>
    <t>25351.596642/2015-37</t>
  </si>
  <si>
    <t>0855728154</t>
  </si>
  <si>
    <t>25351.596650/2015-83</t>
  </si>
  <si>
    <t>0855740153</t>
  </si>
  <si>
    <t>25351.596662/2015-16</t>
  </si>
  <si>
    <t>0855755151</t>
  </si>
  <si>
    <t>25351.596664/2015-05</t>
  </si>
  <si>
    <t>0855757158</t>
  </si>
  <si>
    <t>25351.596668/2015-85</t>
  </si>
  <si>
    <t>creme e pomada</t>
  </si>
  <si>
    <t>0855765159</t>
  </si>
  <si>
    <t>25351.596672/2015-43</t>
  </si>
  <si>
    <t>0855771153</t>
  </si>
  <si>
    <t>25351.596679/2015-65</t>
  </si>
  <si>
    <t>0855780152</t>
  </si>
  <si>
    <t>25351.596877/2015-29</t>
  </si>
  <si>
    <t>0856013157</t>
  </si>
  <si>
    <t>1mg/mL e 1,0mg</t>
  </si>
  <si>
    <t>Desistência a pedido, protocolado em 14/09/2015 sob expediente n° 0826369/15-8.
Obs: orientações da gerências e diretorias para desistência devido a desativação da área (injetáveis pós).</t>
  </si>
  <si>
    <t>25351.614292/2015-06</t>
  </si>
  <si>
    <t>0880500158</t>
  </si>
  <si>
    <t>25351.180541/2015-48</t>
  </si>
  <si>
    <t xml:space="preserve">850mg 1g </t>
  </si>
  <si>
    <t>A TAXA NÃO FOI PAGA</t>
  </si>
  <si>
    <t>40mg e 75mg/mL</t>
  </si>
  <si>
    <t>comprimido e emulsão oral</t>
  </si>
  <si>
    <t>solução oral e comprimido revestido</t>
  </si>
  <si>
    <t xml:space="preserve"> 3.300UI/mL e 1.000UI, 5.000UI, 7.000UI, 10.000UI, 50.000UI</t>
  </si>
  <si>
    <t>Pratium Multi</t>
  </si>
  <si>
    <t xml:space="preserve">Tramaden </t>
  </si>
  <si>
    <t>Revapress</t>
  </si>
  <si>
    <t>Desistência à pedido, protocolado em 20/010/15 sob n° de expediente  0925503/15-6.
• Em  nosso monitoramento verificamos que houve indeferimento da Accord para este produto e trata-se do mesmo dossiê.</t>
  </si>
  <si>
    <t>25351.638163/2015-03</t>
  </si>
  <si>
    <t>0912724151</t>
  </si>
  <si>
    <t>25351.638171/2015-41</t>
  </si>
  <si>
    <t>25351.638178/2015-63</t>
  </si>
  <si>
    <t>0912745153</t>
  </si>
  <si>
    <t>Mantivemos esses dados, apenas para Histórico. Essa petição foi substituida pela petição de inclusão de nova apresentação por inclusão de sabor.</t>
  </si>
  <si>
    <t>Desistência da petição por motivos de auditoria de registro - ANVISA2013, protocolado em 19/02/2013, sob expediente n° 125032139.</t>
  </si>
  <si>
    <t xml:space="preserve">Desistência a pedido, protocolado em 14/09/2015 sob expediente n°0826349/15-3
Obs: orientações da gerências e diretorias para desistência devido a desativação da área (injetáveis pós).
</t>
  </si>
  <si>
    <t>Desistência a pedido, protocolado em 14/09/2015 sob expediente n°0826351/15-5.
Obs: orientações da gerências e diretorias para desistência devido a desativação da área (injetáveis pós).</t>
  </si>
  <si>
    <t>Desistência a pedido, protocolado em 14/09/2015 sob expediente n°0826358/15-2.
Obs: orientações da gerências e diretorias para desistência devido a desativação da área (injetáveis pós).</t>
  </si>
  <si>
    <t>Desistência a pedido, protocolado em 14/09/2015 sob expediente n°0826353/15-1.
Obs: orientações da gerências e diretorias para desistência devido a desativação da área (injetáveis pós).</t>
  </si>
  <si>
    <t>Desistência a pedido, protocolado em 14/09/2015 sob expediente n0826359/15-1.
Obs: orientações da gerências e diretorias para desistência devido a desativação da área (injetáveis pós).</t>
  </si>
  <si>
    <t>Desistência a pedido, protocolado em 14/09/2015 sob expediente n° 0826360/15-4.
Obs: orientações da gerências e diretorias para desistência devido a desativação da área (injetáveis pós).</t>
  </si>
  <si>
    <t>Desistência a pedido, protocolado em 14/09/2015 sob expediente n° 0826370/15-1.
Obs: orientações da gerências e diretorias para desistência devido a desativação da área (injetáveis pós).</t>
  </si>
  <si>
    <t>Desistência á pedido - Protocolado em 11/06/2015, sob n° de expediente 0522184/15-6). Desistimos deste clone. Pois o Matriz teve sua renovação indeferida em 2015.</t>
  </si>
  <si>
    <t>Vitasay Ginseng
(Matriz:Virilon Ginseng - Brain)</t>
  </si>
  <si>
    <t xml:space="preserve">25351.675550/2015-12 </t>
  </si>
  <si>
    <t>0961493151</t>
  </si>
  <si>
    <t xml:space="preserve">S: Virchow Laboratories 
T: Shouguang Fukang
</t>
  </si>
  <si>
    <t>413106101</t>
  </si>
  <si>
    <t>15mg/mL</t>
  </si>
  <si>
    <t>Neolatina</t>
  </si>
  <si>
    <t>Aguardando ofício da ANVISA para definição se continuará à análise do NOVO registro através da exigência, ou se iremos protocolar a desistência à pedido deste.
Desistência a pedido protocolado em 03/11/2015, sob expediente n°0961686/15-1.</t>
  </si>
  <si>
    <t>25351.741346/2014-16</t>
  </si>
  <si>
    <t>1090360147.</t>
  </si>
  <si>
    <t>Desistência à pedido, protocolado em XX, sob expediente XX.
Para evitar indeferimento pois não foi informado no registro a declaração de cancelamento de registro vigente. O que era definido entre as gerências.</t>
  </si>
  <si>
    <t xml:space="preserve">creme dermatológico </t>
  </si>
  <si>
    <t xml:space="preserve">10mg/5mL </t>
  </si>
  <si>
    <t xml:space="preserve">25351.417713/2014-63 </t>
  </si>
  <si>
    <t>Desistência à pedido, protocolado em 20/11/2015, sobe expediente n°1017601/15-2.
  isento de prescrição. Matriz não atende aos critérios do parágrafo 2º, art. 8º da RDC 31/14</t>
  </si>
  <si>
    <t>Desistência à pedido, protocolado em 20/11/2015, sob expediente n° 1017584/15-9.
 isento de prescrição. Matriz não atende aos critérios do parágrafo 2º, art. 8º da RDC 31/14</t>
  </si>
  <si>
    <t>25351.63647/32009-32</t>
  </si>
  <si>
    <t>Melhoral</t>
  </si>
  <si>
    <t>1034125/15-1</t>
  </si>
  <si>
    <t>ácido acetilsalicílico + cafeína anidra</t>
  </si>
  <si>
    <t xml:space="preserve">500mg + 30mg </t>
  </si>
  <si>
    <t>Referente à inclusão do fabricante CSPC Innovation Pharmaceutical Co., Ltd. para o insumo ativo cafeína
Tendo em vista a interrupção do fornecimento do insumo farmacêutico ativo cafeína pelo único fabricante registrado Tianjin Zhongan Pharmaceutical Co., Ltd</t>
  </si>
  <si>
    <t>25351.731430/2015-11</t>
  </si>
  <si>
    <t>25351.731625/2015-52</t>
  </si>
  <si>
    <t>1040408152</t>
  </si>
  <si>
    <t xml:space="preserve">valerato de betametasona + sulfato de gentamicina + tolnaftato + clioquinol </t>
  </si>
  <si>
    <t xml:space="preserve">Desistência à pedido, protocolado em 20/11/2015, sob expediente n° 1017595/15-4
*Ausência da declaração de cancelamento de registro anterior
</t>
  </si>
  <si>
    <t xml:space="preserve">Desistência à pedido, protocolado em 25/11/2015, sob expediente n° 1038328/15-0.
* Entramos com registro clone.
</t>
  </si>
  <si>
    <t>25351.745719/2015-17</t>
  </si>
  <si>
    <t>1061974157</t>
  </si>
  <si>
    <t xml:space="preserve">Desistência à pedido, protocolado em 25/11/2015, sob expediente n° 1038313/15-1.
* Entramos com novo registro clone alterando o matriz de Neovision para latanoprosta .
</t>
  </si>
  <si>
    <t>25351.748963/2015-23</t>
  </si>
  <si>
    <t>1066703152</t>
  </si>
  <si>
    <t>Lexoneo Gotas
(Matriz: oxalato de escitalopram - Brain)</t>
  </si>
  <si>
    <t>Decipram Gotas
(Matriz: oxalato de escitalopram - Brain)</t>
  </si>
  <si>
    <t>nistatina
(Matriz Neo Mistatin - Brain)</t>
  </si>
  <si>
    <t>Capotrineo
(Matriz: captopril - Brain)</t>
  </si>
  <si>
    <t>Floxneo
(Matriz: levofloxacino - Brain)</t>
  </si>
  <si>
    <t>hidroclorotiazida
(Matriz: Neo Hidroclor- Brain)</t>
  </si>
  <si>
    <t>Tibial
(Matriz: tibolona - Brain)</t>
  </si>
  <si>
    <t>Cibrato
(Matriz: ciprofibrato - Brain)</t>
  </si>
  <si>
    <t>Hizyneo
(Matriz: cloridrato de hidroxizina - Brain)</t>
  </si>
  <si>
    <t>Quadrilon
(Matriz: Quadriderm - Cosmed)</t>
  </si>
  <si>
    <t>cloridrato de metformina
(Matriz: Neo metformin - Brain)</t>
  </si>
  <si>
    <t>Prosoft
(Matriz: latanoprosta - Brain)</t>
  </si>
  <si>
    <t>25351.750751/2015-14</t>
  </si>
  <si>
    <t>1069640157</t>
  </si>
  <si>
    <t>Equiflora (antiga marca: Lacto-Trat)
(Matriz:Flomicin - Brain)</t>
  </si>
  <si>
    <t>25351.798185/2010-93</t>
  </si>
  <si>
    <t>Lozaprol</t>
  </si>
  <si>
    <t>omeprazol + omeprazol</t>
  </si>
  <si>
    <t>cásula dura de liberação retardada</t>
  </si>
  <si>
    <t>Mioflex A
(Matriz: Torsilax - Brain)</t>
  </si>
  <si>
    <t>carisoprodol  + diclofenaco sódico + paracetamol  + cafeína 
(Matriz: Torsilax - Brain)</t>
  </si>
  <si>
    <t>1040085151</t>
  </si>
  <si>
    <t>comprimido revestido
creme dermatológico</t>
  </si>
  <si>
    <t>Lodina (antiga marca: Lopatin)
(Matriz: clor. de olopatadina - Brain)</t>
  </si>
  <si>
    <t>25351.751131/2015-94</t>
  </si>
  <si>
    <t>1070172159</t>
  </si>
  <si>
    <t>25351.759795/2015-00</t>
  </si>
  <si>
    <t>1082750151</t>
  </si>
  <si>
    <t>25351.759831/2015-27</t>
  </si>
  <si>
    <t>1082807159</t>
  </si>
  <si>
    <t>25351.751221/2015-85</t>
  </si>
  <si>
    <t>1070290153</t>
  </si>
  <si>
    <t>1.000UI
5.000UI
7.000UI
10.000UI
50.000UI
3.300UI/mL
10.000UI/mL
1.000UI
5.000UI
7.000UI
10.000UI
50.000UI</t>
  </si>
  <si>
    <t>comprimido revestido
 solução gotas
cápsula mole</t>
  </si>
  <si>
    <t xml:space="preserve">losartana potássica+hidroclorotiazida
(Matriz: Neopress H - Brain) </t>
  </si>
  <si>
    <t>losartana potássica + hidroclorotiazida</t>
  </si>
  <si>
    <t>piroxicam</t>
  </si>
  <si>
    <t>25351.767061/2015-96</t>
  </si>
  <si>
    <t>1093635151</t>
  </si>
  <si>
    <t>Floxicam
(Matriz: piroxicam - Brain)</t>
  </si>
  <si>
    <t>Neotramol
(Matriz: clor. tramadol - Brain)</t>
  </si>
  <si>
    <t>cloridrato de nafazolina + sulfato de zinco heptaidratado</t>
  </si>
  <si>
    <t>softalm</t>
  </si>
  <si>
    <t>D: Duke Chem
       T: Vem Petrochem</t>
  </si>
  <si>
    <t xml:space="preserve"> carisoprodol + diclofenaco sódico + paracetamol + cafeína</t>
  </si>
  <si>
    <t>125mg+ 50mg + 300mg + 30mg</t>
  </si>
  <si>
    <t>bicarbonato de sódio + carbonato de sódio+ ácido cítrico</t>
  </si>
  <si>
    <t>462 + 90 + 438mg/g</t>
  </si>
  <si>
    <t xml:space="preserve"> 125mg+ 50mg + 300mg + 30mg</t>
  </si>
  <si>
    <t>0104152/14-5</t>
  </si>
  <si>
    <t xml:space="preserve">0017092145 </t>
  </si>
  <si>
    <t xml:space="preserve">15mg + 150mg +150mg + 50mg </t>
  </si>
  <si>
    <t xml:space="preserve">250mg + 250mg + 65mg </t>
  </si>
  <si>
    <t xml:space="preserve"> Irbeless (antiga marca: Ipress)</t>
  </si>
  <si>
    <t>10mg, 20mg, 40mg e 80mg</t>
  </si>
  <si>
    <t xml:space="preserve">25351.269251/2010-50 </t>
  </si>
  <si>
    <t>50mg/g</t>
  </si>
  <si>
    <t>70mg</t>
  </si>
  <si>
    <t>1,0mg/mL + 3,0mg/mL</t>
  </si>
  <si>
    <t>850mg</t>
  </si>
  <si>
    <t xml:space="preserve">10mg, 20mg </t>
  </si>
  <si>
    <t xml:space="preserve">Desistência à pedido, protocolado em 15/12/2015 sob expediente n°1098236/15-1.
* Não há possibilidade de cumprimento da Exigência. Enviamos SAT para a Anvisa com a proposta do cumprimento de exigência, com inclusão do teste de Sulfato e Sulfamato e realização desse teste nos lotes que encontram-se nas câmaras de estabilidade (cerca de 55 a 60 meses), porém a Anvisa não aceitou a proposta. Diante disso, torna-se inviável o cumprimento da exigência. 
Necessário fabricar novos lotes do produto, para realização de estudo de estabilidade com inclusão do teste (Sulfato/Sulfamato) desde o início dos novos estudos de estabilidade que serão realizados. 
</t>
  </si>
  <si>
    <t>Neosoro Septic</t>
  </si>
  <si>
    <t>1.593,00mg</t>
  </si>
  <si>
    <t>Dominion Salt Limited.</t>
  </si>
  <si>
    <t>Desistência à pedido, protocolado em  29/10/2015 sob expediente n° 0960176/15-7., para resposta ao   Of. n°0947232151/2015  (Ofício respondido em 04/11/15 sob expediente n° de conhecimento 201511040233PR.  Entraremos com CLONE.</t>
  </si>
  <si>
    <t>Desistência à pedido, protocolado em  29/10/2015 sob expediente n° 0960109/15-1. para resposta ao   Of. n°0946889157/2015  (Resposta ao ofício, protocolado em 04/11/15 sob expediente n°201511040226PR).  Entraremos com CLONE.</t>
  </si>
  <si>
    <t>Desistência à pedido protocolado em 19/08/2015 sob expediente n°0747168/15-8. Tal solicitação se fez necessária, visto que a empresa recebeu o ofício n° 0723515156/2015 - protocolado em 20/08/15 sob n° de conhecimento 201508200164PR, e conforme orientação deste optou pelo procedimento simplificado (clone) - Complemnetação do ofício, protocolado em 20/10/15 sob n° de conhecimento 201505140874PR.</t>
  </si>
  <si>
    <t>Desistência à pedido, protocolado em  31/08/2015, sob expediente n° 0777628/15-4. Entraremos com CLONE.
Resposta ao ofício n° 0757491156/2015 protocolado em 02/09/2015 sob n° de conhecimento 201509020250PR.</t>
  </si>
  <si>
    <t xml:space="preserve">cloridrato  de amilorida + hidroclorotiazida </t>
  </si>
  <si>
    <t>cloridrato  de amilorida + hidroclorotiazida 
(Matriz: Amilorid - Brain)</t>
  </si>
  <si>
    <t>25351.806063/2016-99</t>
  </si>
  <si>
    <t>25351.806178/2016-83</t>
  </si>
  <si>
    <t>25351.816631/2016-60</t>
  </si>
  <si>
    <t>25351.816412/2016-81</t>
  </si>
  <si>
    <t>25351.816514/2016-04</t>
  </si>
  <si>
    <t>1019778138</t>
  </si>
  <si>
    <t>1036726148</t>
  </si>
  <si>
    <t>1134755144</t>
  </si>
  <si>
    <t xml:space="preserve">25351.778812/2015-86 </t>
  </si>
  <si>
    <t>1171784160</t>
  </si>
  <si>
    <t>1171602169</t>
  </si>
  <si>
    <t>Lipostea 
(Matriz: Minusté - Cosmed)</t>
  </si>
  <si>
    <t>25351.784027/2015-86</t>
  </si>
  <si>
    <t>1119681155</t>
  </si>
  <si>
    <t>25351.788007/2015-84</t>
  </si>
  <si>
    <t>nistatina
(Matriz: Neo Mistatin - Brain)</t>
  </si>
  <si>
    <t>25.000UI/g e 100.000UI/g</t>
  </si>
  <si>
    <t>creme vaginal e suspensão oral</t>
  </si>
  <si>
    <t>1125842150</t>
  </si>
  <si>
    <t>25351.811774/2016-85</t>
  </si>
  <si>
    <t>Sertralin
(Matriz: cloridrato de sertralina - Brain)</t>
  </si>
  <si>
    <t>1162608169</t>
  </si>
  <si>
    <t>25351.817760/2016-75</t>
  </si>
  <si>
    <t>maleato de timolol
(Matriz: Timoneo - Brain)</t>
  </si>
  <si>
    <t>5,0mg/mL</t>
  </si>
  <si>
    <t>1173565161</t>
  </si>
  <si>
    <t>25351.817758/2016-04</t>
  </si>
  <si>
    <t>nitrato de isoconazol</t>
  </si>
  <si>
    <t>1173561169</t>
  </si>
  <si>
    <t>25351.812643/2016-15</t>
  </si>
  <si>
    <t>Migrainex
(Matriz: Doril Enxaqueca - Cosmed)</t>
  </si>
  <si>
    <t>paracetamol+ácido acetilsalicílico+cafeína</t>
  </si>
  <si>
    <t>250mg+250mg+65mg</t>
  </si>
  <si>
    <t>1164029164</t>
  </si>
  <si>
    <t>25351.812638/2016-11</t>
  </si>
  <si>
    <t>1164013168</t>
  </si>
  <si>
    <t>25351.812640/2016-81</t>
  </si>
  <si>
    <t>1164019167</t>
  </si>
  <si>
    <t>1001730135</t>
  </si>
  <si>
    <t>1137819141</t>
  </si>
  <si>
    <t xml:space="preserve">*Desistência à pedido, protocolado em 07/01/2016, sob expediente n° 1143911/16-4
Não há possibilidade de cumprimento da exigência, n°0838309/15 recebida em 28/09/2015 tendo em vista que para responder ao item mais crítico que foi a reprovação do estudo de estabilidade, precisaríamos executar validação a nível de concentração de impurezas, para demonstrar que o método é capaz de quantificar produtos de degradação. Porém, com base em testes que realizamos, foi verificado que não há detecção satisfatória na concentração a nível do limite de impurezas, impossibilitando a realização dos parâmetros de validação. 
Necessariamente, requer desenvolvimento de novo método para essa quantificação e, em seguida, fabricação de novos lotes para conduzir novo estudo de estabilidade com método adequado, e já incluindo o teste de proporção dos constituintes do Dimenidrinato (Difenidramina e 8-cloroteofilina), já que esse teste também foi solicitado em exigência. 
Exigência cumprida em 11/01/16.
</t>
  </si>
  <si>
    <t>50mcg/mL</t>
  </si>
  <si>
    <t>25351.385225/2009-97</t>
  </si>
  <si>
    <t xml:space="preserve">0,06mg + 0,015mg </t>
  </si>
  <si>
    <t>Finastec
(Matriz: finasterida - Brain)</t>
  </si>
  <si>
    <t>Histamin comprimido 
(Matriz: maleato de dexclorfeniramina - Brain)</t>
  </si>
  <si>
    <t>Histamin creme
(Matriz: maleato de dexclorfeniramina - Brain)</t>
  </si>
  <si>
    <t>Histamin solução
(Matriz: maleato de dexclorfeniramina - Brain)</t>
  </si>
  <si>
    <t>0,4mg/mL</t>
  </si>
  <si>
    <t xml:space="preserve">Desistência à pedido, protocolado em 14/12/2015 sob expediente n° 1090388/15-7
* Matriz não atende aos critérios do parágrafo 3º, art. 9º da RDC 31/14
</t>
  </si>
  <si>
    <t>25351.807912/2016-21</t>
  </si>
  <si>
    <t>Glimeran
(Matriz: glimepirida - Accord)</t>
  </si>
  <si>
    <t>cloridrato de nebivolol 
(Matriz:nebivolol - Actavis)</t>
  </si>
  <si>
    <t xml:space="preserve">cloridrato de nebivolol </t>
  </si>
  <si>
    <t xml:space="preserve">Erro ao importar dados do sistema. Não foi possível a visualização do conteúdo protocolizado eletronicamente pela empresa. Informamos que foi verificada a existência de documento anexo. Porém, ele isoladamente não pode ser a motivação ou os fatos que
subsidiam a solicitação de priorização de análise. Petição encerrada, conforme disposto no §3º , art. 9 da RDC 37/2014.
</t>
  </si>
  <si>
    <t>succinato de metoprolol</t>
  </si>
  <si>
    <t xml:space="preserve">25mg,  50mg, e 100mg </t>
  </si>
  <si>
    <t xml:space="preserve">comprimido revestido de liberação prolongada </t>
  </si>
  <si>
    <t>25351.837900/2016-21</t>
  </si>
  <si>
    <t>25351.837906/2016-07</t>
  </si>
  <si>
    <t>25351.837908/2016-98</t>
  </si>
  <si>
    <t>400mg+65mg</t>
  </si>
  <si>
    <t>25351.851100/2016-11</t>
  </si>
  <si>
    <t xml:space="preserve">0577918149 </t>
  </si>
  <si>
    <t>paracetamol + cloridrato de fenilefrina +  maleato de carbinoxamina</t>
  </si>
  <si>
    <t>limeciclina</t>
  </si>
  <si>
    <t>cápsula gelatinosa dura</t>
  </si>
  <si>
    <t>25351.874961/2016-70</t>
  </si>
  <si>
    <t>25351.858238/2016-43</t>
  </si>
  <si>
    <t>25351.876043/2016-31</t>
  </si>
  <si>
    <t>25351.875373/2016-53</t>
  </si>
  <si>
    <t>Benegrip Multi</t>
  </si>
  <si>
    <t>Benegrip Multi (antiga marca: Benegrip Líquido)</t>
  </si>
  <si>
    <t>Indicação de medicamento referência</t>
  </si>
  <si>
    <t>1271771161</t>
  </si>
  <si>
    <t>dispositivo para inalação com pó seco</t>
  </si>
  <si>
    <t>Neo química</t>
  </si>
  <si>
    <t>12,5mg/mL</t>
  </si>
  <si>
    <t>25351.349439/2008-44</t>
  </si>
  <si>
    <t>2,0mg/mL</t>
  </si>
  <si>
    <t>dimeticona</t>
  </si>
  <si>
    <t>695699/09-8</t>
  </si>
  <si>
    <t xml:space="preserve">guaifenesina </t>
  </si>
  <si>
    <t xml:space="preserve"> 6,67, 13,3 e 16mg/mL</t>
  </si>
  <si>
    <t>Neo latina</t>
  </si>
  <si>
    <t>25351.313070/2008-31</t>
  </si>
  <si>
    <t>Asseptcare</t>
  </si>
  <si>
    <t xml:space="preserve">737476/07-3
</t>
  </si>
  <si>
    <t>397359/08-0</t>
  </si>
  <si>
    <t xml:space="preserve">Ateneum </t>
  </si>
  <si>
    <t>019569/10-3</t>
  </si>
  <si>
    <t>cloridrato de ciprofloxacino</t>
  </si>
  <si>
    <t>393691/10-1</t>
  </si>
  <si>
    <t>0,2mg/mL</t>
  </si>
  <si>
    <t xml:space="preserve">bromazepam </t>
  </si>
  <si>
    <t xml:space="preserve">furoato de mometasona </t>
  </si>
  <si>
    <t>Artril</t>
  </si>
  <si>
    <t>775820/10-1</t>
  </si>
  <si>
    <t>0912851/12-4</t>
  </si>
  <si>
    <t>3,0mg/mL</t>
  </si>
  <si>
    <t>13,30 + 0,33 +0,13mg/mL</t>
  </si>
  <si>
    <t>25351.138272/2009-85</t>
  </si>
  <si>
    <t>25351.376333/2009-72 </t>
  </si>
  <si>
    <t>25351.325621/2009-79 </t>
  </si>
  <si>
    <t>25351.448416/2009-38</t>
  </si>
  <si>
    <t>580948/09-7</t>
  </si>
  <si>
    <t>25351.275135/2010-15</t>
  </si>
  <si>
    <t xml:space="preserve">25351.270169/2010-74 </t>
  </si>
  <si>
    <t xml:space="preserve">cefalexina </t>
  </si>
  <si>
    <t>25351.311992/2010-42</t>
  </si>
  <si>
    <t xml:space="preserve">registro de medicamento, em conformidade com o art. 2° da IN 06/2008  </t>
  </si>
  <si>
    <t>407645/10-1</t>
  </si>
  <si>
    <t>1,5mg</t>
  </si>
  <si>
    <t>300mg + 50mg+ 35mg/mL</t>
  </si>
  <si>
    <t>Biotônico Fontoura N</t>
  </si>
  <si>
    <t xml:space="preserve">Petição </t>
  </si>
  <si>
    <t xml:space="preserve">25351.771388/2014-61 </t>
  </si>
  <si>
    <t>Tonifila (antiga marca: Vitafil)
(Matriz: tadalafila - Brain)</t>
  </si>
  <si>
    <t xml:space="preserve">0,8mg/mL  e 1,6mg/mL </t>
  </si>
  <si>
    <t>0,8mg/mL  (pediátrico)
 1,6mg/mL (adulto)</t>
  </si>
  <si>
    <t>pomada e creme dermatologico</t>
  </si>
  <si>
    <t>300mg, 400mg e 50mg/mL</t>
  </si>
  <si>
    <t>comprimido e suspensão</t>
  </si>
  <si>
    <t>10mg/g e 2,8mg/mL</t>
  </si>
  <si>
    <t>creme dermatologico
 e solução oral</t>
  </si>
  <si>
    <t>400mg e 800mg</t>
  </si>
  <si>
    <t>cloridrato de oximetazolina</t>
  </si>
  <si>
    <t>2mg e 0,25mg</t>
  </si>
  <si>
    <t>Diproteron (antiga marca: Divaneo)</t>
  </si>
  <si>
    <t>creme dermatologico e pomada dermatológica</t>
  </si>
  <si>
    <t xml:space="preserve">Tamarine  </t>
  </si>
  <si>
    <t>4mg/mL e10mg</t>
  </si>
  <si>
    <t>solução oral  e cápsula</t>
  </si>
  <si>
    <t xml:space="preserve">Vitamina B1 </t>
  </si>
  <si>
    <t xml:space="preserve">bicabornato de sódio  + carbonato de sódio + ácido cítrico </t>
  </si>
  <si>
    <t>pó injetável</t>
  </si>
  <si>
    <t>loção capilar</t>
  </si>
  <si>
    <t>estimulador neuromuscular para alívio dador</t>
  </si>
  <si>
    <t>pó liófilo injetável</t>
  </si>
  <si>
    <t xml:space="preserve">pó efervescente </t>
  </si>
  <si>
    <t>granulado efervescente</t>
  </si>
  <si>
    <t>10.000UI/mL (400UI/)</t>
  </si>
  <si>
    <t>correlato</t>
  </si>
  <si>
    <t>cosmético</t>
  </si>
  <si>
    <t>Visodina (antiga marca Visodin)
(Matriz: clor. de olopatadina - Brain)</t>
  </si>
  <si>
    <t>Neomesart HCT (antiga marca: Benetec HCT)
(Matriz: olmesartana medoxomila + hidroclorotiazida - Brain)</t>
  </si>
  <si>
    <t>Linapicil (antiga marca: Ancina)
(Matriz: ampicilina Brain)</t>
  </si>
  <si>
    <t>Deciprax (antiga marca: Decipram)
(Matriz: oxalato de escitalopram -Brain)</t>
  </si>
  <si>
    <t>20mg + 12,5mg e
40mg + 25mg</t>
  </si>
  <si>
    <t>registro de cosmético</t>
  </si>
  <si>
    <t>registro de correlato</t>
  </si>
  <si>
    <t>suspensão temporária de fabricação</t>
  </si>
  <si>
    <t>registro de produto para saúde</t>
  </si>
  <si>
    <t xml:space="preserve">retificação de publicação </t>
  </si>
  <si>
    <t>alteração de nome comercial</t>
  </si>
  <si>
    <t>inclusão de nova concentração</t>
  </si>
  <si>
    <t>inclusão de nova forma farmacêutica</t>
  </si>
  <si>
    <t>inclusão de nova apresentação comercial</t>
  </si>
  <si>
    <t>inclusão de nova apresentação comercial fracionável</t>
  </si>
  <si>
    <t>inclusão de novo acondicionamento (frasco)</t>
  </si>
  <si>
    <t>aditamento a inclusão de nova forma farmacêutica 
 sabores: abacaxi, laranja, limão, morango, sem sabor e guaraná</t>
  </si>
  <si>
    <t xml:space="preserve">inclusão de nova apresentação por alteração de sabor                                                               </t>
  </si>
  <si>
    <t>Desistência a pedido, protocolado em 22/02/2016 sob expediente n° 1293995/16-1.
MKT não tem mais  interesse no produto.
Cumprimento  de exigência nº 1185071/16-0, protocolada em 23/02/16 sob exped. n°1294038161.</t>
  </si>
  <si>
    <t>Desistência a pedido, protocolado em 20/11/2015, sobe expediente n°1017591/15-1.
  isento de prescrição. Matriz não atende aos critérios do parágrafo 2º, art. 8º da RDC 31/14</t>
  </si>
  <si>
    <t xml:space="preserve">50mg+12,5mg e 100mg+25mg </t>
  </si>
  <si>
    <t xml:space="preserve">paracetamol + cloridrato de fenilefrina + paracetamol + maleato de carbinoxamina
</t>
  </si>
  <si>
    <t>25351.538558/2011-12</t>
  </si>
  <si>
    <t>Neolefrin</t>
  </si>
  <si>
    <t>400mg + 20mg com amarelo/ 400mg + 4mg com laranja</t>
  </si>
  <si>
    <t>0659143154</t>
  </si>
  <si>
    <t>Desistência a pedido protocolado em 09/03/16 sob expediente n XX.
Motivo: Tivemos o indeferimento da petição de inclusão de nova FF, para o produto similar Tyneo criança.</t>
  </si>
  <si>
    <t>25351.390197/2015-55</t>
  </si>
  <si>
    <t>Polaramine</t>
  </si>
  <si>
    <t>drágea repetabs</t>
  </si>
  <si>
    <t>Desistência a pedido protocolado em  08/03/16 sob expediente n°1346558/16-9.
Motivo: Foi protocolado aditamento conforme IN 6/2008 com o processo de genérico que fora indeferido e está em fase recursal.</t>
  </si>
  <si>
    <t>Desistência a pedido protocolado em  08/03/16 sob expediente n°1346539/16-2.
Motivo: Vínculo com IN6, não foi possível aditar à clone.</t>
  </si>
  <si>
    <t>Mesaneo
(Matriz: mesalazina- Brain)</t>
  </si>
  <si>
    <t>1334987162</t>
  </si>
  <si>
    <t>25351.902524/2016-53</t>
  </si>
  <si>
    <t>Epicitrin
(Matriz:sulfato de neomicina + bacitracina zíncica - Brain)</t>
  </si>
  <si>
    <t xml:space="preserve">sulfato de neomicina + bacitracina zíncica </t>
  </si>
  <si>
    <t>Daktazol creme 
(Matriz: nitrato de miconazol - Brain)</t>
  </si>
  <si>
    <t>Daktazol loção
(Matriz: nitrato de miconazol - Brain)</t>
  </si>
  <si>
    <t>25351.893410/2016-13</t>
  </si>
  <si>
    <t>25351.893399/2016-83</t>
  </si>
  <si>
    <t xml:space="preserve">Proxacin 
(Matriz: cloridrato de ciprofloxacino - Brain) </t>
  </si>
  <si>
    <t>valsartana+hidroclorotiazida</t>
  </si>
  <si>
    <t xml:space="preserve"> Neosval HCT
(Matriz: valsartana + hidroclorotiazida – Brain)</t>
  </si>
  <si>
    <t xml:space="preserve">80mg+12,5mg, 160mg+12,5mg, 160mg+25mg, 320mg+12,5mg e 320mg+25mg </t>
  </si>
  <si>
    <t>Notificação simplificada</t>
  </si>
  <si>
    <t>Rinosoro Jet</t>
  </si>
  <si>
    <t xml:space="preserve"> verificar</t>
  </si>
  <si>
    <t xml:space="preserve">850mg </t>
  </si>
  <si>
    <t>25351.977263/2016-25</t>
  </si>
  <si>
    <t>1468135168</t>
  </si>
  <si>
    <t>mesilato de doxazosina 
(Matriz Doxaneo - Brain)</t>
  </si>
  <si>
    <t xml:space="preserve">mesilato de doxazosina </t>
  </si>
  <si>
    <t xml:space="preserve">1mg, 2mg e 4mg </t>
  </si>
  <si>
    <t xml:space="preserve">Desistência a pedido protocolado em 09/03/16 sob expediente n XX. Decisão comitê regulatório. Harmonização com  o produto de linha.
Motivo: Entramos com protocolo de clone.
</t>
  </si>
  <si>
    <t>25351.980159/2016-18</t>
  </si>
  <si>
    <t>valerato de betametasona + gentamicina + tolnaftato + clioquinol
(Matriz: Quadrilon- Brain)</t>
  </si>
  <si>
    <t>digoxina
(Matriz: Neo Digoxin - Brain)</t>
  </si>
  <si>
    <t>cloridrato de lidocaína
(Matriz: Lidogel - Brain)</t>
  </si>
  <si>
    <t>Visacrom
(Matriz: cromoglicato dissódico - Brain)</t>
  </si>
  <si>
    <t>Neogedrat (Antiga marca: Digest)
(Matriz: Digedrat -Cosmed)</t>
  </si>
  <si>
    <t>Alivium
(Matriz: ibuprofeno - Capsfen)</t>
  </si>
  <si>
    <t>furoato de mometasona
(Matriz: Oximax - Hyper)</t>
  </si>
  <si>
    <t>Topliv Air
(Matriz: Oximax - Hyper)</t>
  </si>
  <si>
    <t>Neofloxin
(Matriz: norfloxacino - Brain)</t>
  </si>
  <si>
    <t>bromoprida
(Matriz: Digesprid - Brain)</t>
  </si>
  <si>
    <t>Fusitop
(Matriz: Veruf - Brain)</t>
  </si>
  <si>
    <t xml:space="preserve"> Desotop
(Matriz: Desocare - Brain)</t>
  </si>
  <si>
    <t>estimulador neuromuscular</t>
  </si>
  <si>
    <t>ginseng + vitaminas</t>
  </si>
  <si>
    <t>cápsula pó inalatório</t>
  </si>
  <si>
    <t>pó p/ susp oral</t>
  </si>
  <si>
    <t>geléia tópica</t>
  </si>
  <si>
    <t>25351.005044/2016-42</t>
  </si>
  <si>
    <t>25351.995767/2016-27</t>
  </si>
  <si>
    <t>1550804168</t>
  </si>
  <si>
    <t>1514336168</t>
  </si>
  <si>
    <t>25351.030757/2016-11</t>
  </si>
  <si>
    <t>pantoprazol sódico sesqui-hidratado</t>
  </si>
  <si>
    <t>comprimido gastrorresistente</t>
  </si>
  <si>
    <t xml:space="preserve">Resfryneo </t>
  </si>
  <si>
    <t>400mg + 4mg + 4mg</t>
  </si>
  <si>
    <t>Principal:
P:Mallinckrodt
MC:Suprya Chemicals
CF: Malladi Drugs
Qualificação:
 P: Anquiu Lu’Na
MC: Keshava Organics
CF:Nortec</t>
  </si>
  <si>
    <t xml:space="preserve">25351.261802/2015-60 </t>
  </si>
  <si>
    <t xml:space="preserve">25351.264893/2015-57  </t>
  </si>
  <si>
    <t>25351.262457/2015-53</t>
  </si>
  <si>
    <t xml:space="preserve">paracetamol </t>
  </si>
  <si>
    <t>160mg</t>
  </si>
  <si>
    <t xml:space="preserve">comprimido mastigável  </t>
  </si>
  <si>
    <t>25351.037881/2016-18</t>
  </si>
  <si>
    <t>1660202161</t>
  </si>
  <si>
    <t>Empresa solicitante</t>
  </si>
  <si>
    <t xml:space="preserve">13,30 + 0,33 + 0,13mg/mL </t>
  </si>
  <si>
    <t>Tylenol (Janssen)</t>
  </si>
  <si>
    <t xml:space="preserve">cloridrato de amitriptilina </t>
  </si>
  <si>
    <t>Neo amitriptilin 
(Matriz: cloridrato de amitriptilina  - Brain)</t>
  </si>
  <si>
    <t>Principal: Chongqing Waycome PharmaceuticalCo. Ltd.
Qualificação: La Nova Chem Pvt Ltd</t>
  </si>
  <si>
    <t>25351.051225/2016-41</t>
  </si>
  <si>
    <t>1666142167</t>
  </si>
  <si>
    <t>1317892160</t>
  </si>
  <si>
    <t>Fabricante principal: Mylan Laboratories Limited
Fabricante adicional: Divi's Laboratories Limited</t>
  </si>
  <si>
    <t>Fluxon
(Matriz: cinarizina - Brain)</t>
  </si>
  <si>
    <t>maleato de enalapril  
(Matriz: Renalapril  - Brain)</t>
  </si>
  <si>
    <t>5mg, 10mg e 20mg</t>
  </si>
  <si>
    <t>maleato de enalapril</t>
  </si>
  <si>
    <t>25351.072943/2016-51</t>
  </si>
  <si>
    <t>25351.101312/2016-56</t>
  </si>
  <si>
    <t>25351.089739/2016-79</t>
  </si>
  <si>
    <t>1773510166</t>
  </si>
  <si>
    <t>Revastin
(Matriz: sinvastatina - Brain)</t>
  </si>
  <si>
    <t xml:space="preserve">sinvastatina </t>
  </si>
  <si>
    <t xml:space="preserve">10mg, 20mg, 40mg e 80mg </t>
  </si>
  <si>
    <t>1827432163</t>
  </si>
  <si>
    <t>1857548160</t>
  </si>
  <si>
    <t>Lanzacor
(Matriz: losartana potássica - Brain)</t>
  </si>
  <si>
    <t>50mg
100mg</t>
  </si>
  <si>
    <t xml:space="preserve">25351.309594/2012-03 </t>
  </si>
  <si>
    <t>25351.110311/2016-01</t>
  </si>
  <si>
    <t>1881095161</t>
  </si>
  <si>
    <t>Cianeo (antiga marca:Neoviril)
(Matriz: tadalafila - Brain)</t>
  </si>
  <si>
    <t>Umma (antiga marca: Femyzol)
(Matriz: nitrato de butoconazol - Brain)</t>
  </si>
  <si>
    <t>25351.117800/2016-85</t>
  </si>
  <si>
    <t>1897175160</t>
  </si>
  <si>
    <t xml:space="preserve">olmesartana medoxomila + besilato de anlodipino </t>
  </si>
  <si>
    <t xml:space="preserve">20mg+5mg ; 40mg+5mg e 40mg+10mg </t>
  </si>
  <si>
    <t>Antigeron
 (Matriz: cinarizina - Brain)</t>
  </si>
  <si>
    <t>25351.137950/2016-13</t>
  </si>
  <si>
    <t>1933511163</t>
  </si>
  <si>
    <t xml:space="preserve">25351.131904/2016-38 </t>
  </si>
  <si>
    <t>25351.150669/2016-68</t>
  </si>
  <si>
    <t xml:space="preserve">2,5mg </t>
  </si>
  <si>
    <t>diosmina + flavonóides expressos em hesperidina</t>
  </si>
  <si>
    <t>450mg +25mg</t>
  </si>
  <si>
    <t>registro de medicamento clone - Adequação</t>
  </si>
  <si>
    <t>registro de medicamento clone - complementação de BU</t>
  </si>
  <si>
    <t>Zendiax (antiga marca: Lecodex)
(Matriz: celecoxibe - Brain)</t>
  </si>
  <si>
    <t>Vesuvius HCT (antiga marca: Telmicard HCT)
(Matriz: telmisartana + hidroclorotiazida - Brain)</t>
  </si>
  <si>
    <t>Inephoros XR (antiga marca: Metoprok XR)
(Matriz: succinato de metoprolol - Accord)</t>
  </si>
  <si>
    <t>0239293143</t>
  </si>
  <si>
    <t>0443006149</t>
  </si>
  <si>
    <t>Observações</t>
  </si>
  <si>
    <t xml:space="preserve">20mg+12,5mg / 40mg+25mg </t>
  </si>
  <si>
    <t xml:space="preserve"> 137mcg</t>
  </si>
  <si>
    <t>levotiroxina sódica</t>
  </si>
  <si>
    <t>Synthroid
(Abbot)</t>
  </si>
  <si>
    <r>
      <rPr>
        <b/>
        <i/>
        <sz val="10"/>
        <rFont val="Calibri"/>
        <family val="2"/>
        <scheme val="minor"/>
      </rPr>
      <t>Ofício nº 1989282169/2016  recebido em 28/06/16</t>
    </r>
    <r>
      <rPr>
        <sz val="10"/>
        <rFont val="Calibri"/>
        <family val="2"/>
        <scheme val="minor"/>
      </rPr>
      <t xml:space="preserve"> 
Em resposta ao expediente 1158451163, informamos que o medicamento LEVOTIROXINA SÓDICA 137mcg, comprimido simples, encontra-se na lista de medicamentos de referência.</t>
    </r>
  </si>
  <si>
    <t>25351.177475/2016-18</t>
  </si>
  <si>
    <t>2007126164</t>
  </si>
  <si>
    <t>25351.177474/2016-65</t>
  </si>
  <si>
    <t>2007125166</t>
  </si>
  <si>
    <t>comprimido revestido de liberação prolongada</t>
  </si>
  <si>
    <t>cumarina + troxerrutina</t>
  </si>
  <si>
    <t>15mg + 90mg</t>
  </si>
  <si>
    <t>Refont D (antiga marca: Neovit D)
(Matriz: Addera D3 - Cosmed)</t>
  </si>
  <si>
    <t>Desistência publicada em 03/11/2015</t>
  </si>
  <si>
    <t>Desistência publicada em 01/02/2016</t>
  </si>
  <si>
    <t>Desistência publicada em 27/06/2016</t>
  </si>
  <si>
    <t>Desistência publicada em 06/06/2016</t>
  </si>
  <si>
    <t xml:space="preserve">25351.180328/2016-17 </t>
  </si>
  <si>
    <t xml:space="preserve">20mg+5mg / 40mg+5mg / 40mg+10mg </t>
  </si>
  <si>
    <t>25351.131904/2016-38</t>
  </si>
  <si>
    <t>2024911/16-0</t>
  </si>
  <si>
    <t>1383 - GGMED - PRIORIZAÇÃO DE ANÁLISE</t>
  </si>
  <si>
    <t xml:space="preserve">Solicitação de priorização de
análise da petição referente ao registro do medicamento genérico olmesartana medoxomila + besilato de anlodipino 20mg+5mg / 40mg+5mg / 40mg+10mg – comprimido revestido (processo nº 25351.131904/2016-38, protocolado sob expediente nº 1927229/16-4 no dia 10/06/2016). é válido salientar que apesar de existir medicamento genérico
registrado referente aos ativos supracitados,
ressaltamos que, conforme relatório do ims, atualmente somente é comercializado o medicamento referência e o medicamento similar do Laboratório Pfizer Ltda.
</t>
  </si>
  <si>
    <t>azitromicina</t>
  </si>
  <si>
    <t>600mg
900mg
500mg</t>
  </si>
  <si>
    <t>pó para suspensão oral e
comprimido revestido</t>
  </si>
  <si>
    <t xml:space="preserve"> Calmirelax (marcas: Sedapax e Sedacalm não foram aceitas)</t>
  </si>
  <si>
    <t>2013173169</t>
  </si>
  <si>
    <t>2030067161</t>
  </si>
  <si>
    <t>produto para saude</t>
  </si>
  <si>
    <t>0268779/15-8</t>
  </si>
  <si>
    <t xml:space="preserve">registro de concentração nova no país </t>
  </si>
  <si>
    <t>reativação de fabricação</t>
  </si>
  <si>
    <t xml:space="preserve">25351.226071/2016-57 </t>
  </si>
  <si>
    <t xml:space="preserve">2101725165 </t>
  </si>
  <si>
    <t xml:space="preserve">25351.226069/2016-88 </t>
  </si>
  <si>
    <t xml:space="preserve">2101723169 </t>
  </si>
  <si>
    <t>Desistência publicada em 25/07/2016</t>
  </si>
  <si>
    <t xml:space="preserve">20mg/g + 5mg/mL </t>
  </si>
  <si>
    <t xml:space="preserve">25351.201543/2016-69 </t>
  </si>
  <si>
    <t xml:space="preserve">25351.226075/2016-35 </t>
  </si>
  <si>
    <t>20mg/mL + 5mg/mL</t>
  </si>
  <si>
    <t>10mg
20mg
40mg
80mg</t>
  </si>
  <si>
    <t>Atorvasterol
(Matriz: atorvastatina - Brain)</t>
  </si>
  <si>
    <t>Pressaliv
(Matriz: Timosopt - Brain)</t>
  </si>
  <si>
    <t>Sequent Scientific Limited</t>
  </si>
  <si>
    <t>25351.245615/2016-27</t>
  </si>
  <si>
    <t>dimenidrinato</t>
  </si>
  <si>
    <t>indapamida</t>
  </si>
  <si>
    <t xml:space="preserve">indapamida </t>
  </si>
  <si>
    <t>Recordati Industria Chimica &amp; Farmaceutica S.p.A.</t>
  </si>
  <si>
    <t xml:space="preserve">2101730161 </t>
  </si>
  <si>
    <t xml:space="preserve">2062199160 </t>
  </si>
  <si>
    <t>orlistate
(Matriz: Lipoxen - Brain)</t>
  </si>
  <si>
    <t>azitromicina
(Matriz: Zitroneo - Brain)</t>
  </si>
  <si>
    <t xml:space="preserve">25351.186666/2016-62 </t>
  </si>
  <si>
    <t xml:space="preserve">Exigência cumprida em 28/11/2011 sob expediente nº 329692/11-0 </t>
  </si>
  <si>
    <t>Neosartan HCT 
(Matriz: valsartana + hidroclorotiazida  - Brain)</t>
  </si>
  <si>
    <t xml:space="preserve">valsartana + hidroclorotiazida </t>
  </si>
  <si>
    <t xml:space="preserve">80mg+12,5mg, 160mg + 12,5mg, 160mg + 25mg, 320mg + 12,5mg e 320mg + 25mg </t>
  </si>
  <si>
    <t>Retificação de publicação - ANVISA</t>
  </si>
  <si>
    <t xml:space="preserve">inclusão de nova apresentação comercial </t>
  </si>
  <si>
    <t>Benegrip</t>
  </si>
  <si>
    <t>25351.637663/2009-37</t>
  </si>
  <si>
    <t>Coristina D</t>
  </si>
  <si>
    <t>25351.268780/2015-42</t>
  </si>
  <si>
    <t>Citroplex</t>
  </si>
  <si>
    <t>comprimido efervescente</t>
  </si>
  <si>
    <t>Northeast Pharmaceutical</t>
  </si>
  <si>
    <t>25351.5641072011-21</t>
  </si>
  <si>
    <t>25351.261111/2016-59</t>
  </si>
  <si>
    <t>25351.258744/2016-50</t>
  </si>
  <si>
    <t>dipirona manoidratada + maleato de clorfeniramina + cafeína</t>
  </si>
  <si>
    <t>500mg + 2mg + 30mg</t>
  </si>
  <si>
    <t>1mg + 10mg + 30mg + 400mg</t>
  </si>
  <si>
    <t>25351.278918/2016-89</t>
  </si>
  <si>
    <t xml:space="preserve"> Tersocor HCT (antiga marca: Neocardis HCT)
(Matriz: telmisartana + hidroclorotiazida - Brain)</t>
  </si>
  <si>
    <t>Reunião realizada no dia 08 de agosto de 2016</t>
  </si>
  <si>
    <t>* RDC n° 37/2014: “Art. 5° §9° - Poderá ser priorizada a análise de registro ou pós-registro de medicamento genérico, ainda que não classificado como inédito, desde que comprovadamente os medicamentos anteriormente registrados para determinado insumo farmacêutico ativo ou associação, concentração e forma farmacêutica não estejam sendo comercializados.”.</t>
  </si>
  <si>
    <t xml:space="preserve">25351.264344/2016-61 </t>
  </si>
  <si>
    <t>2153319169</t>
  </si>
  <si>
    <t>Desistência a pedido protocolado em 18/08/16  sob expediente n°:2187188164.
Obs: em 18/08/16 cumpriu-se a exigência do produto sob expediente n° XX, informando a desistência a pedido do mesmo.</t>
  </si>
  <si>
    <t>cloridrato de dorzolamida + maleato de timolol
(Matriz: Timosopt - Brain)</t>
  </si>
  <si>
    <t>25351.293516/2016-12</t>
  </si>
  <si>
    <t>25351.293517/2016-59</t>
  </si>
  <si>
    <t>Meniv
(Matriz: tibolona - Brain)</t>
  </si>
  <si>
    <t>Incluído na Lista A de Medicamentos de Referência em 26/08/16.</t>
  </si>
  <si>
    <t>2195090163</t>
  </si>
  <si>
    <t>2239532/16-6</t>
  </si>
  <si>
    <t>ácido mefenâmico</t>
  </si>
  <si>
    <t>principal: Cheng Fong
qualificação: Wanbury</t>
  </si>
  <si>
    <t>Velunid
(Matriz: Flavonid - Brain)</t>
  </si>
  <si>
    <t xml:space="preserve">25351.330868/2016-15  </t>
  </si>
  <si>
    <t>Nos termos da alínea "c" do inciso I, quando houver um único medicamento genérico registrado e comercializado com a mesma substância ativa ou associação, concentração e forma farmacêutica
será concedida prioridade de análise para o segundo e terceiro protocolos de registro para ampliar a concorrência no mercado, desde que a solicitação do registro seja de empresa de grupo econômico distinto do registrado.”</t>
  </si>
  <si>
    <t>O medicamento em questao refere-se a um generico, o primeiro generico do medicamento
referencia Dramin, da empresa Takeda Pharma LTDA, a ser registrado junto ao Ministerio da Saude no
Brasil. Por conseguinte, embasados no artigo 41-A da Lei n2 9.782/1999, que diz: "0 registro de medicamentos com denominação exclusivamente generica tera prioridade sabre o dos demais, conforme
disposto em ato da Diretoria Colegiada da Agencia Nacional de Vigilancia Sanitaria", solicitamos considerão do pedido, por ora explicitado.</t>
  </si>
  <si>
    <t>2251013/16-3</t>
  </si>
  <si>
    <t>25351.345194/2016-96</t>
  </si>
  <si>
    <t>Angiolot</t>
  </si>
  <si>
    <t xml:space="preserve">15mg + 90mg </t>
  </si>
  <si>
    <t xml:space="preserve">25351.555306/2011-28  </t>
  </si>
  <si>
    <t xml:space="preserve">Publicado o cancelamento  do registro em 12/09/16 por motivo de rompimento de contrato com o terceiro. </t>
  </si>
  <si>
    <t>Olmecard Duo-A/ Olmecard Pino/ Olzicar Duo-A / Olzicar Pino/Colmebra Duo-A/ Colmebra Pino
(Matriz:olmesartana medoxomila + besilato de anlodipino - Brain)</t>
  </si>
  <si>
    <t>Nifty Labs Pvt Ltd</t>
  </si>
  <si>
    <t xml:space="preserve">paracetamol + ácido acetilsalicílico + cafeína </t>
  </si>
  <si>
    <t>paracetamol + ácido acetilsalicílico + cafeína 
(Matriz: Doril enxaqueca - Cosmed)</t>
  </si>
  <si>
    <t xml:space="preserve">25351.370607/2016-71 </t>
  </si>
  <si>
    <t>2310307168</t>
  </si>
  <si>
    <t>Desistência publicada em 26/09/2016</t>
  </si>
  <si>
    <t xml:space="preserve">cloridrato de dorzolamida + maleato de timolol </t>
  </si>
  <si>
    <t>2290805166</t>
  </si>
  <si>
    <t>Publicado o cancelamento do registro em 03/10/16 -  Não temos NF, pois não possui cadastro no SAP. Confirmado pelo PCP que não houve produção. Temos genérico registrado mas também não temos NF para renovar o genérico em 2016.</t>
  </si>
  <si>
    <t>Publicado o cancelamento do registro em 03/10/16.Confirmado pelo PCP que não houve produção e pelo fiscal que não houve venda a terceiro. Temos registro de similar (Aldneo) que também não tem NF para renovarmos em 2016.</t>
  </si>
  <si>
    <t>Publicado o cancelamento  do registro em 03/10/2016.
Ausência de NF</t>
  </si>
  <si>
    <t>Publicado o cancelamento  do registro em 03/10/2016
Ausência de NF</t>
  </si>
  <si>
    <t>Publicado o cancelamento  do registro em 03/10/2016
Sem interesse comercial</t>
  </si>
  <si>
    <t xml:space="preserve">10mg + 250mg </t>
  </si>
  <si>
    <t xml:space="preserve">butilbrometo de escopolamina +  dipirona monoidratada </t>
  </si>
  <si>
    <t>B.E: Alchem
D: principal: Wuhan Wuyao
qualificação: Zhejiang Haisen</t>
  </si>
  <si>
    <t>25351.398999/2016-32</t>
  </si>
  <si>
    <t>Troxvenot
(Matriz: Angiolot - Brain)</t>
  </si>
  <si>
    <t>Olzicar HCT
(Matriz: olmesartana medoxomila + hidroclorotiazida - Brain)</t>
  </si>
  <si>
    <t>Desistência à pedido, protocolado em 20/10/15 sob n° de expediente  0925475/15-7.  -  Em  nosso monitoramento verificamos que houve indeferimento da Accord para este produto e trata-se do mesmo dossiê.
Em 07/10/16, enviamos  e-mail para ANVISA, em resposta ao Ofício nº 2362514167/2016, informamos que optamos pela desistência do  Produto no período previsto no Edital para que a sua posição seja substituída pelo próximo(s) processo(s) da empresa na fila de análise de registro</t>
  </si>
  <si>
    <t>25351.403514/2016-01</t>
  </si>
  <si>
    <t>125mg + 50mg +  300mg + 30mg</t>
  </si>
  <si>
    <t>2373137162</t>
  </si>
  <si>
    <t>2373146160</t>
  </si>
  <si>
    <t>Neomesart Duo / Neomesart Bi / Neomesart ALD
(Matriz: olmesartana medoxomila + besilato de anlodipino  - Brain)</t>
  </si>
  <si>
    <t xml:space="preserve">olmesartana medoxomila + besilato de anlodipino  </t>
  </si>
  <si>
    <t xml:space="preserve"> 0,15mg + 0,03mg </t>
  </si>
  <si>
    <t>desogestrel + etinilestradiol 
(Matriz: Gestradiol - Brain)</t>
  </si>
  <si>
    <t>2391551160</t>
  </si>
  <si>
    <t xml:space="preserve">25351.424210/2016-14 </t>
  </si>
  <si>
    <t>Broncoflux
(Matriz: cloridrato de ambroxol  - Brain)</t>
  </si>
  <si>
    <t>cloridrato de ambroxol</t>
  </si>
  <si>
    <t xml:space="preserve">3mg/mL e 6mg/mL </t>
  </si>
  <si>
    <t>Neo Bendazol
(Matriz: albendazol - Brain)</t>
  </si>
  <si>
    <t>Neomesart
(Matriz: olmesartana medoxomila - Brain)</t>
  </si>
  <si>
    <t>Glaucoliv
(Matriz: Timoneo - Brain)</t>
  </si>
  <si>
    <t>Desistência publicada em 24/10/2016</t>
  </si>
  <si>
    <t>Neosemid
(Matriz: furosemida - Brain)</t>
  </si>
  <si>
    <t>25351.441201/2016-80</t>
  </si>
  <si>
    <t>2415984161</t>
  </si>
  <si>
    <t>Olzicar
(Matriz: olmesartana medoxomila - Brain)</t>
  </si>
  <si>
    <t xml:space="preserve">2433332168 </t>
  </si>
  <si>
    <t xml:space="preserve">25351.454012/2016-77 </t>
  </si>
  <si>
    <t>dextrotartarato de brimonidina</t>
  </si>
  <si>
    <t>Bromigan
(Matriz:dextrotartarato de brimonidina- Brain)</t>
  </si>
  <si>
    <t>Visoneo
(Matriz: dextrotartarato de brimonidina + maleato de timolol  - Brain)</t>
  </si>
  <si>
    <t>dextrotartarato de brimonidina + maleato de timolol</t>
  </si>
  <si>
    <t xml:space="preserve">solução gotas </t>
  </si>
  <si>
    <t xml:space="preserve">2mg/mL + 5mg/mL </t>
  </si>
  <si>
    <t xml:space="preserve">25351.457526/2016-84 </t>
  </si>
  <si>
    <t>alendronato de sódio tri-hidratado</t>
  </si>
  <si>
    <t xml:space="preserve">2438636167 </t>
  </si>
  <si>
    <t xml:space="preserve">25351.457493/2016-72 </t>
  </si>
  <si>
    <t xml:space="preserve">Alendrus 
(Matriz: alendronato de sódio tri-hidratado - Brain) </t>
  </si>
  <si>
    <t>25351.459028/2016-76</t>
  </si>
  <si>
    <t>25351.467105/2016-61</t>
  </si>
  <si>
    <t>25351.478009/2016-49</t>
  </si>
  <si>
    <t>2463878161</t>
  </si>
  <si>
    <t>25351.478012/2016-62</t>
  </si>
  <si>
    <t xml:space="preserve">valsartana </t>
  </si>
  <si>
    <t xml:space="preserve">25351.470960/2016-50 </t>
  </si>
  <si>
    <t xml:space="preserve">40mg, 80mg, 160mg e 320mg </t>
  </si>
  <si>
    <t>valsartana 
(Matriz: Neosartan - Brain)</t>
  </si>
  <si>
    <t>2454585166</t>
  </si>
  <si>
    <t xml:space="preserve">dipirona </t>
  </si>
  <si>
    <t xml:space="preserve">500mg/mL </t>
  </si>
  <si>
    <t xml:space="preserve">Miorrelax </t>
  </si>
  <si>
    <t>25351.538830/2011-83</t>
  </si>
  <si>
    <t>dipirona monoidratada</t>
  </si>
  <si>
    <t>2448196169</t>
  </si>
  <si>
    <t>25351.538823/2011-49</t>
  </si>
  <si>
    <t>25351.539287/2011-12</t>
  </si>
  <si>
    <t>2430265167</t>
  </si>
  <si>
    <t>25351.564083/2011-54</t>
  </si>
  <si>
    <t>dipirona monoidratada + citrato de orfenadrina + cafeína</t>
  </si>
  <si>
    <t xml:space="preserve">300mg + 35mg + 50mg </t>
  </si>
  <si>
    <t>2430221160</t>
  </si>
  <si>
    <t>inclusão de nova apresentação comercial - Pós Registro</t>
  </si>
  <si>
    <t>Desistência a pedido protocolado em 03/11/16 sob expediente n° xx
Motivo: Novo projeto será iniciado pela equipe de P&amp;D registro 
No cumprimento da exigencia protocolado em 04/11/16 sob expediente n°2463016/16-1 foi apresentado a desistência.</t>
  </si>
  <si>
    <t>Desistência a pedido protocolado em 03/11/16 sob expediente n° xx
Motivo: Novo projeto será iniciado pela equipe de P&amp;D registro 
No cumprimento da exigencia protocolado em 04/11/16 sob expediente n°2463025/16-0 foi apresentado a desistência.</t>
  </si>
  <si>
    <t>Desistência a pedido protocolado em 03/11/16 sob expediente n° xx
Motivo: Novo projeto será iniciado pela equipe de P&amp;D registro 
No cumprimento da exigencia  protocolado em 04/11/16 sob expediente n° 2463007/16-1 foi apresentado a desistência.</t>
  </si>
  <si>
    <t>1_Cumprimento de exigência em 05/10/16, sob expediente n°2361638164.</t>
  </si>
  <si>
    <t>2440345168</t>
  </si>
  <si>
    <t>2440320162</t>
  </si>
  <si>
    <t>Mioflex A  
(Matriz: Torsilax - Brain)</t>
  </si>
  <si>
    <t>Obs: em  29/08/16 foi publicado em DOU o cancelamento de registro do produto por equívoco da ANVISA. Solicitamos recurso, e em 21/11/16 foi publicado a insubsistência desse cancelamento.</t>
  </si>
  <si>
    <t>Calminex Hot</t>
  </si>
  <si>
    <t>almofadas terapêuticas</t>
  </si>
  <si>
    <t xml:space="preserve">25351.510817/2016-16 </t>
  </si>
  <si>
    <t>500mg/mL</t>
  </si>
  <si>
    <t xml:space="preserve">solução injetável </t>
  </si>
  <si>
    <t xml:space="preserve">25351.510750/2016-10 </t>
  </si>
  <si>
    <t>2515682169</t>
  </si>
  <si>
    <t>1945302167</t>
  </si>
  <si>
    <t xml:space="preserve"> inclusão de nova apresentação comercial </t>
  </si>
  <si>
    <t>Desistência publicada em 05/12/2016</t>
  </si>
  <si>
    <t>Principal: Aurobindo Pharma Limited
Qualificação:Inogent Laboratories PVT Limited</t>
  </si>
  <si>
    <t>Petição indeferida, pois não se trata do terceiro protocolo de genérico do IFA Indapamida nem se configurou o caso previsto no §7° do art. 5° da RDC n° 37/2014. Esclarecemos que existem outros medicamentos genéricos sendo comercializados.</t>
  </si>
  <si>
    <t>Reunião realizada no dia 04 de novembro de 2016</t>
  </si>
  <si>
    <t>Reunião realizada no dia 22 de janeiro de 2016</t>
  </si>
  <si>
    <t>Reunião realizada no dia 02 de dezembro de 2016</t>
  </si>
  <si>
    <t xml:space="preserve"> inclusão de nova apresentação comercial (Modificação Pós-Registro - Clone) </t>
  </si>
  <si>
    <t>2546402167</t>
  </si>
  <si>
    <t>25351.504930/2016-03</t>
  </si>
  <si>
    <t>2504174/16-9</t>
  </si>
  <si>
    <t>Atroveran (Atroveran / Atroveran Duo / Atroveran Aliv
(Matriz: butilbrometo de escopolamina +  dipirona monoidratada  - Brain)</t>
  </si>
  <si>
    <t>Neolon D 
(Matriz: triancinolona acetonida + sulfato de neomicina + gramicidina + nistatina - Brain)</t>
  </si>
  <si>
    <t xml:space="preserve">25351.587940/2016-17 </t>
  </si>
  <si>
    <t>triancinolona acetonida + sulfato de neomicina + gramicidina + nistatina</t>
  </si>
  <si>
    <t xml:space="preserve">1mg/g + 2,5mg/g + 0,25mg/g + 100.000UI/g </t>
  </si>
  <si>
    <t>2639436167</t>
  </si>
  <si>
    <t>dipropionato de beclometasona</t>
  </si>
  <si>
    <t xml:space="preserve">suspensão nasal </t>
  </si>
  <si>
    <t>Atroveran Hot</t>
  </si>
  <si>
    <t>Aguarda PG TAXA</t>
  </si>
  <si>
    <t>Lisador Cólica
(Matriz: butilbrometo de escopolamina +  dipirona monoidratada  - Brain)</t>
  </si>
  <si>
    <t>ezetimiba
(Matriz: ezetimiba - Althaia)</t>
  </si>
  <si>
    <t xml:space="preserve">suspensão gotas </t>
  </si>
  <si>
    <t>0004618/17-3</t>
  </si>
  <si>
    <t>0004309173</t>
  </si>
  <si>
    <t>25351.000300/2017-82</t>
  </si>
  <si>
    <t>0022166170</t>
  </si>
  <si>
    <t>O Clone havia sido solicitado em substituição ao Registro Genérico protocolado e pontuado em meta nos números de 2015. Porém, não houve prosseguimento do pagamento da Taxa, uma vez que a empresa não tem mais interesse no produto.</t>
  </si>
  <si>
    <t>0024598174</t>
  </si>
  <si>
    <t>25351.008290/2017-37</t>
  </si>
  <si>
    <t>25351.008289/2017-11</t>
  </si>
  <si>
    <t>0024601178</t>
  </si>
  <si>
    <t>25351.008291/2017-81</t>
  </si>
  <si>
    <t>1000mg + 30mg e 500mg + 30mg</t>
  </si>
  <si>
    <t>25351.653311/2009-47</t>
  </si>
  <si>
    <t>Cafilisador</t>
  </si>
  <si>
    <t>Inclusão de nova apresentação comercial</t>
  </si>
  <si>
    <t>800mg + 20mg</t>
  </si>
  <si>
    <t>Desistência a pedido protocolado em 10/01/17 sob expediente n° 0045038173. Motivo:a empresa não possui mais interesse na petição.
Cumprimento de exigência n° 2390624/16-3 protocolado em 13/01/17 informando a desistência.</t>
  </si>
  <si>
    <t>25351.035282/2017-47</t>
  </si>
  <si>
    <t>0103562/17-2</t>
  </si>
  <si>
    <t>25351.039876/2017-43</t>
  </si>
  <si>
    <t>0118765171</t>
  </si>
  <si>
    <t>0086530173</t>
  </si>
  <si>
    <t>Lipoclin 
(Matriz: Lipoxen - Brain)</t>
  </si>
  <si>
    <t>Zonabel
(Matriz: Neo bendazol - Brain)</t>
  </si>
  <si>
    <t>Neosartan 
(Matriz: valsartana - Brain)</t>
  </si>
  <si>
    <t xml:space="preserve">25351.034884/2017-01 </t>
  </si>
  <si>
    <t>0101263171</t>
  </si>
  <si>
    <t>Desistência a pedido protocolado em 08/12/2016 sob o expediente nº 2575104/16-2.  Motivo:Para o PCP o melhor cenário é adotar o genérico como matriz devido ao melhor número de vendas, dessa forma foi protocolado novo clone.</t>
  </si>
  <si>
    <t>25351.591438/2016-01</t>
  </si>
  <si>
    <t>Mycoal Corporation - Japão</t>
  </si>
  <si>
    <t xml:space="preserve"> Cadastro de Material de Uso Medico Importado</t>
  </si>
  <si>
    <t>25351.048607/2017-03</t>
  </si>
  <si>
    <t>Inalador Monodose Modelo 3</t>
  </si>
  <si>
    <t>Plastiape S.P.A - Italy</t>
  </si>
  <si>
    <t>0140548171</t>
  </si>
  <si>
    <t xml:space="preserve">200mg/mL </t>
  </si>
  <si>
    <t>Para regularizar a amostra grátis do assessório utilização para inalação e comercializado junto ao Fluir</t>
  </si>
  <si>
    <t>Cadastro de Material de Uso Medico Importado</t>
  </si>
  <si>
    <t>hemitartarato de zolpidem</t>
  </si>
  <si>
    <t xml:space="preserve">10mg e
 6,25mg ;12,5mg </t>
  </si>
  <si>
    <t xml:space="preserve">25351.049853/2017-47 </t>
  </si>
  <si>
    <t xml:space="preserve">comprimido revestido e
comprimido multicamadas de liberação prolongada </t>
  </si>
  <si>
    <t>0144612176</t>
  </si>
  <si>
    <t xml:space="preserve">Benegrip Multi </t>
  </si>
  <si>
    <t>Apresentações incluídas:
(13,30 + 0,33 + 0,13) MG/ML SOL OR FR PLAS TRANS X 120 ML + COP
(13,30 + 0,33 + 0,13) MG/ML SOL OR FR PLAS TRANS X 480 ML + COP</t>
  </si>
  <si>
    <t>paracetamol+cloridrato de fenilefrina+maleato de carbinoxamina</t>
  </si>
  <si>
    <t>13,30 + 0,33 + 0,13</t>
  </si>
  <si>
    <t xml:space="preserve">Inclusão de nova apresentação comercial </t>
  </si>
  <si>
    <t>P: Anqiu Luan Pharmaceutical
P (grânulos): Granules Índia Ltd
CF: Nortec Química</t>
  </si>
  <si>
    <t>25351.052374/2017-16</t>
  </si>
  <si>
    <t>0166889177</t>
  </si>
  <si>
    <t>Desistência a pedido protocolado em 04/01/2017 sob expediente n° 0015161/17-1. Motivo: A empresa não opossui mais interesse no produto.
No cumprimento da exigencia  protocolado em 05/01/2017 sob expediente n°0026767/17-7, foi apresentado a desistência.</t>
  </si>
  <si>
    <t>trometamol cetorolaco</t>
  </si>
  <si>
    <t>Toragesic
(EMS Sigma Pharma)</t>
  </si>
  <si>
    <t>comprimido sublingual</t>
  </si>
  <si>
    <t>Neosartan amlo</t>
  </si>
  <si>
    <t>valsartana + besilato de anlodipino
(Matriz: Neosartan Amlo - Brain)</t>
  </si>
  <si>
    <t>sulfato de neomicina + bacitracina zincica</t>
  </si>
  <si>
    <t xml:space="preserve">5mg/g + 250 UI/g </t>
  </si>
  <si>
    <t xml:space="preserve">pomada dermatológica </t>
  </si>
  <si>
    <t xml:space="preserve">Anaseptil care
(Matriz: sulfato de neomicina + bacitracina zincica - Brain) </t>
  </si>
  <si>
    <t xml:space="preserve">25351.068927/2017-44 </t>
  </si>
  <si>
    <t>Desistência a pedido protocolado em 07/02/17 sob o expediente nº 0209832176 -   Motivo: Alinhado com a diretoria que o estudo de estabilidade em uso está Reprovado.</t>
  </si>
  <si>
    <t>fluconazol 
(Matriz: Fluconeo - Brain)</t>
  </si>
  <si>
    <t xml:space="preserve">cápsula gelatinosa dura </t>
  </si>
  <si>
    <t xml:space="preserve">fluconazol </t>
  </si>
  <si>
    <t>25351.079285/2017-17</t>
  </si>
  <si>
    <t>Desistência publicada em 13/02/2017</t>
  </si>
  <si>
    <t>Saccharomyces boulardii - 17</t>
  </si>
  <si>
    <t xml:space="preserve">200mg e 100mg  </t>
  </si>
  <si>
    <t>pó liófilo e cápsula dura</t>
  </si>
  <si>
    <t xml:space="preserve">500mg e 1g </t>
  </si>
  <si>
    <t>Termopirona 
(Matriz: dipirona monoidratada- Brain)</t>
  </si>
  <si>
    <t>Concluída análise</t>
  </si>
  <si>
    <t>Aguardando análise</t>
  </si>
  <si>
    <t xml:space="preserve">25351.510846/2016-70 </t>
  </si>
  <si>
    <t xml:space="preserve"> 500mg e 1g </t>
  </si>
  <si>
    <t>Desistência a pedido protocolado em 21/02/07 sob expediente n°0283869179 - Motivo: Não foi definido novas marcas para o cumprimento de exigência.
Cumprimento de exigência protocolado em 21/02/07 sob expediente n°0287738174. Na desistência foi informado a desistência do processo.</t>
  </si>
  <si>
    <t>0201357176</t>
  </si>
  <si>
    <t>0227006174</t>
  </si>
  <si>
    <t>registro de medicamento clone - complementação de BU - Pós</t>
  </si>
  <si>
    <t>Camellia sinensis (L) Kuntze</t>
  </si>
  <si>
    <t>Desistência publicada em 01/03/2017</t>
  </si>
  <si>
    <t>25351.411842/2006-38</t>
  </si>
  <si>
    <t>551294/06-8</t>
  </si>
  <si>
    <t>sem informação</t>
  </si>
  <si>
    <t>Desistência publicada em 06/03/2017</t>
  </si>
  <si>
    <t xml:space="preserve">Apresentações incluídas:
300 MG + 50 MG + 35 MG COM CT BL AL PLAS AMB X 12
300 MG + 50 MG + 35 MG COM CT BL AL PLAS AMB X 16
300 MG + 50 MG + 35 MG COM CT BL AL PLAS AMB X 24
300 MG + 50 MG + 35 MG COM DISP CT BL AL PLAS AMB X100 (EMB MULT)
</t>
  </si>
  <si>
    <t>Apresentação incluída: 
500 MG/ML SOL INJ CX 3 AMP VD AMB X 2 ML</t>
  </si>
  <si>
    <t>Latanis (antiga marca: Neovision)
(Matriz: latanoprosta - Brain)</t>
  </si>
  <si>
    <t>25351.120922/2017-30</t>
  </si>
  <si>
    <t>0356916171</t>
  </si>
  <si>
    <t>25351.123982/2017-12</t>
  </si>
  <si>
    <t>Desistência a Pedido, expediente nº 0261890/177,
protocolada em 16/02/2017</t>
  </si>
  <si>
    <t>1_Ofício nº 0432783177/2017 recebido em 20/03/2017.</t>
  </si>
  <si>
    <t>Desistência a pedido, protocolada em 20/03/2017, sob expediente n° 0447472174. (Motivo: para cumprimento ao ofício 0344195174/2017).
Resposta ao ofício n° 0344195174/2017, protocolado em  forma de aditamento eletrônico em 21/03/2017, sob expediente n° 0450375179.</t>
  </si>
  <si>
    <t>2516161160</t>
  </si>
  <si>
    <t>Matriz registrado?</t>
  </si>
  <si>
    <t>Forma farmacêutica</t>
  </si>
  <si>
    <t>Desistência a pedido, protocolada em 20/03/2017, sob expediente n° 0447443171. (Motivo: para cumprimento ao ofício 0344097174/2017).
Resposta ao ofício n° 0344097174/2017, protocolado em  forma de aditamento eletrônico em 21/03/2017, sob expediente n°0451640171.</t>
  </si>
  <si>
    <t>Desistência a pedido, protocolada em 20/03/2017, sob expediente n° 0447960172. (Motivo: para cumprimento ao ofício 0344261176/2017).
Resposta ao ofício n° 0344261176/2017, protocolado em  forma de aditamento eletrônico em 21/03/2017, sob expediente n°0451611177.</t>
  </si>
  <si>
    <t>Desistência a pedido, protocolada em 24/03/2017, sob expediente n°0472277179. (Motivo: foi realizada a desistência do matriz).</t>
  </si>
  <si>
    <t>Desistência a pedido, protocolada em 24/03/2017, sob expediente n°0472416170. (Motivo: foi realizada a desistência do matriz).</t>
  </si>
  <si>
    <t>Desistência a pedido, protocolada em 24/03/2017, sob expediente n°0471730179. (Motivo: foi realizada a desistência do matriz).</t>
  </si>
  <si>
    <t>Desistência a pedido, protocolada em 24/03/2017, sob expediente n°0471919171. (Motivo: foi realizada a desistência do matriz).</t>
  </si>
  <si>
    <t>Desistência a pedido, protocolada em 24/03/2017, sob expediente n°0475076174. (Motivo: foi realizada a desistência do matriz).</t>
  </si>
  <si>
    <t xml:space="preserve">Lipson Cosméticos </t>
  </si>
  <si>
    <t xml:space="preserve">Publicado o cancelamento  do registro em 22/02/16 </t>
  </si>
  <si>
    <t>estomazil</t>
  </si>
  <si>
    <t>registro de medicamento, em conformidade com o art. 2° da IN 06/2008  - Aditado à RDC 31- Clone</t>
  </si>
  <si>
    <t>Lydian 
(Matriz: acetato de ciproterona + etinilestradiol - Brain)</t>
  </si>
  <si>
    <t>Registro Indeferido em 16/07/2012</t>
  </si>
  <si>
    <t>Registro Indeferido em 23/09/2013</t>
  </si>
  <si>
    <t>Registro Indeferido em 13/05/2013</t>
  </si>
  <si>
    <t>Cancelamento por transferência de titularidade em 14/05/2012</t>
  </si>
  <si>
    <t>Desistência a pedido publicada em 03/11/2015</t>
  </si>
  <si>
    <t>413192104</t>
  </si>
  <si>
    <t>Cancelamento por transferência de titularidade em 29/02/2016</t>
  </si>
  <si>
    <t>Registro Indeferido em 03/10/2011</t>
  </si>
  <si>
    <t>Desistência a pedido publicada em 29/06/2015</t>
  </si>
  <si>
    <t>Registro Indeferido em 26/01/2015</t>
  </si>
  <si>
    <t>Desistência a pedido publicada em 18/02/2015</t>
  </si>
  <si>
    <t>Desistência a pedido publicada em 31/08/2015</t>
  </si>
  <si>
    <t>Desistência a pedido publicada em 01/02/2016</t>
  </si>
  <si>
    <t>Desistência a pedido publicada em 31/08/2014</t>
  </si>
  <si>
    <t>Desistência a pedido publicada em  29/06/2015</t>
  </si>
  <si>
    <t>Desistência publicada em 31/08/2015</t>
  </si>
  <si>
    <t>Desistência a pedido, protocolada em 24/03/2017, sob expediente n°0474538178. (Motivo: Será ressubmetido devido ao prazo para chegada das necessidades analíticas não atendendo o prazo para o cumprimento da exigência)
Cumprimento de exigência em 28/03/17, sob expediente n° 0501596/17-1 (Informando a desistência)</t>
  </si>
  <si>
    <t>Olancare (antiga marca: Olantrat)
(Matriz: olanzapina - Brain)</t>
  </si>
  <si>
    <t>cloridrato de prometazina
(Matriz: Neozargan - Brain)</t>
  </si>
  <si>
    <t>0065865/13-1</t>
  </si>
  <si>
    <t xml:space="preserve">dipirona + fosfato de codeina </t>
  </si>
  <si>
    <t>1_Priorização de análise, protocolado em23/02/2015, sob expediente n°0160592/15-5</t>
  </si>
  <si>
    <t xml:space="preserve">1_Priorização de análise, protocolado em 24/02/2015, sob expediente n°0165056/15-4.
2_ Ofício nº 0379655158/2015, recebido em 30/04/15 (Encerramento de petição)
</t>
  </si>
  <si>
    <t>0782027/13-5</t>
  </si>
  <si>
    <t>1160220/14-1</t>
  </si>
  <si>
    <t>1147395/14-9</t>
  </si>
  <si>
    <t>Anuência em Processo de Pesquisa Clínica - Medicamentos</t>
  </si>
  <si>
    <t>323177/10-1</t>
  </si>
  <si>
    <t>1_ Parecer Consubstanciado do Comitê de Ética em Pesquisa (CEP), protocolado em 14/07/2010, sob expediente n° 572124/10-5.
2_ Notificação de Centro de pesquisa clínica - RDC 39/2008, protocolado em 20/10/2010, sob expediente n° 880158/10-4 .
3_Inclusão de centro de pesquisa clínica - Medicamentos - RDC 39/2008, protocolado em 03/05/2013, sob expediante n° 0347334/13-1.
4_ Inclusão de centro de pesquisa clínica - Medicamentos - RDC 39/2008, protocolado em 03/05/2013, sob expediente n° 0347352/13-0.
5_Inclusão de centro de pesquisa clínica - Medicamentos - RDC 39/2008, protocolado em 10/05/2013, sob expediente n° 0370885/13-3.
6_  Aditamento, protocolado em 23/08/2013, sob expediente n° 0703568/13-3.
7_  Relatório Anual de Acompanhamento de Protocolo de Ensaio Clínico, protocolado em 31/01/2014 sob expediente n° 0077462/14-6.
8_Relatório Anual de Acompanhamento de Protocolo de Ensaio Clínico, protocolado em 30/03/2015, sob expediente n° 0277026/15-1.
9_ Notificação de Término de Ensaio Clínico no Brasil, protocolado em 04/09/2015, sob expediente n° 0792339/15-2.
10_Relatório Anual de Acompanhamento de Protocolo de Ensaio Clínico, protocolado em 03/03/2016, sob expediente n° 1326001/16-4.</t>
  </si>
  <si>
    <t>758431/10-8</t>
  </si>
  <si>
    <t>1_Parecer Consubstanciado do Comitê de Ética em Pesquisa (CEP), protocolado em 04/10/2010, sob expediente n° 834073/10-1.
2_Notificação de Centro de pesquisa clínica - RDC 39/2008, protocolado em 04/11/2010, sob expediente n° 922950/10-7.
3_Inclusão de Centro para Pesquisa Clínica - Medicamentos (até 6 meses), protocolado em 03/01/2011, sob expediente n° 002355/11-8.
4_ Notificação de fabricação de lotes especiais destinados exclusivamente para pesquisa clínica, protocolado em 18/11/2011, sob expediente n° 993433/11-2 .
5_ Relatório Anual de Acompanhamento de Protocolo de Ensaio Clínico, protocolado em 26/08/2013, sob expediente n° 0711225/13-4.
6_ Relatório Anual de Acompanhamento de Protocolo de Ensaio Clínico, protocolado em 06/12/2013, sob expediente n° 1030470/13-3 .
7_ Relatório Anual de Acompanhamento de Protocolo de Ensaio Clínico, protocolado em 20/11/2014, sob expediente n° 1045242/14-7.
8_ Notificação de fabricação de lotes especiais destinados exclusivamente para pesquisa clínica, protocolado em 10/02/2015, sob expediente n° 0128826/15-1.
9_ Relatório Anual de Acompanhamento de Protocolo de Ensaio Clínico, protocolado em 29/09/2015, sob expediente n° 0865316/15-0.</t>
  </si>
  <si>
    <t>1229365/16-2</t>
  </si>
  <si>
    <t xml:space="preserve"> Protocolo de estudo</t>
  </si>
  <si>
    <t>Protocolo de estudo</t>
  </si>
  <si>
    <t>1277927/16-0</t>
  </si>
  <si>
    <t>1645728/16-5</t>
  </si>
  <si>
    <t xml:space="preserve">1_Ofício nº 1863643168/2016 recebido em 07/06/16 </t>
  </si>
  <si>
    <t>1_ Cumprimento de exigência n°1345769/16-1, protocolado em 27/04/2016, sob expediente n°1636605/16-1.
2_ Ofício nº 1299793165/2016, recebido em 26/02/16.
3_Ofício nº 1669594161/2016, recebido em 16/05/16.</t>
  </si>
  <si>
    <t>1_ Ofício nº 1299793165/2016 recebido em 26/02/16.</t>
  </si>
  <si>
    <t>Protocolo de Estudo de Biodisponibilidade Relativa para avaliação de interação farmacocinética</t>
  </si>
  <si>
    <t xml:space="preserve"> Cancelamento de Registro do Medicamento por Transferência de Titularidade publicado em 07/11/16 (Transferido para Cosmed)</t>
  </si>
  <si>
    <t>Fenilmed (antiga marca:Alivio Grip) 
(Matriz: Coristina D - Cosmed)</t>
  </si>
  <si>
    <t xml:space="preserve">50mcg/mL </t>
  </si>
  <si>
    <t xml:space="preserve">solução oftálmica </t>
  </si>
  <si>
    <t>Lioram
(Matriz: Stilnox -Sanofi-Aventis)</t>
  </si>
  <si>
    <r>
      <t xml:space="preserve">17/11/2011 (manual) </t>
    </r>
    <r>
      <rPr>
        <b/>
        <sz val="10"/>
        <rFont val="Calibri"/>
        <family val="2"/>
        <scheme val="minor"/>
      </rPr>
      <t>/</t>
    </r>
    <r>
      <rPr>
        <sz val="10"/>
        <rFont val="Calibri"/>
        <family val="2"/>
        <scheme val="minor"/>
      </rPr>
      <t xml:space="preserve"> 24/11/2011 (eletrônico)</t>
    </r>
  </si>
  <si>
    <t>Apracur DC 
(Matriz: Cafilisador – Cosmed)</t>
  </si>
  <si>
    <t>Pantoneo (antiga marca: Pantoaliv )
(Matriz: pantoprazol - Accord)</t>
  </si>
  <si>
    <t xml:space="preserve"> Esopump (antiga marca: Esolol) 
(Matriz: esomeprazol - ALTHAIA)</t>
  </si>
  <si>
    <t>Desistência a pedido publicada em 24/04/2017</t>
  </si>
  <si>
    <t>25351.223638/2017-14</t>
  </si>
  <si>
    <t>0708160170</t>
  </si>
  <si>
    <t>25351.223651/2017-73</t>
  </si>
  <si>
    <t>Expec
(Legrand)</t>
  </si>
  <si>
    <t>cloridrato de oxomemazina + iodeto de potássio + benzoato de sódio + guaifenesina</t>
  </si>
  <si>
    <t xml:space="preserve">0,4mg/mL + 20mg/mL + 4mg/mL + 6mg/mL  </t>
  </si>
  <si>
    <t>0715903170</t>
  </si>
  <si>
    <t>0185778179</t>
  </si>
  <si>
    <t>25351.234017/2017-66</t>
  </si>
  <si>
    <t>nitazoxanida
(Matriz: nitazoxanida - Althaia)</t>
  </si>
  <si>
    <t xml:space="preserve"> nitazoxanida </t>
  </si>
  <si>
    <t>0765528172</t>
  </si>
  <si>
    <t>25351.234020/2017-80</t>
  </si>
  <si>
    <t>0765543176</t>
  </si>
  <si>
    <t>1_Ofício n° 0769883176/2017 recebido em 02/05/17</t>
  </si>
  <si>
    <t>.</t>
  </si>
  <si>
    <t>Desistência a pedido publicada em 08/05/2017</t>
  </si>
  <si>
    <t>Trinida
(Matriz: nitazoxanida - Althaia)</t>
  </si>
  <si>
    <t>Desistência a pedido publicada em 17/05/2017</t>
  </si>
  <si>
    <t>Desistência a pedido, protocolada em 24/04/2017, sob expediente n°0699812177.
Motivo: Conforme decisão do Comitê Executivo ocorrido em 07/04/2017, houve desistência de registro.</t>
  </si>
  <si>
    <t>Desistência a pedido, protocolada em 24/04/2017, sob expediente n°0700081172.
Motivo: Conforme decisão do Comitê Executivo ocorrido em 07/04/2017, houve desistência de registro.</t>
  </si>
  <si>
    <t>Desistência a pedido, protocolada em 25/04/2017, sob expediente n°0707688176.
Motivo: Devido a desistência do registro do matriz em  decisão do Comitê Executivo ocorrido em 07/04/2017.</t>
  </si>
  <si>
    <t>Desistência a pedido, protocolada em 25/04/2017, sob expediente n°0709786177.
Motivo: Devido a desistência do registro do matriz em  decisão do Comitê Executivo ocorrido em 07/04/2017.</t>
  </si>
  <si>
    <t>Desistência a pedido, protocolada em 25/04/2017, sob expediente n°0707561178.
Motivo: Devido a desistência do registro do matriz em  decisão do Comitê Executivo ocorrido em 07/04/2017.</t>
  </si>
  <si>
    <t>Desistência a pedido, protocolada em 25/04/2017, sob expediente n°0707897178.
Motivo: Devido a desistência do registro do matriz em  decisão do Comitê Executivo ocorrido em 07/04/2017.</t>
  </si>
  <si>
    <t>Desistência a pedido, protocolada em 25/04/2017, sob expediente n°0707429178.
Motivo: Devido a desistência do registro do matriz em  decisão do Comitê Executivo ocorrido em 07/04/2017.</t>
  </si>
  <si>
    <t>Desistência a pedido, protocolada em 25/04/2017, sob expediente n°0707817170.
Motivo: Devido a desistência do registro do matriz em  decisão do Comitê Executivo ocorrido em 07/04/2017.</t>
  </si>
  <si>
    <t>25351.268231/2017-16</t>
  </si>
  <si>
    <t xml:space="preserve">  Glopol (Antigas marcas: Osagil Glans)
(Matriz: latanoprosta - Brain)</t>
  </si>
  <si>
    <t>Cancelamento de registro do medicamento - ANVISA publicado em 22/05/2017
(Motivo: Matriz cancelado - entramos com novo registro de nitazoxanida)</t>
  </si>
  <si>
    <t>citrato de colina + betaína + DL-metionina</t>
  </si>
  <si>
    <t>100 + 50 + 10mg/mL</t>
  </si>
  <si>
    <t>Figlon / Figbom / Protecler
(Matriz: Epocler - Cosmed)</t>
  </si>
  <si>
    <t>Fluviral
(Matriz: Resfryneo - Brain)</t>
  </si>
  <si>
    <t xml:space="preserve">40mg/mL+0,6mg/mL+0,6mg/mL </t>
  </si>
  <si>
    <t>25351.300041/2017-09</t>
  </si>
  <si>
    <t>1062115176</t>
  </si>
  <si>
    <t xml:space="preserve">solução </t>
  </si>
  <si>
    <t>Registro de medicamento</t>
  </si>
  <si>
    <t xml:space="preserve">Aditamento ao registro protocolado em 07/02/14 sob n° de expediente 0120211141.    
solicitado encerramento da petição em 14/02/2014 expediente: 012021/11-41 - parecer diretoria </t>
  </si>
  <si>
    <t xml:space="preserve">pó e
cápsula </t>
  </si>
  <si>
    <t>25351.303101/2017-37</t>
  </si>
  <si>
    <t>1072706170</t>
  </si>
  <si>
    <t>25351.303085/2017-82</t>
  </si>
  <si>
    <t>1072695171</t>
  </si>
  <si>
    <t>709579111</t>
  </si>
  <si>
    <t>Registro Indeferido em 16/06/2014</t>
  </si>
  <si>
    <t>919766094</t>
  </si>
  <si>
    <t xml:space="preserve">A petição foi finalizada sem que houvesse manifestação da ANVISA quanto ao mérito (deferimento ou indeferimento). </t>
  </si>
  <si>
    <t>904533093</t>
  </si>
  <si>
    <t>Laboratório Americano de Farmacoterapia S.A.</t>
  </si>
  <si>
    <t>Mantecorp In. Química e Farm. S.A.</t>
  </si>
  <si>
    <t xml:space="preserve">A empresa expressa ou tacitamente desiste do pedido apresentado à Agência. </t>
  </si>
  <si>
    <t xml:space="preserve">
1072656130
</t>
  </si>
  <si>
    <t>Aditado ao processo</t>
  </si>
  <si>
    <t>A empresa expressa ou tacitamente desiste do pedido apresentado à Agência.</t>
  </si>
  <si>
    <t>Desistencia da petição devido a publicação do clone Pantoneo.</t>
  </si>
  <si>
    <t>Deferido apenas a forma farmacêutica de comprimido em 20/10/2015.</t>
  </si>
  <si>
    <t>500mg  e 200mg/mL</t>
  </si>
  <si>
    <t>Clone não submetido</t>
  </si>
  <si>
    <t xml:space="preserve">O cancelamento foi motivado por solicitação expressa da empresa, deferida pela ANVISA. Não Publicado </t>
  </si>
  <si>
    <t>Registro Indeferido em 30/11/2015</t>
  </si>
  <si>
    <t>A empresa expressa ou tacitamente desiste do pedido apresentado à Agência</t>
  </si>
  <si>
    <t>25000.002382/88</t>
  </si>
  <si>
    <t>Tranferência de Titularidade (Brain - Processo n° 25351.539426/2011-95 - caducidade publicada em 07/11/16.</t>
  </si>
  <si>
    <t>001430103</t>
  </si>
  <si>
    <t>012798101</t>
  </si>
  <si>
    <t>25351.372730/2009-24</t>
  </si>
  <si>
    <t>023768/08-0</t>
  </si>
  <si>
    <t>620263/10-2</t>
  </si>
  <si>
    <t>696855/09-4</t>
  </si>
  <si>
    <t xml:space="preserve">25351.301231/2010-25 </t>
  </si>
  <si>
    <t>25351.322209/2017-29</t>
  </si>
  <si>
    <t>1139305170</t>
  </si>
  <si>
    <t>Pieno (antiga marca:Plenum)
(Matriz: Flomicin - Brain)</t>
  </si>
  <si>
    <t>"Produto protocolado para substituição do clone Equiflora (já deferido), visto que a marca Equiflora é patenteada pela Novartis, dessa forma cancelamos o registro e pedimos a ressubmissão."</t>
  </si>
  <si>
    <t>Lisador Dip (antiga marca:Lisador Mono)
(Matriz: dipirona monoidratada - Brain)</t>
  </si>
  <si>
    <t>Lisador Dip (antiga marca:Lisador Mono)
(Matriz: dipirona - Brain)</t>
  </si>
  <si>
    <t>1360799175</t>
  </si>
  <si>
    <t>Visazul Clear (antiga marca: Visazul Dia)
(Matriz: Colírio Neo Brasil - Brain)</t>
  </si>
  <si>
    <t>Novotram (antigas marcas:Fixtram / Fastram)
(Matriz: cloridrato de tramadol - Brain)</t>
  </si>
  <si>
    <t>25351.390461/2017-61</t>
  </si>
  <si>
    <t>1434619172</t>
  </si>
  <si>
    <t>2mg/mL+5mg/mL</t>
  </si>
  <si>
    <t>Em exigência</t>
  </si>
  <si>
    <t>chá verde 
Camellia sinensis (L) Kuntze</t>
  </si>
  <si>
    <t>1_Cumprimento de exigência em 08/08/16 sob expediente n° 2165448/16-4.
2_Cumprimento de exigência em 23/02/17, sob expediente n° 0309350/17-6.
3_Exigência n°0551383/17-9 recebida em 10/04/17, cumprida em 08/08/2017.
Desistência a pedido, protocolada em 08/08/2017, sob expediente nº 1658222175
Motivo: Fundamentação técnica insuficiente para defender a eficácia de extratos com alta pureza do ECGC.</t>
  </si>
  <si>
    <t>maleato de bronfeniramina + cloridrato de fenilefrina</t>
  </si>
  <si>
    <t>12 mg + 15 mg / 2 mg/mL + 2,5 mg/mL / 4mg/mL + 1mg/mL</t>
  </si>
  <si>
    <t>Decongex Plus (Aché)</t>
  </si>
  <si>
    <t>Privina (GSK)</t>
  </si>
  <si>
    <t>nitrato de nafazolina</t>
  </si>
  <si>
    <t>cloridrato de nafazolina + maleato de mepiramina + dexpantenol</t>
  </si>
  <si>
    <t>1,0 mg/mL + 0,2 mg/mL + 5,0 mg/mL; e 0,5 ml/mL + 0,2 mg/mL + 5,0 mg/mL</t>
  </si>
  <si>
    <t>Solução</t>
  </si>
  <si>
    <t>Solução gotas</t>
  </si>
  <si>
    <t>Comprimido / Solução / Xarope</t>
  </si>
  <si>
    <t>Maracugina PI (Matriz: Seakalm)</t>
  </si>
  <si>
    <t>Passiflora incarnata L.</t>
  </si>
  <si>
    <t>260 mg
90 mg/mL</t>
  </si>
  <si>
    <t>Comprimido revestido
Solução oral</t>
  </si>
  <si>
    <t>Fitoterápico</t>
  </si>
  <si>
    <t>Registro de medicamento clone - Produto tradicional fitoterápico</t>
  </si>
  <si>
    <t>Apresentação</t>
  </si>
  <si>
    <t>COM REV CT BL AL PLAS PVC TRANS X 10
COM REV CT BL AL PLAS PVC TRANS X 12
COM REV CT BL AL PLAS PVC TRANS X 20
COM CT BL AL PLAS PVC TRANS X 100 (EMB FRAC)
COM CT BL AL PLAS PVC TRANS X 400 (EMB HOSP)
COM CT BL AL PLAS PVDC TRANS X 4
COM CT BL AL PLAS PVDC TRANS X 10
COM CT BL AL PLAS PVDC TRANS X 12
COM CT BL AL PLAS PVDC TRANS X 20
COM CT BL AL PLAS PVDC TRANS X 100 (EMB FRAC)
COM CT BL AL PLAS PVDC TRANS X 400 (EMB HOSP)</t>
  </si>
  <si>
    <t>CAP MOLE CT BL AL PLAS TRANS X 3
CAP MOLE CT BL AL PLAS TRANS X 4
CAP MOLE CT BL AL PLAS TRANS X 8
CAP MOLE CT BL AL PLAS TRANS X 10
CAP MOLE CT BL AL PLAS TRANS X 16
CAP MOLE CT BL AL PLAS TRANS X 20
CAP MOLE CT BL AL PLAS TRANS X 24
CAP MOLE CT BL AL PLAS TRANS X 30
CAP MOLE CT BL AL PLAS TRANS X 36 (EMB MULT)
CAP MOLE CT BL AL PLAS TRANS X 48 (EMB MULT)
CAP MOLE CT BL AL PLAS TRANS X 72 (EMB MULT)
CAP MOLE CT BL AL PLAS TRANS X 96 (EMB MULT)
CAP MOLE CT BL AL PLAS TRANS X 144 (EMB MULT)
CAP MOLE CT BL AL PLAS TRANS X 192 (EMB MULT)</t>
  </si>
  <si>
    <t>COM REV CT BL AL PLAS TRANSL X 1
COM REV CT BL AL PLAS TRANSL X 2
COM REV CT BL AL PLAS TRANSL X 3
COM REV CT BL AL PLAS TRANSL X 4
COM REV CT BL AL PLAS TRANSL X 5
COM REV CT BL AL PLAS TRANSL X 6
COM REV CT BL AL PLAS TRANSL X 14
COM REV CT BL AL PLAS TRANSL X 18
COM REV CT BL AL PLAS TRANSL X 20
COM REV CT BL AL PLAS TRANSL X 30 (EMB FRAC)</t>
  </si>
  <si>
    <t>1743142175</t>
  </si>
  <si>
    <t>Desistência a pedido - Protocolada em 21/08/2017, expdediente nº 1766393/17-8.
Motivo: Desistência do medicamento matriz.</t>
  </si>
  <si>
    <t>Apresentações registradas:
COM REV CT BL AL PLAS TRANS X 28
COM REV CT BL AL PLAS TRANS X 84</t>
  </si>
  <si>
    <t>Apresentações registradas:
SOL OR CT FR VD AMB X 100ML + COP
SOL OR CT 50 FR VD AMB X 100ML + 50 COP</t>
  </si>
  <si>
    <t>Tinodin
(Matriz:tartarato de brimonidina + maleato de timolol - Brain)</t>
  </si>
  <si>
    <t>Apresentações registradas:
SOL OFT CT FR PLAS OPC GOT X 5ML
SOL OFT CX 50 FR PLAS OPC GOT X 5ML</t>
  </si>
  <si>
    <t>SOL GOT OR CT FR GOT PLAS OPC X 20 ML 
SOL GOT OR CT FR GOT PLAS OPC X 20 ML
SOL GOT OR CT FR GOT VD AMB X 20 ML
Desistência a pedido - Protocolada em 03/10/2017, expediente 2067188/17-1
Motivo: A empresa não tem mais interesse no produto, e já está desenvolvendo outro projeto.</t>
  </si>
  <si>
    <t>0628893/12-6</t>
  </si>
  <si>
    <t xml:space="preserve">SOL OFT CT FR PLAS X 10ML
SOL OFT CT FR PLAS X 15ML
SOL OFT CT FR PLAS X 20ML
SOL OFT CX 50 FR PLAS X 20 ML (EMB HOSP)
SOL OFT CT FR PLAS X 10 ML
SOL OFT CT FR PLAS X 15ML
SOL OFT CT FR PLAS X 20ML
SOL OFT CX 50 FR PLAS X 20 ML (EMB HOSP)
1_Exigência recebida em 05/07/2017, cumprida em 05/09/2017 sob expediente 1884593/17-2.  </t>
  </si>
  <si>
    <t>2448175162</t>
  </si>
  <si>
    <t>25351.470059/2017-69</t>
  </si>
  <si>
    <t>Protocolado em 10/08/2017
260 mg
COM REV CT BL AL PLAS TRANS X 10
COM REV CT BL AL PLAS TRANS X 20
COM REV CT BL AL PLAS TRANS X 30
COM REV CX BL AL PLAS TRANS X 500
COM REV CX BL AL PLAS TRANS X 1000
90 mg/mL
SOL OR CT FR PLAS AMB X 100 ML + COP
SOL OR CT FR PLAS AMB X 120 ML + COP
SOL OR CT FR PLAS AMB X 150 ML + COP
SOL OR CX 50 FR PLAS AMB X 100 ML + 50 COP
SOL OR CX 50 FR PLAS AMB X 120 ML + 50 COP
SOL OR CX 50 FR PLAS AMB X 150 ML + 50 COP
SOL OR CX 100 FR PLAS AMB X 100 ML + 100 COP
SOL OR CX 100 FR PLAS AMB X 120 ML + 100 COP
SOL OR CX 100 FR PLAS AMB X 150 ML + 100 COP
SOL OR CT 12 FLAC PLAS TRANS 10ML
SOL OR CT 24 FLAC PLAS TRANS 10ML</t>
  </si>
  <si>
    <t>Milgamma</t>
  </si>
  <si>
    <t>Pó efervescente</t>
  </si>
  <si>
    <t>benfotiamina</t>
  </si>
  <si>
    <t>150 mg</t>
  </si>
  <si>
    <t>Drágea</t>
  </si>
  <si>
    <t>2156705171</t>
  </si>
  <si>
    <t>Verificar Compliance Pós-Registro</t>
  </si>
  <si>
    <t>1 g</t>
  </si>
  <si>
    <t>Inclusão de nova apresentação</t>
  </si>
  <si>
    <t>2156759170</t>
  </si>
  <si>
    <t>Em análise</t>
  </si>
  <si>
    <t>Não</t>
  </si>
  <si>
    <t>Sim</t>
  </si>
  <si>
    <r>
      <t xml:space="preserve">0,0333mL/mL + 0,0333g/mL + 0,0083g/mL +
0,0833mL/mL </t>
    </r>
    <r>
      <rPr>
        <b/>
        <u/>
        <sz val="10"/>
        <rFont val="Calibri"/>
        <family val="2"/>
        <scheme val="minor"/>
      </rPr>
      <t>e</t>
    </r>
    <r>
      <rPr>
        <sz val="10"/>
        <rFont val="Calibri"/>
        <family val="2"/>
        <scheme val="minor"/>
      </rPr>
      <t xml:space="preserve">
75mg/mL + 57,6mg/mL + 14,4mg/mL + 125,5mg/mL</t>
    </r>
    <r>
      <rPr>
        <b/>
        <sz val="10"/>
        <rFont val="Calibri"/>
        <family val="2"/>
        <scheme val="minor"/>
      </rPr>
      <t xml:space="preserve"> </t>
    </r>
    <r>
      <rPr>
        <b/>
        <u/>
        <sz val="10"/>
        <rFont val="Calibri"/>
        <family val="2"/>
        <scheme val="minor"/>
      </rPr>
      <t>e</t>
    </r>
    <r>
      <rPr>
        <sz val="10"/>
        <rFont val="Calibri"/>
        <family val="2"/>
        <scheme val="minor"/>
      </rPr>
      <t xml:space="preserve">
52,5mg/g + 44,4mg/g + 20,0mg/g + 191,47mg/mg</t>
    </r>
  </si>
  <si>
    <t>Aguarda análise</t>
  </si>
  <si>
    <t>Alteração maior de excipiente</t>
  </si>
  <si>
    <t>Inclusão de novo acondicionamento</t>
  </si>
  <si>
    <t>Registro de medicamento clone</t>
  </si>
  <si>
    <t>Registro de medicamento clone - complementação de BU</t>
  </si>
  <si>
    <t>Registro de medicamento, em conformidade com o art. 2° da IN 06/2008   -  aditado à RDC 31 - CLONE.</t>
  </si>
  <si>
    <t>COM CT BL AL PLAS INC X 20
COM CT BL AL PLAS INC X 30
COM CT BL AL PLAS INC X 50
COM CT BL AL PLAS INC X 60
COM CX BL AL PLAS INC X 200 (EMB FRAC)
COM CX BL AL PLAS INC X 500 (EMB FRAC)</t>
  </si>
  <si>
    <t>Cápsula dura</t>
  </si>
  <si>
    <t xml:space="preserve">Cápsula dura </t>
  </si>
  <si>
    <t>Cápsula mole</t>
  </si>
  <si>
    <t xml:space="preserve">Comprimido </t>
  </si>
  <si>
    <t>Comprimido revestido</t>
  </si>
  <si>
    <t>Creme e Pomada</t>
  </si>
  <si>
    <t>Creme</t>
  </si>
  <si>
    <t>Loção</t>
  </si>
  <si>
    <t>Pó para solução</t>
  </si>
  <si>
    <t>COM MAST CT BL AL/AL X 10
COM MAST CT BL AL/AL X 30
COM MAST CT BL AL/AL X 300 (EMB HOSP)
COM MAST CT BL AL/AL X 500 (EMB HOSP)</t>
  </si>
  <si>
    <t>GRAN CT ENV PAP X 10
GRAN CT ENV PAP X 30
GRAN CX ENV PAP X 300 (EMB HOSP)
GRAN CX ENV PAP X 500 (EMB HOSP)
GRAN CT ENV AL/PLAS X 10
GRAN CT ENV AL/PLAS X 30
GRAN CX ENV AL/PLAS X 300 (EMB HOSP)
GRAN CX ENV AL/PLAS X 500 (EMB HOSP)
GRAN CT ENV AL/PAP X 10
GRAN CT ENV AL/PAP X 30
GRAN CX ENV AL/PAP X 300 (EMB HOSP)
GRAN CX ENV AL/PAP X 500 (EMB HOSP)</t>
  </si>
  <si>
    <t>COM CT BL AL PLAS TRANS X 12
COM CT BL AL PLAS TRANS X 24</t>
  </si>
  <si>
    <t>GRAN CT ENV PAP X 10
GRAN CT ENV PAP X 30
GRAN CX ENV PAP X 300 (EMB HOSP)
GRAN CX ENV PAP X 500 (EMB HOSP)
GRAN CT ENV AL/PLAS X 10
GRAN CT ENV AL/PLAS X 30
GRAN CX ENV AL/PLAS X 300 (EMB HOSP)
GRAN CX ENV AL/PLAS X 500 (EMB HOSP)
GRAN CT ENV AL/PAP X 10
GRAN CT ENV AL/PAP X 30
GRAN CT ENV AL/PAP X 300 (EMB HOSP)
GRAN CT ENV AL/PAP X 500 (EMB HOSP)</t>
  </si>
  <si>
    <t>GRAN CT ENV PAP X 10
GRAN CT ENV PAP X 30
GRAN CT ENV PAP X 300 (EMB HOSP)
GRAN CT ENV PAP X 500 (EMB HOSP)
GRAN CT ENV AL/PLAS X 10
GRAN CT ENV AL/PLAS X 30
GRAN CT ENV AL/PLAS X 300 (EMB HOSP)
GRAN CT ENV AL/PLAS X 500 (EMB HOSP)
GRAN CT ENV AL/PAP X 10 
GRAN CT ENV AL/PAP X 30
GRAN CT ENV AL/PAP X 300 (EMB HOSP)
GRAN CT ENV AL/PAP X 500 (EMB HOSP)</t>
  </si>
  <si>
    <t>POM DERM CT BG AL X 20G
POM DERM CT BG AL X 45G
AER TB AL X 60 ML
LIN CT FR PLAS OPC X 45 ML</t>
  </si>
  <si>
    <t>SOL OR CT FR GOT PLAS OPC X 10ML
SOL OR DISPLAY 10 FR GOT PLAS OPC X 10 ML
SOL OR CX 50 FR GOT PLAS OPC X 10ML (EMB HOSP)
SOL OR CT FR GOT PLAS OPC X 20ML
SOL OR DISPLAY 10 FR GOT PLAS OPC X 20ML
SOL OR DISPLAY 50 FR GOT PLAS OPC X 20ML (EMB HOSP)
SOL OR CT FR GOT PLAS OPC X 15ML
SOL OR DISPLAY 10 FR GOT PLAS OPC X 15 ML
SOL OR CX 50 FR GOT PLAS OPC X 15 ML (EMB HOSP)</t>
  </si>
  <si>
    <t>50mg/mL; 
200mg, 300mg, 400mg e 600mg</t>
  </si>
  <si>
    <t>5mg + 50mg e 2,5mg + 25mg</t>
  </si>
  <si>
    <t>462mg/g + 90mg/g + 438mg/g</t>
  </si>
  <si>
    <t>P: Granules India Limited ;
FC: Macfarlan Smith Limited.</t>
  </si>
  <si>
    <t>carmelose sódica
(Matriz: Neofresh - Brain)</t>
  </si>
  <si>
    <t>25351.658630/2009-81</t>
  </si>
  <si>
    <t>Lipanon</t>
  </si>
  <si>
    <t>fenofibrato</t>
  </si>
  <si>
    <t>2175217176</t>
  </si>
  <si>
    <t>2190264170</t>
  </si>
  <si>
    <t>2197122176</t>
  </si>
  <si>
    <t>2204116178</t>
  </si>
  <si>
    <t>2204111177</t>
  </si>
  <si>
    <t>Comprimido e Xarope</t>
  </si>
  <si>
    <t>paracetamol + cloridratro de fenilefrina + maleato de carbinoxamina</t>
  </si>
  <si>
    <t>Loção e Shampoo</t>
  </si>
  <si>
    <t>deltametrina</t>
  </si>
  <si>
    <t>CREM DERM CT BG AL X 30G
POM DERM CT BG AL X 30G
Desistência a pedido protocolada em 16/11/2017 sob expediente 2207176/17-8
Motivo: Matriz desistido pelo edital de Outubro/2017.</t>
  </si>
  <si>
    <t>COM REV CT BL PLAS TRANS X 1
COM REV CT BL PLAS TRANS X 2
COM REV CT BL PLAS TRANS X 3
COM REV CT BL PLAS TRANS X 12 
COM REV CT BL AL AL X 1
COM REV CT BL AL AL X 2
COM REV CT BL AL AL X 3
COM REV CT BL AL AL X 12
Desistência a pedido protocolada em 16/11/2017 sob expediente 2207231/17-4
Motivo: Desistência da petição de registro do matriz (Benfor).</t>
  </si>
  <si>
    <t>COM REV CT BL PLAS TRANS X 1
COM REV CT BL PLAS TRANS X 2
COM REV CT BL PLAS TRANS X 3
COM REV CT BL PLAS TRANS X 12
COM REV CT BL AL AL X 1
COM REV CT BL AL AL X 2
COM REV CT BL AL AL X 3
COM REV CT BL AL AL X 12
Desistência a pedido protocolada em 16/11/2017 sob expediente 2207245/17-4
Motivo: Desistência da petição de registro do matriz (Benfor).</t>
  </si>
  <si>
    <t>melatonina</t>
  </si>
  <si>
    <t>2 mg/mL</t>
  </si>
  <si>
    <t>suspensão spray</t>
  </si>
  <si>
    <t>25351.649745/2017-79</t>
  </si>
  <si>
    <t>SOL OFT CT FR PLAS OPC GOT X 10 ML
SOL OFT CT FR PLAS OPC GOT X 15 ML
SOL OFT CX 50 FR PLAS OPC GOT X 15 ML (EMB HOSP)
Desistência a pedido protocolada em 23/10/2017 sob expediente 2137271/17-3
Motivo: Desistência da petição de registro do matriz (Lacrilux).</t>
  </si>
  <si>
    <t>Desistencia a pedido publicada em 20/11/2017</t>
  </si>
  <si>
    <t>Fluviral Noite
(Matriz: Neolefrin)</t>
  </si>
  <si>
    <r>
      <rPr>
        <sz val="10"/>
        <rFont val="Calibri"/>
        <family val="2"/>
        <scheme val="minor"/>
      </rPr>
      <t xml:space="preserve">Prorrogação de prazo para cumprimento de exigência, protocolado em 11/12/2013 sob expediente: 1049177135 
Cumprimento de exigência protocolado em 17/01/14 sob expediente 0042755/14-1.
Cumprimento de exigência referente ao estudo de biodisponibilidade relativa, protocolado em 19/03/2014 sob expediente 208774140.
Prorrogação de prazo para cumprimento de exigência, protocolado em 09/09/2014 sob expediente n°0748228/14-1.
Cumprimento de exigência, protocolado em 10/11/2014 sob expediente n° 1012852/14-2.
Cumprimento de exigência, protocolado em 30/12/2014 sob expediente n°0005852/15-1.
</t>
    </r>
    <r>
      <rPr>
        <b/>
        <sz val="10"/>
        <color rgb="FFFF0000"/>
        <rFont val="Calibri"/>
        <family val="2"/>
        <scheme val="minor"/>
      </rPr>
      <t xml:space="preserve">
</t>
    </r>
    <r>
      <rPr>
        <b/>
        <sz val="10"/>
        <rFont val="Calibri"/>
        <family val="2"/>
        <scheme val="minor"/>
      </rPr>
      <t xml:space="preserve">
</t>
    </r>
  </si>
  <si>
    <r>
      <rPr>
        <i/>
        <sz val="10"/>
        <rFont val="Calibri"/>
        <family val="2"/>
        <scheme val="minor"/>
      </rPr>
      <t>Panax ginseng C. A mey</t>
    </r>
    <r>
      <rPr>
        <sz val="10"/>
        <rFont val="Calibri"/>
        <family val="2"/>
        <scheme val="minor"/>
      </rPr>
      <t xml:space="preserve"> + assoc.</t>
    </r>
  </si>
  <si>
    <r>
      <t xml:space="preserve">Cancelamento de registro protocolado em 17/04/2017 sob expediente n° 0634998176. Obs: Fizemos o cancelamento, pois detectamos que essa marca ''Equiflora'' é patenteada pela Novartis. </t>
    </r>
    <r>
      <rPr>
        <b/>
        <u/>
        <sz val="10"/>
        <color rgb="FFFF0000"/>
        <rFont val="Calibri"/>
        <family val="2"/>
        <scheme val="minor"/>
      </rPr>
      <t>*Publicado Cancelamento de registro em 08/05/2017 - RESOLUÇÃO - RE Nº- 1.214, DE 5 DE MAIO DE 2017*</t>
    </r>
  </si>
  <si>
    <r>
      <t xml:space="preserve"> (</t>
    </r>
    <r>
      <rPr>
        <i/>
        <sz val="10"/>
        <color theme="1"/>
        <rFont val="Calibri"/>
        <family val="2"/>
        <scheme val="minor"/>
      </rPr>
      <t>senna alexandrina miller + cássia fistula L</t>
    </r>
    <r>
      <rPr>
        <sz val="10"/>
        <color theme="1"/>
        <rFont val="Calibri"/>
        <family val="2"/>
        <scheme val="minor"/>
      </rPr>
      <t xml:space="preserve">.) </t>
    </r>
  </si>
  <si>
    <r>
      <rPr>
        <b/>
        <sz val="10"/>
        <rFont val="Calibri"/>
        <family val="2"/>
        <scheme val="minor"/>
      </rPr>
      <t>Apresentações incluídas:</t>
    </r>
    <r>
      <rPr>
        <sz val="10"/>
        <rFont val="Calibri"/>
        <family val="2"/>
        <scheme val="minor"/>
      </rPr>
      <t xml:space="preserve">
15 MG + 90 MG COM REV LIB PROL CT BL AL PLAS TRANS X 10
15 MG + 90 MG COM REV LIB PROL CT BL AL PLAS TRANS X 30
15 MG + 90 MG COM REV LIB PROL CT BL AL PLAS TRANS X 60</t>
    </r>
  </si>
  <si>
    <r>
      <rPr>
        <b/>
        <sz val="10"/>
        <rFont val="Calibri"/>
        <family val="2"/>
        <scheme val="minor"/>
      </rPr>
      <t>Apresentações incluídas:</t>
    </r>
    <r>
      <rPr>
        <sz val="10"/>
        <rFont val="Calibri"/>
        <family val="2"/>
        <scheme val="minor"/>
      </rPr>
      <t xml:space="preserve">
300 MG + 50 MG + 35 MG COM CT BL AL PLAS AMB X 15
300 MG + 50 MG + 35 MG COM CT BL AL PLAS AMB X 36
300 MG + 50 MG + 35 MG COM CT BL AL PLAS AMB X 45
300 MG + 50 MG + 35 MG COM CT BL AL PLAS AMB X 48
300 MG + 50 MG + 35 MG COM DISP CT BL AL PLAS AMB X 120 (EMB MULT)
300 MG + 50 MG + 35 MG COM DISP CT BL AL PLAS AMB X 150 (EMB MULT)
300 MG + 50 MG + 35 MG COM DISP CT BL AL PLAS AMB X 240 (EMB MULT)
300 MG + 50 MG + 35 MG COM DISP CT BL AL PLAS AMB X 300 (EMB MULT)</t>
    </r>
  </si>
  <si>
    <r>
      <rPr>
        <b/>
        <sz val="10"/>
        <rFont val="Calibri"/>
        <family val="2"/>
        <scheme val="minor"/>
      </rPr>
      <t>Apresentações incluídas:</t>
    </r>
    <r>
      <rPr>
        <sz val="10"/>
        <rFont val="Calibri"/>
        <family val="2"/>
        <scheme val="minor"/>
      </rPr>
      <t xml:space="preserve">
(400 +4 +4) MG COM BL AL PLAS AMB X 8
(400 +4 +4) MG COM BL AL PLAS AMB X 24
(400 +4 +4) MG COM BL AL PLAS AMB X 30
(400 +4 +4) MG COM DISP BL AL PLAS AMB X 120 (EMB MULT)
(400 +4 +4) MG COM DISP BL AL PLAS AMB X 160 (EMB MULT)
(400 +4 +4) MG COM DISP BL AL PLAS AMB X 180 (EMB MULT)</t>
    </r>
  </si>
  <si>
    <r>
      <rPr>
        <i/>
        <sz val="10"/>
        <rFont val="Calibri"/>
        <family val="2"/>
        <scheme val="minor"/>
      </rPr>
      <t>Apresentações inclusas</t>
    </r>
    <r>
      <rPr>
        <sz val="10"/>
        <rFont val="Calibri"/>
        <family val="2"/>
        <scheme val="minor"/>
      </rPr>
      <t xml:space="preserve">
500 MG/ML SOL OR CT FR GOT PLAS OPC X 15 ML
500 MG/ML SOL OR DISPLAY 10 FR GOT PLAS OPC X 15 ML
500 MG/ML SOL OR CX 50 FR GOT PLAS OPC X 15 ML</t>
    </r>
  </si>
  <si>
    <r>
      <rPr>
        <i/>
        <sz val="10"/>
        <rFont val="Calibri"/>
        <family val="2"/>
        <scheme val="minor"/>
      </rPr>
      <t>Apresentações inclusas</t>
    </r>
    <r>
      <rPr>
        <sz val="10"/>
        <rFont val="Calibri"/>
        <family val="2"/>
        <scheme val="minor"/>
      </rPr>
      <t xml:space="preserve">
6 MG DRG (REPETABS) CT BL AL PVDC TRANS X 2
6 MG DRG (REPETABS) CT BL AL PVDC TRANS X 4
6 MG DRG (REPETABS) CT BL AL PVC TRANS X 2
6 MG DRG (REPETABS) CT BL AL PVC TRANS X 4</t>
    </r>
  </si>
  <si>
    <r>
      <t xml:space="preserve">Apresentações registradas:
COM CT BL AL PLAS AMB X 4
COM CT BL AL PLAS AMB X 16
COM CT BL AL PLAS AMB X 100
COM CT BL AL PLAS AMB X 200
</t>
    </r>
    <r>
      <rPr>
        <b/>
        <sz val="10"/>
        <rFont val="Calibri"/>
        <family val="2"/>
        <scheme val="minor"/>
      </rPr>
      <t>1</t>
    </r>
    <r>
      <rPr>
        <sz val="10"/>
        <rFont val="Calibri"/>
        <family val="2"/>
        <scheme val="minor"/>
      </rPr>
      <t xml:space="preserve">_Cumprimento de exigência em 24/08/16 sob expediente n° 2215084166
Marcas sugeridas: Apracur DF e Apracur DC.
</t>
    </r>
    <r>
      <rPr>
        <b/>
        <sz val="10"/>
        <rFont val="Calibri"/>
        <family val="2"/>
        <scheme val="minor"/>
      </rPr>
      <t>2</t>
    </r>
    <r>
      <rPr>
        <sz val="10"/>
        <rFont val="Calibri"/>
        <family val="2"/>
        <scheme val="minor"/>
      </rPr>
      <t xml:space="preserve">_Cumprimento de exigência em 07/07/17 sob expediente n°1386747174.
</t>
    </r>
    <r>
      <rPr>
        <b/>
        <sz val="10"/>
        <rFont val="Calibri"/>
        <family val="2"/>
        <scheme val="minor"/>
      </rPr>
      <t>3</t>
    </r>
    <r>
      <rPr>
        <sz val="10"/>
        <rFont val="Calibri"/>
        <family val="2"/>
        <scheme val="minor"/>
      </rPr>
      <t>_Exigência nº 1942443/17-4 recebida em 12/09/2017, cumprida em 14/09/2017 sob expediente nº 1960676/17-1.</t>
    </r>
  </si>
  <si>
    <r>
      <t xml:space="preserve">Apresentações registradas:
CAP GEL DURA CT BL AL PLAS TRANS X 21
 CAP GEL DURA CT BL AL PLAS TRANS X 30
CAP GEL DURA CT BL AL PLAS TRANS X 42
CAP GEL DURA CT BL AL PLAS TRANS X 63
CAP GEL DURA CT BL AL PLAS TRANS X 84
CAP GEL DURA CT BL AL PLAS TRANS X 90
CAP GEL DURA CX BL AL PLAS TRANS X 490 (EMB HOSP)
</t>
    </r>
    <r>
      <rPr>
        <b/>
        <sz val="10"/>
        <rFont val="Calibri"/>
        <family val="2"/>
        <scheme val="minor"/>
      </rPr>
      <t>1</t>
    </r>
    <r>
      <rPr>
        <sz val="10"/>
        <rFont val="Calibri"/>
        <family val="2"/>
        <scheme val="minor"/>
      </rPr>
      <t xml:space="preserve">_Cumprimento de exigência em 17/03/17, sob expediente n°0433663171.
</t>
    </r>
    <r>
      <rPr>
        <b/>
        <sz val="10"/>
        <rFont val="Calibri"/>
        <family val="2"/>
        <scheme val="minor"/>
      </rPr>
      <t>2</t>
    </r>
    <r>
      <rPr>
        <sz val="10"/>
        <rFont val="Calibri"/>
        <family val="2"/>
        <scheme val="minor"/>
      </rPr>
      <t xml:space="preserve">_Cumprimento de exigência em 16/05/17 sob expediente n° 0907240173.
</t>
    </r>
  </si>
  <si>
    <r>
      <t xml:space="preserve">111963090
</t>
    </r>
    <r>
      <rPr>
        <b/>
        <sz val="10"/>
        <rFont val="Calibri"/>
        <family val="2"/>
        <scheme val="minor"/>
      </rPr>
      <t>413215107</t>
    </r>
    <r>
      <rPr>
        <sz val="10"/>
        <rFont val="Calibri"/>
        <family val="2"/>
        <scheme val="minor"/>
      </rPr>
      <t xml:space="preserve">
(desarquivamento</t>
    </r>
  </si>
  <si>
    <r>
      <t xml:space="preserve">Calci ODX
(Matriz: Neocal D - Brain)
</t>
    </r>
    <r>
      <rPr>
        <b/>
        <u/>
        <sz val="10"/>
        <rFont val="Calibri"/>
        <family val="2"/>
        <scheme val="minor"/>
      </rPr>
      <t>Nova Marca sugerida: ossusfor</t>
    </r>
  </si>
  <si>
    <r>
      <t>Desistênciaà pedido, protocolado em 05/06/15, sob n° de conhecimento 201506050258PR.</t>
    </r>
    <r>
      <rPr>
        <sz val="10"/>
        <color rgb="FFFF0000"/>
        <rFont val="Calibri"/>
        <family val="2"/>
        <scheme val="minor"/>
      </rPr>
      <t xml:space="preserve"> </t>
    </r>
    <r>
      <rPr>
        <sz val="10"/>
        <rFont val="Calibri"/>
        <family val="2"/>
        <scheme val="minor"/>
      </rPr>
      <t xml:space="preserve"> Informamos erroneamente o n° do CNPJ da cosmed. Foi informado o da filial e não o da matriz. Entramos com novo pedido de registro.</t>
    </r>
  </si>
  <si>
    <r>
      <t>Desistência a pedido, protocolado em 25/09/15 sob expediente n°</t>
    </r>
    <r>
      <rPr>
        <b/>
        <sz val="10"/>
        <rFont val="Calibri"/>
        <family val="2"/>
        <scheme val="minor"/>
      </rPr>
      <t>0864936/15-7.</t>
    </r>
    <r>
      <rPr>
        <sz val="10"/>
        <rFont val="Calibri"/>
        <family val="2"/>
        <scheme val="minor"/>
      </rPr>
      <t xml:space="preserve">
Motivo: Fabricante do Ifa encerrou suas atividade (o local foi incendiado). E o processo espelho (similar desse mesmo dossiê) foi indeferido</t>
    </r>
  </si>
  <si>
    <r>
      <t>Desistência a pedido, protocolado em 25/09/15 sob expediente n°</t>
    </r>
    <r>
      <rPr>
        <b/>
        <sz val="10"/>
        <rFont val="Calibri"/>
        <family val="2"/>
        <scheme val="minor"/>
      </rPr>
      <t xml:space="preserve"> 0864876/15-0.</t>
    </r>
    <r>
      <rPr>
        <sz val="10"/>
        <rFont val="Calibri"/>
        <family val="2"/>
        <scheme val="minor"/>
      </rPr>
      <t xml:space="preserve">
Motivo: Fabricante alterou a rota de síntese e local.</t>
    </r>
  </si>
  <si>
    <r>
      <t>Desistência a pedido, protocolado em 28/09/15 sob expediente n°</t>
    </r>
    <r>
      <rPr>
        <b/>
        <sz val="10"/>
        <rFont val="Calibri"/>
        <family val="2"/>
        <scheme val="minor"/>
      </rPr>
      <t xml:space="preserve"> </t>
    </r>
    <r>
      <rPr>
        <sz val="10"/>
        <rFont val="Calibri"/>
        <family val="2"/>
        <scheme val="minor"/>
      </rPr>
      <t>de expediente 0875602/15-3.
Motivo: Fabricante alterou a rota de síntese e local.</t>
    </r>
  </si>
  <si>
    <r>
      <t xml:space="preserve">(Histórico) Não concluímos a petição deste, protocolamos e não pagamos a taxa. Fomos informados que </t>
    </r>
    <r>
      <rPr>
        <b/>
        <sz val="10"/>
        <rFont val="Calibri"/>
        <family val="2"/>
        <scheme val="minor"/>
      </rPr>
      <t>Não seguiríamos com essa marca.</t>
    </r>
  </si>
  <si>
    <r>
      <t xml:space="preserve">Desistência à pedido por </t>
    </r>
    <r>
      <rPr>
        <b/>
        <sz val="10"/>
        <rFont val="Calibri"/>
        <family val="2"/>
        <scheme val="minor"/>
      </rPr>
      <t>Decisão da diretoria e gerência.</t>
    </r>
    <r>
      <rPr>
        <sz val="10"/>
        <rFont val="Calibri"/>
        <family val="2"/>
        <scheme val="minor"/>
      </rPr>
      <t>Protocolado em 28/10/15, sob expediente n°0951105/15-9.
Ademais, foi cumprida a notificação de exigência n° 0841020/15-8 com a solicitação de Desistência a Pedido, protocolado em 05/11/15 sob expediente n°0970358/15-6.</t>
    </r>
  </si>
  <si>
    <r>
      <t>Desistência à pedido, protocolada em 16/11/2015, sob expediente n° 1008800/15-8.</t>
    </r>
    <r>
      <rPr>
        <b/>
        <sz val="10"/>
        <color rgb="FFFF0000"/>
        <rFont val="Calibri"/>
        <family val="2"/>
        <scheme val="minor"/>
      </rPr>
      <t xml:space="preserve">
</t>
    </r>
    <r>
      <rPr>
        <sz val="10"/>
        <rFont val="Calibri"/>
        <family val="2"/>
        <scheme val="minor"/>
      </rPr>
      <t>Para evitar indeferimento pois não foi informado no registro a declaração de cancelamento de registro vigente. O que era definido entre as gerências.</t>
    </r>
  </si>
  <si>
    <r>
      <t>Desistência à pedido, protocolada em 16/11/2015, sob n° de conhecimento 201511160330PR.</t>
    </r>
    <r>
      <rPr>
        <b/>
        <sz val="10"/>
        <color rgb="FFFF0000"/>
        <rFont val="Calibri"/>
        <family val="2"/>
        <scheme val="minor"/>
      </rPr>
      <t xml:space="preserve">
</t>
    </r>
    <r>
      <rPr>
        <sz val="10"/>
        <rFont val="Calibri"/>
        <family val="2"/>
        <scheme val="minor"/>
      </rPr>
      <t>Para evitar indeferimento pois não foi informado no registro a declaração de cancelamento de registro vigente. O que era definido entre as gerências. (Cumprimento à Notificação de exigência n° 0917059/15-6, protocolado em 18/11/15 sob expediente n° 1004688157).</t>
    </r>
  </si>
  <si>
    <r>
      <t>*Desistência à pedido, protocolado em 07/01/2016</t>
    </r>
    <r>
      <rPr>
        <sz val="10"/>
        <color rgb="FFFF0000"/>
        <rFont val="Calibri"/>
        <family val="2"/>
        <scheme val="minor"/>
      </rPr>
      <t xml:space="preserve">, </t>
    </r>
    <r>
      <rPr>
        <sz val="10"/>
        <rFont val="Calibri"/>
        <family val="2"/>
        <scheme val="minor"/>
      </rPr>
      <t xml:space="preserve">sob expediente n° 1143896/16-7
Não há possibilidade de cumprimento da exigência. Para responder ao item mais crítico da exigência, que é a reprovação do estudo de estabilidade, precisaríamos refazer o estudo de degradação por completo, incluindo impurezas conhecidas, pra tentar defender a metodologia utilizada na estabilidade. Para isso, precisaríamos de um piloto do produto, fabricado neste momento, e também ativo (matéria-prima) para executar esse estudo. Porém, não temos nenhuma previsão de chegada da matéria-prima na empresa. Como estamos a um mês do limite final para cumprimento, realmente não há tempo hábil para que a matéria-prima chegue na empresa, sejam fabricados pilotos, e os estudos necessários sejam conduzidos. 
Da mesma forma, existe um item que solicita validação/verificação de solventes residuais, o que também está impossibilitado de ser realizado por falta da matéria-prima Nortriptilina. 
Exigência cumprida em 11/01/16.
</t>
    </r>
  </si>
  <si>
    <r>
      <t>Desistência à pedido, protocolado em  10/02/2016 sob expediente n°1255388/16-3.</t>
    </r>
    <r>
      <rPr>
        <sz val="10"/>
        <color rgb="FFFF0000"/>
        <rFont val="Calibri"/>
        <family val="2"/>
        <scheme val="minor"/>
      </rPr>
      <t xml:space="preserve">
</t>
    </r>
    <r>
      <rPr>
        <sz val="10"/>
        <rFont val="Calibri"/>
        <family val="2"/>
        <scheme val="minor"/>
      </rPr>
      <t>Motivo:necessidade de nova viabilidade com novo fabricante.
Exigência n° 0912200/15-1 cumprida em 17/02/16 sob expediente n°1274935/16-4.</t>
    </r>
  </si>
  <si>
    <r>
      <t xml:space="preserve">Desistência a pedido protocolado em 11/05/16 sob expediente n°: 1731673/16-1.
</t>
    </r>
    <r>
      <rPr>
        <b/>
        <sz val="10"/>
        <rFont val="Calibri"/>
        <family val="2"/>
        <scheme val="minor"/>
      </rPr>
      <t>Motivo:</t>
    </r>
    <r>
      <rPr>
        <sz val="10"/>
        <rFont val="Calibri"/>
        <family val="2"/>
        <scheme val="minor"/>
      </rPr>
      <t>fabricante encerrou suas atividades e novo desenvolvimento já está em viabilidade, devido ao indeferimento da renovação do similar.</t>
    </r>
  </si>
  <si>
    <r>
      <t xml:space="preserve">Desistência a pedido protocolado em 11/05/16 sob expediente n°: 1731633/16-2.
</t>
    </r>
    <r>
      <rPr>
        <b/>
        <sz val="10"/>
        <rFont val="Calibri"/>
        <family val="2"/>
        <scheme val="minor"/>
      </rPr>
      <t>Motivo:</t>
    </r>
    <r>
      <rPr>
        <sz val="10"/>
        <rFont val="Calibri"/>
        <family val="2"/>
        <scheme val="minor"/>
      </rPr>
      <t xml:space="preserve"> MKT informou não ter interesse nos produtos Bac – sulfitrim e o genérico sulfametoxazol + trimetoprima que estavam na fila da Anvisa. </t>
    </r>
  </si>
  <si>
    <r>
      <t xml:space="preserve">Desistência a pedido protocolado em 11/05/16 sob expediente n°:1731644/16-8.
</t>
    </r>
    <r>
      <rPr>
        <b/>
        <sz val="10"/>
        <rFont val="Calibri"/>
        <family val="2"/>
        <scheme val="minor"/>
      </rPr>
      <t xml:space="preserve">
Motivo: </t>
    </r>
    <r>
      <rPr>
        <sz val="10"/>
        <rFont val="Calibri"/>
        <family val="2"/>
        <scheme val="minor"/>
      </rPr>
      <t xml:space="preserve">Indeferimento da petição de Renovação. Será solicitado um clone utilizando a marca Revastin.
</t>
    </r>
  </si>
  <si>
    <r>
      <t xml:space="preserve">Desistência a pedido protocolado em 11/05/16 sob expediente n°: xx 
</t>
    </r>
    <r>
      <rPr>
        <b/>
        <sz val="10"/>
        <rFont val="Calibri"/>
        <family val="2"/>
        <scheme val="minor"/>
      </rPr>
      <t>Motivo:</t>
    </r>
    <r>
      <rPr>
        <sz val="10"/>
        <rFont val="Calibri"/>
        <family val="2"/>
        <scheme val="minor"/>
      </rPr>
      <t xml:space="preserve"> MKT informou não ter interesse no produto.</t>
    </r>
  </si>
  <si>
    <r>
      <t xml:space="preserve">Desistência a pedido protocolado em 10/06/16  sob expediente n°: 1914084/16-3.
</t>
    </r>
    <r>
      <rPr>
        <b/>
        <sz val="10"/>
        <rFont val="Calibri"/>
        <family val="2"/>
        <scheme val="minor"/>
      </rPr>
      <t xml:space="preserve">Motivo: </t>
    </r>
    <r>
      <rPr>
        <sz val="10"/>
        <rFont val="Calibri"/>
        <family val="2"/>
        <scheme val="minor"/>
      </rPr>
      <t>MKT não tem mais interesse  no porduto, visto que a marca não poderia ser utilizada como família por não ter fármaco identiicador</t>
    </r>
  </si>
  <si>
    <r>
      <t xml:space="preserve">Desistência a pedido protocolado em 08/06/16  sob expediente n°:1914135/16-1.
</t>
    </r>
    <r>
      <rPr>
        <b/>
        <sz val="10"/>
        <rFont val="Calibri"/>
        <family val="2"/>
        <scheme val="minor"/>
      </rPr>
      <t xml:space="preserve">Motivo:  </t>
    </r>
    <r>
      <rPr>
        <sz val="10"/>
        <rFont val="Calibri"/>
        <family val="2"/>
        <scheme val="minor"/>
      </rPr>
      <t>MKT não tem mais interesse  no porduto, visto que a marca não poderia ser utilizada como família por não ter fármaco identiicador</t>
    </r>
  </si>
  <si>
    <r>
      <t xml:space="preserve">Desistência a pedido protocolado em 08/06/16  sob expediente n°:1914149/16-1.
</t>
    </r>
    <r>
      <rPr>
        <b/>
        <sz val="10"/>
        <rFont val="Calibri"/>
        <family val="2"/>
        <scheme val="minor"/>
      </rPr>
      <t xml:space="preserve">Motivo: </t>
    </r>
    <r>
      <rPr>
        <sz val="10"/>
        <rFont val="Calibri"/>
        <family val="2"/>
        <scheme val="minor"/>
      </rPr>
      <t>MKT não tem mais interesse  no porduto, visto que a marca não poderia ser utilizada como família por não ter fármaco identiicador</t>
    </r>
  </si>
  <si>
    <r>
      <t xml:space="preserve">Desistência a pedido protocolado em 10/06/16  sob expediente n°: 1914058/16-4.
</t>
    </r>
    <r>
      <rPr>
        <b/>
        <sz val="10"/>
        <rFont val="Calibri"/>
        <family val="2"/>
        <scheme val="minor"/>
      </rPr>
      <t xml:space="preserve">Motivo: </t>
    </r>
    <r>
      <rPr>
        <sz val="10"/>
        <rFont val="Calibri"/>
        <family val="2"/>
        <scheme val="minor"/>
      </rPr>
      <t>MKT não tem mais interesse  no porduto, visto que a marca não poderia ser utilizada como família por não ter fármaco identiicador</t>
    </r>
  </si>
  <si>
    <r>
      <t xml:space="preserve">Desistência a pedido protocolado em 22/06/16  sob expediente n°: xxx
</t>
    </r>
    <r>
      <rPr>
        <b/>
        <sz val="10"/>
        <rFont val="Calibri"/>
        <family val="2"/>
        <scheme val="minor"/>
      </rPr>
      <t>Motivo:</t>
    </r>
    <r>
      <rPr>
        <sz val="10"/>
        <rFont val="Calibri"/>
        <family val="2"/>
        <scheme val="minor"/>
      </rPr>
      <t xml:space="preserve"> Será solicitado o protocolo Genérico – Registro de medicamento clone (ibuprofeno 400mg – cápsula mole - BF) tendo como matriz o medicamento Alivium 400mg – cápsula mole (Cosmed).
</t>
    </r>
  </si>
  <si>
    <r>
      <t xml:space="preserve">Desistência a pedido protocolado em 12/07/16 sob expediente n°: xx 
</t>
    </r>
    <r>
      <rPr>
        <b/>
        <sz val="10"/>
        <rFont val="Calibri"/>
        <family val="2"/>
        <scheme val="minor"/>
      </rPr>
      <t>Motivo</t>
    </r>
    <r>
      <rPr>
        <sz val="10"/>
        <rFont val="Calibri"/>
        <family val="2"/>
        <scheme val="minor"/>
      </rPr>
      <t xml:space="preserve">: Fazer um novo protocolo (clone) com a marca Neosartan HCT (MARCA NEOSARTAN, JÁ DEFERIDA PELA ANVISA) com justificativa detalhada de formação de família.
</t>
    </r>
  </si>
  <si>
    <r>
      <t xml:space="preserve">Desistência a pedido protocolado em 22/08/16  sob expediente n°: 2204564163. 
</t>
    </r>
    <r>
      <rPr>
        <b/>
        <sz val="10"/>
        <rFont val="Calibri"/>
        <family val="2"/>
        <scheme val="minor"/>
      </rPr>
      <t>Motivo:</t>
    </r>
    <r>
      <rPr>
        <sz val="10"/>
        <rFont val="Calibri"/>
        <family val="2"/>
        <scheme val="minor"/>
      </rPr>
      <t xml:space="preserve"> Recebimento do ofício n° 2135380168/2016, solicitando a desistência dessa petição uma vez que já havíamos submetido a  desistência do matriz  para que o mesmo fosse submetido a clone obtendo como matriz o ''Alivium''. </t>
    </r>
  </si>
  <si>
    <r>
      <t xml:space="preserve">Desistência a pedido protocolado em 12/08/16  sob expediente n°:2177753165.
</t>
    </r>
    <r>
      <rPr>
        <b/>
        <sz val="10"/>
        <rFont val="Calibri"/>
        <family val="2"/>
        <scheme val="minor"/>
      </rPr>
      <t>Motivo</t>
    </r>
    <r>
      <rPr>
        <sz val="10"/>
        <rFont val="Calibri"/>
        <family val="2"/>
        <scheme val="minor"/>
      </rPr>
      <t>: Produto estava indeferido e através de recurso havia retornado para análise. Dessa forma solicitamos a desistência pois fora protocolado um clone genérico com o Mtariz Doxaneo já deferido.</t>
    </r>
  </si>
  <si>
    <r>
      <t xml:space="preserve">Processo de registro indeferido em 06/04/2015, e entramos com Recurso em 22/04/2015, sob expediente n° 344679154.
Desistência da petição de Recurso protocolada em 12/08/16 sob expediente n° 2177753165 (protocolo </t>
    </r>
    <r>
      <rPr>
        <i/>
        <sz val="10"/>
        <rFont val="Calibri"/>
        <family val="2"/>
        <scheme val="minor"/>
      </rPr>
      <t>on-line</t>
    </r>
    <r>
      <rPr>
        <sz val="10"/>
        <rFont val="Calibri"/>
        <family val="2"/>
        <scheme val="minor"/>
      </rPr>
      <t>).</t>
    </r>
  </si>
  <si>
    <r>
      <t xml:space="preserve">Desistência a pedido protocolado em 10/01/17 sob expediente n° 0047056172. Motivo:a empresa não possui mais interesse na petição. </t>
    </r>
    <r>
      <rPr>
        <b/>
        <sz val="10"/>
        <rFont val="Calibri"/>
        <family val="2"/>
        <scheme val="minor"/>
      </rPr>
      <t>OBS: ainda não foi solicitada restituição da taxa. Aguardando publicação de Portaria, conforme orientado pela ANVISA.</t>
    </r>
  </si>
  <si>
    <r>
      <t xml:space="preserve">Desistência a pedido protocolado em 10/01/17 sob expediente n° 0046750172. Motivo:a empresa não possui mais interesse na petição. </t>
    </r>
    <r>
      <rPr>
        <b/>
        <sz val="10"/>
        <rFont val="Calibri"/>
        <family val="2"/>
        <scheme val="minor"/>
      </rPr>
      <t>OBS: ainda não foi solicitada restituição da taxa. Aguardando publicação de Portaria, conforme orientado pela ANVISA.</t>
    </r>
  </si>
  <si>
    <r>
      <t xml:space="preserve">Desistência a pedido protocolado em 16/01/17 sob expediente n°0078445171. Motivo:a empresa não possui mais interesse na petição. </t>
    </r>
    <r>
      <rPr>
        <b/>
        <sz val="10"/>
        <rFont val="Calibri"/>
        <family val="2"/>
        <scheme val="minor"/>
      </rPr>
      <t>OBS: ainda não foi solicitada restituição da taxa. Aguardando publicação de Portaria, conforme orientado pela ANVISA.</t>
    </r>
  </si>
  <si>
    <r>
      <t xml:space="preserve">Desistência a pedido protocolado em 13/01/17 sob expediente n°00638251711. Motivo:a empresa não possui mais interesse na petição. </t>
    </r>
    <r>
      <rPr>
        <b/>
        <sz val="10"/>
        <rFont val="Calibri"/>
        <family val="2"/>
        <scheme val="minor"/>
      </rPr>
      <t>OBS: ainda não foi solicitada restituição da taxa. Aguardando publicação de Portaria, conforme orientado pela ANVISA.</t>
    </r>
  </si>
  <si>
    <r>
      <t xml:space="preserve">Desistência a pedido protocolado em 27/02/07 sob expediente n°0304067174 - Motivo: para o cumprimento do Ofício nº 0223254175/2017, GERÊNCIA DE AVALIAÇÃO DE TECNOLOGIA DE REGISTRO DE MEDICAMENTOS SINTÉTICOS/ANVISA
</t>
    </r>
    <r>
      <rPr>
        <b/>
        <u/>
        <sz val="10"/>
        <rFont val="Calibri"/>
        <family val="2"/>
        <scheme val="minor"/>
      </rPr>
      <t xml:space="preserve">OBS: </t>
    </r>
    <r>
      <rPr>
        <sz val="10"/>
        <rFont val="Calibri"/>
        <family val="2"/>
        <scheme val="minor"/>
      </rPr>
      <t>Não foi encontrada a pasta física e nem eletrônica do produto. Nenhuma informação sobre o processo foi encontrada. Por esses motivos algumas informações estão incompletas.</t>
    </r>
  </si>
  <si>
    <r>
      <t>Desistência a pedido, protocolada em 27/03/2017</t>
    </r>
    <r>
      <rPr>
        <sz val="10"/>
        <color rgb="FFFF0000"/>
        <rFont val="Calibri"/>
        <family val="2"/>
        <scheme val="minor"/>
      </rPr>
      <t>,</t>
    </r>
    <r>
      <rPr>
        <sz val="10"/>
        <rFont val="Calibri"/>
        <family val="2"/>
        <scheme val="minor"/>
      </rPr>
      <t xml:space="preserve"> sob expediente n°0488239173. (Motivo: foi realizada a desistência do matriz).</t>
    </r>
  </si>
  <si>
    <r>
      <t xml:space="preserve">Desistência a pedido, protocolada em 24/04/2017, sob expediente n°0699706176.
Motivo: Conforme decisão do Comitê Executivo ocorrido em 07/04/2017, houve desistência de registro.
1_Cumprimento de exigência em 25/04/17, sob </t>
    </r>
    <r>
      <rPr>
        <sz val="10"/>
        <color theme="1"/>
        <rFont val="Calibri"/>
        <family val="2"/>
        <scheme val="minor"/>
      </rPr>
      <t xml:space="preserve">expediente </t>
    </r>
    <r>
      <rPr>
        <sz val="10"/>
        <color rgb="FFFF0000"/>
        <rFont val="Calibri"/>
        <family val="2"/>
        <scheme val="minor"/>
      </rPr>
      <t>xxxx.</t>
    </r>
    <r>
      <rPr>
        <sz val="10"/>
        <color theme="1"/>
        <rFont val="Calibri"/>
        <family val="2"/>
        <scheme val="minor"/>
      </rPr>
      <t xml:space="preserve">
*Cumprimento informando a desistência a pedido</t>
    </r>
  </si>
  <si>
    <r>
      <t xml:space="preserve">1_Priorização de análise, protocolado em 08/03/2013, sob expediente n° 0175965/13-5.
2_Aditamento, protocolado em 04/11/2013, sob expediente n° 0924181/13-7.
3_Notificação de fabricação de lotes especiais destinados exclusivamente para pesquisa clínica, protocolado em 13/11/2013, sob expediente n°0956207/13-9.
</t>
    </r>
    <r>
      <rPr>
        <b/>
        <sz val="10"/>
        <rFont val="Calibri"/>
        <family val="2"/>
        <scheme val="minor"/>
      </rPr>
      <t xml:space="preserve">4_Exigência n° 083418/61-9 recebida em 04/10/2013.
5_Exigência n° 432586/13 recebida em 06/11/2013, cumprimento em 21/11/2013 sob expediente n°097621/41-1. </t>
    </r>
    <r>
      <rPr>
        <sz val="10"/>
        <rFont val="Calibri"/>
        <family val="2"/>
        <scheme val="minor"/>
      </rPr>
      <t xml:space="preserve">
6_Notificação de Início de Ensaio Clínico no Brasil, protocolado (eletrônico) em 26/03/2014.
7_ Relatório Final de Acompanhamento de Protocolo de Ensaio Clínico (Protocolado em 20/11/2014, sob expediente n° 1045293141)
8_ Relatório Anual de Acompanhamento de Protocolo de Ensaio Clínico (Protocolado em 28/11/2014, sob expediente n° 1069773/14-0)
9_Relatório Final de Acompanhamento de Protocolo de Ensaio Clínico (Protocolado em  28/11/2014, sob expediente n°1069975/14-9.
10_ Notificação de Término de Ensaio Clínico no Brasil (Protocolado em 28/11/2014, sob expediente n° 1070048/14-0)
11_Estudos de Interação Farmacocinética para Anuência em Ensaios Clínicos (Protocolado em 13/11/2015, sob expediente n° 0992330/15-6)
</t>
    </r>
    <r>
      <rPr>
        <b/>
        <sz val="10"/>
        <rFont val="Calibri"/>
        <family val="2"/>
        <scheme val="minor"/>
      </rPr>
      <t>12_Exigência n°0941606/15-4, recebida em 27/10/2015, cumprimento em 16/11/2015, sob expediente n°1006613/15-6.</t>
    </r>
    <r>
      <rPr>
        <sz val="10"/>
        <rFont val="Calibri"/>
        <family val="2"/>
        <scheme val="minor"/>
      </rPr>
      <t xml:space="preserve">
</t>
    </r>
    <r>
      <rPr>
        <b/>
        <sz val="10"/>
        <rFont val="Calibri"/>
        <family val="2"/>
        <scheme val="minor"/>
      </rPr>
      <t xml:space="preserve">
13_Exigência n°1146051/16-2, recebida em 11/01/2016 , cumprimento em 25/02/2016, sob expediente n°1304760/16-4.</t>
    </r>
    <r>
      <rPr>
        <sz val="10"/>
        <rFont val="Calibri"/>
        <family val="2"/>
        <scheme val="minor"/>
      </rPr>
      <t xml:space="preserve">
</t>
    </r>
    <r>
      <rPr>
        <b/>
        <sz val="10"/>
        <rFont val="Calibri"/>
        <family val="2"/>
        <scheme val="minor"/>
      </rPr>
      <t>14_ Exigência n° 1772714/16-6, recebida em 19/05/2016, cumprimento em 15/09/2016, sob expediente n° 2298066/16-1
15_ Exigência n° 2363507/16-0, recebida em 13/10/2016, cumprimento em 29/12/2016, sob expediente n° 0005097/17-1.</t>
    </r>
    <r>
      <rPr>
        <sz val="10"/>
        <rFont val="Calibri"/>
        <family val="2"/>
        <scheme val="minor"/>
      </rPr>
      <t xml:space="preserve">
Ofício nº 1110398171/2017 recebido em 05/06/17.</t>
    </r>
  </si>
  <si>
    <t>2232367178</t>
  </si>
  <si>
    <t>aripiprazol</t>
  </si>
  <si>
    <t>2220171178</t>
  </si>
  <si>
    <t>2220172176</t>
  </si>
  <si>
    <t>aripiprazol
(Matriz: aripiprazol - Zydus)</t>
  </si>
  <si>
    <t>0,20mg/mL</t>
  </si>
  <si>
    <t>400mg + 20mg/ 400mg + 4mg
40mg/mL + 1mg/mL + 0,4mg/mL</t>
  </si>
  <si>
    <t>Epocler</t>
  </si>
  <si>
    <t>citrato de colina + betaína + racemetionina</t>
  </si>
  <si>
    <t>100mg/mL + 50mg/mL + 10 mg/mL</t>
  </si>
  <si>
    <t>Solução oral</t>
  </si>
  <si>
    <t>1000 mg + 30 mg</t>
  </si>
  <si>
    <t>Estudos de interação farmacocinética para anuência em ensaios clínicos</t>
  </si>
  <si>
    <t>25351.652604/2017-33</t>
  </si>
  <si>
    <t>2211341170</t>
  </si>
  <si>
    <t>Dramavit
(Matriz: dimenidrinato - Brain)</t>
  </si>
  <si>
    <t>25351.687571/2017-42</t>
  </si>
  <si>
    <t>hemitartarato de zolpidem
(Matriz: Zylinox - ZYDUS)</t>
  </si>
  <si>
    <t>2262366173</t>
  </si>
  <si>
    <t>25351.687565/2017-95</t>
  </si>
  <si>
    <t>2262383173</t>
  </si>
  <si>
    <t>Desistência a pedido publicada em 11/12/2017</t>
  </si>
  <si>
    <t>Desistência do aditamento a pedido publicada em 20/11/2017
Desistência a pedido do registro publicada em 11/12/2017</t>
  </si>
  <si>
    <t>25351689681/2017-49</t>
  </si>
  <si>
    <t>2274792173</t>
  </si>
  <si>
    <t>ARESTO Nº 1.010, DE 24 DE OUTUBRO DE 2017
A Diretoria Colegiada da Agência Nacional de Vigilância Sanitária, em Reunião Ordinária Pública - ROP n° 025/2017 e 026/2017, realizadas em 26/09/2017 e 10/10/2017 respectivamente, decidiu sobre os recursos a seguir especificados, conforme relação  anexa.</t>
  </si>
  <si>
    <t>Recorrente: Brainfarma Indústria Química e Farmacêutica S/A
CNPJ: 05.161.069/0001-10
Medicamento: Neocopan Duo (paracetamol + butilbrometo de escopolamina)
Processo: 25351.010566/2011-88
Expediente: 0244847/15-5
Decisão: A Diretoria Colegiada decidiu, por unanimidade, DECLARAR A EXTINÇÃO do recurso por expressa desistência, acompanhando a posição da relatoria que acata o informe de desistência da recorrente.
10768 - COREC - Desistência de petição/processo a pedido peticionada em 05/10/2017 expediente 2084660/17-6 - ANUÍDA. Parecer favorável da Anvisa em 26/10/2017</t>
  </si>
  <si>
    <t xml:space="preserve">Aguardando análise
Última petição foi aditamento em 2014 (1719 - MEDICAMENTO FITOTERÁPICO - Aditamento: 0375199/14-6 (15/05/2014)): neste aditamento foi solicitada a desistência do recurso.
</t>
  </si>
  <si>
    <t>05/12/2017: necessário verificar estratégia de peticionar a desistência no assunto atual - 10768 - COREC - Desistência de petição/processo a pedido
12/12/2017: Aprovado em reunião pela Tamara peticionar a desistência no assunto atual.</t>
  </si>
  <si>
    <t xml:space="preserve">Atrofem
(Matriz: Alivium - Cosmed) </t>
  </si>
  <si>
    <t>09/06/2016</t>
  </si>
  <si>
    <t>485776093</t>
  </si>
  <si>
    <t>Previsão para posicionamento da ANVISA</t>
  </si>
  <si>
    <t>Fila</t>
  </si>
  <si>
    <t>Acompanhamento 15/12/2017</t>
  </si>
  <si>
    <t>Documento encaminhado para área técnica. Encontra-se na COPEC. Enc.: 06/12/2017.</t>
  </si>
  <si>
    <t>Neodex (Matriz: dexametasona - Brain)</t>
  </si>
  <si>
    <t>Conforme matriz</t>
  </si>
  <si>
    <t>0,1mg/mL</t>
  </si>
  <si>
    <t>Elixir</t>
  </si>
  <si>
    <t xml:space="preserve">Fitoterápico </t>
  </si>
  <si>
    <t>NEOVIT D</t>
  </si>
  <si>
    <t>Sol D3 (Très Pura/Pura Plus D)</t>
  </si>
  <si>
    <t>Indeferimento sem interposição de recurso.</t>
  </si>
  <si>
    <t>registro de Medicamento Similar</t>
  </si>
  <si>
    <t>registro de Medicamento Fitoterápico</t>
  </si>
  <si>
    <t xml:space="preserve">inclusão de nova apresentação </t>
  </si>
  <si>
    <t xml:space="preserve">P: Granules India Ltd
C: Shandong Xinhua Pharm. Co., Ltd </t>
  </si>
  <si>
    <t>Princípio Ativo</t>
  </si>
  <si>
    <t>Desistência a pedido.</t>
  </si>
  <si>
    <t>Biológico</t>
  </si>
  <si>
    <t xml:space="preserve">25351.246767/2012-23  </t>
  </si>
  <si>
    <t xml:space="preserve">Principal: Dr. Reddy's Laboratories Limited
Qualificação: Aurobindo </t>
  </si>
  <si>
    <t xml:space="preserve">cloridrato de memantina  </t>
  </si>
  <si>
    <t>Doralgina DipCaf/ Doralgina Caf
(Matriz: Cafilisador)</t>
  </si>
  <si>
    <r>
      <t xml:space="preserve">Publicado em 07/07/2014.
Cumprimento de Exigência n° 2526099/16-5, protocolado em 28/03/2017 sob expediente </t>
    </r>
    <r>
      <rPr>
        <sz val="10"/>
        <color rgb="FFFF0000"/>
        <rFont val="Calibri"/>
        <family val="2"/>
        <scheme val="minor"/>
      </rPr>
      <t xml:space="preserve">n° xxx </t>
    </r>
    <r>
      <rPr>
        <sz val="10"/>
        <rFont val="Calibri"/>
        <family val="2"/>
        <scheme val="minor"/>
      </rPr>
      <t xml:space="preserve">  (marcas propostas: Plaquetan, Anginopidina, Ticloplaq)
(referente a petição de SIMILAR - Retificação de publicação – EMPRESA )
Exigência n° 0716168/17-9 (Referente a retificação de publicação) recebida em 04/05/17.
O cancelamento de registro do medicamento foi protocolado em 10/11/2017, sob expediente 2194009176.
A exigência nº 2092181/17-1 referente às novas propostas de nome comercial foi cumprida em 13/12/2017 com o cancelamento do produto.
Ofício 2284622171/2017, recebido em 19/12/2017, referente a petição de Retificação de publicação – EMPRESA do medicamento PLAKETNEO: "Prezados, tendo em vista a petição 2194009/17-6 (assunto 1621 - SIMILAR - Cancelamento de Registro do Medicamento) encerramos o expediente de retificação 0687511/14-4, devido à perda de seu objeto"</t>
    </r>
  </si>
  <si>
    <t>Produto cancelado.</t>
  </si>
  <si>
    <t>2319218176</t>
  </si>
  <si>
    <t>25351.727930/2017-10</t>
  </si>
  <si>
    <t>Acompanhamento 29/12/2017</t>
  </si>
  <si>
    <t>Apresentações:
400 MG CAP GEL BL AL PLAS INC X 3
  400 MG CAP GEL BL AL PLAS INC X 4
  400 MG CAP GEL BL AL PLAS INC X 8
  400 MG CAP GEL BL AL PLAS INC X 10
  400 MG CAP GEL BL AL PLAS INC X 36 (EMB MULTI)
  400 MG CAP GEL BL AL PLAS INC X 48 (EMB MULTI)
  400 MG CAP GEL BL AL PLAS INC X 72 (EMB MULTI)
  400 MG CAP GEL BL AL PLAS INC X 96 (EMB MULTI)
  400 MG CAP MOLE CT BL AL PLAS TRANS X 16
  400 MG CAP MOLE CT BL AL PLAS TRANS X 20
  400 MG CAP MOLE CT BL AL PLAS TRANS X 24
  400 MG CAP MOLE CT BL AL PLAS TRANS X 30
  400 MG CAP MOLE CT BL AL PLAS TRANS X 144 (EMB MULTI)
  400 MG CAP MOLE CT BL AL PLAS TRANS X 192 (EMB MULTI)</t>
  </si>
  <si>
    <t>Aguardando publicação</t>
  </si>
  <si>
    <t>COM REV CT BL AL PLAS TRANS X 20
COM REV CT BL AL PLAS TRANS X 100 (EMB MULT)
COM REV CT BL AL PLAS TRANS X 200 (EMB MULT)
Desistência a pedido protocolada em 04/01/2018 soh expediente 0003957188
Motivo: inviabilidade técnica.
Resposta ao ofício nº 2308840171/2017 protocolada em 04/01/2018 sob expediente 0004034187</t>
  </si>
  <si>
    <t>CAP DURA CT BL AL PLAS TRANS X 10
CAP DURA CT BL AL PLAS TRANS X 16
CAP DURA CT BL AL PLAS TRANS X 20
CAP DURA CT BL AL PLAS TRANS X 24
CAP DURA CT BL AL PLAS TRANS X 30
CAP DURA CT BL AL PLAS TRANS X 60
CAP DURA CX BL AL PLAS TRANS X 100 (EMB MULT)
CAP DURA CX BL AL PLAS TRANS X 200 (EMB MULT)
CAP DURA CX BL AL PLAS TRANS X 100 (EMB FRAC)
CAP DURA CX BL AL PLAS TRANS X 200 (EMB FRAC)
CAP DURA CT BL AL PLAS TRANS X 10
CAP DURA CT BL AL PLAS TRANS X 16
CAP DURA CT BL AL PLAS TRANS X 20
CAP DURA CT BL AL PLAS TRANS X 24
CAP DURA CT BL AL PLAS TRANS X 30
CAP DURA CT BL AL PLAS TRANS X 60
CAP DURA CX BL AL PLAS TRANS X 100 (EMB MULT)
CAP DURA CX BL AL PLAS TRANS X 200 (EMB MULT)
CAP DURA CX BL AL PLAS TRANS X 100 (EMB FRAC)
CAP DURA CX BL AL PLAS TRANS X 200 (EMB FRAC)
Desistência a pedido protocolada em 04/01/2018 sob expediente 0004420182
Motivo: inviabilidade técnica.
Resposta ao ofício nº 2308805172/2017 protocolada em 04/01/2018 sob expediente 0004585183</t>
  </si>
  <si>
    <t>Apresentações:
COM REV CT BL AL PLAS TRANS X 20
COM REV CT BL AL PLAS TRANS X 100 (EMB MULT)
COM REV CT BL AL PLAS TRANS X 200 (EMB MULT)
Desistência solicitada em 05/01/2018, sob expediente 0008823184.</t>
  </si>
  <si>
    <t>25351.666892/2017-11</t>
  </si>
  <si>
    <t>25351.638187/2017-16</t>
  </si>
  <si>
    <t>25351.658661/2017-26</t>
  </si>
  <si>
    <t>25351.658662/2017-71</t>
  </si>
  <si>
    <t>25351.007035/2017-77</t>
  </si>
  <si>
    <t>25351.166218/2017-23</t>
  </si>
  <si>
    <t>25351.261641/2015-99</t>
  </si>
  <si>
    <t>25351.642373/2017-50</t>
  </si>
  <si>
    <t>25351.647823/2017-09</t>
  </si>
  <si>
    <t>25351.647821/2017-10</t>
  </si>
  <si>
    <t>Exigência cumprida</t>
  </si>
  <si>
    <t>Magnostase</t>
  </si>
  <si>
    <t>Inclusão de nova apresentação fracionável</t>
  </si>
  <si>
    <t>0022933184</t>
  </si>
  <si>
    <t>25351.020147/2018-02</t>
  </si>
  <si>
    <t>Coristina Noite
(Matriz Neolefrin - Brain)</t>
  </si>
  <si>
    <t>paracetamol + cloridrato de fenilefrina + maleato de carbinoxamina</t>
  </si>
  <si>
    <t>400mg + 20mg com amarelo/ 400mg + 4mg com laranja;
40 mg/mL + 1 mg/mL + 0,4 mg/mL xpe</t>
  </si>
  <si>
    <t>0026284186</t>
  </si>
  <si>
    <t>Apresentações:
10 MG COM CT BL AL X AL X 10
10 MG COM CT BL AL X AL X 30
10 MG COM CT BL AL X AL X 500
15 MG COM CT BL AL X AL X 10
15 MG COM CT BL AL X AL X 30
15 MG COM CT BL AL X AL X 500</t>
  </si>
  <si>
    <t>AIPRI
(Matriz: aripiprazol - Zydus)</t>
  </si>
  <si>
    <t>Apresentações:
10 MG COM CT BL AL X AL X 10
10 MG COM CT BL AL X AL X 30
10 MG COM CT BL AL X AL X 500
15 MG COM CT BL AL X AL X 10
15 MG COM CT BL AL X AL X 30
15 MG COM CT BL AL X AL X 500
1_Ofício nº 0001079181/2018, recebido em 15/01/2018.</t>
  </si>
  <si>
    <t>Apresentações:
150MG DRG CT BL AL PLAS TRANS X 60
150MG DRG CT BL AL PLAS TRANS X 90</t>
  </si>
  <si>
    <t>Apresentações:
250 MG CAP DURA LIB RETARD CT BL AL PLAS TRANS X 60
250 MG CAP DURA LIB RETARD CT BL AL PLAS TRANS X 90</t>
  </si>
  <si>
    <t xml:space="preserve">Apresentações:
260 mg
COM REV CT BL AL PLAS TRANS X 10
COM REV CT BL AL PLAS TRANS X 20
COM REV CT BL AL PLAS TRANS X 30
COM REV CX BL AL PLAS TRANS X 500
COM REV CX BL AL PLAS TRANS X 1000
90 mg/mL
SOL OR CT FR PLAS AMB X 100 ML + COP
SOL OR CT FR PLAS AMB X 120 ML + COP
SOL OR CT FR PLAS AMB X 150 ML + COP
SOL OR CX 50 FR PLAS AMB X 100 ML + 50 COP
SOL OR CX 50 FR PLAS AMB X 120 ML + 50 COP
SOL OR CX 50 FR PLAS AMB X 150 ML + 50 COP
SOL OR CX 100 FR PLAS AMB X 100 ML + 100 COP
SOL OR CX 100 FR PLAS AMB X 120 ML + 100 COP
SOL OR CX 100 FR PLAS AMB X 150 ML + 100 COP
SOL OR CT 12 FLAC PLAS TRANS 10ML
SOL OR CT 24 FLAC PLAS TRANS 10ML
Onde se lê:
COSMED INDUSTRIA DE COSMETICOS E MEDICAMENTOS S.A. 61082426000207
PASSIFLORA INCARNATA
MARACUGINA PI 25351.470059/2017-69 11/2022
10487 MEDICAMENTO FITOTERÁPICO – REGISTRO DE
MEDICAMENTO - CLONE 1743142/17-5
(1697 MEDICAMENTO FITOTERÁPICO - REGISTRO
DE MEDICAMENTO - 111495/09-6 - 25351.088705/2009-50)
Leia-se:
COSMED INDUSTRIA DE COSMETICOS E MEDICAMENTOS S.A. 61082426000207
PASSIFLORA INCARNATA
MARACUGINA PI 25351.470059/2017-69 10/2022
10689 - PRODUTO TRADICIONAL FITOTERÁPICO - REGISTRO
DE MEDICAMENTO - CLONE 1743142/17-5
(1697 MEDICAMENTO FITOTERÁPICO - REGISTRO
DE MEDICAMENTO - 111495/09-6 - 25351.088705/2009-50)
</t>
  </si>
  <si>
    <t>Naridrin (EMS)</t>
  </si>
  <si>
    <t>BRINTELLIX (LUNDBECK)</t>
  </si>
  <si>
    <t>bromidrato de vortioxetina</t>
  </si>
  <si>
    <t>6,36mg (equivalente a 5mg de vortioxetina)</t>
  </si>
  <si>
    <t>25351.541742/2011-38</t>
  </si>
  <si>
    <t>10/01/2018</t>
  </si>
  <si>
    <t>11/01/2018</t>
  </si>
  <si>
    <t>2207246172</t>
  </si>
  <si>
    <t>Acompanhamento 26/01/2018</t>
  </si>
  <si>
    <t>2265021171</t>
  </si>
  <si>
    <t>2254754171</t>
  </si>
  <si>
    <t>25351.681926/2017-90</t>
  </si>
  <si>
    <t>Documento encaminhado para área técnica.
Encontra-se na CETER, desde 08/12/2017.</t>
  </si>
  <si>
    <t>Apresentações:
PO SOL CT 12 ENV AL PLAS X 1,594G + FR PLAS TRANS
PO SOL CT 15 ENV AL PLAS X 1,594 + FR PLAS INC
PO SOL CT 30 ENV AL PLAS X 1,594 + FR PLAS INC
PO SOL CT 45 ENV AL PLAS X 1,594 + FR PLAS INC
PO SOL CT 60 ENV AL PLAS X 1,594 + FR PLAS INC
1_Notificação de Exigência Nº 0016045/18-8, recebida em 15/01/2018.
2_Desistência solicitada em 31/01/2018, sob expediente n 0077661/18-1.</t>
  </si>
  <si>
    <t>12/12/17</t>
  </si>
  <si>
    <t>05/12/17</t>
  </si>
  <si>
    <t>06/12/17</t>
  </si>
  <si>
    <t>30/06/09</t>
  </si>
  <si>
    <t>26/12/17</t>
  </si>
  <si>
    <t>Acompanhamento 02/02/2018</t>
  </si>
  <si>
    <t>Desistência à pedido publicada em 05/02/2018.</t>
  </si>
  <si>
    <t>Desistência à pedido da petição de Inclusão Inical de Texto de Bula - RDC 60/12, publicada em 05/02/2018.</t>
  </si>
  <si>
    <t>Apresentações
10 MG COM CT BL AL PLAS TRANS X 10
10 MG COM CT BL AL PLAS TRANS X 20
10 MG COM CT BL AL PLAS TRANS X 30
10 MG COM CT BL AL PLAS TRANS X 60
10 MG COM CT BL AL PLAS TRANS X 90 (EMB FRAC)
1_Ofício nº 0039016180/2018, recebido em 05/02/2018.</t>
  </si>
  <si>
    <t>Apresentações
10 MG COM REV CT STR AL X 20
10 MG COM REV CT STR AL X 30
1_Ofício nº 0032547183/2018, recebido em 05/02/2018.</t>
  </si>
  <si>
    <t>Pesquisa Clínica</t>
  </si>
  <si>
    <t>10750 - ENSAIOS CLÍNICOS - Anuência em processo do Dossiê de Desenvolvimento Clínico de Medicamento (DDCM) - Sintético</t>
  </si>
  <si>
    <t>Nº de conhecimento: 201802080148PR</t>
  </si>
  <si>
    <t>suspensão spray (nasal)</t>
  </si>
  <si>
    <t>Acompanhamento 23/02/2018</t>
  </si>
  <si>
    <t>A documentação aguarda análise, em ordem cronológica de entrada. 
Encontra-se na CETER, desde 21/02/2018.</t>
  </si>
  <si>
    <t>1_Inclusão de nova apresentação comercial (datra de entrada em 09/01/2018), sob expediente 0016675/18-8, deferida em 26/02/2018.</t>
  </si>
  <si>
    <t>Publicado indeferimento em 26/02/2018.</t>
  </si>
  <si>
    <t>Linapicil</t>
  </si>
  <si>
    <t>Amplium</t>
  </si>
  <si>
    <t>tinidazol</t>
  </si>
  <si>
    <t>ampicilina anidra</t>
  </si>
  <si>
    <t>cefalexina monoidratada</t>
  </si>
  <si>
    <t>Napronax</t>
  </si>
  <si>
    <t>prednisona</t>
  </si>
  <si>
    <t>Bisuisan</t>
  </si>
  <si>
    <t>cloridrato de bambuterol</t>
  </si>
  <si>
    <t>prednisolona</t>
  </si>
  <si>
    <t>Apresentações
1MG COM REV CT BL AL PLAS INC X 20
1MG COM REV CT BL AL PLAS INC X 30
1_Último peticionamento dia 10/01/2014: CE do Registro - estudo de BIO - expediente nº 0023044/14-8 (CETER1 Desde: 05/02/2014). 
Medicamento encontrava-se em recurso. ANVISA deu provimento ao recurso e retornou a petição para análise.
2_Verificada atualização de status em 02/02/2018 para "A documentação está sendo analisada. Encontra-se na GGMED. Enc: 26/01/2018."
3_Ofício nº 0042251187/2018 sobre Indeferimento de processo - SIMILAR - REGISTRO DE MEDICAMENTO SIMILAR, recebido em 26/02/2018.</t>
  </si>
  <si>
    <t>Acompanhamento 02/03/2018</t>
  </si>
  <si>
    <t xml:space="preserve">800mg + 20mg </t>
  </si>
  <si>
    <t>03/11/2017</t>
  </si>
  <si>
    <t>2175218174</t>
  </si>
  <si>
    <t>Acompanhamento 09/03/2018</t>
  </si>
  <si>
    <t>Encontra-se na COPEC. Enc.: 06/12/2017.</t>
  </si>
  <si>
    <t>Encontra-se na CETER, desde 21/02/2018.</t>
  </si>
  <si>
    <t>Desistência à pedido publicada em 12/03/2018.</t>
  </si>
  <si>
    <t xml:space="preserve">Apresentações
0,1 MG/ML ELX CT FR VD AMB X 120 ML + CP MED
0,1 MG/ML ELX CX 50 FR VD AMB X 120 ML + 50 CP MED
</t>
  </si>
  <si>
    <t>Retificação de publicação sob expediente 0031343182, protocolada em 15/01/2018. Deferimento publicado em 12/03/2018.</t>
  </si>
  <si>
    <t>Acompanhamento 15/03/2018</t>
  </si>
  <si>
    <t>Documento encaminhado para a área técnica.
Encontra-se na COPEC. Enc.: 06/12/2017.</t>
  </si>
  <si>
    <t>Escabin
(Matriz: Deltapil-Belfar)</t>
  </si>
  <si>
    <t>Apresentações
0,20 MG/ML LOC CT FR PLAS OPC X 100 ML
0,20 MG/ML SHAMP CT FR PLAS OPC X 100 ML
1_Exigência sob expediente 2303647/17-8, recebida em 08/01/2018, cumprida em 10/01/2018 sob expediente 0021586/18-4.
2_Protocolo de Aditamento em 31/01/2017 para reenvio das documentações ao CE, sob expediente nº 0077215/18-1, devido ao recebimento de ofício pela CRMEC relatando falha no sistema da ANVISA.</t>
  </si>
  <si>
    <t xml:space="preserve">Apresentações
400MG + 20MG COM AMARELO/ 400MG + 4MG COM
LARANJA CT BL AL PLAS TRANS X 100 + 100
400MG + 20MG COM AMARELO/ 400MG + 4MG COM
LARANJA CT BL AL PLAS TRANS X 50 + 50
400MG + 20MG COM AMARELO/ 400MG + 4MG COM
LARANJA CT BL AL PLAS TRANS X 30 + 30
400MG + 20MG COM AMARELO/ 400MG + 4MG COM
LARANJA CT BL AL PLAS TRANS X 15 + 15
400MG + 20MG COM AMARELO/ 400MG + 4MG COM
LARANJA CT BL AL PLAS TRANS X 10 + 10
40 MG/ML + 1 MG/ML + 0,4 MG/ML XPE CT FR VD AMB X 60 ML + COP
1_Exigência sob expediente 2303646170, recebida em 08/01/2017, cumprida em em 25/01/2018 sob expediente 0062750180.
2_Ofício nº 0104467182/2018 sobre Solicitação aditamento - envio de documentos relacionados ao cumprimento de exigência expediente nº 0062750/18-0, recebido em 19/02/2018, protocolado em 21/02/2018 sob expediente 0131528/18-5.
</t>
  </si>
  <si>
    <t>Apresentações:
500 mg
COM CT BL AL PLAS TRANS X 12
COM CT BL AL PLAS TRANS X 16
COM CT BL AL PLAS TRANS X 24
COM CT BL AL PLAS TRANS X 100 (EMB MULT)
COM CT BL AL PLAS TRANS X 200 (EMB MULT)
COM CT BL AL PLAS AMB X 12
COM CT BL AL PLAS AMB X 16
COM CT BL AL PLAS AMB X 24
COM CT BL AL PLAS AMB X 100 (EMB MULT)
COM CT BL AL PLAS AMB X 200 (EMB MULT)
COM CX BL AL PLAS TRANS X 240
1g
COM CT BL AL PLAS TRANS X 10
COM CT BL AL PLAS TRANS X 12
COM CT BL AL PLAS TRANS X 16
COM CT BL AL PLAS TRANS X 20
COM CT BL AL PLAS TRANS X 24
COM CT BL AL PLAS TRANS X 100 (EMB MULT)
COM CT BL AL PLAS TRANS X 200 (EMB MULT)
COM DISP BL AL PLAS TRANS X 100
COM DISP BL AL PLAS TRANS X 200
COM CT BL AL PLAS AMB X 12
COM CT BL AL PLAS AMB X 16
COM CT BL AL PLAS AMB X 24
COM CT BL AL PLAS AMB X 100 (EMB MULT)
COM CT BL AL PLAS AMB X 200 (EMB MULT)
COM CX BL AL PLAS TRANS X 50 
COM CX BL AL PLAS TRANS X 100 
COM CX BL AL PLAS TRANS X 200 
COM CX BL AL PLAS TRANS X 250
COM CX BL AL PLAS TRANS X 300 
COM CX BL AL PLAS TRANS X 400
COM CX BL AL PLAS TRANS X 500 
COM CX BL AL PLAS TRANS X 600 
COM CT BL AL PLAS PVC TRANS X 04
Status consulta ANVISA: Em análise.
Encontra-se na GGMED, desde 08/02/2018.
Status SAT 2018074683: "Aguardando análise do cumprimento de exigência"</t>
  </si>
  <si>
    <t>Apresentações:
500 mg
COM CT BL AL PLAS TRANS X 12
COM CT BL AL PLAS TRANS X 16
COM CT BL AL PLAS TRANS X 24
COM CT BL AL PLAS TRANS X 100 (EMB MULT)
COM CT BL AL PLAS TRANS X 200 (EMB MULT)
COM CT BL AL PLAS AMB X 12
COM CT BL AL PLAS AMB X 16
COM CT BL AL PLAS AMB X 24
COM CT BL AL PLAS AMB X 100 (EMB MULT)
COM CT BL AL PLAS AMB X 200 (EMB MULT)
COM CX BL AL PLAS TRANS X 240
1g
COM CT BL AL PLAS TRANS X 10
COM CT BL AL PLAS TRANS X 12
COM CT BL AL PLAS TRANS X 16
COM CT BL AL PLAS TRANS X 20
COM CT BL AL PLAS TRANS X 24
COM CT BL AL PLAS TRANS X 100 (EMB MULT)
COM CT BL AL PLAS TRANS X 200 (EMB MULT)
COM DISP BL AL PLAS TRANS X 100
COM DISP BL AL PLAS TRANS X 200
COM CT BL AL PLAS AMB X 12
COM CT BL AL PLAS AMB X 16
COM CT BL AL PLAS AMB X 24
COM CT BL AL PLAS AMB X 100 (EMB MULT)
COM CT BL AL PLAS AMB X 200 (EMB MULT)
COM CX BL AL PLAS TRANS X 50 
COM CX BL AL PLAS TRANS X 100 
COM CX BL AL PLAS TRANS X 200 
COM CX BL AL PLAS TRANS X 250
COM CX BL AL PLAS TRANS X 300 
COM CX BL AL PLAS TRANS X 400
COM CX BL AL PLAS TRANS X 500 
COM CX BL AL PLAS TRANS X 600 
COM CT BL AL PLAS PVC TRANS X 04
1_Exigência de expediente 2108975/17-2, recebida em 24/10/2017, e cumprida em 09/11/2017 sob expediente 2188462/17-5.</t>
  </si>
  <si>
    <t>Apresentações
LOC CREM CT FR PLAS OPC GOT X 30ML
LOC CREM CX 50 FR PLAS OPC GOT X 30ML (EMB HOSP)
1_Exigência nº 2164032/17-7 recebida em 31/10/2017, e cumprida em 11/12/2017 sob expediente 2273646/17-8.
2_Ofício nº 0071123183/2018, lido em 12/03/2018.</t>
  </si>
  <si>
    <t>Apresentações:
CREM DERM CT BG AL X 28G
CREM DERM CX 50 BG AL X 28G (EMBHOSP)
CREM DERM CX 6 BG AL X 28G (EMB HOSP)
CREM DERM CX 10 BG AL X 28G (EMB HOSP)
CREM DERM CX 12 BG AL X 28G (EMB HOSP)
CREM DERM CX 25 BG AL X 28G (EMB HOSP)
1_Exigência nº 2163951/17-5 recebida em 31/10/2017, e cumprida em 11/12/2017 sob expediente 2273605/17-1.
2_Ofício nº 0071193184/2018, lido em 12/03/2018.</t>
  </si>
  <si>
    <t>Apresentações
COM REV CT BL AL/AL X 7
COM REV CT BL AL/AL X 14
COM REV CT BL AL/AL X 28
COM REV CT BL AL/AL X 56
COM REV CT BL AL/AL X 84
1_Resposta ao Ofício n° 2358838161/2016(via e-mail em 07/10/16) informamos que a empresa tem interesse na análise do processo.
2_Resposta ao Ofício nº 2565291165/2016 protocolado em 09/12/2016.
3_Ofício nº 0443968176/2017, recebido em 21/03/17.
4_Exigência nº 0492530/17-1 recebida em 28/03/2017, cumprida em 25/07/2017 sob expediente nº 1554546/17-6.
5_Ofício nº 0118959180/2018, lido em 12/03/2018.</t>
  </si>
  <si>
    <t>Nº do processo matriz</t>
  </si>
  <si>
    <t>Clone está no Edital nº 1 de matrizes em adequação?</t>
  </si>
  <si>
    <t>Produto matriz</t>
  </si>
  <si>
    <t>Genérico (Brainfarma)</t>
  </si>
  <si>
    <t>Sucrafilm
(EMS)</t>
  </si>
  <si>
    <t>sucralfato</t>
  </si>
  <si>
    <t>1 g;
200 mg/mL</t>
  </si>
  <si>
    <t>Comprimido mastigável;
Suspensão</t>
  </si>
  <si>
    <t>0257740182</t>
  </si>
  <si>
    <t>fumarato de formoterol di-hidratado + propionato de fluticasona</t>
  </si>
  <si>
    <t>Lugano
(Eurofarma)</t>
  </si>
  <si>
    <t>12 mcg + 250 mcg</t>
  </si>
  <si>
    <t>Cápsula dura com pó para inalação</t>
  </si>
  <si>
    <t>0106125189</t>
  </si>
  <si>
    <t>0037506183</t>
  </si>
  <si>
    <t>Acompanhamento 04/04/2018</t>
  </si>
  <si>
    <t xml:space="preserve">Petição/processo preliminarmente analisado, estando em exigência, aguardando manifestação da empresa. 
Encontra-se na COPEC, desde 19/03/2018 </t>
  </si>
  <si>
    <t>A documentação está sendo analisada.
Encontra-se na COPEC, desde 27/03/2018.</t>
  </si>
  <si>
    <t>INCLUÍDO NA LISTA</t>
  </si>
  <si>
    <r>
      <rPr>
        <i/>
        <sz val="10"/>
        <rFont val="Calibri"/>
        <family val="2"/>
        <scheme val="minor"/>
      </rPr>
      <t>Ofício n° 1714349167/2016 recebido em 16/05/2016.</t>
    </r>
    <r>
      <rPr>
        <sz val="10"/>
        <rFont val="Calibri"/>
        <family val="2"/>
        <scheme val="minor"/>
      </rPr>
      <t xml:space="preserve">
Assunto:  1. Em resposta ao expediente 1271771161, informamos que o medicamento BENEGRIP MULTI está aguardando avaliação da área técnica. Assim que tivermos um parecer, caso seja favorável, o referido medicamento poderá ser incluído na lista.</t>
    </r>
    <r>
      <rPr>
        <i/>
        <sz val="10"/>
        <rFont val="Calibri"/>
        <family val="2"/>
        <scheme val="minor"/>
      </rPr>
      <t xml:space="preserve">
1° Cobrança SAT em 31/05/16 sob protocolo 2016227011.
Retorno em: 07/06/16 Em atenção a sua solicitação, informamos que o referido produto está aguardando análise da área técnica. Assim que tivermos um parecer procederemos com a análise para inclusão na lista de referências.
2° Cobrança SAT em 01/07/16 sob protocolo 2016259534 . 
Retorno em 08/07/16: Em atenção a sua solicitação, informamos que o medicamento ainda se encontra em análise pela área técnica responsável.  Assim que tivermos um parecer, caso seja favorável, o referido medicamento poderá ser incluído na lista. 
3° Cobrança SAT em 02/08/16 sob protocolo 2016314019
Retorno em  12/08/16: Em atenção a sua solicitação, informamos que estamos aguardando avaliações de pós registro pendentes do BENEGRIP MULT. Assim que tivermos um parecer da área técnica a inclusão do referido medicamento será considerada.
</t>
    </r>
    <r>
      <rPr>
        <i/>
        <u/>
        <sz val="10"/>
        <color rgb="FFFF0000"/>
        <rFont val="Calibri"/>
        <family val="2"/>
        <scheme val="minor"/>
      </rPr>
      <t>Situação</t>
    </r>
    <r>
      <rPr>
        <i/>
        <sz val="10"/>
        <rFont val="Calibri"/>
        <family val="2"/>
        <scheme val="minor"/>
      </rPr>
      <t xml:space="preserve"> 
Manifestação desforável à realização do procedimento submetido à apreciação da ANVISA- CETER- Desde:9/05/2016</t>
    </r>
    <r>
      <rPr>
        <b/>
        <i/>
        <sz val="10"/>
        <rFont val="Calibri"/>
        <family val="2"/>
        <scheme val="minor"/>
      </rPr>
      <t xml:space="preserve">
Incluído na Lista de 13/03/2018.</t>
    </r>
  </si>
  <si>
    <t>Solicitado por / Data / Objetivo</t>
  </si>
  <si>
    <t>Bruna Ribeiro Quevedo / 28/03/2017 /
Desenvolvimento de medicamento similar</t>
  </si>
  <si>
    <t>Bruna Ribeiro Quevedo / 06/07/2017 / Desenvolvimento de medicamento similar</t>
  </si>
  <si>
    <t>Bruna Ribeiro Quevedo / 27/07/2017 / Extensão de linha Neosoro</t>
  </si>
  <si>
    <t>Leticia Samara Pereira / 16/01/2017 / Estudos - projeto Cetorolaco</t>
  </si>
  <si>
    <t>Lisador</t>
  </si>
  <si>
    <t>Cefanid</t>
  </si>
  <si>
    <t>Resfryneo</t>
  </si>
  <si>
    <t>0282658185</t>
  </si>
  <si>
    <t>Camila Salles Macedo / 22/01/2018</t>
  </si>
  <si>
    <t>Fernanda Bezerra Vaz / 11/12/2017 / Desenvolvimento de projeto</t>
  </si>
  <si>
    <t>Publicado indeferimento em 16/04/2018.</t>
  </si>
  <si>
    <t>Publicada desistência em 16/04/2018</t>
  </si>
  <si>
    <t>0280699181</t>
  </si>
  <si>
    <t>25351.210636/2018-46</t>
  </si>
  <si>
    <t>0,25 mg
0,5 mg
1 mg 
2 mg</t>
  </si>
  <si>
    <t>0296250181</t>
  </si>
  <si>
    <t>paracetamol + cloridrato de fenilefrina/ paracetamol + maleato de carbinoxamina</t>
  </si>
  <si>
    <t>400 mg + 20 mg / 400 mg + 4 mg</t>
  </si>
  <si>
    <t>0297694183</t>
  </si>
  <si>
    <t>Doril DC 500
(Matriz: Cafilisador)</t>
  </si>
  <si>
    <t>25351.220078/2018-27</t>
  </si>
  <si>
    <t>500 mg/mL</t>
  </si>
  <si>
    <t>0309506181</t>
  </si>
  <si>
    <t>0493035175</t>
  </si>
  <si>
    <t>0913556171</t>
  </si>
  <si>
    <t>0151247171</t>
  </si>
  <si>
    <t>0708141173</t>
  </si>
  <si>
    <t>alprazolam
(Matriz: alprazolam-Zydus)</t>
  </si>
  <si>
    <t>Apresentações:
1G COM CT BL AL PLAS TRANS X 04
Observações:
1_Exigência sob expediente 0005502/18-6, recebida em 05/01/2018, cumprida em 15/01/2018 sob expediente nº 0031781181.
2_Ofício nº 0005480181/2018, recebido em 05/01/2018.
Status SAT 2018074683:  "Aguardando análise do cumprimento de exigência". Resposta recebida em 07/03/2018
Status Consulta: Em análise.
Encontra-se na GEPRE. Enc: 15/03/2018 (Verificada alteração para "Condluída análise" Encontra-se na GEPRE Enc 08/03/2018" em 29/03/2018</t>
  </si>
  <si>
    <t xml:space="preserve">Apresentações:
(462+90+438) MG/G PO EFEV CT 25 ENV AL PLAS X 5 G (ABACAXI)
(462+90+438) MG/G PO EFEV CT 25 ENV AL PES X 5 G (ABACAXI)
(462+90+438) MG/G PO EFEV CT 25 ENV AL PLAS X 5 G (LARANJA)
(462+90+438) MG/G PO EFEV CT 25 ENV AL PES X 5 G (LARANJA)
(462+90+438) MG/G PO EFEV CT 25 ENV AL PLAS X 5 G (MORANGO)
(462+90+438) MG/G PO EFEV CT 25 ENV AL PES X 5 G (MORANGO)
(462+90+438) MG/G PO EFEV CT 25 ENV AL PLAS X 5 G (SEM SABOR)
(462+90+438) MG/G PO EFEV CT 25 ENV AL PES X 5 G (SEM SABOR)
(462+90+438) MG/G PO EFEV CT 25 ENV AL PLAS X 5 G (LIMÃO)
(462+90+438) MG/G PO EFEV CT 25 ENV AL PES X 5 G (LIMÃO)
(462+90+438) MG/G PO EFEV CT 25 ENV AL PLAS X 5 G (GUARANÁ)
(462+90+438) MG/G PO EFEV CT 25 ENV AL PES X 5 G (GUARANÁ)
Observações:
Tipo de indeferimento: total.
Motivo: Números de unidades farmacotécnicas nsa apresentações.
Resposta ao Recurso: Empresa apresentou racional da adequabilidade das novas apresentações à posologia do medicamento.
Foi criado novo expediente para a petição de Inclusão de Nova Apresentação Comercial: data de entrada 04/11/2018, expediente 0280699181 - Situação Concluída análise - Encontra-se na GMESP - Enc. 11/04/2018.
Recurso peticionado em 16/03/2018. Prazo máximo para posicionamento da ANVISA: 14/06/2018
Recurso retratado
Encontra-se na 
GMESP
Desde 11/04/2018 </t>
  </si>
  <si>
    <t>2211343176</t>
  </si>
  <si>
    <t>25351.644357/2009-96</t>
  </si>
  <si>
    <t>dipirona + cloridrato de prometazina + cloridrato de adifenina)</t>
  </si>
  <si>
    <t>0344795182</t>
  </si>
  <si>
    <t>500,0mg + 5,0mg + 10,0mg</t>
  </si>
  <si>
    <t>1_Desistência à pedido, protocolado em  29/10/2015 sob expediente n° 0960125/15-2, para resposta ao   Of. n° 0947147152/2015 (Ofício respondido em 04/11/15, sob n° de conhecimento 201511040236PR) -  Entraremos com CLONE.
2_Ofício nº 0341680181/2018, de Indeferimento de requerimento de restituição de taxa, recebido em 30/04/2018.</t>
  </si>
  <si>
    <t>1_Desistência à pedido, protocolado em  14/01/2016 sob expediente n° 1171854/16-4. para resposta ao   Of. n°1112659151/2015  (Resposta ao ofício, protocolado em 14/01/16 sob  n° de conhecimento 201601140275PR).
2_Ofício nº 0341649186/2018, de Indeferimento de requerimento de restituição de taxa, recebido em 30/04/2018.</t>
  </si>
  <si>
    <t>Apresentações:
400MG + 20MG COM AMARELO/ 400MG + 4MG COM
LARANJA CT BL AL PLAS TRANS X 100 + 100
400MG + 20MG COM AMARELO/ 400MG + 4MG COM
LARANJA CT BL AL PLAS TRANS X 50 + 50
400MG + 20MG COM AMARELO/ 400MG + 4MG COM
LARANJA CT BL AL PLAS TRANS X 30 + 30
400MG + 20MG COM AMARELO/ 400MG + 4MG COM
LARANJA CT BL AL PLAS TRANS X 15 + 15
400MG + 20MG COM AMARELO/ 400MG + 4MG COM
LARANJA CT BL AL PLAS TRANS X 10 + 10
40 MG/ML + 1 MG/ML + 0,4 MG/ML XPE CT FR VD AMB X 60 ML + COP
1_Ofício nº 0265458180/2018, recebido em 23/04/2018.
2_Notificação de alteração de rotulagem com objeção ao Ofício nº 0265458180/2018, protocolada em 02/05/2018, sob expediente nº 0347985184.</t>
  </si>
  <si>
    <t>bicarbonato de sódio + carbonato de magnésio + carbonato de cálcio + carbonato básico de bismuto</t>
  </si>
  <si>
    <t>racemetionina + cloreto de colina + inositol + cianocobalamina</t>
  </si>
  <si>
    <t>Apresentações:
800MG + 20MG CT BL AL PLAS TRANS X 6 COM AMARELO + 6 COM BRANCO
800MG + 20MG CT BL AL PLAS TRANS X 10 COM AMARELO + 10 COM BRANCO
800MG + 20MG CX BL AL PLAS TRANS X 75 COM AMARELO + 75 COM BRANCO
1_Exigência nº 0026711/18-2, recebida em 05/03/2018, protocolada em 06/03/2018 sob expediente nº 0157138/18-9.</t>
  </si>
  <si>
    <t>LUNE
(Matriz: Zylinox - ZYDUS)</t>
  </si>
  <si>
    <t>Acompanhamento 10/05/2018</t>
  </si>
  <si>
    <t>Em recurso</t>
  </si>
  <si>
    <t>Apresentações:
500 MG + 65 MG COM CT BL AL PLAS AMB X 4
500 MG + 65 MG COM CT BL AL PLAS AMB X 16
500 MG + 65 MG COM CT BL AL PLAS AMB X 100
500 MG + 65 MG COM CT BL AL PLAS AMB X 200
500 MG + 65 MG COM CT BL AL PLAS AMB X 20
500 MG + 65 MG COM CT BL AL PLAS AMB X 24
500 MG + 65 MG COM CT BL AL PLAS AMB X 30
500 MG + 65 MG COM CT BL AL PLAS AMB X 36
500 MG + 65 MG COM CT BL AL PLAS AMB X 40
500 MG + 65 MG COM CT BL AL PLAS AMB X 50
Observações:
1_Exigência recebida em 19/12/2017, exigência nº 2267242/17-7, cumprida em 28/02/2018, sob expediente nº 0157131/18-1 (O comprovante não foi gerado por instabilidade no site., porém, através de SAT a ANVISA confirmou o expediente do protocolo).
2_Em 27/03/2018 recebido o Ofício nº 0199171180/2018 solicitando aditamento para reenvio da documentação referente ao cumprimento de exigência. Protocolo realizado na mesma data, o novo expediente é 0237975/18-9.</t>
  </si>
  <si>
    <t>Apresentações:
COM REV CT BL AL PLAS PVC TRANS X 10
COM REV CT BL AL PLAS PVC TRANS X 12
COM REV CT BL AL PLAS PVC TRANS X 20
COM CT BL AL PLAS PVC TRANS X 100 (EMB FRAC)
COM CT BL AL PLAS PVC TRANS X 400 (EMB HOSP)
COM CT BL AL PLAS PVDC TRANS X 4
COM CT BL AL PLAS PVDC TRANS X 10
COM CT BL AL PLAS PVDC TRANS X 12
COM CT BL AL PLAS PVDC TRANS X 20
COM CT BL AL PLAS PVDC TRANS X 100 (EMB FRAC)
COM CT BL AL PLAS PVDC TRANS X 400 (EMB HOSP)
Observações:
1_Exigência n° 2278071178 recebida em 20/12/2017, cumprida em 25/01/2018 sob expediente nº 0058343180.
2_Ofício nº 0106084188/2018 de solicitação de aditamento - envio de documentos relacionados ao cumprimento de exigência  expdiente nº 2211341/17-0, recebido em 19/02/2018, protocolada a resposta em 20/02/2018 sob expediente 0131532/18-3.</t>
  </si>
  <si>
    <t>Desistência de petição/processo a pedido protocolada em 29/03/2018 sob expediente 02476461/81.</t>
  </si>
  <si>
    <t>Desistência a pedido publicada em 14/05/2018</t>
  </si>
  <si>
    <t>Termopirona
(Matriz: dipirona monoidratada- Brain)</t>
  </si>
  <si>
    <t xml:space="preserve"> Inclusão de nova apresentação comercial (Modificação Pós-Registro - Clone)</t>
  </si>
  <si>
    <t>Apresentações:
5 mg + 50 mg
COM CT BL AL PLAS INC X 30
COM CX BL AL PLAS INC X 450 (EMB HOSP)
COM CX BL AL PLAS INC X 500 (EMB HOSP)
2,5 mg + 25 mg
COM CT BL AL PLAS INC X 30
COM CT BL AL PLAS INC X 60
COM CT BL AL PLAS INC X 510 (EMB HOSP)
O matriz Amilorid está cancelado. Cancelamento de Registro do Medicamento, expediente nº 0835962/17-8, status deferido em 26/12/2017.
1_Desistência a pedido solicitada em 07/03/2018
Motivo: cancelamento do medicamento matriz (Amilorid).</t>
  </si>
  <si>
    <t xml:space="preserve">Apresentações
SOL OFT CT FR PLAS OPC GOT X 5 ML
SOL OFT CT FR PLAS OPC GOT X 10 ML
SOL OFT CX 50 FR PLAS OPC GOT X 10 ML
SOL OFT CT FR PLAS OPC GOT X 15 ML
SOL OFT CX 50 FR PLAS OPC GOT X 15 ML
SOL OFT CT FR PLAS OPC GOT X 20 ML
1_Foi realizado SAT para adequação da categoria do produto de genérico para específico, aguarda exigência.
2_Em 26/01/2017 foi observado que o produto retornou para fila de análise.
3_Desistência a pedido solicitada em 13/03/2018.
Motivo: O matriz virou específico, não podendo ter um genérico.
</t>
  </si>
  <si>
    <t>Apresentações:
CAP DURA CT BL AL PLAS TRANS X 10
CAP DURA CT BL AL PLAS TRANS X 16
CAP DURA CT BL AL PLAS TRANS X 20
CAP DURA CT BL AL PLAS TRANS X 24
CAP DURA CT BL AL PLAS TRANS X 30
CAP DURA CT BL AL PLAS TRANS X 60
CAP DURA CX BL AL PLAS TRANS X 100 (EMB MULT)
CAP DURA CX BL AL PLAS TRANS X 200 (EMB MULT)
CAP DURA CX BL AL PLAS TRANS X 100 (EMB FRAC)
CAP DURA CX BL AL PLAS TRANS X 200 (EMB FRAC)
CAP DURA CT BL AL PLAS TRANS X 10
CAP DURA CT BL AL PLAS TRANS X 16
CAP DURA CT BL AL PLAS TRANS X 20
CAP DURA CT BL AL PLAS TRANS X 24
CAP DURA CT BL AL PLAS TRANS X 30
CAP DURA CT BL AL PLAS TRANS X 60
CAP DURA CX BL AL PLAS TRANS X 100 (EMB MULT)
CAP DURA CX BL AL PLAS TRANS X 200 (EMB MULT)
CAP DURA CX BL AL PLAS TRANS X 100 (EMB FRAC)
CAP DURA CX BL AL PLAS TRANS X 200 (EMB FRAC)
1_Desistência solicitada em 05/01/2018, sob expediente 0009037189.</t>
  </si>
  <si>
    <t>Apresentações:
COM REV CT BL AL PLAS TRANS X 20
COM REV CT BL AL PLAS TRANS X 100 (EMB MULT)
COM REV CT BL AL PLAS TRANS X 200 (EMB MULT)
1_Desistência solicitada em 05/01/2018, sob expediente 0008973187</t>
  </si>
  <si>
    <t>Acompanhamento 18/05/2018</t>
  </si>
  <si>
    <t>Publicada desistência em 21/05/2018</t>
  </si>
  <si>
    <t>SIM NÃO NA</t>
  </si>
  <si>
    <t>adesivo</t>
  </si>
  <si>
    <t>anel</t>
  </si>
  <si>
    <t>barra</t>
  </si>
  <si>
    <t>bastão</t>
  </si>
  <si>
    <t>cápsula dura de liberação prolongada</t>
  </si>
  <si>
    <t>cápsula dura de liberação retardada</t>
  </si>
  <si>
    <t>cápsula mole de liberação prolongada</t>
  </si>
  <si>
    <t>cápsula mole de liberação retardada</t>
  </si>
  <si>
    <t>solução de dermatológica de liberação prolongada</t>
  </si>
  <si>
    <t>colutório spray</t>
  </si>
  <si>
    <t>comprimido revestido de liberação retardada</t>
  </si>
  <si>
    <t>comprimido orodispersível</t>
  </si>
  <si>
    <t>comprimido de liberação modificada</t>
  </si>
  <si>
    <t>emulsão</t>
  </si>
  <si>
    <t>granulado para solução</t>
  </si>
  <si>
    <t>granulado para suspensão</t>
  </si>
  <si>
    <t>granulado revestido</t>
  </si>
  <si>
    <t>granulado revestido de liberação prolongada</t>
  </si>
  <si>
    <t>granulado revestido de liberação retardada</t>
  </si>
  <si>
    <t>implante</t>
  </si>
  <si>
    <t>lenço</t>
  </si>
  <si>
    <t>líquido</t>
  </si>
  <si>
    <t>óleo</t>
  </si>
  <si>
    <t>óvulo</t>
  </si>
  <si>
    <t>pasta</t>
  </si>
  <si>
    <t>pastilha dura</t>
  </si>
  <si>
    <t>pastilha gomosa</t>
  </si>
  <si>
    <t>óvulo vaginal</t>
  </si>
  <si>
    <t>pó</t>
  </si>
  <si>
    <t>pó aerossol</t>
  </si>
  <si>
    <t>pó efervescente</t>
  </si>
  <si>
    <t>pó liofilizado para solução injetável</t>
  </si>
  <si>
    <t>pó liofilizado para suspensão injetável</t>
  </si>
  <si>
    <t>pó liofilizado para suspensão injetável de liberação prolongada</t>
  </si>
  <si>
    <t>pó para colutório</t>
  </si>
  <si>
    <t>pó para solução para infusão</t>
  </si>
  <si>
    <t>pó para suspensão injetável</t>
  </si>
  <si>
    <t>pó para suspensão injetável de liberação prolongada</t>
  </si>
  <si>
    <t>rasura</t>
  </si>
  <si>
    <t>sabonete</t>
  </si>
  <si>
    <t>sabonete líquido</t>
  </si>
  <si>
    <t>xampu</t>
  </si>
  <si>
    <t>solução</t>
  </si>
  <si>
    <t>solução de liberação prolongada</t>
  </si>
  <si>
    <t>solução para diluição</t>
  </si>
  <si>
    <t>solução para diluição injetável</t>
  </si>
  <si>
    <t>solução para diluição para colutório</t>
  </si>
  <si>
    <t>solução para diluição para infusão</t>
  </si>
  <si>
    <t>solução para infusão</t>
  </si>
  <si>
    <t>solução para irrigação</t>
  </si>
  <si>
    <t>solução spray</t>
  </si>
  <si>
    <t>supositório</t>
  </si>
  <si>
    <t xml:space="preserve">suspensão </t>
  </si>
  <si>
    <t>suspensão aerossol</t>
  </si>
  <si>
    <t>suspensão de liberação prolongada</t>
  </si>
  <si>
    <t>suspensão de liberação retardada</t>
  </si>
  <si>
    <t>suspensão gotas</t>
  </si>
  <si>
    <t>suspensão injetável de liberação prolongada</t>
  </si>
  <si>
    <t>tablete</t>
  </si>
  <si>
    <t>pó para solução</t>
  </si>
  <si>
    <t>pó para suspensão</t>
  </si>
  <si>
    <t>Registro de medicamento, em conformidade com o art. 2° da IN 06/2008 - aditado à RDC 31 - CLONE.</t>
  </si>
  <si>
    <t>comprimido revestido | xarope</t>
  </si>
  <si>
    <t>solução aerossol | gel</t>
  </si>
  <si>
    <t>solução aerossol | linimento | pomada</t>
  </si>
  <si>
    <t>suspensão gotas | comprimido | cápsula mole</t>
  </si>
  <si>
    <r>
      <t xml:space="preserve">Desistência a pedido protocolado em 11/05/16 sob expediente n°: 1731660/16-0.
</t>
    </r>
    <r>
      <rPr>
        <b/>
        <sz val="10"/>
        <rFont val="Calibri"/>
        <family val="2"/>
        <scheme val="minor"/>
      </rPr>
      <t>Motivo:</t>
    </r>
    <r>
      <rPr>
        <sz val="10"/>
        <rFont val="Calibri"/>
        <family val="2"/>
        <scheme val="minor"/>
      </rPr>
      <t xml:space="preserve"> MKT informou não ter interesse nos produtos Bac – sulfitrim e o genérico sulfametoxazol + trimetoprima que estavam na fila da Anvisa. 
1_Solicitada restituição de taxa, que não foi aceita pela ANVISA, segundo ofício nº 0362967188/2018, recebido em 18/05/2018.</t>
    </r>
  </si>
  <si>
    <t xml:space="preserve">Apresentações:
COM REV LIB RETARD CT FR VD AMB X 20
COM REV LIB RETARD CT FR VD AMB X 30
1_Ofício nº 2282398171/2017, realizado aditamento em 03/01/2018 sob expediente 0002754185
2_Desistência a pedido protocolada em 25/05/2018 sob expediente 0423336181.
</t>
  </si>
  <si>
    <t xml:space="preserve">Apresentações:
COM REV LIB RETARD CT FR VD AMB X 20
COM REV LIB RETARD CT FR VD AMB X 30
1_Aguardando avaliação do processo matriz.
2_Desistência a pedido protocolada em 25/05/2018 sob expediente 0423434181.
</t>
  </si>
  <si>
    <t xml:space="preserve"> Atroveran DIP  (Antigas marcas: Atroveran / Atroveran 1G / Atroveran Multi)
(Matriz: dipirona monoidratada - Brain) </t>
  </si>
  <si>
    <t>0363887171</t>
  </si>
  <si>
    <t>25351.304145/2018-65</t>
  </si>
  <si>
    <t>succinato de desvenlafaxina monoidratado</t>
  </si>
  <si>
    <t>100 mg</t>
  </si>
  <si>
    <t>Incluído na Lista A de Medicamentos de Referência em 12/04/16.
1_Ofício 0437777180/2018, recebido em 01/06/2018, informando que o Brintelix está na lista de referência.</t>
  </si>
  <si>
    <t>Incluído na Lista A de Medicamentos de Referência em 12/04/16.
1_ Ofício nº 0438127181/2018, recebido em 01/06/2018, informando que o Lugano está na lista de referência.</t>
  </si>
  <si>
    <t>25351.316156/2018-98</t>
  </si>
  <si>
    <t>fenofibrato (micronizado)</t>
  </si>
  <si>
    <t>Alembic Pharmaceuticals Limited.</t>
  </si>
  <si>
    <t xml:space="preserve">200 MG CAP DURA CT BL AL PLAS PVC TRANS X 10 
200 MG CAP DURA CT BL AL PLAS PVC TRANS X 30 
200 MG CAP DURA CT BL AL PLAS PVC TRANS X 60 
200 MG CAP DURA CT BL AL PLAS PVC TRANS X 90 
200 MG CAP DURA CT BL AL PLAS PVDC TRANS X 10 
200 MG CAP DURA CT BL AL PLAS PVDC TRANS X 30 
200 MG CAP DURA CT BL AL PLAS PVDC TRANS X 60 
200 MG CAP DURA CT BL AL PLAS PVDC TRANS X 90  </t>
  </si>
  <si>
    <t>0432986184</t>
  </si>
  <si>
    <t>0450823188</t>
  </si>
  <si>
    <t>Acompanhamento 07/06/2018</t>
  </si>
  <si>
    <t>A análise técnica foi finalizada. Aguardar publicação.
Encontra-se na CETER, desde 07/06/2018</t>
  </si>
  <si>
    <t>1_Ofício nº 0457456187/2018 recebido em 08/06/2018 - “Assim podemos concluir que o medicamento 2 (codeína) não altera a farmacocinética do medicamento 1 (dipirona), com 90% de confiança”.
2_Ofício nº 0457463180/2018 - “Assim podemos concluir que o medicamento 1 (dipirona) causa uma inibição fraca no medicamento 2 (codeína), com 90% de confiança”.</t>
  </si>
  <si>
    <t xml:space="preserve">A documentação solicitata pela ANVISA à empresa como cumprimento de exigência foi entregue e aguarda análise.
Encontra-se na COPEC, desde 19/03/2018 </t>
  </si>
  <si>
    <t>A análise técnica foi finalizada. Aguardar publicação.
Encontra-se na ARQVO, desde 11/06/2018</t>
  </si>
  <si>
    <t>Acompanhamento 15/06/2018</t>
  </si>
  <si>
    <t>25351.345764/2018-18</t>
  </si>
  <si>
    <t>0492918187</t>
  </si>
  <si>
    <t>Apresentações:
500 MG + 65 MG COM CT BL AL PLAS AMB X 4
500 MG + 65 MG COM CT BL AL PLAS AMB X 16
500 MG + 65 MG COM CT BL AL PLAS AMB X 100
500 MG + 65 MG COM CT BL AL PLAS AMB X 200
500 MG + 65 MG COM CT BL AL PLAS AMB X 20
500 MG + 65 MG COM CT BL AL PLAS AMB X 24
500 MG + 65 MG COM CT BL AL PLAS AMB X 30
500 MG + 65 MG COM CT BL AL PLAS AMB X 36
500 MG + 65 MG COM CT BL AL PLAS AMB X 40
500 MG + 65 MG COM CT BL AL PLAS AMB X 50
1_Notificação de Exigência nº 0063529/18-4, recebida em 31/01/2018, cumprida em 17/04/2018 sob expediente nº 0300056/18-7.
2_Notificação de Exigência nº 0372373/18-9, recebida em 18/05/2018, cumprida em 22/05/2018 sob expediente nº 0411613/18-5.</t>
  </si>
  <si>
    <t>Cobrança de publicação através de SAT no dia 26/07/2017, sob protocolo 2017777707.
Resposta em  27/07/2017: Em atenção a sua solicitação, informamos que o andamento processual de documentos submetidos à análise da GGMED deve ser verificado diretamente no Portal da Anvisa &gt; lista de petições aguardando análise. Até a conclusão da análise do documento, a GGMED não pronunciará nada além do que consta disponível para consulta no portal.
Fila de petições em análise:
www.anvisa.gov.br&gt; Página inicial&gt; Barra de serviços &gt; Serviços da Anvisa&gt; Empresas&gt; Fila de petições em análise
Link: http://www.anvisa.gov.br/listadepeticoes/index.asp
1_Ofício nº 0260837185/2018 recebido em 05/04/2018: "Em resposta ao expediente 0715903170, informamos que o medicamento EXPEC encontra-se em avaliação de segurança e eficácia para adequação à
RDC 35 de 15/06/2012. Foi solicitada a apresentação de provas necessárias para adequação à Resolução supracitada. Assim que tivermos um parecer,
caso seja favorável, o referido medicamento poderá ser incluído na lista."
2_Incluído na Lista B em 15/06/2018. Informação repassada ao solicitante.</t>
  </si>
  <si>
    <t>Desistência a pedido publicada em 25/06/2018.</t>
  </si>
  <si>
    <t>Desistência a pedido publicada em 02/07/2018.</t>
  </si>
  <si>
    <t>Apresentações:
2MG COM CX BL AL PLAS PVDC TRANS X 200 (EMB FRAC)
1_Notificação de exigência nº 0229484/18-2, recebida em 26/03/2018, cumprida em 06/04/2018 sob expediente 0266322/18-8.</t>
  </si>
  <si>
    <t>Apresentações:
0,25 MG COM CT STR AL X 30
0,5 MG COM CT STR AL X 30
1 MG COM CT STR AL X 30
2 MG COM CT STR AL X 30
1_Notificação de exigência nº 0405317/18-6, aberta em 30/05/2018. Exigência Cumprida em 11/06/2018, sob expediente nº 0465726/18-8.</t>
  </si>
  <si>
    <t>0,25 mg
0,5 mg,
1 mg
2 mg</t>
  </si>
  <si>
    <t xml:space="preserve">Apresentações:
0,25 MG COM CT BL AL PLAS TRANS X 20
0,25 MG COM CT BL AL PLAS TRANS X 30
0,25 MG COM CT BL AL PLAS TRANS X 500
0,5 MG COM CT BL AL PLAS TRANS X 20
0,5 MG COM CT BL AL PLAS TRANS X 30
0,5 MG COM CT BL AL PLAS TRANS X 500
1,0 MG COM CT BL AL PLAS TRANS X 20
1,0 MG COM CT BL AL PLAS TRANS X 30
1,0 MG COM CT BL AL PLAS TRANS X 500
2,0 MG COM CT BL AL PLAS TRANS X 20
2,0 MG COM CT BL AL PLAS TRANS X 30
2,0 MG COM CT BL AL PLAS TRANS X 500
</t>
  </si>
  <si>
    <t>Cancelamento publicado em 02/07/2018.</t>
  </si>
  <si>
    <t>25351.371891/2018-64</t>
  </si>
  <si>
    <t>10 MG COM REV CT BL AL AL X 15
10 MG COM REV CT BL AL AL X 30
10 MG COM REV CT BL AL AL X 60
10 MG COM REV CT BL AL AL X 90
10 MG COM REV CT BL AL AL X 150 (EMB HOSP)
10 MG COM REV CT BL AL AL X 500 (EMB HOSP)</t>
  </si>
  <si>
    <t>25351.375806/2018-37</t>
  </si>
  <si>
    <t>0535008185</t>
  </si>
  <si>
    <t>Acompanhamento 06/07/2018</t>
  </si>
  <si>
    <t xml:space="preserve">Manifestação favorável à realização do procedimento submetido à apreciação da ANVISA
Encontra-se na COPEC, desde 19/03/2018 </t>
  </si>
  <si>
    <t>14/04/2018
Comunicado Especial (CE 42/2018), retirado da Consulta de Ensaios Clínicos Autorizados pela Anvisa em 06/07/2018.</t>
  </si>
  <si>
    <t xml:space="preserve">Manifestação favorável à realização do procedimento submetido à apreciação da ANVISA.
Encontra-se na COPEC, desde 04/07/2018. </t>
  </si>
  <si>
    <t>0558517181</t>
  </si>
  <si>
    <t>75 MG COM REV CT BL AL X AL X 7
75 MG COM REV CT BL AL X AL X 14
75 MG COM REV CT BL AL X AL X 28
75 MG COM REV CT BL AL X AL X 56</t>
  </si>
  <si>
    <t>Cancelamento de Registro para adequação à RDC 31/2014</t>
  </si>
  <si>
    <t>pregabalina</t>
  </si>
  <si>
    <t>75 MG CAP DURA CT BL AL PLAS TRANS X 7
75 MG CAP DURA CT BL AL PLAS TRANS X 14
75 MG CAP DURA CT BL AL PLAS TRANS X 28
75 MG CAP DURA CT BL AL PLAS TRANS X 56
75 MG CAP DURA CT BL AL PLAS TRANS X 210 (EMB HOSP)
75 MG CAP DURA CT BL AL PLAS TRANS X 420 (EMB HOSP)
75 MG CAP DURA CT BL AL PLAS TRANS X 500 (EMB HOSP)
150 MG CAP DURA CT BL AL PLAS TRANS X 7
150 MG CAP DURA CT BL AL PLAS TRANS X 14
150 MG CAP DURA CT BL AL PLAS TRANS X 28
150 MG CAP DURA CT BL AL PLAS TRANS X 56
150 MG CAP DURA CT BL AL PLAS TRANS X 210 (EMB HOSP)
150 MG CAP DURA CT BL AL PLAS TRANS X 420 (EMB HOSP)
150 MG CAP DURA CT BL AL PLAS TRANS X 500 (EMB HOSP)</t>
  </si>
  <si>
    <t>25351.392568/2018-24</t>
  </si>
  <si>
    <t>10mg/5mL</t>
  </si>
  <si>
    <t>cloridrato de donepezila</t>
  </si>
  <si>
    <r>
      <t xml:space="preserve">cloridrato de donepezila </t>
    </r>
    <r>
      <rPr>
        <sz val="10"/>
        <rFont val="Calibri"/>
        <family val="2"/>
        <scheme val="minor"/>
      </rPr>
      <t>(Matriz Similar Teva)</t>
    </r>
  </si>
  <si>
    <t>23/07/2018</t>
  </si>
  <si>
    <t>Apresentações:
10MG COM REV CT BL AL PLAS TRANS X 07
20MG COM REV CT BL AL PLAS TRANS X 07</t>
  </si>
  <si>
    <t>Apresentações:
400MG + 20MG COM AMARELO/ 400MG + 4MG COM LARANJA CT BL AL PLAS TRANS X 6 + 6
400MG + 20MG COM AMARELO/ 400MG + 4MG COM LARANJA CT BL AL PLAS TRANS X 75 + 75</t>
  </si>
  <si>
    <t>0596488181</t>
  </si>
  <si>
    <t>Acompanhamento 27/07/2018</t>
  </si>
  <si>
    <t>1_Ofício nº 0261311185/2018 recebido em 05/04/2008: "Em resposta ao expediente 1567403177, informamos que o medicamento DECONGEX PLUS não atende aos critérios da RDC 35 de 15/06/2012 para
inclusão na lista de medicamentos de referência. Será solicitada a apresentação de provas necessárias para adequação à Resolução supracitada. Assim
que tivermos um parecer, caso seja favorável, o referido medicamento poderá ser incluído na lista."
2_Medicamento incluído na lista em 26/07/2018.</t>
  </si>
  <si>
    <t>2640992165</t>
  </si>
  <si>
    <t>30/07/2018</t>
  </si>
  <si>
    <t>Apresentações:
500 MG COM CX BL AL PLAS INC X 240
500 MG COM DISP BL AL PLAS INC X 100
1G COM CT BL AL PLAS INC X 10
1G COM CT BL AL PLAS INC X 20
1G COM DISP BL AL PLAS INC X 100
1G COM DISP BL AL PLAS INC X 200
1G COM CX BL AL PLAS INC X 50
1G COM CX BL AL PLAS INC X 200
1G COM CX BL AL PLAS INC X 250
1G COM CX BL AL PLAS INC X 300
1G COM CX BL AL PLAS INC X 400
1G COM CX BL AL PLAS INC X 500
1G COM CX BL AL PLAS INC X 600
1G COM CX BL AL PLAS INC X 100
Observações:
1_Data da publicação do indeferimento no DOU: 12/03/2018.
2_Assunto da petição indeferida: 10490 - SIMILAR - Registro de Produto - CLONE.
3_Recurso de expediente nº 0206303184, protocolado em 16/03/2018.
4_Ofício nº 1603953170/2017, lido em 12/03/2018.
5_Protocolo de Retificação de Publicação realizado em 30/05/2018 sob expediente nº 0436333/18-7, publicado em 30/07/2018.</t>
  </si>
  <si>
    <t>Apresentações:
COM CT BL AL PLAS TRANS X 10
COM CT BL AL PLAS TRANS X 20
COM CT BL AL PLAS TRANS X 30
COM CX BL AL PLAS TRANS X 60 (EMB HOSP)
COM CX BL AL PLAS TRANS X 100 (EMB HOSP)
COM CX BL AL PLAS TRANS X 200 (EMB HOSP)
COM CX BL AL PLAS TRANS X 400 (EMB HOSP)
COM CX BL AL PLAS TRANS X 500 (EMB HOSP)
COM CX BL AL PLAS TRANS X 600 (EMB HOSP)
1_Exigência nº 2092964/17-1 recebida em 31/10/2017, protocolada em 06/03/2018 sob expediente nº 0145450/18-1.
2_Desistência a pedido protocolada em 27/07/2018 sob expediente 0603279186.</t>
  </si>
  <si>
    <t>Apresentações:
CREM DERM CT BG AL X 30G
CREM DERM CX 6 BG X 30G (EMB HOSP)
CREM DERM CX 12 BG X 30G (EMB HOSP)
CREM DERM CX 25 BG X 30G (EMB HOSP)
CREM DERM CX 50 BG X 30G (EMB HOSP)
1_Exigência nº 2092809/17-2 recebida em 31/10/2017, e cumprimento submetido em 11/12/2017 sob expediente 2273705/17-7.
2_Desistência a pedido protocolada em 27/07/2018 sob expediente 0603438181.</t>
  </si>
  <si>
    <t>Apresentações:
SOL OR CX 50 FR VD AMB X 120 ML (EMB HOSP)
SOL OR CT FR VD AMB X 120 ML
SOL OR CT FR VD AMB X 120 ML + COP
SOL OR CX 50 FR VD AMB X 120ML + 50 COP (EMB HOSP)
1_Exigência nº 2093095/17-0 recebida em 31/10/2017, protocolada em 06/03/2018 sob expediente nº 0145452/18-8.
2_Desistência a pedido protocolada em 27/07/2018 sob expediente 0603341185.</t>
  </si>
  <si>
    <t>Acompanhamento 03/08/2018</t>
  </si>
  <si>
    <t xml:space="preserve">Manifestação favorável à realização do procedimento submetido à apreciação da ANVISA
Encontra-se na 
ARQVO
Desde: 03/08/2018 </t>
  </si>
  <si>
    <t xml:space="preserve">A análise técnica foi finalizada. Aguardar publicação.
Encontra-se na 
CETER.
Desde: 31/07/2018 </t>
  </si>
  <si>
    <t>25351.419943/2018-91</t>
  </si>
  <si>
    <t>06/07/2018</t>
  </si>
  <si>
    <t>Apresentações:
500 MG + 5 MG + 10 MG COM CT BL AL PLAS AMB X 4</t>
  </si>
  <si>
    <t>25351.560973/2018-81</t>
  </si>
  <si>
    <t>0779035180</t>
  </si>
  <si>
    <t>25351.549646/2018-79</t>
  </si>
  <si>
    <t>Acompanhamento 10/08/2018</t>
  </si>
  <si>
    <t>Etna (Gross)</t>
  </si>
  <si>
    <t>Cápsula dura;
Pó liofilizado para solução injetável</t>
  </si>
  <si>
    <t>1,0 mg + 2,5 mg + 1,5 mg</t>
  </si>
  <si>
    <t>acetato de hidroxocobalamina + citidina 5'-monofosfato
dissódico + uridina-5'-trifosfato trissódica</t>
  </si>
  <si>
    <t>AGUARDANDO PARECER</t>
  </si>
  <si>
    <t>BU - SIG / Entrada no mercado de Genérico/Similar</t>
  </si>
  <si>
    <t>0808937180</t>
  </si>
  <si>
    <t>Acompanhamento 24/08/2018</t>
  </si>
  <si>
    <t>Clenil
(Chiesi)</t>
  </si>
  <si>
    <t>Bruna Ribeiro Quevedo / 21/12/2016 / Desenvolvimento medicamento genérico - projeto PR0840/16</t>
  </si>
  <si>
    <t>Camila Salles / 11/03/2018</t>
  </si>
  <si>
    <t>Não informado</t>
  </si>
  <si>
    <t/>
  </si>
  <si>
    <r>
      <rPr>
        <b/>
        <sz val="10"/>
        <rFont val="Calibri"/>
        <family val="2"/>
        <scheme val="minor"/>
      </rPr>
      <t xml:space="preserve">Ofício nº 1056474178/2017  recebido em 31/05/2017 </t>
    </r>
    <r>
      <rPr>
        <sz val="10"/>
        <rFont val="Calibri"/>
        <family val="2"/>
        <scheme val="minor"/>
      </rPr>
      <t xml:space="preserve">
Em resposta ao expediente 2640992165, informamos que o medicamento CLENIL suspensão nasal 0,4mg/mL está em avaliação. Assim que tivermos um parecer, caso seja favorável, o referido medicamento poderá ser incluído na lista.</t>
    </r>
  </si>
  <si>
    <t>201809040138PR</t>
  </si>
  <si>
    <t>Tamara / 27/08/2018 / Conforme resposta de SAT da GEMESP o ativo seria reenquadrado para esta categoria</t>
  </si>
  <si>
    <t>xampu
sabonete
emulsão</t>
  </si>
  <si>
    <t>0,20mg/ml
0,30mg/g
0,20mg/ml</t>
  </si>
  <si>
    <t>25351.596304/2018-48</t>
  </si>
  <si>
    <t>0826096186</t>
  </si>
  <si>
    <t>Notificado</t>
  </si>
  <si>
    <t>Tipo de Petição - INC LISTAS</t>
  </si>
  <si>
    <t>Inclusão de medicamento na Lista de Medicamentos Notificados</t>
  </si>
  <si>
    <t>25351.643003/2018-11</t>
  </si>
  <si>
    <r>
      <rPr>
        <i/>
        <sz val="10"/>
        <rFont val="Calibri"/>
        <family val="2"/>
        <scheme val="minor"/>
      </rPr>
      <t>Passiflora incarnata</t>
    </r>
    <r>
      <rPr>
        <sz val="10"/>
        <rFont val="Calibri"/>
        <family val="2"/>
        <scheme val="minor"/>
      </rPr>
      <t xml:space="preserve"> L. </t>
    </r>
  </si>
  <si>
    <t>420mg e 840mg</t>
  </si>
  <si>
    <t>Finzelberg GmbH &amp; Co. KG</t>
  </si>
  <si>
    <t>420MG COM REV CT BL ALPLAS TRANS X 10
420MG COM REV CT BL ALPLAS TRANS X 20
420MG COM REV CT BL ALPLAS TRANS X 30
420MG COM REV CT BL ALPLAS TRANS X 45
420MG COM REV CT BL ALPLAS TRANS X 60
420MG COM REV CT BL ALPLAS TRANS X 100
840MG COM REV CT BL ALPLAS TRANS X 10
840MG COM REV CT BL ALPLAS TRANS X 20
840MG COM REV CT BL ALPLAS TRANS X 30´
840MG COM REV CT BL ALPLAS TRANS X 40
840MG COM REV CT BL ALPLAS TRANS X 45
840MG COM REV CT BL ALPLAS TRANS X 60
840MG COM REV CT BL ALPLAS TRANS X 100</t>
  </si>
  <si>
    <t>Produto Tradicional Fitoterápico</t>
  </si>
  <si>
    <t>Apresentações
COM REV CT BL AL AL X 40
COM REV CT BL AL AL X 60
COM VER CX BL AL AL X 500 ( EMB HOSP)
COM REV CT BL AL PLAS TRANS X 10
COM REV CT BL AL PLAS TRANS X 20
COM REV CT BL AL PLAS TRANS X 30
COM REV CT BL AL PLAS TRANS X 40
COM REV CT BL AL PLAS TRANS X 60
COM REV CX BL AL PLAS TRANS X 500 (EMB HOSP)
40 mg
COM REV CT BL AL AL X 10
COM REV CT BL AL AL X 20
COM REV CT BL AL AL X 30
COM REV CT BL AL AL X 40
COM REV CT BL AL AL X 60
COM REV CX BL AL AL  X 500 (EMB HOSP)
COM REV CT BL AL PLAS TRANS X 10
COM REV CT BL AL PLAS TRANS X 20
COM REV CT BL AL PLAS TRANS X 30
COM REV CT BL AL PLAS TRANS X 40
COM REV CT BL AL PLAS TRANS X 60
COM REV CX BL AL PLAS TRANS X 500 (EMB HOSP)
1_Desistência a pedido protocolada em 11/09/2018, sob expediente 0887215/18-5.</t>
  </si>
  <si>
    <t>Apresentações
20 mg
COM REV CT BL AL AL X 10
COM REV CT BL AL AL X 20
COM REV CT BL AL AL X 30
COM REV CT BL AL AL X 40
COM REV CT BL AL AL X 60
COM REV CT BL AL AL X 500 (EMB HOSP)
COM REV CT BL AL PLAS TRANS X 10
 COM REV CT BL AL PLAS TRANS X 20
COM REV CT BL AL PLAS TRANS X 30
COM REV CT BL AL PLAS TRANS X 40
COM REV CT BL AL PLAS TRANS X 60
COM REV CX BL AL PLAS TRANS X 500 (EMB HOSP)
40 mg
COM REV CT BL AL AL X 10
COM REV CT BL AL AL X 20
COM REV CT BL AL AL X 30
COM REV CT BL AL AL X 40
COM REV CT BL AL AL X 60
COM REV CT BL AL AL X 500 (EMB HOSP)
COM REV CT BL AL PLAS TRANS X 10
 COM REV CT BL AL PLAS TRANS X 20
COM REV CT BL AL PLAS TRANS X 30
COM REV CT BL AL PLAS TRANS X 40
COM REV CT BL AL PLAS TRANS X 60
COM REV CX BL AL PLAS TRANS X 500 (EMB HOSP)
1_Desistência a pedido protocolada em 31/08/2018 sob expediente 0854984/18-2.</t>
  </si>
  <si>
    <t>Apresentações
20 mg
COM REV CT BL AL AL X 10
COM REV CT BL AL AL X 20
COM REV CT BL AL AL X 30
COM REV CT BL AL AL X 40
COM REV CT BL AL AL X 60
COM VER CX BL AL AL X 500 (EMB HOSP)
COM REV CT BL AL PLAS TRANS X 10
COM REV CT BL AL PLAS TRANS X 20
COM REV CT BL AL PLAS TRANS X 30
COM REV CT BL AL PLAS TRANS X 40
COM REV CT BL AL PLAS TRANS X 60
COM REV CX BL AL PLAS TRANS X 500 (EMB HOSP)
40 mg
COM REV CT BL AL AL X 10
COM REV CT BL AL AL X 20
COM REV CT BL AL AL X 30
COM REV CT BL AL AL X 40
COM REV CT BL AL AL X 60
COM REV CX BL AL AL X 500 ( EMB HOSP)
COM REV CT BL AL PLAS TRANS X 10
COM REV CT BL AL PLAS TRANS X 20
COM REV CT BL AL PLAS TRANS X 30
COM REV CT BL AL PLAS TRANS X 40
COM REV CT BL AL PLAS TRANS X 60
COM REV CX BL AL AL X 500 ( EMB HOSP)
1_Desistência a pedido protocolada em 17/09/2018, sob expediente 0901182/18-0.</t>
  </si>
  <si>
    <t>Apresentações
COM REV LIB RETARD CT FR VD AMB X 20
COM REV LIB RETARD CT FR VD AMB X 30
1_Desistência a pedido protocolada em 22/08/2018 sob protocolo 0827880/18-6.</t>
  </si>
  <si>
    <t>0891436182</t>
  </si>
  <si>
    <t>Acompanhamento 21/09/2018</t>
  </si>
  <si>
    <t xml:space="preserve">Manifestação favorável à realização do procedimento submetido à apreciação da ANVISA.
Encontra-se na 
ARQVO
Desde: 03/08/2018 </t>
  </si>
  <si>
    <t>A análise técnica foi finalizada. Aguardar publicação.
Encontra-se na ARQVO, desde 31/08/2018.</t>
  </si>
  <si>
    <r>
      <t xml:space="preserve">BENEGRIP MULTI NOITE </t>
    </r>
    <r>
      <rPr>
        <sz val="10"/>
        <rFont val="Calibri"/>
        <family val="2"/>
        <scheme val="minor"/>
      </rPr>
      <t>(Matriz Neolefrin Brainfarma)</t>
    </r>
  </si>
  <si>
    <t>400+20mg/400mg</t>
  </si>
  <si>
    <t xml:space="preserve">paracetamol + cloridrato de fenilefrina/paracetamol </t>
  </si>
  <si>
    <t>800 MG + 20 MG CT BL AL PLAS TRANS X 6 COM AMARELO + 6 COM BRANCO
800 MG + 20 MG CT BL AL PLAS TRANS X 10 COM AMARELO + 10 COM BRANCO
800 MG + 20 MG CT BL AL PLAS TRANS X 12 COM AMARELO + 12 COM BRANCO
800 MG + 20 MG CT BL AL PLAS TRANS X 50 COM AMARELO + 50 COM BRANCO
800 MG + 20 MG CT BL AL PLAS TRANS X 75 COM AMARELO + 75 COM BRANCO
800 MG + 20 MG CT BL AL PLAS TRANS X 100 COM AMARELO + 100 COM BRANCO</t>
  </si>
  <si>
    <t>paracetamol + cloridrato de fenilefrina/paracetamol + maleato de carbinoxamina</t>
  </si>
  <si>
    <t>comprimido | xarope</t>
  </si>
  <si>
    <t>400+20mg/400+4mg | 40mg/mL + 1mg/mL + 0,4mg/mL</t>
  </si>
  <si>
    <t>400MG + 20MG COM AMARELO / 400MG + 4MG COM LARANJA CT BL AL PLAS TRANS X 6 + 6
400MG + 20MG COM AMARELO / 400MG + 4MG COM LARANJA CT BL AL PLAS TRANS X 10 + 10
400MG + 20MG COM AMARELO / 400MG + 4MG COM LARANJA CT BL AL PLAS TRANS X 15 + 15
400MG + 20MG COM AMARELO/ 400MG + 4MG COM LARANJA CT BL AL PLAS TRANS X 30 + 30
400MG + 20MG COM AMARELO/ 400MG + 4MG COM LARANJA CT BL AL PLAS TRANS X 50 + 50
400MG + 20MG COM AMARELO / 400MG + 4MG COM LARANJA CT BL AL PLAS TRANS X 75 + 75
400MG + 20MG COM AMARELO/ 400MG + 4MG COM LARANJA CT BL AL PLAS TRANS X 100 + 100
40 MG/ML + 1 MG/ML + 0,4 MG/ML XPE CT FR VD AMB X 60 ML + COP</t>
  </si>
  <si>
    <t>Desistência a pedido publicada em 24/09/2018.</t>
  </si>
  <si>
    <t>1_Ofício nº 0260570188/2018 recebido em 05/04/2018: "Em resposta ao expediente 0185778179, informamos que o medicamento TORAGESIC encontra-se em avaliação de segurança e eficácia para
adequação à RDC 35 de 15/06/2012. Foi solicitada a apresentação de provas necessárias para adequação à Resolução supracitada. Assim que tivermos
um parecer, caso seja favorável, o referido medicamento poderá ser incluído na lista."
2_Em 19/07/2018 foi feito o SAT de protocolo nº 2018252136: "Prezados, venho por meio desta realizar um questionamento a respeito da inclusão do Medicamento Toragesic - trometamol cetorolaco - 10 mg, comprimido sublingual (processo nº 25351.652689/2010-02) na Lista A de Medicamento de referência da ANVISA. A empresa solicitou, em 03/02/2017, a indicação do medicamento mencionado na lista através de petição com assunto "1648 - GGMED - Solicitação de Indicação de Medicamento de Referência", de onde foi gerado o expediente nº 01857781/79. Em 04/04/2018, a Gerência enviou o Ofício nº 0260570188/2018 dizendo que o medicamento encontrava-se em avaliação de segurança e eficácia para adequação à RDC 35 de 15/06/2012, com solicitação à apresentação de provas necessárias para adequação à Resolução supracitada. Realizando uma consulta na situação de documentos do Toragesic na ANVISA, foi possível constatar que foi protocolado um aditamento para avaliação de segurança e eficácia, em 07/05/2008, sob expediente nº 03774591/87, e que se se encontra atualmente em exigência. Gostaríamos de saber se há uma expectativa de conclusão da análise da referida adequação, para posterior inclusão do produto na lista de medicamentos de referência, caso esteja apto. "
Resposta: "Em atenção a sua solicitação, informamos que no momento a área técnica responsável está aguardando o encaminhamento da documentação solicitada referente ao medicamento TORAGESIC pela empresa detentora do registro. Dessa forma, não é possível dar uma previsão para retorno do produto para a lista."
3_Incluído na lista A de Referência em 26/09/2018</t>
  </si>
  <si>
    <t>dicloridrato de levocetirizina</t>
  </si>
  <si>
    <r>
      <t xml:space="preserve">dicloridrato de levocetirizina </t>
    </r>
    <r>
      <rPr>
        <sz val="10"/>
        <rFont val="Calibri"/>
        <family val="2"/>
        <scheme val="minor"/>
      </rPr>
      <t>(Matriz Vocety Glenmark)</t>
    </r>
  </si>
  <si>
    <t xml:space="preserve">5 MG COM REV CT BL AL/AL X 10
5 MG COM REV CT BL AL/AL X 30
5 MG COM REV CT BL AL/AL X 90 </t>
  </si>
  <si>
    <t>montelucsate de sódio + dicloridrato de levocetirizina</t>
  </si>
  <si>
    <t>10MG + 5MG COM REV CT FR PLAS OPC X 7
10MG + 5MG COM REV CT FR PLAS OPC X 14</t>
  </si>
  <si>
    <t>10mg + 5mg</t>
  </si>
  <si>
    <r>
      <t xml:space="preserve">LOPIGREL
</t>
    </r>
    <r>
      <rPr>
        <sz val="10"/>
        <rFont val="Calibri"/>
        <family val="2"/>
        <scheme val="minor"/>
      </rPr>
      <t>(Matriz Plavineo Brainfarma)</t>
    </r>
  </si>
  <si>
    <r>
      <t xml:space="preserve">LIPANON 
</t>
    </r>
    <r>
      <rPr>
        <sz val="10"/>
        <rFont val="Calibri"/>
        <family val="2"/>
        <scheme val="minor"/>
      </rPr>
      <t>(Matriz fenofibrato Brainfarma)</t>
    </r>
  </si>
  <si>
    <r>
      <t xml:space="preserve">AVIV
</t>
    </r>
    <r>
      <rPr>
        <sz val="10"/>
        <rFont val="Calibri"/>
        <family val="2"/>
        <scheme val="minor"/>
      </rPr>
      <t>(Matriz desvenlafaxina Althaia)</t>
    </r>
  </si>
  <si>
    <r>
      <t xml:space="preserve">APRAZ
</t>
    </r>
    <r>
      <rPr>
        <sz val="10"/>
        <rFont val="Calibri"/>
        <family val="2"/>
        <scheme val="minor"/>
      </rPr>
      <t>(Matriz alprazolam Zydus)</t>
    </r>
  </si>
  <si>
    <r>
      <t xml:space="preserve">BENEGRIP MULTI DIA 
</t>
    </r>
    <r>
      <rPr>
        <sz val="10"/>
        <rFont val="Calibri"/>
        <family val="2"/>
        <scheme val="minor"/>
      </rPr>
      <t>(Matriz Neolefrin Dia Brainfarma)</t>
    </r>
  </si>
  <si>
    <r>
      <t xml:space="preserve">NEOLUCASTE  
</t>
    </r>
    <r>
      <rPr>
        <sz val="10"/>
        <rFont val="Calibri"/>
        <family val="2"/>
        <scheme val="minor"/>
      </rPr>
      <t>(Matriz montelucaste de sódio Brainfarma)</t>
    </r>
  </si>
  <si>
    <r>
      <t xml:space="preserve">BRONCAST
</t>
    </r>
    <r>
      <rPr>
        <sz val="10"/>
        <rFont val="Calibri"/>
        <family val="2"/>
        <scheme val="minor"/>
      </rPr>
      <t>(Matriz montelucaste de sódio Brain)</t>
    </r>
  </si>
  <si>
    <r>
      <t xml:space="preserve">DUOACT
</t>
    </r>
    <r>
      <rPr>
        <sz val="10"/>
        <rFont val="Calibri"/>
        <family val="2"/>
        <scheme val="minor"/>
      </rPr>
      <t>(Matriz naproxeno sódico Brainfarma)</t>
    </r>
  </si>
  <si>
    <t>DESRINIT</t>
  </si>
  <si>
    <r>
      <t xml:space="preserve">MAXDIN
</t>
    </r>
    <r>
      <rPr>
        <sz val="10"/>
        <rFont val="Calibri"/>
        <family val="2"/>
        <scheme val="minor"/>
      </rPr>
      <t>(Matriz Desrinit Brainfarma)</t>
    </r>
  </si>
  <si>
    <r>
      <t xml:space="preserve">BRONCAST JÚNIOR
</t>
    </r>
    <r>
      <rPr>
        <sz val="10"/>
        <rFont val="Calibri"/>
        <family val="2"/>
        <scheme val="minor"/>
      </rPr>
      <t>(Matriz montelucaste de sódio Brainfarma)</t>
    </r>
  </si>
  <si>
    <r>
      <t xml:space="preserve">NEOLUCASTE
</t>
    </r>
    <r>
      <rPr>
        <sz val="10"/>
        <rFont val="Calibri"/>
        <family val="2"/>
        <scheme val="minor"/>
      </rPr>
      <t>(Matriz montelucaste de sódio Brainfarma)</t>
    </r>
  </si>
  <si>
    <r>
      <t xml:space="preserve">CALMINEX
</t>
    </r>
    <r>
      <rPr>
        <sz val="10"/>
        <rFont val="Calibri"/>
        <family val="2"/>
        <scheme val="minor"/>
      </rPr>
      <t>(Matriz Gelol Cosmed)</t>
    </r>
  </si>
  <si>
    <r>
      <t xml:space="preserve">ATROFEM
</t>
    </r>
    <r>
      <rPr>
        <sz val="10"/>
        <rFont val="Calibri"/>
        <family val="2"/>
        <scheme val="minor"/>
      </rPr>
      <t>(Matriz Ibufran Brainfarma)</t>
    </r>
  </si>
  <si>
    <r>
      <t xml:space="preserve">NEO DIMETICON
</t>
    </r>
    <r>
      <rPr>
        <sz val="10"/>
        <rFont val="Calibri"/>
        <family val="2"/>
        <scheme val="minor"/>
      </rPr>
      <t>(Matriz simeticona Brainfarma)</t>
    </r>
  </si>
  <si>
    <r>
      <t xml:space="preserve">NEO DIMETICON GOTAS
</t>
    </r>
    <r>
      <rPr>
        <sz val="10"/>
        <rFont val="Calibri"/>
        <family val="2"/>
        <scheme val="minor"/>
      </rPr>
      <t>(Matriz simeticona Brainfarma)</t>
    </r>
  </si>
  <si>
    <r>
      <t xml:space="preserve">LISADOR MONO
</t>
    </r>
    <r>
      <rPr>
        <sz val="10"/>
        <rFont val="Calibri"/>
        <family val="2"/>
        <scheme val="minor"/>
      </rPr>
      <t>(Matriz dipirona monoidratada Brainfarma)</t>
    </r>
  </si>
  <si>
    <r>
      <t xml:space="preserve">INDAFLUIN SR/LIXFLURI SR/PREXMIDA SR
</t>
    </r>
    <r>
      <rPr>
        <sz val="10"/>
        <rFont val="Calibri"/>
        <family val="2"/>
        <scheme val="minor"/>
      </rPr>
      <t>(Matriz indapamida Brainfarma)</t>
    </r>
  </si>
  <si>
    <r>
      <t xml:space="preserve">FLUVIRAL DIA
</t>
    </r>
    <r>
      <rPr>
        <sz val="10"/>
        <rFont val="Calibri"/>
        <family val="2"/>
        <scheme val="minor"/>
      </rPr>
      <t>(Matriz Neolefrin Dia Brainfarma)</t>
    </r>
  </si>
  <si>
    <r>
      <t xml:space="preserve">CORISTINA DIA
</t>
    </r>
    <r>
      <rPr>
        <sz val="10"/>
        <rFont val="Calibri"/>
        <family val="2"/>
        <scheme val="minor"/>
      </rPr>
      <t>(Matriz Neolefrin Dia Brainfarma)</t>
    </r>
  </si>
  <si>
    <r>
      <t xml:space="preserve">RESFRYNEO DUO
</t>
    </r>
    <r>
      <rPr>
        <sz val="10"/>
        <rFont val="Calibri"/>
        <family val="2"/>
        <scheme val="minor"/>
      </rPr>
      <t>(Matriz Neolefrin Dia Brainfarma)</t>
    </r>
  </si>
  <si>
    <r>
      <t xml:space="preserve">DESCON
</t>
    </r>
    <r>
      <rPr>
        <sz val="10"/>
        <rFont val="Calibri"/>
        <family val="2"/>
        <scheme val="minor"/>
      </rPr>
      <t>(Matriz Neolefrin Dia Brainfarma)</t>
    </r>
  </si>
  <si>
    <r>
      <rPr>
        <b/>
        <sz val="10"/>
        <rFont val="Calibri"/>
        <family val="2"/>
        <scheme val="minor"/>
      </rPr>
      <t xml:space="preserve">cloridrato de memantina </t>
    </r>
    <r>
      <rPr>
        <sz val="10"/>
        <rFont val="Calibri"/>
        <family val="2"/>
        <scheme val="minor"/>
      </rPr>
      <t xml:space="preserve"> 
(Matriz clor. de memantina Unichem) </t>
    </r>
  </si>
  <si>
    <t>01/10/2018</t>
  </si>
  <si>
    <t>Apresentações:
COM REV CT BL AL PLAS TRANS X 10
COM REV CT BL AL PLAS TRANS X 20
COM REV CX BL AL PLAS TRANS X 200 (EMB HOSP)
1_Exigência recebida em 12/09/2017, expediente nº 1851513/17-4. Cumprida e protocolada em 04/12/2017 sob expediente 2257294/17-5.
2_Notificação de Exigência Nº 0212155/18-7, lida em 27/03/2018. Cumprida e protocolada em 16/07/2018 sob expediente 0568135/18-9.</t>
  </si>
  <si>
    <r>
      <t xml:space="preserve">Prazo máximo para o parecer da ANVISA:
Para protocolados antes da vigência da Lei 13.411/2016 - </t>
    </r>
    <r>
      <rPr>
        <sz val="10"/>
        <rFont val="Calibri"/>
        <family val="2"/>
        <scheme val="minor"/>
      </rPr>
      <t>Prazo para máximo conforme art. 4º</t>
    </r>
    <r>
      <rPr>
        <b/>
        <sz val="10"/>
        <rFont val="Calibri"/>
        <family val="2"/>
        <scheme val="minor"/>
      </rPr>
      <t xml:space="preserve">
Para protocolados na vigência da Lei 13.411/2016 - </t>
    </r>
    <r>
      <rPr>
        <sz val="10"/>
        <rFont val="Calibri"/>
        <family val="2"/>
        <scheme val="minor"/>
      </rPr>
      <t>1 ano +  1/3 ano da data de de protocolo + 120 dias de exigência</t>
    </r>
  </si>
  <si>
    <t>Indapamida</t>
  </si>
  <si>
    <r>
      <t xml:space="preserve">Nitrato de isoconazol
</t>
    </r>
    <r>
      <rPr>
        <sz val="10"/>
        <rFont val="Calibri"/>
        <family val="2"/>
        <scheme val="minor"/>
      </rPr>
      <t>(Matriz Neo Isocaden Brainfarma)</t>
    </r>
  </si>
  <si>
    <r>
      <t xml:space="preserve">Diclofenaco dietilamônio
</t>
    </r>
    <r>
      <rPr>
        <sz val="10"/>
        <rFont val="Calibri"/>
        <family val="2"/>
        <scheme val="minor"/>
      </rPr>
      <t>(Matriz Neocoflan Brainfarma)</t>
    </r>
  </si>
  <si>
    <r>
      <t xml:space="preserve">Desloratadina
</t>
    </r>
    <r>
      <rPr>
        <sz val="10"/>
        <rFont val="Calibri"/>
        <family val="2"/>
        <scheme val="minor"/>
      </rPr>
      <t>(Matriz Desrinit Brainfarma)</t>
    </r>
  </si>
  <si>
    <t>2535.1688008/2018-72</t>
  </si>
  <si>
    <t>25351.687973/2018-28</t>
  </si>
  <si>
    <t>0957604185</t>
  </si>
  <si>
    <t>0957628182</t>
  </si>
  <si>
    <t>ADDERA D3</t>
  </si>
  <si>
    <t>50.000 UI</t>
  </si>
  <si>
    <t>DSM Nutricional Products Ltd.</t>
  </si>
  <si>
    <t>0943420188</t>
  </si>
  <si>
    <t>Indeferido em 08/10/2018</t>
  </si>
  <si>
    <t>Apresentações:
5mg COM REV CT BL AL PLAS TRANS X 10
5mg COM REV CT BL AL PLAS TRANS X 30 0,5mg/mL
5mg XPE CT FR PLAS AMB X 60 ML
5mg XPE CT FR PLAS AMB X 100 ML
5mg XPE CT FR VD AMB X 60 ML
5mg XPE CT FR VD AMB X 100 ML
1_Ofício Ofício nº 2308341177/2017 recebido em 21/12/2017, respondido em em 05/01/2018 sob expediente 0010844/18-8.</t>
  </si>
  <si>
    <t>Apresentações:
5mg COM REV CT BL AL PLAS TRANS X 10
5mg COM REV CT BL AL PLAS TRANS X 30
0,5mg/mL XPE CT FR PLAS AMB X 60 ML
0,5mg/mL XPE CT FR PLAS AMB X 100 ML
0,5mg/mL XPE CT FR VD AMB X 60 ML
0,5mg/mL XPE CT FR VD AMB X 100 ML</t>
  </si>
  <si>
    <t>08/10/2018</t>
  </si>
  <si>
    <t>Apresentações:
75MG COM REV CT BL AL AL X 10
75MG COM REV CT BL AL AL X 14
75MG COM REV CT BL AL AL X 28
75MG COM REV CT BL AL AL X 30
75MG COM REV CT BL AL PLAS TRANS X 10
75MG COM REV CT BL AL PLAS TRANS X 14
75MG COM REV CT BL AL PLAS TRANS X 28
75MG COM REV CT BL AL PLAS TRANS X 30
75MG COM REV CX BL AL AL X 490
75MG COM REV CX BL AL PLAS TRANS X 490</t>
  </si>
  <si>
    <t>25351.543023/2011-66</t>
  </si>
  <si>
    <t>FLAVONID</t>
  </si>
  <si>
    <t>diosmina + flavonoides expressos em hesperidina</t>
  </si>
  <si>
    <t>D: Chengdu Yazhong Bio-Pharmaceutical Co., Ltd.
F: Chengdu Hawk Bio-Engineering Co., Ltd.</t>
  </si>
  <si>
    <t>450mg + 5mg</t>
  </si>
  <si>
    <t>0979526180</t>
  </si>
  <si>
    <t>25351.701448/2018-22</t>
  </si>
  <si>
    <t>0977978187</t>
  </si>
  <si>
    <t>25351.701447/2018-88</t>
  </si>
  <si>
    <t>0977977189</t>
  </si>
  <si>
    <t>15/10/2018</t>
  </si>
  <si>
    <t>Apresentações:
10 MG COM REV CT BL AL AL X 30
10 MG COM REV CT BL AL AL X 60
1_Recurso peticionado sob expediente nº 14354811/71.
2_Publicado aresto - provimento ao recurso em 30/05/2018.
3_Notificação de Exigência Nº 0896865/18-9 em 17/09/2018, sob expediente nº 0717276/14-1.
4_Resposta a notificação de Exigência Nº 0896865/18-9 em 24/09/2018, sob expediente nº 0922577/18-3.
5_Republicado o deferimento em 15/10/2018 com a correção do asusnto da petição, através da Resolução-RE Nº 2.813.
*Situação do matriz: Foi publicado em veículo oficial manifestação da ANVISA favorável ao pedido da empresa. em 03/09/2018. Verificado em 21/09/2018.</t>
  </si>
  <si>
    <t>0983425187</t>
  </si>
  <si>
    <t>25351.564868/2011-22</t>
  </si>
  <si>
    <t>NEOCOPAN COMPOSTO</t>
  </si>
  <si>
    <t xml:space="preserve">butilbrometo de escopolamina + dipirona </t>
  </si>
  <si>
    <t xml:space="preserve">b: Alchem Internacional Limited 
d: Wuhan Wuyao Pharmaceutical Co Ltd </t>
  </si>
  <si>
    <t>10 MG + 250 MG COM REV CT BL AL PLAS TRANS X 100
10 MG + 250 MG COM REV CT BL AL PLAS TRANS X 200</t>
  </si>
  <si>
    <t>10 + 250mg</t>
  </si>
  <si>
    <t>1017140181</t>
  </si>
  <si>
    <t>25351.721155/2018-61</t>
  </si>
  <si>
    <t>1008341183</t>
  </si>
  <si>
    <t>Desistência Edital 2016-2017</t>
  </si>
  <si>
    <t>Desistência Edital 2016-2017
Em 07/10/16, enviamos  e-mail para ANVISA, em resposta ao Ofício nº 2358792160/2016, informamos que optamos pela desistência do processo, no período previsto no Edital para que a sua posição seja substituída pelo próximo(s) processo(s) da empresa na fila de análise de registro</t>
  </si>
  <si>
    <t>Desistência Edital 2016-2017
Aditamento em 12/07/16, expediente nº 2062975/16-3, solicitando alteração no assunto da petição para Inclusão de nova concentração.</t>
  </si>
  <si>
    <t>Desistência Edital 2016-2017
Resposta ao Ofício nº 0946883158/2015, protocolado em 04/11/15 sob n° de conhecimento 2015511040232PR.</t>
  </si>
  <si>
    <t>Desistência Edital 2016-2017
Resposta ao Ofício nº 0947137155/2015, protocolado em 04/11/15 sob n° de conhecimento 2015511040235PR.</t>
  </si>
  <si>
    <t>Desistência Edital 2016-2017
Cumprimento ao ofício n° 0947229151/2015 em 04/11/15, sob n° de conhecimento 201511040234PR.</t>
  </si>
  <si>
    <t>Desistência Edital 2016-2017
Desistência de petição/processo a pedido,  protocolado em 20/04/2017 sob expediente n°0672581173</t>
  </si>
  <si>
    <t>Desistência Edital 2016-2017
Desistência de petição/processo a pedido, protocolado em 06/04/2017 sob expediente n°0553877177.</t>
  </si>
  <si>
    <t>Desistência Edital 2016-2017
Desistência de petição/processo a pedido, protocolado em 06/04/2017 sob expediente n°0551875170.</t>
  </si>
  <si>
    <t>Desistência Edital 2016-2017
Desistência de petição/processo a pedido, protocolado em 06/04/2017 sob expediente n°0551950171</t>
  </si>
  <si>
    <t>Desistência Edital 2016-2017
Desistência de petição/processo a pedido, protocolado em 04/04/2017 sob expediente n°0538917178</t>
  </si>
  <si>
    <t>Desistência Edital 2016-2017
Desistência de petição/processo a pedido,  protocolado em 04/04/2017 sob expediente n°0538783173</t>
  </si>
  <si>
    <t>Desistência Edital 2016-2017
Desistência de petição/processo a pedido,  protocolado em 20/04/2017 sob expediente n°0672667174</t>
  </si>
  <si>
    <t>Desistência Edital 2016-2017
Desistência de petição/processo a pedido,  protocolado em 06/04/2017 sob expediente n°0552444170</t>
  </si>
  <si>
    <t>Desistência Edital 2016-2017
Desistência de petição/processo a pedido,  protocolado em 06/04/2017 sob expediente n°0552973175</t>
  </si>
  <si>
    <t>Desistência Edital 2016-2017
Resposta ao Ofício n°1112670151/2015 protocolado em 14/01/16 sob n° de conhecimento 201601140278PR.
Ofício nº 2425203164/2016 recebido em 01/11/2016.</t>
  </si>
  <si>
    <t>Desistência Edital 2016-2017
Desistência de petição/processo a pedido,  protocolado em 04/04/2017 sob expediente n°0534646171</t>
  </si>
  <si>
    <t>Desistência Edital 2016-2017
Desistência de petição/processo a pedido, protocolado em 04/04/2017 sob expediente n°0538678171</t>
  </si>
  <si>
    <t>Desistência Edital 2016-2017
Desistência de petição/processo a pedido, protocolado em 06/04/2017 sob expediente n°0551334171</t>
  </si>
  <si>
    <t>Desistência Edital 2016-2017
Desistência de petição/processo a pedido, protocolado em 06/04/2017 sob expediente n°0551250176</t>
  </si>
  <si>
    <t>Desistência Edital 2016-2017
Desistência de petição/processo a pedido,  protocolado em 20/04/2017 sob expediente n°0673215171</t>
  </si>
  <si>
    <t>Desistência Edital 2016-2017
Desistência de petição/processo a pedido,  protocolado em 06/04/2017 sob expediente n°0552497171</t>
  </si>
  <si>
    <t>Desistência Edital 2016-2017
Desistência de petição/processo a pedido,  protocolado em 06/04/2017 sob expediente n°0553060171</t>
  </si>
  <si>
    <t>Desistência Edital 2016-2017
Desistência de petição/processo a pedido,  protocolado em 20/04/2017 sob expediente n°0673035173</t>
  </si>
  <si>
    <t>Desistência Edital 2016-2017
Desistência de petição/processo a pedido,  protocolado em 06/04/2017 sob expediente n°0553812172.</t>
  </si>
  <si>
    <t>Desistência Edital 2016-2017
CREM DERM CT BG AL X 30G
POM DERM CT BG AL X 30G 
Em 01/11/2017 o produto estava na posição 115 da fila de registro de genéricos e similares. Em 10/11/2017 o expediente já não estava mais na fila, e seu status na consulta de documentos era "A empresa expressa ou tacitamente desiste do pedido apresentado à Agência. Encontra-se na GRMED desde 01/11/2017".</t>
  </si>
  <si>
    <t>Desistência Edital 2016-2017
COM REV CT BL AL PLAS TRANS X 1
COM REV CT BL AL PLAS TRANS X 2
COM REV CT BL AL PLAS TRANS X 3
COM REV CT BL AL PLAS TRANS X 12
COM REV CT BL AL AL X 1
COM REV CT BL AL AL X 2
COM REV CT BL AL AL X 3
COM REV CT BL AL AL X 12
Em 01/11/2017 o produto estava na posição 118 na fila de registro de genéricos e similares. Em 10/11/2017 o expediente já não estava mais na fila, e seu status na consulta de documentos era "A empresa expressa ou tacitamente desiste do pedido apresentado à Agência. . Encontra-se na ARQVO desde 15/05/2015".</t>
  </si>
  <si>
    <t>INFORME: Para todos os produtos CLONES, listados nesta planilha os matrizes foram desistidos no edital, dessa forma conforme resposta ao SAT n°2017379673, fomos orientados a protocolar a petição de Desistência de petição/processo a pedido para os mesmos.</t>
  </si>
  <si>
    <t>INFORME: Para todos os produtos CLONES, listados nesta planilha os matrizes foram desistidos no edital, dessa forma conforme resposta ao SAT n°2017379673, fomos orientados a protocolar a petição de Desistência de petição/processo a pedido para os mesmos.
desistência a pedido publicada em 08/05/2017</t>
  </si>
  <si>
    <t xml:space="preserve">
INFORME: Para todos os produtos CLONES, listados nesta planilha os matrizes foram desistidos no edital, dessa forma conforme resposta ao SAT n°2017379673, fomos orientados a protocolar a petição de Desistência de petição/processo a pedido para os mesmos.
desistência a pedido publicada em 08/05/2017</t>
  </si>
  <si>
    <t>25351.534978/2011-89</t>
  </si>
  <si>
    <t>cloridrato de amitriptilina</t>
  </si>
  <si>
    <t>R. L. Fine Chem Pvt. Ltd. e Vasudha Pharma Chem Limited (Unit I)</t>
  </si>
  <si>
    <t>25 MG COM CT BL AL PLAS TRANS X 30</t>
  </si>
  <si>
    <t>1041198184</t>
  </si>
  <si>
    <t>05/11/2018</t>
  </si>
  <si>
    <t>Principal: Bioindústria
Adicionais: Alchemia e Edmond</t>
  </si>
  <si>
    <t>Apresentações
COM REV LIB PROL CT BL AL PLAS TRANS X 15
COM REV LIB PROL CT BL AL PLAS TRANS X 30
COM REV LIB PROL CT BL AL PLAS TRANS X 60
COM REV LIB PROL CT BL AL AL  X 15
COM REV LIB PROL CT BL AL AL  X 30
COM REV LIB PROL CT BL AL AL  X 60</t>
  </si>
  <si>
    <t>25351.535259/2012-78</t>
  </si>
  <si>
    <t>hidróxido de alumínio + hidróxido de magnésio + simeticona</t>
  </si>
  <si>
    <t>(153+200+25) MG COM MAST CT BL AL PLAS TRANS X 200</t>
  </si>
  <si>
    <t>153mg + 200mg + 25mg</t>
  </si>
  <si>
    <t>A documentação está sendo analisada. 
Encontra-se na GRMED, desde 07/11/2018.</t>
  </si>
  <si>
    <t>12/11/2018</t>
  </si>
  <si>
    <t>Apresentações
COM REV LIB PROL CT BL AL PLAS TRANS X 15
COM REV LIB PROL CT BL AL PLAS TRANS X 30
COM REV LIB PROL CT BL AL PLAS TRANS X 60
COM REV LIB PROL CT BL AL AL X 15
COM REV LIB PROL CT BL AL AL X 30
COM REV LIB PROL CT BL AL AL X 60
Desistência a pedido do cumprimento de exigência protocolada em 08/11/2018, sob expediente nº 1068290/18-2.</t>
  </si>
  <si>
    <t>há/hm: SRL Pharma GmbH e Vasa Pharmachem Pvt. Ltd.
Dead Sea Bromine Company Ltd.
Dasan Pharmaceutical Co., Ltd.</t>
  </si>
  <si>
    <t>1085282184</t>
  </si>
  <si>
    <t>Acompanhamento 23/11/2018</t>
  </si>
  <si>
    <t xml:space="preserve">Ensaio Clínico foi iniciado.
Encontra-se na COPEC, desde 04/07/2018. </t>
  </si>
  <si>
    <t>Acompanhamento 30/11/2018</t>
  </si>
  <si>
    <t>Acompanhamento 07/12/2018</t>
  </si>
  <si>
    <t>Aurobindo Pharma Limited.</t>
  </si>
  <si>
    <t>20 MG COM REV LIB RETARD CT BL AL/AL X 7
20 MG COM REV LIB RETARD CT BL AL/AL X 14
20 MG COM REV LIB RETARD CT BL AL/AL X 28
20 MG COM REV LIB RETARD CT BL AL/AL X 30
20 MG COM REV LIB RETARD CT BL AL/AL X 42
20 MG COM REV LIB RETARD CT BL AL/AL X 56
40 MG COM REV LIB RETARD CT BL AL/AL X 7
40 MG COM REV LIB RETARD CT BL AL/AL X 14
40 MG COM REV LIB RETARD CT BL AL/AL X 28
40 MG COM REV LIB RETARD CT BL AL/AL X 30
40 MG COM REV LIB RETARD CT BL AL/AL X 42
40 MG COM REV LIB RETARD CT BL AL/AL X 56
40 MG COM REV LIB RETARD CT BL AL/AL X 60</t>
  </si>
  <si>
    <t>Comprimido revestido de liberação retardada</t>
  </si>
  <si>
    <t>84mg/ml</t>
  </si>
  <si>
    <t>84 MG/ML  SOL OR CT FR VD AMB X 150 ML + COP (maracujá)
84 MG/ML  SOL OR CT FR VD AMB X 150 ML + COP (chocolate)
84 MG/ML  SOL OR CT FR PLAS AMB X 150 ML + COP (maracujá)
84 MG/ML  SOL OR CT FR PLAS AMB X 150 ML + COP (chocolate)</t>
  </si>
  <si>
    <t>axetilcefuroxima</t>
  </si>
  <si>
    <t>mirtazapina</t>
  </si>
  <si>
    <t>15, 30 e 45mg</t>
  </si>
  <si>
    <t>Comprimido orodispersível</t>
  </si>
  <si>
    <t>5, 10 e 20mg</t>
  </si>
  <si>
    <t>5 MG COM REV CT BL AL AL X 10
5 MG COM REV CT BL AL AL X 30
5 MG COM REV CT BL AL AL X 60
5 MG COM REV CT BL AL AL X 90 
10 MG COM REV CT BL AL AL X 10
10 MG COM REV CT BL AL AL X 30
10 MG COM REV CT BL AL AL X 60
20 MG COM REV CT BL AL AL X 10
20 MG COM REV CT BL AL AL X 30
20 MG COM REV CT BL AL AL X 60</t>
  </si>
  <si>
    <t>1179060181</t>
  </si>
  <si>
    <t>18/12/2018</t>
  </si>
  <si>
    <t>Apresentações:
0,25 MG COM CT STR AL X 30
0,5 MG COM CT STR AL X 30
1 MG COM CT STR AL X 30
2 MG COM CT STR AL X 30</t>
  </si>
  <si>
    <t>Desistência a pedido protocolada em 05/11/2018, e ublicada em 17/12/2018</t>
  </si>
  <si>
    <t>Desistência à pedido protocolada em 17/09/2018
Aguardando publicação</t>
  </si>
  <si>
    <t>Desistência à pedido protocolada em 11/09/2018.
Aguardando publicação.</t>
  </si>
  <si>
    <t xml:space="preserve">25351.143090/2016-08 </t>
  </si>
  <si>
    <t>Desistência à pedido protocolada em 31/08/2018, publicada em 17/12/2018</t>
  </si>
  <si>
    <t>25351.261809/2015-53</t>
  </si>
  <si>
    <t>Apraz</t>
  </si>
  <si>
    <t>0,25 mg
2 mg</t>
  </si>
  <si>
    <t xml:space="preserve">0834130183 </t>
  </si>
  <si>
    <t>Apresentações:
0,25 MG COM CT BL AL PLAS TRANS X 20
2,0 MG COM CT BL AL PLAS TRANS X 20
0,25 MG COM CT BL AL PLAS TRANS X 30
2,0 MG COM CT BL AL PLAS TRANS X 30</t>
  </si>
  <si>
    <t>Cancelamento publicado em 17/12/2018</t>
  </si>
  <si>
    <t>Mucoangin (Sanofi)</t>
  </si>
  <si>
    <t>20 mg</t>
  </si>
  <si>
    <t>Similar/Genérico</t>
  </si>
  <si>
    <t>Pastilha dura</t>
  </si>
  <si>
    <t>1019594187</t>
  </si>
  <si>
    <t>Esogastro IBP</t>
  </si>
  <si>
    <t>amoxicilina tri-hidratada + claritromicina + esomeprazol magnésico tri-hidratado</t>
  </si>
  <si>
    <t>500 mg + 500 mg + 20 mg</t>
  </si>
  <si>
    <t>Cápsula dura + comprimido revestido + comprimido revestido de liberação retardada</t>
  </si>
  <si>
    <t>Camila Salles / 10/10/2018 / Entrada no mercado de Genérico/Similar</t>
  </si>
  <si>
    <t>Camila Salles / 06/12/2018 / Entrada no mercado de Genérico/Similar</t>
  </si>
  <si>
    <t>1175226182</t>
  </si>
  <si>
    <t>Xarope 44 E</t>
  </si>
  <si>
    <t>bromidrato de dextrometorfano + guaifenesina</t>
  </si>
  <si>
    <t>1,30 mg/mL + 13,30 mg/mL</t>
  </si>
  <si>
    <t>Xarope</t>
  </si>
  <si>
    <t>Camila Salles / 13/12/2018 / Entrada no mercado de Genérico/Similar</t>
  </si>
  <si>
    <t>1198293184</t>
  </si>
  <si>
    <t>24/12/2018</t>
  </si>
  <si>
    <t>Apresentações:
450 MG + 50 MG COM REV CT BL AL PLAS TRANS X 14
Verificação de entrada na fila: 11/10/2018 posição 37
Entrada em análise: Não verificado devido a férias coletivas.</t>
  </si>
  <si>
    <t>Apresentações:
50000 UI COM REV CT BL AL PLAS TRANS X 2
50000 UI COM REV CT BL AL PLAS TRANS X 6
50000 UI COM REV CT BL AL PLAS TRANS X 8
50000 UI CAP MOLE CT BL AL PLAS OPC X 2
50000 UI CAP MOLE CT BL AL PLAS OPC X 6
50000 UI CAP MOLE CT BL AL PLAS OPC X 8
Verificação de entrada na fila: 11/10/2018 posição 33
Entrada em análise: Não verificado devido a férias coletivas.</t>
  </si>
  <si>
    <t>25351.001605/2019-87</t>
  </si>
  <si>
    <t>25351.859610/2018-09</t>
  </si>
  <si>
    <t>1214026181</t>
  </si>
  <si>
    <t>25351.859611/2018-45</t>
  </si>
  <si>
    <t>1214027189</t>
  </si>
  <si>
    <t xml:space="preserve">Apresentações:
GEL CT BG AL X 30G
GEL CT BG AL X 60G
GEL CT 50 BG AL X 30G (EMB HOSP)
GEL CT 50 BG AL X 60G (EMB HOSP)
AER TOP TB AL X 30 ML
AER TOP TB AL X 40 ML
AER TOP TB AL X 60 ML
AER TOP TB AL X 85 ML
AER TOP TB AL X 100 ML
AER TOP TB AL X 120 ML
Aguardando adequação do processo matriz à RDC31/2014
Processo saiu da fila em 10/12/2018
1_Notificação de Exigência Nº 1162498/18-1 recebida em 07/01/2019.
2_Exigência cumprida em 09/01/2019 sob expediente 0020182191, por meio da Desistência de petição/processo a pedido (Expediente 0019675194).
</t>
  </si>
  <si>
    <t>Aguardando adequação do processo matriz à RDC31/2014
Em 20/12/2018 a posição na fila era 250.
1_Desistência de petição/processo a pedido protocolada em 09/01/2019 sob expediente 0019752191.
Motivo: matriz será desistido</t>
  </si>
  <si>
    <t>Desistência a pedido protocolada em 05/11/2018, e publicada em 14/01/2018.</t>
  </si>
  <si>
    <r>
      <t>axetilcefuroxima
(</t>
    </r>
    <r>
      <rPr>
        <sz val="10"/>
        <rFont val="Calibri"/>
        <family val="2"/>
        <scheme val="minor"/>
      </rPr>
      <t>Matriz: axetilcefuroxima Aurobindo)</t>
    </r>
  </si>
  <si>
    <r>
      <t xml:space="preserve">mirtazapina
</t>
    </r>
    <r>
      <rPr>
        <sz val="10"/>
        <rFont val="Calibri"/>
        <family val="2"/>
        <scheme val="minor"/>
      </rPr>
      <t>(Matriz: mirtazapina Aurobindo)</t>
    </r>
  </si>
  <si>
    <t>25351.046005/2019-48</t>
  </si>
  <si>
    <t>0071020192</t>
  </si>
  <si>
    <t>25351.637602/2009-03</t>
  </si>
  <si>
    <t>maleato de clorfeniramina + dipirona monoidratada + ácido ascórbico</t>
  </si>
  <si>
    <t>1 MG + 100 MG + 50 MG COM REV CT ENV AL X 12
1 MG + 100 MG + 50 MG COM REV CT ENV AL X 18
1 MG + 100 MG + 50 MG COM REV CT ENV AL X 24</t>
  </si>
  <si>
    <t>1mg + 100mg + 50mg</t>
  </si>
  <si>
    <t>0071071197</t>
  </si>
  <si>
    <t>50mg/mL
SUS OR CT FR PLAS OPC GOT X 15ML
SUS OR CT FR PLAS OPC GOT X 30ML
SUS OR CT 50 FR PLAS OPC GOT X 15 (EMB HOSP)
SUS OR CT 50 FR PLAS OPC GOT X 30 (EMB HOSP)
200 mg
COM CT BL AL PLAS INC X 10
COM CT BL AL PLAS INC X 20
COM CT BL AL PLAS INC X 30
COM CX BL AL PLAS INC X 60 (EMB HOSP) 
COM CX BL AL PLAS INC X 90 (EMB HOSP) 
COM CX BL AL PLAS INC X 100 (EMB HOSP) 
COM CX BL AL PLAS INC X 200 (EMB HOSP) 
COM CX BL AL PLAS INC X 210 (EMB HOSP) 
COM CX BL AL PLAS INC X 300 ( EMB HOSP)
COM CX BL AL PLAS INC X 450 ( EMB HOSP)
COM CX BL AL PLAS INC X 500 ( EMB HOSP)
COM CX BL AL PLAS INC X 600 ( EMB HOSP)
300 mg
COM CT BL AL PLAS INC X 10
COM CT BL AL PLAS INC X 20
COM CT BL AL PLAS INC X 30
COM CT BL AL PLAS INC X 100 (EMB HOSP)
COM CT BL AL PLAS INC X 200 (EMB HOSP) 
COM CT BL AL PLAS INC X 500 ( EMB HOSP)
400mg
COM CT BL AL PLAS INC X 10
COM CT BL AL PLAS INC X 20
COM CT BL AL PLAS INC X 30
COM CT BL AL PLAS INC X 100 (EMB HOSP)
COM CT BL AL PLAS INC X 110 (EMB HOSP)
COM CT BL AL PLAS INC X 200
COM CT BL AL PLAS INC X 210 (EMB HOSP)
COM CT BL AL PLAS INC X 300 (EMB HOSP)
COM CT BL AL PLAS INC X 400 (EMB HOSP)
COM CT BL AL PLAS INC X 500 (EMB HOSP)
600 mg
COM CT BL AL PLAS INC X 30
COM CX BL AL PLAS INC X 500 (EMB HOSP)
CAP GEL MOLE CT BL AL PLAS INC X 4
CAP GEL MOLE CT BL AL PLAS INC X 10
CAP GEL MOLE CT BL AL PLAS INC X 20
CAP GEL MOLE CT BL AL PLAS INC X 30
CAP GEL MOLE CT BL AL PLAS INC X 100
CAP GEL MOLE CT BL AL PLAS INC X 200 (EMB HOSP)
CAP GEL MOLE CT BL AL PLAS INC X 500 (EMB HOSP)
1_Aguardando adequação do processo matriz à RDC31/2014
2_Notificação de Exigência Nº 0000934/19-2 recebida em 15/01/18, sob expediente 0855740/15-3.
3_Desistência de petição/processo a pedido em 29/01/2019. sob expediente nº 0083990196.
Obs: A documentação está sendo analisada.
Encontra-se na CBREM, desde 02/01/2019.</t>
  </si>
  <si>
    <t>EMU OR CT FR PLAS OPC GOT X 15ML
EMU OR CX 50 FR PLAS OPC GOT X 15ML (EMB HOSP)
EMU OR CX 6 FR PLAS OPC GOT X 15ML (EMB HOSP)
EMU OR CX 10 FR PLAS OPC GOT X 15ML (EMB HOSP)
EMU OR CX 12 FR PLAS OPC GOT X 15ML (EMB HOSP)
EMU OR CX 25 FR PLAS OPC GOT X 15ML (EMB HOSP)
1_A documentação está sendo analisada. Encontra-se na CBREM, desde 02/10/2017 - Aguardando adequação do processo matriz à RDC31/2014 - de genérico para notificado
2_Desistência de petição/processo a pedido em 28/01/2019, sob expediente nº 0081318194.</t>
  </si>
  <si>
    <t>COM CT BL AL PLAS TRANS X 10
COM CT BL AL PLAS TRANS X 20
COM CX BL AL PLAS TRANS X 100
COM DISPLAY BL AL PLAS TRANS X 200
COM DISPLAY BL AL PLAS TRANS X 500 (EMB HOSP)
COM CX BL AL PLAS TRANS X 60 (EMB HOSP)
1_A documentação está sendo analisada. Encontra-se na CBREM, desde 02/10/2017 - Aguardando adequação do processo matriz à RDC31/2014 - de genérico para notificado
2_ Desistência de petição/processo a pedido em 28/01/2019, sob expediente nº 0081286192</t>
  </si>
  <si>
    <t>25351.049355/2019-66</t>
  </si>
  <si>
    <r>
      <t xml:space="preserve">ibuprofeno
</t>
    </r>
    <r>
      <rPr>
        <sz val="10"/>
        <rFont val="Calibri"/>
        <family val="2"/>
        <scheme val="minor"/>
      </rPr>
      <t>(Matriz Alivium Cosmed)</t>
    </r>
  </si>
  <si>
    <t>GASTROL TC</t>
  </si>
  <si>
    <t>APRACUR</t>
  </si>
  <si>
    <t>0075845191</t>
  </si>
  <si>
    <t>Acompanhamento 02/01/2019</t>
  </si>
  <si>
    <t>Beserol</t>
  </si>
  <si>
    <t>paracetamol + carisoprodol + diclofenaco sódico + cafeína</t>
  </si>
  <si>
    <t>300 mg + 125 mg + 50 mg + 30 mg</t>
  </si>
  <si>
    <t>Camila Salles / 23/01/2019 / Inclusão de medicamento comparador</t>
  </si>
  <si>
    <t>0086449198</t>
  </si>
  <si>
    <t>Modelo de Negócio</t>
  </si>
  <si>
    <t>Desenvolvimento interno</t>
  </si>
  <si>
    <t>Parceria BD</t>
  </si>
  <si>
    <t>Extensão de linha</t>
  </si>
  <si>
    <r>
      <t xml:space="preserve">rosuvastatina cálcica
</t>
    </r>
    <r>
      <rPr>
        <sz val="10"/>
        <rFont val="Calibri"/>
        <family val="2"/>
        <scheme val="minor"/>
      </rPr>
      <t>(Matriz: rosuvastatina cálcica Sandoz)</t>
    </r>
  </si>
  <si>
    <t>07/01/2019</t>
  </si>
  <si>
    <t>Acompanhamento 08/02/2019</t>
  </si>
  <si>
    <t>25351.034896/2019-90</t>
  </si>
  <si>
    <t>5 mg/mL e 10 mg/mL</t>
  </si>
  <si>
    <t>0053322190</t>
  </si>
  <si>
    <t>A petição teve pedido de priorização e aguarda análise pela área técnica.
Encontra-se na COPEC, desde 06/02/2019.</t>
  </si>
  <si>
    <t>11/02/2019</t>
  </si>
  <si>
    <t>Apresentações:
500 MG COM CT BL AL AL X 10
500 MG COM CT BL AL AL X 14
500 MG COM CT BL AL AL X 20
500 MG COM CT BL AL AL X 100 
500 MG COM CT BL AL AL X 200
500 MG COM CT BL AL AL X 500
Em 11/01/2019, posição 42 na fila.
Expediente saiu da fila em 17/01/2018.</t>
  </si>
  <si>
    <t>Apresentações
15 MG COM ORODISP CT BL AL AL X 6
15 MG COM ORODISP CT BL AL AL X 10
15 MG COM ORODISP CT BL AL AL X 30
30 MG COM ORODISP CT BL AL AL X 6
30 MG COM ORODISP CT BL AL AL X 10
30 MG COM ORODISP CT BL AL AL X 30
45 MG COM ORODISP CT BL AL AL X 6
45 MG COM ORODISP CT BL AL AL X 10
45 MG COM ORODISP CT BL AL AL X 30
Em 11/01/2019, posição 43 na fila.
Expediente saiu da fila em 17/01/2018.</t>
  </si>
  <si>
    <t>Apresentações</t>
  </si>
  <si>
    <t>Em 25/01/2019, posição 11.
Expediente saiu da fila em 28/01/2019.</t>
  </si>
  <si>
    <t>Em 25/01/2019, posição 06.
Expediente saiu da fila em 30/01/2019.</t>
  </si>
  <si>
    <t>Ativo</t>
  </si>
  <si>
    <t>25351.098517/2019-90</t>
  </si>
  <si>
    <t>25351.101431/2019-51</t>
  </si>
  <si>
    <t>0153446197</t>
  </si>
  <si>
    <t>Em 23/11/2018/, posição 53.
Expediente saiu da fila em 04/01/2019.</t>
  </si>
  <si>
    <t>25351.103290/2019-10</t>
  </si>
  <si>
    <t>ondansetrona</t>
  </si>
  <si>
    <t>ondansetrona base</t>
  </si>
  <si>
    <t>4 mg e 8 mg</t>
  </si>
  <si>
    <t>0156077198</t>
  </si>
  <si>
    <t>Medicamento inovador - Protocolo de segurança e eficácia</t>
  </si>
  <si>
    <r>
      <t xml:space="preserve">PANTONEO
</t>
    </r>
    <r>
      <rPr>
        <sz val="10"/>
        <rFont val="Calibri"/>
        <family val="2"/>
        <scheme val="minor"/>
      </rPr>
      <t>(Matriz: pantoprazol sódico sesqui-hidratado Brainfarma)</t>
    </r>
  </si>
  <si>
    <r>
      <t xml:space="preserve">PASH
</t>
    </r>
    <r>
      <rPr>
        <sz val="10"/>
        <rFont val="Calibri"/>
        <family val="2"/>
        <scheme val="minor"/>
      </rPr>
      <t>(Matriz: pantoprazol sódico sesqui-hidratado Brainfarma)</t>
    </r>
  </si>
  <si>
    <t>Documento distribuído para área técnica.
Encontra-se na GESEF, desde 19/02/2019.</t>
  </si>
  <si>
    <t>SOLICITAÇÃO RECUSADA</t>
  </si>
  <si>
    <t>1_Produto substituinte ao que já estava na fila da ANVISA (Não conta em meta).
2_Notificação de Exigência Nº 0000940/19-7 recebida em 16/01/19 sob expediente 0022166/17-0.
3_Exigência cumprida em 01/02/2019, sobre expediente nº 0099408191.
Em 20/12/2018 a posição na fila era 301.
Em 02/01/2019 o expediente entrou em análise.
A análise foi concluída em 08/02/2019.</t>
  </si>
  <si>
    <t>25351.133083/2019-81</t>
  </si>
  <si>
    <t xml:space="preserve">dipirona monoidratada + maleato de clorfeniramina + cafeína </t>
  </si>
  <si>
    <t>250 MG + 30 MG (VERDE) / 250 MG + 2 MG (AMARELO) COM REV CT BL AL PLAS TRANS X 50 VERD + 50 AMAR
250 MG + 30 MG (VERDE) / 250 MG + 2 MG (AMARELO) COM REV CT TB PLAS POLIET OPC X 5 VERD + 5 AMAR
250 MG + 30 MG (VERDE) / 250 MG + 2 MG (AMARELO) COM REV CT BL AL PLAS TRANS X 75 VERD + 75 AMAR
250 MG + 30 MG (VERDE) / 250 MG + 2 MG (AMARELO) COM REV BL AL PLAS TRANS X 10 VERD + 10 AMAR
250 MG + 30 MG (VERDE) / 250 MG + 2 MG (AMARELO) COM REV CT BL AL PLAS TRANS X 4 VERD + 4 AMAR
250 MG + 30 MG (VERDE) / 250 MG + 2 MG (AMARELO) COM REV CT BL AL PLAS TRANS X 5 VERD + 5 AMAR
250 MG + 30 MG (VERDE) / 250 MG + 2 MG (AMARELO) COM REV CT BL AL PLAS TRANS X 6 VERD + 6 AMAR
250 MG + 30 MG (VERDE) / 250 MG + 2 MG (AMARELO) COM REV CT BL AL PLAS TRANS X 8 VERD + 8 AMAR
250 MG + 30 MG (VERDE) / 250 MG + 2 MG (AMARELO) COM REV CT BL AL PLAS TRANS X 12 VERD + 12 AMAR
250 MG + 30 MG (VERDE) / 250 MG + 2 MG (AMARELO) COM REV CT BL AL PLAS TRANS X 15 VERD + 15 AMAR
250 MG + 30 MG (VERDE) / 250 MG + 2 MG (AMARELO) COM REV CT BL AL PLAS TRANS X 60 VERD + 60 AMAR
250 MG + 30 MG (VERDE) / 250 MG + 2 MG (AMARELO) COM REV CT BL AL PLAS TRANS X 80 VERD + 80 AMAR
250 MG + 30 MG (VERDE) / 250 MG + 2 MG (AMARELO) COM REV CT BL AL PLAS TRANS X 90 VERD + 90 AMAR</t>
  </si>
  <si>
    <t xml:space="preserve">500mg + 2mg + 30mg </t>
  </si>
  <si>
    <t>0202298192</t>
  </si>
  <si>
    <t>Modelo de negócio</t>
  </si>
  <si>
    <t>Acompanhamento 15/03/2019</t>
  </si>
  <si>
    <t>Os documentos técnicos relacionados à petição tiveram a análise concluída pela área responsável. 
Encontra-se na GESEF, desde 15/03/2019</t>
  </si>
  <si>
    <t xml:space="preserve">1_GRU enviada para pagamento em 24/09/2018.
2_Recebimento de Notificação de exigência nº 0132108/19-1 em 12/02/2019. 
3_Cumprimento de exigência em 18/02/19, sob expediente nº 0150904197.
Processo saiu da fila em 04/02/2019, e em 28/02/2019 a análise técnica foi concluída.
</t>
  </si>
  <si>
    <t xml:space="preserve">1_Processo peticionado GRU enviada para pagamento em 24/09/2018.
2_Recebimento de Notificação de exigência nº 0132092/19-1 em 12/02/2019.
3_Cumprimento de exigência em 18/02/19, sob expediente nº 0150924191.
Processo saiu da fila em 04/02/2019, e em 07/03/2019 a análise técnica foi concluída.
</t>
  </si>
  <si>
    <t>1_Protocolo prévio ao registro para apresentação da proposta de comprovação de segurança e eficácia.
2_Ofício nº 0230852195 aberto segunda-feira (18/03/2019), relatando que a proposta enviada pela empresa foi aceita.</t>
  </si>
  <si>
    <t>Acompanhamento 22/03/2019</t>
  </si>
  <si>
    <t xml:space="preserve">Petição/processo preliminarmente analisado, estando em exigência, aguardando manifestação da empresa.
Encontra-se na COPEC, desde 06/02/2019.
</t>
  </si>
  <si>
    <t xml:space="preserve">maleato de clorfeniramina 
Supriya Chemicals 
dipirona monoidratada 
Wuhan Wuyao Pharmaceutical Co Ltd 
ácido ascórbico 
Northeast Pharmaceutical Group Co., Ltd </t>
  </si>
  <si>
    <t>10MG/5ML SOL ORAL CX FR PLAS AMB X 100ML + COP
10MG/5ML SOL ORAL CX FR PLAS AMB X 120 ML + COP
10MG/5ML SOL ORAL CX 50 FR PLAS AMB X 100ML + 50 COP
10MG/5ML SOL ORAL CX 50 FR PLAS AMB X 120ML + 50 COP</t>
  </si>
  <si>
    <t>Expediente do cancelamento</t>
  </si>
  <si>
    <t>Tipo de cancelamento</t>
  </si>
  <si>
    <t>Apresentações canceladas</t>
  </si>
  <si>
    <t>25351.556004/2011-43</t>
  </si>
  <si>
    <t>25351.651468/2009-30</t>
  </si>
  <si>
    <t xml:space="preserve">trometamol cetorolaco </t>
  </si>
  <si>
    <t>dipirona + cloridrato de prometazina + cloridrato de adifenina</t>
  </si>
  <si>
    <t>Medicamento</t>
  </si>
  <si>
    <t>Todas</t>
  </si>
  <si>
    <t>0159524195</t>
  </si>
  <si>
    <t>0171418190</t>
  </si>
  <si>
    <t>0190836197</t>
  </si>
  <si>
    <t>25351.189321/2019-11</t>
  </si>
  <si>
    <t>Comprimido de liberação prolongada</t>
  </si>
  <si>
    <t>Filme</t>
  </si>
  <si>
    <t>EQUIVALÊNCIA TERAPÊUTICA - Protocolo de Estudo</t>
  </si>
  <si>
    <t>Concluida análise.
Encontra-se na GGMED
Enc: 24/03/2019</t>
  </si>
  <si>
    <t>Acompanhamento 29/03/2019</t>
  </si>
  <si>
    <t>Acompanhamento 05/04/2019</t>
  </si>
  <si>
    <t>Concluida análise.
Encontra-se na GGMED, desde 04/04/2019</t>
  </si>
  <si>
    <t>Documento distribuído para a área técnica.
Encontra-se na CETER, desde 02/04/2019.</t>
  </si>
  <si>
    <r>
      <t xml:space="preserve">DRICS
</t>
    </r>
    <r>
      <rPr>
        <sz val="10"/>
        <rFont val="Calibri"/>
        <family val="2"/>
        <scheme val="minor"/>
      </rPr>
      <t>(Matriz cloridrato de hidroxizina Brainfarma)</t>
    </r>
  </si>
  <si>
    <t>1_Exigência referente a solicitação de registro recebida em 17/10/18, sob expediente nº 0596488/18-1.
2_Exigência referente a solicitação de registro cumprida em 23/10/18, sob expediente nº 1024046/18-2.
Processo saiu da fila em 15/10/2018.
3_Processo indeferido em 21/01/2019.
4_Protocolado recurso administrativo em 19/02/2019, sob expediente nº 0156116192, recurso retratado.</t>
  </si>
  <si>
    <t>Cancelamento publicado em 08/04/2019</t>
  </si>
  <si>
    <t>Data do submissão</t>
  </si>
  <si>
    <t>25351.587940/2016-17</t>
  </si>
  <si>
    <t>Neolon D</t>
  </si>
  <si>
    <t>gramicidina + nistatina + sulfato de neomicina + triancinolona acetonida</t>
  </si>
  <si>
    <t xml:space="preserve">Todas
</t>
  </si>
  <si>
    <t>0310228199</t>
  </si>
  <si>
    <t>Ausência de interesse comercial</t>
  </si>
  <si>
    <t>25351.555623/2011-14</t>
  </si>
  <si>
    <t>Similar-Clone</t>
  </si>
  <si>
    <t>10 MG COM CT BL AL PLAS TRANS X 12;
10 MG COM CT BL AL PLAS TRANS X 180 (EMB HOSP);
10 MG COM CX BL AL PLAS TRANS X 480 (EMB HOSP)</t>
  </si>
  <si>
    <t>0311090197</t>
  </si>
  <si>
    <t>Acompanhamento 12/04/2019</t>
  </si>
  <si>
    <t>Pós registro
Gen, Novos, Sim - Administrativo</t>
  </si>
  <si>
    <t>25351.644829/2009-31</t>
  </si>
  <si>
    <t>METIOCOLIN B12</t>
  </si>
  <si>
    <t xml:space="preserve">100MG + 25MG + 50MG + 2MCG DRG CT BL AL PLAS TRANS X 15
100MG + 25MG + 50MG + 2MCG DRG CT BL AL PLAS TRANS X 30
100MG + 25MG + 50MG + 2MCG DRG CT BL AL PLAS TRANS X 100
</t>
  </si>
  <si>
    <t>100MG + 25MG + 50MG + 2MCG</t>
  </si>
  <si>
    <t>0316291195</t>
  </si>
  <si>
    <t>1_Aguardando adequação do processo matriz à RDC31/2014.
2_Desistência de petição/processo a pedido protocolado em 12/04/19, sob expediente nº 0332118195.
Processo matriz: 25351.645926/2009-66
Verificado em 15/02/2019 que o expediente foi retirado da fila, pois o medicamento matriz aguarda análise da ANVISA.</t>
  </si>
  <si>
    <t>Acompanhamento 18/04/2019</t>
  </si>
  <si>
    <t>NEOZOLAM</t>
  </si>
  <si>
    <t>0,25 MG COM CT BL AL PLAS TRANS X 20
0,25 MG COM CT BL AL PLAS TRANS X 30
0,25 MG COM CX BL AL PLAS TRANS X 500 (EMB HOSP)
0,5 MG COM CT BL AL PLAS TRANS X 20
0,5 MG COM CT BL AL PLAS TRANS X 30
0,5 MG COM CT BL AL PLAS TRANS X 200 (EMB HOSP)
0,5 MG COM CT BL AL PLAS TRANS X 500 (EMB HOSP)
1 MG COM CT BL AL PLAS TRANS X 20
1 MG COM CT BL AL PLAS TRANS X 30
1 MG COM CT BL AL PLAS TRANS X 200 (EMB HOSP)
1 MG COM CT BL AL PLAS TRANS X 500 (EMB HOSP)
2,0 MG COM CT BL AL PLAS TRANS X 20
2,0 MG COM CT BL AL PLAS TRANS X 30
2,0 MG COM CT BL AL PLAS TRANS X 500 (EMB HOSP)</t>
  </si>
  <si>
    <t>0358523199</t>
  </si>
  <si>
    <t>Acompanhamento 26/04/2019</t>
  </si>
  <si>
    <t>Concluída análise.
Encontra-se na GGMED.
Enc: 23/04/2019.</t>
  </si>
  <si>
    <t>25351.010934/2018-45</t>
  </si>
  <si>
    <t>25351.563801/2011-21</t>
  </si>
  <si>
    <t>CONCEPNOR</t>
  </si>
  <si>
    <t>etinilestradiol + levonorgestrel</t>
  </si>
  <si>
    <t>0,15 MG + 0,030 MG COM REV CT BL AL PLAS TRANS X 21
0,15 MG + 0,030 MG COM REV CT BL AL PLAS TRANS X 6
0,15 MG + 0,030 MG COM REV CT BL AL PLAS TRANS X 525</t>
  </si>
  <si>
    <t>0362006199</t>
  </si>
  <si>
    <r>
      <t>RIZI</t>
    </r>
    <r>
      <rPr>
        <sz val="10"/>
        <rFont val="Calibri"/>
        <family val="2"/>
        <scheme val="minor"/>
      </rPr>
      <t xml:space="preserve">
(Matriz Vocety Glenmark)</t>
    </r>
  </si>
  <si>
    <r>
      <t xml:space="preserve">RIZI-M
</t>
    </r>
    <r>
      <rPr>
        <sz val="10"/>
        <rFont val="Calibri"/>
        <family val="2"/>
        <scheme val="minor"/>
      </rPr>
      <t>(Matriz Levolukast Glenmark)</t>
    </r>
  </si>
  <si>
    <t>ALIVIUM GC</t>
  </si>
  <si>
    <t xml:space="preserve">200 MG/ML SUS GOT CT FR GOT PLAS  OPC x 10 ML 
200 MG/ML SUS GOT CT FR GOT PLAS  OPC x 20 ML </t>
  </si>
  <si>
    <t>Inclusão de nova concentração</t>
  </si>
  <si>
    <t>25351.223361/2019-91</t>
  </si>
  <si>
    <t>0341032193</t>
  </si>
  <si>
    <t>SI Group Inc. (principal)
Basf Corporation (adicional)</t>
  </si>
  <si>
    <t>AVIV</t>
  </si>
  <si>
    <t xml:space="preserve">200 MG CAP DURA CT BL AL PLAS TRANS X 4
200 MG CAP DURA CT BL AL PLAS TRANS X 5
200 MG CAP DURA CT BL AL PLAS TRANS X 7
200 MG CAP DURA CT BL AL PLAS TRANS X 10
200 MG CAP DURA CT BL AL PLAS TRANS X 15
200 MG CAP DURA CT BL AL PLAS TRANS X 20
200 MG CAP DURA CT BL AL PLAS TRANS X 30 </t>
  </si>
  <si>
    <t>Jiangxi Synergy Pharmaceutical Co., Ltd.</t>
  </si>
  <si>
    <t>100 MG COM REV LIB PROL CT BL AL PLAS TRANS X 5
100 MG COM REV LIB PROL CT BL AL PLAS TRANS X 7
100 MG COM REV LIB PROL CT BL AL PLAS TRANS X 14
100 MG COM REV LIB PROL CT BL AL PLAS TRANS X 15
100 MG COM REV LIB PROL CT BL AL PLAS TRANS X 28
100 MG COM REV LIB PROL CT BL AL PLAS TRANS X 30
100 MG COM REV LIB PROL CT BL AL PLAS TRANS X 60
100 MG COM REV LIB PROL CT BL AL PLAS TRANS X 90</t>
  </si>
  <si>
    <t xml:space="preserve">racemetionina : Finquímica Indústria e Comércio de Produtos Químicos Finos Ltda.
Evonik Rexim (Nanning) Pharmaceutical Co., Ltd.
Evonik Degussa GmbH
clor. colina: IQT Ind. Química Taubaté S/A
Algry Química, S.L.
inositol: IQT Ind. Química Taubaté S/A
Zhucheng Haotian Pharm Co. Ltd.
ciano: Sanofi Chimie </t>
  </si>
  <si>
    <t>25351.255803/2019-69</t>
  </si>
  <si>
    <t>25351.255736/2019-82</t>
  </si>
  <si>
    <t>25351.258367/2015-74</t>
  </si>
  <si>
    <t>25351.836633/2018-37</t>
  </si>
  <si>
    <t>Acompanhamento 03/05/2019</t>
  </si>
  <si>
    <t>Concluída análise.
Encontra-se na GGMED.
Enc: 26/04/2019.</t>
  </si>
  <si>
    <t>1_Processo peticionado e Gru enviada para pagemento em 28/09/2018;
2_Protocolado em 20/03/19 Aditamento à solicitação de registro referente a proposta de alteração de nome comercial, sob expediente 0250871191
Expediente entrou em análise em 02/04/2019</t>
  </si>
  <si>
    <t>100 MG COM CT BL AL PLAS TRANS X 12
100 MG COM CX BL AL PLAS TRANS X 480</t>
  </si>
  <si>
    <t>75mg, 110mg e 150mg</t>
  </si>
  <si>
    <t>etexilato de dabigatrana</t>
  </si>
  <si>
    <t>25351.268988/2019-71</t>
  </si>
  <si>
    <t>Acompanhamento 10/05/2019</t>
  </si>
  <si>
    <t xml:space="preserve">Concluída análise.
Encontra-se na GGMED.
Desde: 07/05/2019 </t>
  </si>
  <si>
    <t xml:space="preserve">Concluída análise.
Encontra-se na GGMED.
Desde: 08/05/2019 </t>
  </si>
  <si>
    <t>Registro inovadores</t>
  </si>
  <si>
    <t>Cancelamento publicado em 13/05/2019</t>
  </si>
  <si>
    <t>25351.279596/2019-38</t>
  </si>
  <si>
    <t>0424177191</t>
  </si>
  <si>
    <t>Acompanhamento 17/05/2019</t>
  </si>
  <si>
    <t>dipirona monoidrata</t>
  </si>
  <si>
    <t>500 MG/ML SOL OR CT FR PLAS OPC GOT X 10 ML
500 MG/ML SOL OR CT FR PLAS OPC GOT X 15 ML
500 MG/ML SOL OR CT FR PLAS OPC GOT X 20 ML
500 MG/ML SOL OR CX 48 FR PLAS OPC GOT X 15 ML
500 MG/ML SOL OR CX 96 FR PLAS OPC GOT X 15 ML
500 MG/ML SOL OR CX 48 FR PLAS OPC GOT X 20 ML
500 MG/ML SOL OR CX 96 FR PLAS OPC GOT X 20 ML
500 MG/ML SOL OR CX 48 FR PLAS OPC GOT X 10 ML
500 MG/ML SOL OR CX 96 FR PLAS OPC GOT X 10 ML</t>
  </si>
  <si>
    <t>5 MG COM SUBL CT BL AL AL X 10
5 MG COM SUBL CT BL AL AL X 20
5 MG COM SUBL CT BL AL AL X 30</t>
  </si>
  <si>
    <t>Genérico
(Zydus)</t>
  </si>
  <si>
    <t xml:space="preserve">A documentação aguarda análise, em ordem cronológica de entrada.
Encontra-se na 
CETER Desde: 16/05/2019 </t>
  </si>
  <si>
    <t xml:space="preserve">cloridrato de tramadol + paracetamol </t>
  </si>
  <si>
    <t>37,5 MG + 325 MG COM REV CT BL AL PLAS OPC X 30</t>
  </si>
  <si>
    <t>37,5 + 325mg</t>
  </si>
  <si>
    <t>25351.760446/2014-53</t>
  </si>
  <si>
    <t>cloridrato de trazodona</t>
  </si>
  <si>
    <t>50 MG COM CT BL AL AL X 10
50 MG COM CT BL AL AL X 20
50 MG COM CT BL AL AL X 30
50 MG COM CT BL AL AL X 60
50 MG COM CT BL AL TRANS X 10
50 MG COM CT BL AL TRANS X 20
50 MG COM CT BL AL TRANS X 30
50 MG COM CT BL AL TRANS X 60
100 MG COM CT BL AL AL X 10
100 MG COM CT BL AL AL X 20
100 MG COM CT BL AL AL X 30
100 MG COM CT BL AL AL X 60
100 MG COM CT BL AL TRANS X 10
100 MG COM CT BL AL TRANS X 20
100 MG COM CT BL AL TRANS X 30
100 MG COM CT BL AL TRANS X 60</t>
  </si>
  <si>
    <t>100 MG CAP DURA CT BL AL AL X 30
200 MG CAP DURA CT BL AL AL X 30</t>
  </si>
  <si>
    <t>25351.300831/2019-48</t>
  </si>
  <si>
    <t xml:space="preserve">mucato de isometepteno + dipirona + cafeína anidra </t>
  </si>
  <si>
    <t>30 + 300 + 30mg</t>
  </si>
  <si>
    <t>Acompanhamento 24/05/2019</t>
  </si>
  <si>
    <t>Situação
Petição/processo preliminarmente analisado, estando em exigência, aguardando manifestação da empresa.
Encontra-se na
COPEC
Desde: 06/02/2019</t>
  </si>
  <si>
    <t>Documento distribuído para área técnica
Encontra-se na
CETER
Desde: 24/05/2019</t>
  </si>
  <si>
    <t>75 MG CAP DURA CT BL AL PLAS TRANS X 6 
75 MG CAP DURA CT BL AL PLAS TRANS X 10 
75 MG CAP DURA CT BL AL PLAS TRANS X 15 
75 MG CAP DURA CT BL AL PLAS TRANS X 20 
75 MG CAP DURA CT BL AL PLAS TRANS X 30 
75 MG CAP DURA CT BL AL PLAS TRANS X 60 
75 MG CAP DURA CT BL AL PLAS TRANS X 90 (EMB FRAC) 
150 MG CAP DURA CT BL AL PLAS TRANS X 6 
150 MG CAP DURA CT BL AL PLAS TRANS X 10 
150 MG CAP DURA CT BL AL PLAS TRANS X 15 
150 MG CAP DURA CT BL AL PLAS TRANS X 20 
150 MG CAP DURA CT BL AL PLAS TRANS X 30 
150 MG CAP DURA CT BL AL PLAS TRANS X 60 
150 MG CAP DURA CT BL AL PLAS TRANS X 90 (EMB FRAC)</t>
  </si>
  <si>
    <t>75 e 150mg</t>
  </si>
  <si>
    <t xml:space="preserve">cloridrato de tansulosina </t>
  </si>
  <si>
    <t xml:space="preserve">ezetimiba + sinvastatina </t>
  </si>
  <si>
    <t>0,4 MG COM REV LIB PROL CT BL AL AL X 10
0,4 MG COM REV LIB PROL CT BL AL AL X 20
0,4 MG COM REV LIB PROL CT BL AL AL X 30
0,4 MG COM REV LIB PROL CT BL AL AL X 60</t>
  </si>
  <si>
    <t>10 MG + 20 MG COM CT BL AL AL X 10
10 MG + 20 MG COM CT BL AL AL X 30
10 MG + 20 MG COM CT BL AL AL X 100 (EMB HOSP)
10 MG + 40 MG COM CT BL AL AL X 10
10 MG + 40 MG COM CT BL AL AL X 30
10 MG + 40 MG COM CT BL AL AL X 100 (EMB HOSP)</t>
  </si>
  <si>
    <t>0,4mg</t>
  </si>
  <si>
    <t>10 + 20mg e 10 + 40mg</t>
  </si>
  <si>
    <t>25351.396814/2016-01</t>
  </si>
  <si>
    <t xml:space="preserve">cloridrato de donepezila </t>
  </si>
  <si>
    <t>5 MG COM REV CT BL AL PLAS TRANS X 30
10 MG COM REV CT BL AL PLAS TRANS X 30</t>
  </si>
  <si>
    <t>5 e 10mg</t>
  </si>
  <si>
    <t>HISTAMIN</t>
  </si>
  <si>
    <t>2 MG COM CT BL AL PLAS TRANS X 10 
2 MG COM CT BL AL PLAS TRANS X 20 
2 MG COM CT BL AL PLAS TRANS X 30 
2 MG COM CT BL AL PLAS TRANS X 60
 2 MG COM CT BL AL PLAS TRANS X 100 
2 MG COM CT BL AL PLAS TRANS X 200 
2 MG COM CT BL AL PLAS TRANS X 400 
2 MG COM CT BL AL PLAS TRANS X 600</t>
  </si>
  <si>
    <t>5 e 20mg</t>
  </si>
  <si>
    <t>5 MG COM CT BL AL PLAS TRANS X 16
5 MG COM CT BL AL PLAS TRANS X 20
5 MG COM CT BL AL PLAS TRANS X 200 (EMB FRAC) 
5 MG COM CT BL AL PLAS TRANS X 500 (BEM HOSP)
20 MG COM CT BL AL PLAS TRANS X 10
20 MG COM CT BL AL PLAS TRANS X 20
20 MG COM CT BL AL PLAS TRANS X 200 (EMB FRAC) 
20 MG COM CT BL AL PLAS TRANS X 500 (BEM HOSP)</t>
  </si>
  <si>
    <t>cloridrato de fexofenadina</t>
  </si>
  <si>
    <t>120 MG COM REV CT BL AL PLAS TRANS X 5
120 MG COM REV CT BL AL PLAS TRANS X 10
180 MG COM REV CT BL AL PLAS TRANS X 5
180 MG COM REV CT BL AL PLAS TRANS X 10</t>
  </si>
  <si>
    <t>120 e 180mg</t>
  </si>
  <si>
    <t>Morepen Laboratories Limited</t>
  </si>
  <si>
    <t>25351.566289/2011-32</t>
  </si>
  <si>
    <t>Maleato de dexclorfeniramina</t>
  </si>
  <si>
    <t>2MG COM CT BL AL PLAS TRANS X 10
2MG COM CX 50 BL AL PLAS TRANS X 10 (EMB HOSP)
2MG COM CT BL AL PLAS TRANS X 20
2MG COM CT BL AL PLAS TRANS X 200 (EMB FRAC)</t>
  </si>
  <si>
    <t>0473271195</t>
  </si>
  <si>
    <t>25351.317652/2019-40</t>
  </si>
  <si>
    <t>0483949198</t>
  </si>
  <si>
    <t>25351.637645/2009-51</t>
  </si>
  <si>
    <t>LICOR DE CACAU XAVIER</t>
  </si>
  <si>
    <t>mebendazol</t>
  </si>
  <si>
    <t>Ausência de interesse comercial.</t>
  </si>
  <si>
    <t>O produto já encontrava-se com fabricação descontinuada.</t>
  </si>
  <si>
    <t>25351.561391/2011-40</t>
  </si>
  <si>
    <t>DIENZEPAX</t>
  </si>
  <si>
    <t>O produto já encontrava-se com fabricação descontinuada e não houve protocolo de petição de renovação de seu registro.</t>
  </si>
  <si>
    <t>Acompanhamento 31/05/2019</t>
  </si>
  <si>
    <t>As apresentações em questão serão transformadas em clone.</t>
  </si>
  <si>
    <t>0460121191</t>
  </si>
  <si>
    <t>0454587197</t>
  </si>
  <si>
    <t>25351.320004/2019-71</t>
  </si>
  <si>
    <t>0487568191</t>
  </si>
  <si>
    <t>0491859192</t>
  </si>
  <si>
    <t>25351.322397/2019-57</t>
  </si>
  <si>
    <t>25351.322432/2019-38</t>
  </si>
  <si>
    <t>0491888196</t>
  </si>
  <si>
    <t>25351.322966/2019-64</t>
  </si>
  <si>
    <t>Recebido o Ofício nº 0456591196, em 28/05/2019, indicado que foi eleito outro medicamento para a lista de referência, a saber, o medicamento Torsilax.</t>
  </si>
  <si>
    <t>25351.322654/2019-51</t>
  </si>
  <si>
    <t>25351.323293/2019-60</t>
  </si>
  <si>
    <t>10 MG COM CT BL AL PLAS TRANS X 7
10 MG COM CT BL AL PLAS TRANS X 10
10 MG COM CT BL AL PLAS TRANS X 12
10 MG COM CT BL AL PLAS TRANS X 15
10 MG COM CT BL AL PLAS TRANS X 20
10 MG COM CX BL AL PLAS TRANS X 120 (EMB HOSP)
10 MG COM CX BL AL PLAS TRANS X 200 (EMB HOSP)
10 MG COM CX BL AL PLAS TRANS X 240 (EMB HOSP)
10 MG COM CX BL AL PLAS TRANS X 360 (EMB HOSP)
10 MG COM CX BL AL PLAS TRANS X 480 (EMB HOSP)
10 MG COM CX BL AL PLAS TRANS X 500 (EMB HOSP)</t>
  </si>
  <si>
    <t>25351.329223/2019-15</t>
  </si>
  <si>
    <t>0503233194</t>
  </si>
  <si>
    <t>Posição na fila:
55
Situação do matriz:
Documento distribuído para área técnica.
Encontra-se na
CRMEC
Desde: 03/06/2019</t>
  </si>
  <si>
    <t>Acompanhamento 07/06/2019</t>
  </si>
  <si>
    <t>25351.567122/2011-21</t>
  </si>
  <si>
    <t>NEOTAFLAN</t>
  </si>
  <si>
    <t>diclofenaco resinato</t>
  </si>
  <si>
    <t>suspensão</t>
  </si>
  <si>
    <t xml:space="preserve">0488778196 </t>
  </si>
  <si>
    <t>25351.325444/2019-14</t>
  </si>
  <si>
    <t>0496696191</t>
  </si>
  <si>
    <t>25351.329222/2019-71</t>
  </si>
  <si>
    <t>25351.329221/2019-26</t>
  </si>
  <si>
    <t>0503231198</t>
  </si>
  <si>
    <t>25351.329220/2019-81</t>
  </si>
  <si>
    <t>0503230190</t>
  </si>
  <si>
    <t>25351.341108/2019-19</t>
  </si>
  <si>
    <t>0520807196</t>
  </si>
  <si>
    <t>25351.341193/2019-15</t>
  </si>
  <si>
    <t>Situação matriz:
Documento distribuído para área técnica.
Encontra-se na
CRMEC 
Desde: 06/06/2019</t>
  </si>
  <si>
    <t>Acompanhamento 14/06/2019</t>
  </si>
  <si>
    <t>Posição na fila:
52
Situação
A documentação solicitata pela ANVISA à empresa como cumprimento de exigência foi entregue e aguarda análise.
Encontra-se na
ARQVO
Desde: 07/05/2019</t>
  </si>
  <si>
    <t>Acompanhamento 16/06/2019</t>
  </si>
  <si>
    <t>Situação
Concluída análise
Encontra-se na
GGMED 
Enc.: 07/06/2019</t>
  </si>
  <si>
    <t>Situação
Concluída análise
Encontra-se na
GGMED
Enc.: 07/06/2019</t>
  </si>
  <si>
    <t>Situação
Concluída análise
Encontra-se na
GGMED
Enc.: 10/06/2019</t>
  </si>
  <si>
    <t>25351.534995/2011-35</t>
  </si>
  <si>
    <t xml:space="preserve">0521581191 </t>
  </si>
  <si>
    <t>Cancelamento de registro do medicamento como genérico, devido ao Projeto de reclassificação como Medicamento de Notificação Simplificada</t>
  </si>
  <si>
    <t>O produto já encontrava-se com sua fabricação suspensa desde ago/2017.</t>
  </si>
  <si>
    <t>25351.637784/2009-11</t>
  </si>
  <si>
    <t xml:space="preserve">Peptozil </t>
  </si>
  <si>
    <t>salicilato de bismuto monobásico</t>
  </si>
  <si>
    <t>A fabricação do produto já estava suspensa desde junho/2017.</t>
  </si>
  <si>
    <t>25351.262467/2015-86</t>
  </si>
  <si>
    <t xml:space="preserve">Bambair </t>
  </si>
  <si>
    <t>A fabricação do produto já estava suspensa de agosto/2017.</t>
  </si>
  <si>
    <t>25351.541779/2011-87</t>
  </si>
  <si>
    <t xml:space="preserve">Neo Isocaden </t>
  </si>
  <si>
    <t>A fabricação do produto já estava suspensa de fevereiro/2017.</t>
  </si>
  <si>
    <t>25351.535310/2012-63</t>
  </si>
  <si>
    <t xml:space="preserve">Colírio Blumen </t>
  </si>
  <si>
    <t>cloridrato de nafazolina 0,15mg/mL + sulfato de zinco</t>
  </si>
  <si>
    <t>A fabricação do produto estava suspensa desde fevereiro/2015</t>
  </si>
  <si>
    <t>25351.534948/2011-23</t>
  </si>
  <si>
    <t>A fabricação do produto já estava suspensa desde agosto/2018.</t>
  </si>
  <si>
    <t>25351.651490/2009-72</t>
  </si>
  <si>
    <t>Anaseptil</t>
  </si>
  <si>
    <t>pó de uso dermatológico</t>
  </si>
  <si>
    <t>sulfato de polimixina B + bacitracina zíncica + sulfato de neomicina + óxido de zinco + peróxido de zinco</t>
  </si>
  <si>
    <t>A fabricação do produto já estava suspensa desde janeiro/2019.</t>
  </si>
  <si>
    <t>Situação matriz:
A documentação solicitata pela ANVISA à empresa como cumprimento de exigência foi entregue e aguarda análise.
Encontra-se na
GRMED 
Desde: 23/01/2019</t>
  </si>
  <si>
    <t>Posição na fila:
50
Situação
A documentação solicitata pela ANVISA à empresa como cumprimento de exigência foi entregue e aguarda análise.
Encontra-se na
ARQVO
Desde: 07/05/2019</t>
  </si>
  <si>
    <t>Acompanhamento 19/06/2019</t>
  </si>
  <si>
    <t>Situação
Concluída análise
Encontra-se na
GGMED
Desde: 18/06/2019</t>
  </si>
  <si>
    <t xml:space="preserve">0496015197 </t>
  </si>
  <si>
    <t>Situação
Concluída análise
Encontra-se na
GGMED 
Desde 18/06/2019</t>
  </si>
  <si>
    <t xml:space="preserve">0499846194 </t>
  </si>
  <si>
    <t xml:space="preserve">0518178190 </t>
  </si>
  <si>
    <t xml:space="preserve">0475360197 </t>
  </si>
  <si>
    <t>Situação
Concluída análise
Encontra-se na
GGMED
Desde 18/06/2019</t>
  </si>
  <si>
    <t xml:space="preserve">0526343193 </t>
  </si>
  <si>
    <t xml:space="preserve">0535141193 </t>
  </si>
  <si>
    <t>Situação
Concluída análise
Encontra-se na
GGMED 
Desde: 18/06/2019</t>
  </si>
  <si>
    <t>Situação
Aguardando análise
Encontra-se na
CPMEC 
Desde: 18/06/2019
Posição na fila: 7</t>
  </si>
  <si>
    <t>Situação
Aguardando análise
Encontra-se na
CPMEC 
Desde: 18/06/2019
Posição na fila: 64</t>
  </si>
  <si>
    <t>25351.535022/2011-41</t>
  </si>
  <si>
    <t>Cancelamento do registro Genérico Brainfarma (25351.535022/2011-41) mediante deferimento como clone</t>
  </si>
  <si>
    <t>Cancelamento mediante deferimento como clone: 
Posição na fila do Registro - Clone: 
68</t>
  </si>
  <si>
    <t>25351.636502/2009-95</t>
  </si>
  <si>
    <t xml:space="preserve">Melhoral C </t>
  </si>
  <si>
    <t>ácido acetilsalicílico + ácido ascórbico</t>
  </si>
  <si>
    <t>5 MG COM REV CT BL AL PLAS TRANS X 10
5 MG COM REV CT BL AL PLAS TRANS X 30
10 MG COM REV CT BL AL PLAS TRANS X 30</t>
  </si>
  <si>
    <t xml:space="preserve">0763587187  </t>
  </si>
  <si>
    <t xml:space="preserve">Hemovirtus </t>
  </si>
  <si>
    <t>25351.636487/2009-61</t>
  </si>
  <si>
    <t>extrato mole de Hamamelis virginiana L. + extrato mole de Davilla rugosa P. + extrato mole de Atropa belladonna L. + mentol + cloridrato de lidocaína</t>
  </si>
  <si>
    <t xml:space="preserve">A fabricação do produto já estava suspensa desde Janeiro/2017.  </t>
  </si>
  <si>
    <t>Flatex</t>
  </si>
  <si>
    <t>25351.653189/2009-73</t>
  </si>
  <si>
    <t>comprimido e emulsão gotas</t>
  </si>
  <si>
    <t xml:space="preserve">A fabricação do produto já estava suspensa desde maio/2016
</t>
  </si>
  <si>
    <t>Cancelamento publicado em 24/06/2019.</t>
  </si>
  <si>
    <t>Acompanhamento 28/06/2019</t>
  </si>
  <si>
    <t>Situação
Aguardando análise
Encontra-se na
CPMEC 
Desde: 18/06/2019
Posição na fila: 6</t>
  </si>
  <si>
    <t>Situação
Aguardando análise
Encontra-se na
CPMEC 
Desde: 18/06/2019
Posição na fila: 44</t>
  </si>
  <si>
    <t>Cancelamento mediante deferimento como clone: 
Posição na fila do Registro - Clone: 
67</t>
  </si>
  <si>
    <t>0535091193</t>
  </si>
  <si>
    <t>0553037197</t>
  </si>
  <si>
    <t>0535019191</t>
  </si>
  <si>
    <t>Específicos- menor complexidade</t>
  </si>
  <si>
    <t>O produto será transformado em CLONE do medicamento Similar Brainfarma CORTICORTEN</t>
  </si>
  <si>
    <t>Posição na fila:
53
Situação
A documentação solicitata pela ANVISA à empresa como cumprimento de exigência foi entregue e aguarda análise.
Encontra-se na
ARQVO
Desde: 07/05/2019</t>
  </si>
  <si>
    <t>25351.367366/2019-25</t>
  </si>
  <si>
    <t>1_ Notificação de exigência recebida em 26/06/2019, sob expediente nº 0558960/19-6.
2_Cumprimento de exigência realizado em 03/07/19, sob expediente nº 0585226199.</t>
  </si>
  <si>
    <t>Aguardando publicação da desistência</t>
  </si>
  <si>
    <t>Nº do processo matriz: 25351.593829/2015-16 
Expediente retirado da fila (verificado em 15/02/2019).
A petição do medicamento clone esta aguardando a análise do medicamento matriz.
Em 07/03/2019 a análise técnica do matriz foi concluída e encaminhada para publicação.
Indeferimento matriz e clone publicado em 11/03/2019.
1_ Desistência de petição/processo a pedido protocolado em 18/06/2019,  sob expediente nº 0538654193.</t>
  </si>
  <si>
    <t>Acompanhamento 05/07/2019</t>
  </si>
  <si>
    <t>Posição na fila:
50
Situação do matriz:
Petição/processo preliminarmente analisado, estando em exigência, aguardando manifestação da empresa.
Encontra-se na
GRMED
Desde: 01/07/2019</t>
  </si>
  <si>
    <t>Situação matriz: 
Documento distribuído para área técnica.
Encontra-se na
GRMED
Enc.: 02/07/2019</t>
  </si>
  <si>
    <t>Cancelamento mediante deferimento como clone: 
Posição na fila do Registro - Clone: 
64</t>
  </si>
  <si>
    <t>Situação
Aguardando análise
Encontra-se na
CPMEC 
Desde: 18/06/2019
Posição na fila: 30</t>
  </si>
  <si>
    <t>Situação
Concluída análise
Encontra-se na
GGMED
Desde: 03/07/2019</t>
  </si>
  <si>
    <t>Situação
A documentação solicitata pela ANVISA à empresa como cumprimento de exigência foi entregue e aguarda análise.
Encontra-se na
COPEC
Desde: 06/02/2019</t>
  </si>
  <si>
    <t>Documento distribuído para área técnica
Encontra-se na
CETER
Desde: 04/07/2019</t>
  </si>
  <si>
    <t>Situação
Aguardando análise
Encontra-se na
CPMEC 
Desde: 18/06/2019
Posição na fila: 5</t>
  </si>
  <si>
    <t>25351.535806/2011-91</t>
  </si>
  <si>
    <t xml:space="preserve">nitrato de isoconazol </t>
  </si>
  <si>
    <t>Creme vaginal</t>
  </si>
  <si>
    <t xml:space="preserve">0566301196 </t>
  </si>
  <si>
    <t>25351.534976/2011-21</t>
  </si>
  <si>
    <t>O produto já estava com a fabricação suspensa desde junho/2017</t>
  </si>
  <si>
    <t xml:space="preserve">naproxeno sódico </t>
  </si>
  <si>
    <t>550 MG COM REV CT BL AL PLAS TRANS X 10
550 MG COM REV CT BL AL PLAS TRANS X 20
550 MG COM REV CT BL AL PLAS TRANS X 200</t>
  </si>
  <si>
    <t>CALMINEX ATLETA</t>
  </si>
  <si>
    <t>salicilato de metila + cânfora</t>
  </si>
  <si>
    <t>100 MG/G + 10 MG/G GEL CT BG AL X 20 G</t>
  </si>
  <si>
    <t>100+10mg</t>
  </si>
  <si>
    <t>s: salicilato de metila - Novacyl Inc.
c: Oriental Aromatics</t>
  </si>
  <si>
    <t>25351.395207/2019-11</t>
  </si>
  <si>
    <t>0605391192</t>
  </si>
  <si>
    <t>Acompanhamento 12/07/2019</t>
  </si>
  <si>
    <t>1_Ofício nº 0608006195/2019 recebido em 11/07/2017: "A Coordenação se manifesta pela aceitação do método apresentado para comprovação
no perfil de dissolução"</t>
  </si>
  <si>
    <t>Ofício nº 0608006195/2019 recebido em 11/07/2017: "A Coordenação se manifesta pela aceitação do método apresentado para comprovação
no perfil de dissolução"</t>
  </si>
  <si>
    <t>1_Notificação de exigência recebida em 13/05/19, sob expediente nº 0416276/19-5.
2_Cumprimento de exigência realizado em 12/06/19, sob expediente nº 0520571199.
3_Expediente entrou em análise 01/05/2019.</t>
  </si>
  <si>
    <t>Cancelamento publicado em 08/07/2019.</t>
  </si>
  <si>
    <t>Posição na fila:
43
Situação do matriz:
Petição/processo preliminarmente analisado, estando em exigência, aguardando manifestação da empresa.
Encontra-se na
GRMED
Desde: 01/07/2019</t>
  </si>
  <si>
    <t>0566904199</t>
  </si>
  <si>
    <t>25351.541578/2011-39</t>
  </si>
  <si>
    <t>O produto será transformado em CLONE do medicamento Genérico BRAINFARMA.</t>
  </si>
  <si>
    <t>Cancelamento do registro Similar Brainfarma (25351.541578/2011-39) mediante deferimento como clone</t>
  </si>
  <si>
    <t>Situação
Aguardando análise
Encontra-se na
CPMEC 
Desde: 18/06/2019
Posição na fila: 2</t>
  </si>
  <si>
    <t>Situação
Aguardando análise
Encontra-se na
CPMEC 
Desde: 18/06/2019
Posição na fila: 21</t>
  </si>
  <si>
    <t>Cancelamento mediante deferimento como clone: 
Posição na fila do Registro - Clone: 
57</t>
  </si>
  <si>
    <t>Cancelamento mediante deferimento como clone: 
Posição na fila do Registro - Clone:
aguarda expediente</t>
  </si>
  <si>
    <t>10820 - ENSAIOS CLÍNICOS - Modificação de DDCM - Alteração que potencialmente gera impacto na qualidade ou segurança do produto sob investigação</t>
  </si>
  <si>
    <t>Ensaio Clínico foi finalizado
Encontra-se na
COPEC
Desde: 04/07/2018</t>
  </si>
  <si>
    <t>Os documentos técnicos relacionados à petição tiveram a análise concluída pela área responsável.
Encontra-se na
CETER
Desde: 08/07/2019</t>
  </si>
  <si>
    <t>25351.363435/2019-21</t>
  </si>
  <si>
    <t>Situação
Documento distribuído para área técnica.
Encontra-se na
CETER 
Desde: 26/06/2019</t>
  </si>
  <si>
    <t>Situação
Documento distribuído para área técnica
Encontra-se na
COPEC
Enc.: 11/07/2019</t>
  </si>
  <si>
    <t xml:space="preserve">1_Aditamento à solicitação de registro protocolado em 08/01/2019 sob expediente nº 0022732/19-3.
2_Aditamento para a CRMEC de nome comercial em 22/03/19, sob expediente nº 0261166190.
3_Notificação de Exigência referente ao aditamento para a CRMEC de nome comercial recebida em 02/05/19, sob expediente nº 0377263/19-2.
4_Cumprimento de exigência referente ao aditamento para a CRMEC de nome comercial realizado em 04/06/19, sob expediente nº 0495599/19-4.
5_Recebemos exigência em 24/06/19. Previsão de resposta em 01/07.
6_Cumprimento de exigência referente ao registro realizado em 01/07/2019, sob expediente nº 0574627/19-2.
7_Retificação de publicação ANVISA em relação ao nome comercial protocolado em 15/07/19 sob expediente nº 0616892192. </t>
  </si>
  <si>
    <t>25351.405496/2019-73</t>
  </si>
  <si>
    <t>0620751191</t>
  </si>
  <si>
    <t>25351.408484/2019-09</t>
  </si>
  <si>
    <t>0624823193</t>
  </si>
  <si>
    <t xml:space="preserve">25351.410769/2019-00 </t>
  </si>
  <si>
    <t xml:space="preserve">0628485190 </t>
  </si>
  <si>
    <t>Situação do matriz:
Petição/processo preliminarmente analisado, estando em exigência, aguardando manifestação da empresa.
Encontra-se na
GRMED
Desde: 01/07/2019</t>
  </si>
  <si>
    <t>Acompanhamento 19/07/2019</t>
  </si>
  <si>
    <t>Situação
Aguardando análise
Encontra-se na
CPMEC 
Desde: 18/06/2019
Posição na fila: 8</t>
  </si>
  <si>
    <t xml:space="preserve">Cancelamento mediante deferimento como clone: 
Posição na fila do Registro - Clone: 79
</t>
  </si>
  <si>
    <t>Situação
Os documentos técnicos relacionados à petição tiveram a análise concluída pela área responsável.
Encontra-se na
ARQVO Desde: 16/07/2019</t>
  </si>
  <si>
    <t>Cancelamento mediante deferimento como clone: 
Posição na fila do Registro - Clone: 
49</t>
  </si>
  <si>
    <t>Situação
Concluída análise
Encontra-se na
GGMED - 
Desde: 16/07/2019</t>
  </si>
  <si>
    <t>Situação
Concluída análise
Encontra-se na
GGMED -
Desde: 16/07/2019</t>
  </si>
  <si>
    <t>1_ inicio da análise em 23/05/2019
2_Aditamento à solicitação de registro protocolado em 19/07/2019 sob o expediente XXXX</t>
  </si>
  <si>
    <t>Status do Cancelamento</t>
  </si>
  <si>
    <t>Motivo do cancelamento</t>
  </si>
  <si>
    <t>Status Geral</t>
  </si>
  <si>
    <t xml:space="preserve">A FF será transformado em CLONE do medicamento genérico loratadina comprimido </t>
  </si>
  <si>
    <t>Aguarda publicação do clone.</t>
  </si>
  <si>
    <t>Cancelamento mediante deferimento como clone - Previsão: Janeiro/2020</t>
  </si>
  <si>
    <t>SAT 2019051250</t>
  </si>
  <si>
    <t xml:space="preserve">dipirona sódica +  butilbrometo de escopolamina </t>
  </si>
  <si>
    <t>333,4mg/mL +  6,67 mg/mL</t>
  </si>
  <si>
    <t>Camila Salles / 18/02/2019 / Projeto PR0578/18</t>
  </si>
  <si>
    <r>
      <t xml:space="preserve">A inclusão de novo medicamento de referência na lista da ANVISA para o produto dipirona sódica 333,4mg/mL + butilbrometo de escopolamina 6,67 mg/mL solução oral foi solicitada em 18/02/2019, através do SAT nº 2019051250, devido ao projeto PR0578/18 - Neocopan / Atroveran Duo – Redesenvolvimento – Solução oral 
</t>
    </r>
    <r>
      <rPr>
        <b/>
        <sz val="10"/>
        <rFont val="Calibri"/>
        <family val="2"/>
        <scheme val="minor"/>
      </rPr>
      <t xml:space="preserve">SATs </t>
    </r>
    <r>
      <rPr>
        <sz val="10"/>
        <rFont val="Calibri"/>
        <family val="2"/>
        <scheme val="minor"/>
      </rPr>
      <t>: 18/02/2019 2019051250  -  30/04/2019 2019131475 - 27/06/2019 2019202210</t>
    </r>
  </si>
  <si>
    <t xml:space="preserve">cloridrato de fexofenadina </t>
  </si>
  <si>
    <t>Cancelamento publicado em 22/07/2019.</t>
  </si>
  <si>
    <t>Acompanhamento 26/07/2019</t>
  </si>
  <si>
    <t>Situação
Aguardando análise
Encontra-se na
CPMEC 
Desde: 18/06/2019
Posição na fila: 1</t>
  </si>
  <si>
    <t>25351.396716/2019-61</t>
  </si>
  <si>
    <t>Situação
Petição priorizada e aguardando análise técnica.
Encontra-se na
COPEC 
Desde: 22/07/2019</t>
  </si>
  <si>
    <t>Cancelamento mediante deferimento como clone. 
Situação do Clone:
Petição/processo preliminarmente analisado, estando em exigência, aguardando manifestação da empresa.
Encontra-se na
GRMED
Desde: 17/07/2019</t>
  </si>
  <si>
    <t>Ofício nº 0600685190, recebido em 09/07/2019:
"Em atenção à solicitação do expediente 1019594187, esclarecemos o medicamento Mucoangin na forma farmacêutica pastilha se encontra cancelado.
De acordo com o levantamento feito em nossas bases de dados não há outro produto registrado nessa forma farmacêutica para cloridrato de ambroxol.
Dessa forma, não será possível a eleição de um medicamento de referência."</t>
  </si>
  <si>
    <t>ezetimiba + rosuvastatina cálcica</t>
  </si>
  <si>
    <t>10 MG + 5 MG CAP DURA CT BL AL AL X 7
10 MG + 5 MG CAP DURA CT BL AL AL X 10
10 MG + 5 MG CAP DURA CT BL AL AL X 30
10 MG + 5 MG CAP DURA CT BL AL AL X 60
10 MG + 10 MG CAP DURA CT BL AL AL X 7
10 MG + 10 MG CAP DURA CT BL AL AL X 10
10 MG + 10 MG CAP DURA CT BL AL AL X 30
10 MG + 10 MG CAP DURA CT BL AL AL X 60
10 MG + 20 MG CAP DURA CT BL AL AL X 7
10 MG + 20 MG CAP DURA CT BL AL AL X 10
10 MG + 20 MG CAP DURA CT BL AL AL X 30
10 MG + 20 MG CAP DURA CT BL AL AL X 60</t>
  </si>
  <si>
    <t>25351.563828/2011-58</t>
  </si>
  <si>
    <t xml:space="preserve">Neoceflex  </t>
  </si>
  <si>
    <t xml:space="preserve">cefalexina monoidratada </t>
  </si>
  <si>
    <t>Pó para suspensão oral</t>
  </si>
  <si>
    <t>25351.441094/2019-32</t>
  </si>
  <si>
    <t>Acompanhamento 02/08/2019</t>
  </si>
  <si>
    <t xml:space="preserve">Cancelamento mediante deferimento como clone.
Posição na fila do Registro - Clone: 74
</t>
  </si>
  <si>
    <t>0781837198</t>
  </si>
  <si>
    <t>Clone não consta na fila.
Situação do matriz: 
Petição/processo preliminarmente analisado, estando em exigência, aguardando manifestação da empresa.
Encontra-se na
GRMED
Desde: 01/07/2019</t>
  </si>
  <si>
    <t xml:space="preserve">Cancelamento mediante deferimento como clone.
Posição na fila do Registro - Clone: 58
</t>
  </si>
  <si>
    <t>50 MG COM CT BL AL AL X 10
50 MG COM CT BL AL AL X 20
50 MG COM CT BL AL AL X 30
50 MG COM CT BL AL AL X 60
 50 MG COM CT BL AL TRANS X 10
50 MG COM CT BL AL TRANS X 20
50 MG COM CT BL AL TRANS X 30
50 MG COM CT BL AL TRANS X 60
100 MG COM CT BL AL AL X 10
100 MG COM CT BL AL AL X 20
100 MG COM CT BL AL AL X 30
100 MG COM CT BL AL AL X 60
 100 MG COM CT BL AL TRANS X 10
100 MG COM CT BL AL TRANS X 20
100 MG COM CT BL AL TRANS X 30
100 MG COM CT BL AL TRANS X 60</t>
  </si>
  <si>
    <t>Situação matriz: 
Documento distribuído para área técnica.
Encontra-se na
GRMED
Enc.: 02/07/2019
Posição do matriz na fila: 119</t>
  </si>
  <si>
    <t>Acompanhamento 09/08/2019</t>
  </si>
  <si>
    <t>1_Ofício nº 0589782193 recebido em 08/07/2019: "O desenho do referido estudo é adequado ao seu objetivo, entretanto o mesmo
deve ser iniciado somente após aprovação do Comitê de Ética em Pesquisa."</t>
  </si>
  <si>
    <t xml:space="preserve">Cancelamento mediante deferimento como clone.
Status do clone: 
A documentação está sendo analisada.
Encontra-se na
GRMED
Desde: 06/08/2019
</t>
  </si>
  <si>
    <t>1973436191</t>
  </si>
  <si>
    <t>25351.466564/2019-71</t>
  </si>
  <si>
    <t>25351.637876/2009-55</t>
  </si>
  <si>
    <t>Pó e Granulado</t>
  </si>
  <si>
    <t>Senna alexandrina Miller + Cassia fistula L.</t>
  </si>
  <si>
    <t>Geleia oral – Com açúcar</t>
  </si>
  <si>
    <t xml:space="preserve">GEL CT FR PLAS OPC X 150 G
GEL CT FR PLAS OPC X 250 G
(4,878 + 4,719) MG GEL CT FR PLAS OPC X 150 G + COL
(4,878 + 4,719) MG GEL CT FR PLAS OPC X 250 G + COL
</t>
  </si>
  <si>
    <t>Fitoterápicos - Menor complexidade</t>
  </si>
  <si>
    <t>ALIVIUM</t>
  </si>
  <si>
    <t>Comprimido e Comprimido revestido</t>
  </si>
  <si>
    <t xml:space="preserve">600 MG COM REV CX BL AL PLAS TRANS X 192 (EMB MULT)
600 MG COM CT BL AL PLAS TRANS X 192 (EMB MULT)
</t>
  </si>
  <si>
    <t>O laboratório detentor do registro informa que não tem mais interesse na comercialização das apresentações da forma farmacêutica Geleia, com açúcar.</t>
  </si>
  <si>
    <t>Clone não consta na fila.
Situação matriz: 
Documento distribuído para área técnica.
Encontra-se na
GRMED
Enc.: 02/07/2019
Posição do matriz na fila: 117</t>
  </si>
  <si>
    <t xml:space="preserve">Posição do clone na fila: 38
Status do Matriz:
Documento distribuído para área técnica.
Encontra-se na
GRMED
Enc.: 02/07/2019
Posição do matriz na fila: 117 </t>
  </si>
  <si>
    <t>Posição do clone na fila: 54
Status do Matriz:
Documento distribuído para área técnica.
Encontra-se na
GRMED
Enc.: 02/07/2019
Posição na fila:119</t>
  </si>
  <si>
    <t>Situação
Aguardando análise
Encontra-se na
CPMEC 
Desde: 18/06/2019
Posição na fila: 4</t>
  </si>
  <si>
    <t>Acompanhamento 16/08/2019</t>
  </si>
  <si>
    <t>Situação
Concluída análise
Encontra-se na
GGMED 
Enc.: 12/08/2019</t>
  </si>
  <si>
    <t>1_Entrou na fila na posição 208 em 02/08/2019.
2_Saiu da fila na posição 191 em 16/08/2019.</t>
  </si>
  <si>
    <t xml:space="preserve">Situação
Aguardando análise do cumprimento de exigência.
Encontra-se na
COPEC.
Desde: 13/08/2019
</t>
  </si>
  <si>
    <t xml:space="preserve">SAT realizado em 11/09/2018 cobrando expediente
1_Ofício recebido em 25/01/2019, respondido em 31/01/2019 através do número de conhecimento 201901310022PR.
2_Alteração do fármaco identificador para dimeticona . (Listado como solicitação recusada pois não gerou inclusão na lista)
</t>
  </si>
  <si>
    <t>APRACUR DUO
(Matriz Benegrip Cosmed)</t>
  </si>
  <si>
    <t>25351.538582/2011-03</t>
  </si>
  <si>
    <t>Inephoros XR</t>
  </si>
  <si>
    <t>Succinato de metoprolol</t>
  </si>
  <si>
    <t>Comprimido revestido de liberação prolongada</t>
  </si>
  <si>
    <t>1_Entrou em exigência em 14/08/2019 sob o nº 1969716/19-3.
2_Exigência cumprida em 14/08/2019 sob o expediente 1984046195.</t>
  </si>
  <si>
    <t>Suspensão (sublingual)</t>
  </si>
  <si>
    <t>ENSAIOS CLÍN ICOS - Anuência em processo do Dossiê de Desenvolvimento Clínico de Medicamento (DDCM)-
Sintético</t>
  </si>
  <si>
    <t>Aprovado</t>
  </si>
  <si>
    <t>ENSAIOS CLÍNICOS – Anuência em Processo de Pesquisa Clínica – Medicamentos Sintéticos (FASE I)</t>
  </si>
  <si>
    <t>1_Notificação de Início de Ensaio Clínico no Brasil protocolada em 04/09/2018, sob expediente nº 0863301/18-1.
2_Notificação de término de EC no Brasil protocolado em 18/01/2019 sob o expediente 0052868/19-4.
3_Relatório final de acompanhamento de EC protocolado em 09/05/019 sb o expediente 0415089/19-9.</t>
  </si>
  <si>
    <t xml:space="preserve">ENSAIOS CLÍNICOS – Modificação de DDCM – Alteração que potencialmente gera impacto na qualidade ou
segurança do produto sob investigação </t>
  </si>
  <si>
    <t>1_Aditamento protocolado em 05/02/2019 sob o expediente 0107924/19-7.
2_Notificação de Exigência Nº 0121849/19-2 aberta em 11/02/2019.
3_Protocolado cumprimento de exigência em 10/06/2019 sob o expediente 0515207/19-1.
4_Notificação de exigência Nº 0711097/19-9 aberta em 24/07/2019.
5_Protocolo de cumprimento de exigência em 16/08/2019 sob o expediente 1999629/19-1.</t>
  </si>
  <si>
    <t xml:space="preserve"> ENSAIOS CLÍNICOS - Modificação de DDCM - Inclusão de protocolo de ensaio clínico não previsto no plano inicial de desenvolvimento</t>
  </si>
  <si>
    <t>Situação
Documento distribuído para área técnica
Encontra-se na
COPEC
Enc.: 11/07/2019
Posição na fila: 19</t>
  </si>
  <si>
    <t>Situação
Documento distribuído para área técnica
Encontra-se na
COPEC
Enc.: 11/07/2019
Fila: 24</t>
  </si>
  <si>
    <t>Cepacaína (Sanofi-Aventis)</t>
  </si>
  <si>
    <t>cloreto de cetilpirídineo + benzocaína</t>
  </si>
  <si>
    <t>0,5mg/mL +
4mg/mL</t>
  </si>
  <si>
    <t>Camila Salles / 07/08/2019 / Inclusão de medicamento comparador</t>
  </si>
  <si>
    <t>SAT 2019256765</t>
  </si>
  <si>
    <t>1,466mg + 10mg</t>
  </si>
  <si>
    <t>Pós para suspensão oral</t>
  </si>
  <si>
    <t>25351.531554/2014-00</t>
  </si>
  <si>
    <t>TONIFILA</t>
  </si>
  <si>
    <t>MENIV</t>
  </si>
  <si>
    <t>Acompanhamento 23/08/2019</t>
  </si>
  <si>
    <t>1_Entrou na fila na posição 201 em 23/08/2019</t>
  </si>
  <si>
    <t>1_Entrou na fila na posição 241 em 23/08/2019</t>
  </si>
  <si>
    <t>1_Entrou na fila na posição 245 em 23/08/2019</t>
  </si>
  <si>
    <t>1_Entrou na fila na posição 246 em 23/08/2019</t>
  </si>
  <si>
    <t>Situação
Aguardando análise do cumprimento de exigência
Encontra-se na
COPEC 
Desde: 08/02/2019</t>
  </si>
  <si>
    <t>Situação
Documento distribuído para área técnica
Encontra-se na
COPEC
Enc.: 11/07/2019
Posição na fila: 16</t>
  </si>
  <si>
    <t>Situação
Concluída análise
Encontra-se na
GGMED
Desde: 19/08/2019</t>
  </si>
  <si>
    <t>Concluída Análise.
Previsão de publicação para 26/08/2019.</t>
  </si>
  <si>
    <t>Clone não consta na fila.
Situação matriz: 
Documento distribuído para área técnica.
Encontra-se na
GRMED
Enc.: 02/07/2019
Posição do matriz na fila: 116</t>
  </si>
  <si>
    <t>Posição do clone na fila: 26
Status do Matriz:
Documento distribuído para área técnica.
Encontra-se na
GRMED
Enc.: 02/07/2019
Posição do matriz na fila: 116</t>
  </si>
  <si>
    <t>25351.543169/2011-19</t>
  </si>
  <si>
    <t>Aguarda análise - Matriz aguardando análise</t>
  </si>
  <si>
    <t>Aguarda análise - Matriz em análise</t>
  </si>
  <si>
    <t>Aguarda análise - Matriz Deferido</t>
  </si>
  <si>
    <t>Instruções para previsão de prazo</t>
  </si>
  <si>
    <t>Julho/19 - Outubro/19</t>
  </si>
  <si>
    <t>Novembro/19 - Fevereiro/20</t>
  </si>
  <si>
    <t>Março/20 - Junho/20</t>
  </si>
  <si>
    <t>Para processos em exigência:</t>
  </si>
  <si>
    <t>1- Verificar em qual ciclo a data de cumprimento de exigência se encaixa;
2- Somar 120 dias simulando prazo máximo com emissão de exigência;
3- Verificar em qual ciclo a data calculada cairá e adicionar o prazo máximo do referido ciclo.
Ex: Para uma exigência cumprida no primeiro ciclo:  Ciclo GRMED jul - out 2019 (31/10/2019) + 120 exigência + 4 meses novo ciclo março. Previsão: 02/2020</t>
  </si>
  <si>
    <t>Para processos aguardando análise:</t>
  </si>
  <si>
    <t>Seguir prazo médio estipulado pelo I-helps (consultar aba Fórmulas)</t>
  </si>
  <si>
    <t>Clone com matriz em análise:</t>
  </si>
  <si>
    <t>Clone com matriz deferido:</t>
  </si>
  <si>
    <r>
      <t>Genérico:</t>
    </r>
    <r>
      <rPr>
        <sz val="11"/>
        <rFont val="Calibri"/>
        <family val="2"/>
      </rPr>
      <t xml:space="preserve"> Adicionar 1 mês ao prazo de previsão do matriz</t>
    </r>
  </si>
  <si>
    <r>
      <t>Similiar:</t>
    </r>
    <r>
      <rPr>
        <sz val="11"/>
        <rFont val="Calibri"/>
        <family val="2"/>
      </rPr>
      <t xml:space="preserve"> Adicionar 3 meses ao prazo de previsão do matriz</t>
    </r>
  </si>
  <si>
    <t xml:space="preserve">Ciclos GRMED (Manif. Até: 31/10/2019)
Genéricos e similares: protocolados até novembro de 2018 
Inovadores: protocolados até Dezembro de 2018   
Novos: protocolados até Janeiro 2019  
Fonte: E-mail de: regulatorios@sindusfarma.org.br 
Recebido em: segunda-feira, 15 de julho de 2019 14:25
Assunto: Sindusfarma | IMPORTANTE - Atualização - distribuição GRMED
</t>
  </si>
  <si>
    <t>Data de entrada em análise</t>
  </si>
  <si>
    <t>Obs.: Histórico de versão anterior da planilha salvas em obsoleto em 29/08/2019</t>
  </si>
  <si>
    <t xml:space="preserve">0492807195 </t>
  </si>
  <si>
    <t>Clone não consta na fila.
Situação matriz: 
Documento distribuído para área técnica.
Encontra-se na
GRMED
Enc.: 02/07/2019
Posição do matriz na fila: 115</t>
  </si>
  <si>
    <t>Posição do clone na fila: 26
Status do Matriz:
Documento distribuído para área técnica.
Encontra-se na
GRMED
Enc.: 02/07/2019
Posição do matriz na fila: 115</t>
  </si>
  <si>
    <t>Acompanhamento 30/08/2020</t>
  </si>
  <si>
    <t>Cancelamento mediante deferimento como clone.
Status do clone: 
Petição/processo preliminarmente analisado, estando em exigência, aguardando manifestação da empresa.
Encontra-se na
GRMED
Desde: 06/08/2019</t>
  </si>
  <si>
    <t>Situação
Concluída análise
Encontra-se na
GGMED
Enc. 28/08/2019</t>
  </si>
  <si>
    <t>Situação
Em análise
Encontra-se na
GMESP
Desde: 27/08/2019</t>
  </si>
  <si>
    <t>1_Entrou na fila n posição 35 em 16/08/2019.
2_Saiu da fila em 30/08/2019 na posição 22.</t>
  </si>
  <si>
    <t>1_Entrou na fila na posição 25 em 16/08/2019.
2_Saiu da fila e entrou em análise em 30/08/2019 na posição 22.</t>
  </si>
  <si>
    <t>Neovermin</t>
  </si>
  <si>
    <t>Suspensão e comprimido</t>
  </si>
  <si>
    <t>25351.566177/2011-58</t>
  </si>
  <si>
    <t>2072254191</t>
  </si>
  <si>
    <t>1_Entrou na fila na posição 314 em 30/08/2019</t>
  </si>
  <si>
    <t>Suspensão oral (gotas)</t>
  </si>
  <si>
    <t xml:space="preserve">50 MG/ML SUS OR CT FR PLAS OPC GOT X 15 ML
50 MG/ML SUS OR CT FR PLAS OPC GOT X 30 ML
50 MG/ML SUS OR CT 50 FR PLAS OPC GOT X 15
50 MG/ML SUS OR CT 50 FR PLAS OPC GOT X 30 ML
</t>
  </si>
  <si>
    <t>2076218196</t>
  </si>
  <si>
    <t>O laboratório detentor do registro informa que não tem mais interesse na comercialização da apresentação da forma farmacêutica suspensão oral.</t>
  </si>
  <si>
    <t>1_Entrou na fila na posição 323 em 30/08/2019</t>
  </si>
  <si>
    <t>Acompanhamento 30/08/2019</t>
  </si>
  <si>
    <t>Situação
Os documentos técnicos relacionados à petição tiveram a análise concluída pela área responsável.
Encontra-se na
CETER
Desde: 30/08/2019</t>
  </si>
  <si>
    <t>Situação
Documento distribuído para área técnica
Encontra-se na
COPEC
Enc.: 11/07/2019
Posição na fila: 12</t>
  </si>
  <si>
    <t xml:space="preserve">cloridrato de nafazolina + maleato de mepiramina + dexpantenol </t>
  </si>
  <si>
    <t>1,0 mg/mL + 0,2 mg/mL  + 5 mg/mL</t>
  </si>
  <si>
    <t>Solução Nasal</t>
  </si>
  <si>
    <t>Rodrigo Brito / 23/08/2019 / Inclusão de medicamento comparador</t>
  </si>
  <si>
    <t>furoato de mometasona - Clone</t>
  </si>
  <si>
    <t>Cápsula com pó para inalação</t>
  </si>
  <si>
    <t>2094439190</t>
  </si>
  <si>
    <t>1_Ofício nº 2080978196, recebido em  02/09/2019 - CETER consentiu com a proposta de estudo.</t>
  </si>
  <si>
    <t>cloridrato de nafazolina</t>
  </si>
  <si>
    <t>25351.541343/2011-29</t>
  </si>
  <si>
    <t>25351.379687/2014-68</t>
  </si>
  <si>
    <t>Solução nasal</t>
  </si>
  <si>
    <t>2094464191</t>
  </si>
  <si>
    <t>25351.541699/2011-12</t>
  </si>
  <si>
    <t>Neo Doxicilin</t>
  </si>
  <si>
    <t xml:space="preserve">cloridrato de doxicilina </t>
  </si>
  <si>
    <t>2094482199</t>
  </si>
  <si>
    <t>25351.538619/2011-61</t>
  </si>
  <si>
    <t>Vasodipina</t>
  </si>
  <si>
    <t>nimodipino</t>
  </si>
  <si>
    <t>2102798196</t>
  </si>
  <si>
    <t>2104132196</t>
  </si>
  <si>
    <t>2102778191</t>
  </si>
  <si>
    <t>25351.352392/2014-44</t>
  </si>
  <si>
    <t>2104159198</t>
  </si>
  <si>
    <t>Clone não consta na fila.
Situação matriz: 
Documento distribuído para área técnica.
Encontra-se na
GRMED
Enc.: 02/07/2019
Posição do matriz na fila: 113</t>
  </si>
  <si>
    <t>Clone retirado da Fila.
Status do Matriz:
Documento distribuído para área técnica.
Encontra-se na
GRMED
Enc.: 02/07/2019
Posição do matriz na fila: 113</t>
  </si>
  <si>
    <t>25351.535025/2011-29</t>
  </si>
  <si>
    <t>nitrofural</t>
  </si>
  <si>
    <t>2108972198</t>
  </si>
  <si>
    <t>25351.545314/2011-08</t>
  </si>
  <si>
    <t>rifamicina sv sódica</t>
  </si>
  <si>
    <t>Solução spray</t>
  </si>
  <si>
    <t>2108916197</t>
  </si>
  <si>
    <t>Tiamin</t>
  </si>
  <si>
    <t>cloridrato de piridoxina + riboflavina + nicotinamida + pantenol</t>
  </si>
  <si>
    <t>25351.541476/2011-00</t>
  </si>
  <si>
    <t>Solução injetável</t>
  </si>
  <si>
    <t>2109053190</t>
  </si>
  <si>
    <t>Neo Dimeticon</t>
  </si>
  <si>
    <t>Emulsão gotas</t>
  </si>
  <si>
    <t>25351.563824/2011-41</t>
  </si>
  <si>
    <t>2110444191</t>
  </si>
  <si>
    <t>Acompanhamento 06/09/2019</t>
  </si>
  <si>
    <t>Situação
Concluída análise
Encontra-se na
GGMED
Desde: 04/09/2019</t>
  </si>
  <si>
    <t>Situação
Documento distribuído para área técnica
Encontra-se na
COPEC
Enc.: 11/07/2019
Posição na fila: 9</t>
  </si>
  <si>
    <t>50 mg/mL</t>
  </si>
  <si>
    <t xml:space="preserve">50 MG/ML SOL CAPI CT FR PLAS OPC X 15 ML + VALV SPR
50 MG/ML SOL CAPI CT FR PLAS OPC X 30 ML + VALV SPR
50 MG/ML SOL CAPI CT FR PLAS OPC X 50 ML + VALV SPR
</t>
  </si>
  <si>
    <t>OLON S.p.A.</t>
  </si>
  <si>
    <t>25351.518449/2019-99</t>
  </si>
  <si>
    <t>1_Entrou na fila na posição 305 em 30/08/2019</t>
  </si>
  <si>
    <t>1_Entrou na fila na posição 307 em 30/08/2019</t>
  </si>
  <si>
    <t>1_Entrou na fila na posição 311 em 30/08/2019</t>
  </si>
  <si>
    <t>1_Entrou na fila na posição 310 em 30/08/2019</t>
  </si>
  <si>
    <t>1_Entrou na fila na posição 49 em 30/08/2019</t>
  </si>
  <si>
    <t xml:space="preserve">1_Retificação de publicação ANVISA em relação ao nome comercial protocolado em 09/09/2019 sob expediente nº 2134549190. </t>
  </si>
  <si>
    <t>2146274197</t>
  </si>
  <si>
    <t>25351-543130/2011-11</t>
  </si>
  <si>
    <t>Neolefrin® Baby</t>
  </si>
  <si>
    <t>maleato de carbinoxamina + paracetamol</t>
  </si>
  <si>
    <t>2146002197</t>
  </si>
  <si>
    <t>Clone não consta na fila.
Situação matriz: 
Documento distribuído para área técnica.
Encontra-se na
GRMED
Enc.: 02/07/2019
Posição do matriz na fila: 112</t>
  </si>
  <si>
    <t>Clone retirado da Fila.
Status do Matriz:
Documento distribuído para área técnica.
Encontra-se na
GRMED
Enc.: 02/07/2019
Posição do matriz na fila: 112</t>
  </si>
  <si>
    <t>Acompanhamento 13/09/2019</t>
  </si>
  <si>
    <t>Situação
Publicado deferimento em 09/09/2019.
Encontra-se na
GGMED 
Desde: 09/09/2019</t>
  </si>
  <si>
    <t>1_Entrou na fila na posição 310 em 13/09/2019</t>
  </si>
  <si>
    <t>1_Entrou na fila na posição 309 em 13/09/2019</t>
  </si>
  <si>
    <t>Publicado deferimento em 09/09/2019.</t>
  </si>
  <si>
    <t>minoxidil</t>
  </si>
  <si>
    <t>1_Ofício nº 2141245196 recebido em 17/09/2019  informando que o medicamento solicitado, será incluído
na próxima atualização da Lista de Medicamentos de Referência.</t>
  </si>
  <si>
    <t>25351.543283/2011-96</t>
  </si>
  <si>
    <t>2185552198</t>
  </si>
  <si>
    <t xml:space="preserve">cloridrato de dopamina </t>
  </si>
  <si>
    <t>solução Injetável</t>
  </si>
  <si>
    <t>2185135192</t>
  </si>
  <si>
    <t>25351.542292/2019-12</t>
  </si>
  <si>
    <t>Clone não consta na fila.
Situação do matriz: 
Petição/processo preliminarmente analisado, estando em exigência, aguardando manifestação da empresa.
Encontra-se na
GRMED
Desde: 16/09/2019</t>
  </si>
  <si>
    <t>1_Entrou na fila na posição 359 em 20/09/2019</t>
  </si>
  <si>
    <t>1_Entrou na fila na posição 356 em 20/09/2019</t>
  </si>
  <si>
    <t>Acompanhamento 20/09/2019</t>
  </si>
  <si>
    <t>Situação
Os documentos técnicos relacionados à petição tiveram a análise concluída pela área responsável.
Encontra-se na
ARQVO 
Desde: 09/09/2019</t>
  </si>
  <si>
    <t>Situação
Documento distribuído para área técnica
Encontra-se na
COPEC
Enc.: 11/07/2019
Posição na fila: 5</t>
  </si>
  <si>
    <t>0290332196</t>
  </si>
  <si>
    <t>0409280195</t>
  </si>
  <si>
    <t>0457673190</t>
  </si>
  <si>
    <t>0555078195</t>
  </si>
  <si>
    <t>0607146195</t>
  </si>
  <si>
    <t xml:space="preserve">0639256193 </t>
  </si>
  <si>
    <t>25351.534914/2011-00</t>
  </si>
  <si>
    <t>1_Clone saiu da fila na posição 35 em 16/08/2019.
2_Deferimento publicado em 23/09/2019.</t>
  </si>
  <si>
    <t>25351.718749/2013-44</t>
  </si>
  <si>
    <t>Solução Oftálmica</t>
  </si>
  <si>
    <t>2,22 MG/ML SOL OFT CT FR GOT PLAS OPC X 2,5 ML</t>
  </si>
  <si>
    <t>2220356197</t>
  </si>
  <si>
    <t>Apresentação  não foi lançada e por isso será cancelada uma vez que não foi possível comprovar a sua comercialização, sendo assim não foi possível renovar a mesma.</t>
  </si>
  <si>
    <t>Clone não consta na fila.
Situação matriz: 
Documento distribuído para área técnica.
Encontra-se na
GRMED
Enc.: 02/07/2019
Posição do matriz na fila: 108</t>
  </si>
  <si>
    <t>Clone retirado da Fila.
Status do Matriz:
Documento distribuído para área técnica.
Encontra-se na
GRMED
Enc.: 02/07/2019
Posição do matriz na fila: 108</t>
  </si>
  <si>
    <t>Acompanhamento 20/09/2020</t>
  </si>
  <si>
    <t>Acompanhamento 27/09/2019</t>
  </si>
  <si>
    <t>2016233192</t>
  </si>
  <si>
    <t>1_Entrou na fila na posição 385 em 27/09/2019</t>
  </si>
  <si>
    <t>Situação
A documentação está sendo analisada. 
Encontra-se na
COPEC
Desde: 25/09/2019</t>
  </si>
  <si>
    <t xml:space="preserve">Passiflora incarnata L. </t>
  </si>
  <si>
    <t>MARACUGINA PI</t>
  </si>
  <si>
    <t>Dia 17/09 posição 10 da fila de análise.
1_Notificação de Exigência de Registro recebida em 19/03/19, sob expediente nº 0223263194.
2_Exigência cumprida em 23/04/19, sob expediente nº 0364453/19-7.
3_Notificação de Exigência de Registro recebida em 23/05/19, sob nº 0439833/19-5.
4_Aditamento para a CRMEC de nome comercial em 11/06/19, sob expediente nº 0514239193.
5_Exigência cumprida em 16/08/2019 sem número de expediente de cumprimento.
6_Publicado deferimento em DOU na data de 30/09/2019.
7_ Ofício nº 2192161190 recebido em 30/09/2019 referente à solicitação de correção de nome no folheto.</t>
  </si>
  <si>
    <t>Acompanhamento 04/10/2019</t>
  </si>
  <si>
    <t>Situação
Concluída análise
Encontra-se na
GGMED
Enc. 01/10/2019</t>
  </si>
  <si>
    <t>Concluída Análise.</t>
  </si>
  <si>
    <t>1_Entrou na fila na posição 223 em 16/08/2019
2_Saiu da fila na posição 53 e entrou em anáçose em 04/10/2019</t>
  </si>
  <si>
    <t>1_Entrou na fila na posição 279 em 30/08/2019
2_Saiu da fila na posição 137 e entrou em anáçose em 04/10/2019</t>
  </si>
  <si>
    <t>1_Entrou na fila na posição 314 em 30/08/2019
2_Saiu da fila na posição 169 e entrou em anáçose em 04/10/2019</t>
  </si>
  <si>
    <t>1_Entrou na fila na posição 295 em 30/08/2019
2_Saiu da fila na posição 199 e entrou em anáçose em 04/10/2019</t>
  </si>
  <si>
    <t>1_Entrou na fila na posição 296 em 30/08/2019
2_Saiu da fila na posição 200 e entrou em anáçose em 04/10/2019</t>
  </si>
  <si>
    <t>1_Entrou na fila na posição 297 em 30/08/2019
2_Saiu da fila na posição 201 e entrou em anáçose em 04/10/2019</t>
  </si>
  <si>
    <t>1_Entrou na fila na posição 304 em 30/08/2019
2_Saiu da fila na posição 208 e entrou em anáçose em 04/10/2019</t>
  </si>
  <si>
    <t>1_Entrou na fila na posição 308 em 30/08/2019
2_Saiu da fila na posição 212 e entrou em anáçose em 04/10/2019</t>
  </si>
  <si>
    <t>1_Exigência cumprida em 30/07/2019, sob expediente 1909109193.
2_Recebido Ofício nº 2297236196 em 07/10/2019 relatando que A empresa clone é
responsável apenas pela avaliação e liberação dos lotes do medicamento registrado por ela. Isto não desobriga a
empresa detentora do registro a cumprir o disposto na RDC 10/11.</t>
  </si>
  <si>
    <t>cloridrato de isometepteno + dipirona + cafeína</t>
  </si>
  <si>
    <t>2365832191</t>
  </si>
  <si>
    <t>Ausência de interesse comercial na apresentação solução gotas.</t>
  </si>
  <si>
    <t>Neo Mistatin</t>
  </si>
  <si>
    <t>Nistatina</t>
  </si>
  <si>
    <t>Suspensão oral</t>
  </si>
  <si>
    <t>25351.539107/2011-57</t>
  </si>
  <si>
    <t xml:space="preserve">100.000 UI/ML SUS OR CT FR VD AMB X 50 ML + DOSADOR
100.000 UI SUS OR CX 50 FR VD AMB X 50 ML + 50 CGT
</t>
  </si>
  <si>
    <t>(50 + 300 + 30) MG/ML SOL OR CT FR PLAS OPC GOT X 15 ML
(50 + 300 + 30) MG/ML SOL OR CT 50 FR PLAS OPC GOT X 15 ML</t>
  </si>
  <si>
    <t>2366626199</t>
  </si>
  <si>
    <t>Ausência de interesse comercial na apresentação suspensão oral.</t>
  </si>
  <si>
    <t>valerato de betametasona</t>
  </si>
  <si>
    <t>25351.539096/2011-80</t>
  </si>
  <si>
    <t>2366644197</t>
  </si>
  <si>
    <t>Clone não consta na fila.
Situação matriz: 
Documento distribuído para área técnica.
Encontra-se na
GRMED
Enc.: 02/07/2019
Posição do matriz na fila: 103</t>
  </si>
  <si>
    <t>Clone retirado da Fila.
Status do Matriz:
Documento distribuído para área técnica.
Encontra-se na
GRMED
Enc.: 02/07/2019
Posição do matriz na fila: 103</t>
  </si>
  <si>
    <t>Acompanhamento 04/05/2020</t>
  </si>
  <si>
    <t>Acompanhamento 11/10/2019</t>
  </si>
  <si>
    <t>Situação
Concluída análise
Encontra-se na
GGMED
Enc.: 09/10/2019</t>
  </si>
  <si>
    <t>Situação
Concluída análise
Encontra-se na
GGMED
Enc.: 08/10/2019</t>
  </si>
  <si>
    <t>1_Entrou na fila na posição 360 em 11/10/2019</t>
  </si>
  <si>
    <t>1_Entrou na fila na posição 361 em 11/10/2019</t>
  </si>
  <si>
    <t>1_Entrou na fila na posição 362 em 11/10/2019</t>
  </si>
  <si>
    <t>1_Entrou na fila na posição 226 em 23/08/2019
2_Saiu da fila na posição 69 e entrou em análise em 04/10/2019</t>
  </si>
  <si>
    <t>Cancelamento mediante deferimento como clone. 
Situação do Clone:
A análise técnica foi finalizada. Aguardar publicação.
Encontra-se na
GRMED
Desde: 17/07/2019</t>
  </si>
  <si>
    <t>Acompanhamento 18/10/2019</t>
  </si>
  <si>
    <t>Situação
Concluída análise
Encontra-se na
GGMED
Enc.: 15/10/2019</t>
  </si>
  <si>
    <t>Cancelamento mediante deferimento como clone. 
Situação do Clone:
A análise técnica foi finalizada. Aguardar publicação.
Encontra-se na
GGMED
Desde: 16/10/2019</t>
  </si>
  <si>
    <t>Situação
Concluída análise
Encontra-se na
GGMED
Desde: 15/10/2019</t>
  </si>
  <si>
    <t>Situação
Concluída análise
Encontra-se na
GGMED 
Enc.: 11/10/2019</t>
  </si>
  <si>
    <t>1_Exigência cumprida em 01/10/2019^, sob o nº de expediente 2305894198.  
2_Publicado deferimento em 21/10/2019.</t>
  </si>
  <si>
    <t>Cancelamento publicado em 21/10/2019.</t>
  </si>
  <si>
    <t>Situação
Petição/processo preliminarmente analisado, estando em exigência, aguardando manifestação da empresa.
Encontra-se na
COPEC
Desde: 25/09/2019</t>
  </si>
  <si>
    <t>25351.535220/2012-71</t>
  </si>
  <si>
    <t xml:space="preserve">15 MG/ML XPE CT FR PLAS AMB X 100 ML
15 MG/ML XPE CT FR PLAS AMB X 100 ML + COP
</t>
  </si>
  <si>
    <t>2543546199</t>
  </si>
  <si>
    <t>cloreto de cetilpiridínio monoidratado + benzocaína</t>
  </si>
  <si>
    <t>1,466 mg + 10 mg e 0,5 mg/mL + 4,0 mg/mL</t>
  </si>
  <si>
    <t>Pastilha e Solução oral</t>
  </si>
  <si>
    <t xml:space="preserve">Camila Salles </t>
  </si>
  <si>
    <t>2557933199</t>
  </si>
  <si>
    <t>Situação Concluída análise
Encontra-se na GGMED
Desde 23/10/2019</t>
  </si>
  <si>
    <t>Clone não consta na fila.
Situação matriz: 
Documento distribuído para área técnica.
Encontra-se na
GRMED
Enc.: 02/07/2019
Posição do matriz na fila: 102</t>
  </si>
  <si>
    <t>Clone retirado da Fila.
Status do Matriz:
Documento distribuído para área técnica.
Encontra-se na
GRMED
Enc.: 02/07/2019
Posição do matriz na fila: 102</t>
  </si>
  <si>
    <t>Acompanhamento 25/10/2019</t>
  </si>
  <si>
    <t>Situação
Concluída análise
Encontra-se na
CPMEC
Enc.: 23/10/2019</t>
  </si>
  <si>
    <t xml:space="preserve">Situação
Concluída análise
Encontra-se na
GGMED
Desde: 23/10/2019
</t>
  </si>
  <si>
    <t>Aguardando publicação do clone, cujo status consta como Concluída análise
Encontra-se na GGMED
Desde 23/10/201
Previsão de publicação para: 29/10/2019</t>
  </si>
  <si>
    <t>Concluída Análise.
Previsão de publicação para: 29/10/2019</t>
  </si>
  <si>
    <t>1_Exigência cumprida em 09/08/2019, sob expediente 1952738199.
2_Publicado deferimento em 29/10/2019.</t>
  </si>
  <si>
    <t>25351.620582/2019-12</t>
  </si>
  <si>
    <t>2620210197</t>
  </si>
  <si>
    <t>1MG/G CREME CT BG AL X 20G
1MG/G CREME CX 50 BG AL X 20G  (EMB HOSP)</t>
  </si>
  <si>
    <t>Tiago Dias</t>
  </si>
  <si>
    <t>Corante</t>
  </si>
  <si>
    <t>Excipiente</t>
  </si>
  <si>
    <t>Amarelo de quinolina e laca de alumínio</t>
  </si>
  <si>
    <t>Fármaco</t>
  </si>
  <si>
    <t>besilato de levanlodipino hemipentaidratado</t>
  </si>
  <si>
    <t>Corante Vermelho 40</t>
  </si>
  <si>
    <t xml:space="preserve">Amarelo Crepúsculo Laca de Alumínio </t>
  </si>
  <si>
    <t>Corante caramelo</t>
  </si>
  <si>
    <t>Inclusão de Nova Indicação Terapêutica</t>
  </si>
  <si>
    <t>Clone não consta na fila.
Situação matriz: 
Documento distribuído para área técnica.
Encontra-se na
GRMED
Enc.: 02/07/2019
Posição do matriz na fila: 100</t>
  </si>
  <si>
    <t>Clone retirado da Fila.
Status do Matriz:
Documento distribuído para área técnica.
Encontra-se na
GRMED
Enc.: 02/07/2019
Posição do matriz na fila: 100</t>
  </si>
  <si>
    <t>Acompanhamento 01/11/2019</t>
  </si>
  <si>
    <t>Aguardando publicação do clone que teve
análise concluída.
Encontra-se na
CRMEC
Desde: 30/10/2019
Previsão: Novembro 2019</t>
  </si>
  <si>
    <t>Situação
Concluída análise
Encontra-se na
GMESP
Enc.: 31/10/2019</t>
  </si>
  <si>
    <t>Situação
Concluída análise
Encontra-se na
COPEC 
Desde: 31/10/2019</t>
  </si>
  <si>
    <t xml:space="preserve">
Situação
Em análise do cumprimento de exigência
Encontra-se na
COPEC
Desde: 31/10/2019
</t>
  </si>
  <si>
    <t>Aguarda pagamento de taxa.
1-Entrou em análise em 18/10/2019 na posição 9 da fila
2_ Entrou em exigência em 22/10/2019 sob o número 2522835/19-8.
3_Publicado deferimento em 04/11/2019.</t>
  </si>
  <si>
    <t>1_Entrou em análise em 09/08/2019
2_Entrou em exigência em 14/08/2019 sob o nº 1933102/19-9.
3_Exigência cumprda em 26/08/2019 sor o expediente 2051181195. OBS: Houve mudança de noe do produto de FIKBEM para EQUILIBRISSE.
4_Publicado deferimento em 04/11/2019.</t>
  </si>
  <si>
    <t>1_Clone entrou na fila na posição 50 em 16/08/2019.
2_Publicado deferimento em 04/11/2019.</t>
  </si>
  <si>
    <t>EQUILIBRISSE
(Matriz Maracugina Cosmed)</t>
  </si>
  <si>
    <t>500 MG COM CX BL AL PLAS TRANS X 240</t>
  </si>
  <si>
    <t>3039959199</t>
  </si>
  <si>
    <t>Ausência de interesse comercial na apresentação do comprimido de 500mg.</t>
  </si>
  <si>
    <t>Situação
Concluída análise
Encontra-se na
GGMED
Desde: 06/11/2019</t>
  </si>
  <si>
    <t>Clone não consta na fila.
Situação matriz: 
Documento distribuído para área técnica.
Encontra-se na
GRMED
Enc.: 02/07/2019
Posição do matriz na fila: 99</t>
  </si>
  <si>
    <t>Clone retirado da Fila.
Status do Matriz:
Documento distribuído para área técnica.
Encontra-se na
GRMED
Enc.: 02/07/2019
Posição do matriz na fila: 99</t>
  </si>
  <si>
    <t>Acompanhamento 08/11/2019</t>
  </si>
  <si>
    <t>Situação
Concluída análise
Encontra-se na
GGMED
Desde: 07/11/2019</t>
  </si>
  <si>
    <t>concluído análise</t>
  </si>
  <si>
    <t>Situação
Publicado deferimento em 04/11/2019. 
Encontra-se na
COPEC
Desde: 31/10/2019</t>
  </si>
  <si>
    <t>Situação
Publicado deferimento em 05/11/2019.
Encontra-se na
COPEC
Desde: 03/11/2019</t>
  </si>
  <si>
    <t>1_CE submetido em 24/01/2013, sob expediente n° 0062599130.
2_Resposta ao Ofício nº 0342171176/2017 protocolado em 20/03/17, sob expediente n° 0447090177.
Obs: Aguarda retorno do MR à lista da ANVISA, conforme Ofício nº 2245587166/2016, de 02/09/2016.
3_ Publicado deferimento em 11/11/2019.</t>
  </si>
  <si>
    <t>NEO LORATADIN
(Matriz loratadina Brainfarma)</t>
  </si>
  <si>
    <t>1_Em 03/05/2019: posição 67 da fila
2_Em 27/06/2019: saiu da fila e entrou em análise
3_Em 30/08/2019: verificado que a data de entrada em análise foi alterada para 28/08/2019 sem alteração da situação do processo.
4_Deferimento publicado em11/11/2019</t>
  </si>
  <si>
    <t>3118588196</t>
  </si>
  <si>
    <t>25351.261863/2015-06</t>
  </si>
  <si>
    <t>CORISTINA VITAMINA C</t>
  </si>
  <si>
    <t xml:space="preserve"> ÁCIDO ASCÓRBICO</t>
  </si>
  <si>
    <t xml:space="preserve">Comprimido Simples e Comprimido efervescente </t>
  </si>
  <si>
    <t>Pós registro Específicos - Menor complexidade</t>
  </si>
  <si>
    <t>nitrofurantoína</t>
  </si>
  <si>
    <t>100 MG CAP DURA CT BL AL PLAS TRANS X 40</t>
  </si>
  <si>
    <t>eritritol</t>
  </si>
  <si>
    <t>Danille Coltre</t>
  </si>
  <si>
    <t>3122652193</t>
  </si>
  <si>
    <t>extrato seco de Panax ginseng + cloridrato de tiamina + riboflavina + nicotinamida + cloridrato de piridoxina + cianocobalamina + acetato de tocoferol</t>
  </si>
  <si>
    <t>Clone não consta na fila.
Situação matriz: 
Documento distribuído para área técnica.
Encontra-se na
GRMED
Enc.: 02/07/2019
Posição do matriz na fila: 98</t>
  </si>
  <si>
    <t>Clone retirado da Fila.
Status do Matriz:
Documento distribuído para área técnica.
Encontra-se na
GRMED
Enc.: 02/07/2019
Posição do matriz na fila: 98</t>
  </si>
  <si>
    <t>Situação
Aguardando análise do cumprimento de exigência
Encontra-se na
COPEC 
Desde: 25/09/2019</t>
  </si>
  <si>
    <t>Acompanhamento 14/11/2019</t>
  </si>
  <si>
    <t>25351.268937/2015-66</t>
  </si>
  <si>
    <t>3173726199</t>
  </si>
  <si>
    <t>Sensiderme</t>
  </si>
  <si>
    <t>Pomada dermatológica</t>
  </si>
  <si>
    <t>25351.539299/2011-86</t>
  </si>
  <si>
    <t>3192336194</t>
  </si>
  <si>
    <t>25351.539187/2011-08</t>
  </si>
  <si>
    <t>Gestradiol</t>
  </si>
  <si>
    <t>3210112191</t>
  </si>
  <si>
    <t>Clone não consta na fila.
Situação do matriz: 
Petição/processo preliminarmente analisado, estando em exigência, aguardando manifestação da empresa.
Encontra-se na
GRMED
Desde: 16/09/2019</t>
  </si>
  <si>
    <t>Clone não consta na fila.
Situação do matriz: 
A documentação solicitada pela ANVISA como cumprimento de exigência foi entregue e aguarda análise. 
Encontra-se na
GRMED
Desde: 16/09/2019</t>
  </si>
  <si>
    <t>Acompanhamento 22/11/2019</t>
  </si>
  <si>
    <t>1_Entrou na fila na posição 536 em 22/11/2019</t>
  </si>
  <si>
    <t>1_Entrou na fila na posição 543 em 22/11/2019</t>
  </si>
  <si>
    <t>Rifan Spray</t>
  </si>
  <si>
    <t>rifamicina SV sódica</t>
  </si>
  <si>
    <t>Solução tópica</t>
  </si>
  <si>
    <t>3248458195</t>
  </si>
  <si>
    <t>25351.538876/2011-15</t>
  </si>
  <si>
    <t>Hipodermon</t>
  </si>
  <si>
    <t>palmitato de retinol + colecalciferol + óxido de zinco</t>
  </si>
  <si>
    <t>3248663194</t>
  </si>
  <si>
    <t>25351.555596/2011-10</t>
  </si>
  <si>
    <t>Neosac</t>
  </si>
  <si>
    <t>25351.541674/2011-37</t>
  </si>
  <si>
    <t>3248993195</t>
  </si>
  <si>
    <t>Cetilplex - Xarope</t>
  </si>
  <si>
    <t>20MG/ML XPE CT FR VD AMB X 100ML
20MG/ML XPE CX 50 FR VD AMB X 100ML (EMB HOSP)
20MG/ML XPE CT FR VD AMB X 100ML + CP MED
20MG/ML XPE CX 50 FR VD AMB X 100ML (EMB HOSP) + 50 CP MED</t>
  </si>
  <si>
    <t>3250486191</t>
  </si>
  <si>
    <t>3250539196</t>
  </si>
  <si>
    <t>25351.555306/2011-28</t>
  </si>
  <si>
    <t>3250637196</t>
  </si>
  <si>
    <t>25351.545321/2011-36</t>
  </si>
  <si>
    <t>sulfato de salbutamol</t>
  </si>
  <si>
    <t>3251586193</t>
  </si>
  <si>
    <t>25351.535098/2011-39</t>
  </si>
  <si>
    <t>3257723191</t>
  </si>
  <si>
    <t>25351.535823/2011-47</t>
  </si>
  <si>
    <t>Situação
Petição/processo preliminarmente analisado, estando em exigência, aguardando manifestação da empresa.
Encontra-se na GRMED, desde 07/11/2018.</t>
  </si>
  <si>
    <t>Clone não consta na fila.
Situação matriz: 
Documento distribuído para área técnica.
Encontra-se na
GRMED
Enc.: 02/07/2019
Posição do matriz na fila: 97</t>
  </si>
  <si>
    <t>Clone retirado da Fila.
Status do Matriz:
Documento distribuído para área técnica.
Encontra-se na
GRMED
Enc.: 02/07/2019
Posição do matriz na fila: 97</t>
  </si>
  <si>
    <t>Acompanhamento 29/11/2019</t>
  </si>
  <si>
    <t>Situação
Concluída análise
COPEC 
Desde: 25/09/2019</t>
  </si>
  <si>
    <t>1_Entrou na fila na posição 540 em 29/11/2019</t>
  </si>
  <si>
    <t>1_Entrou na fila na posição 542 em 29/11/2019</t>
  </si>
  <si>
    <t>1_Entrou na fila na posição 545 em 29/11/2019</t>
  </si>
  <si>
    <t>1_Entrou na fila na posição 546 em 29/11/2019</t>
  </si>
  <si>
    <t>1_Entrou na fila na posição 547 em 29/11/2019</t>
  </si>
  <si>
    <t>25351.693676/2019-01</t>
  </si>
  <si>
    <t>1068 - EQUIVALÊNCIA TERAPÊUTICA - Protocolo de Estudo</t>
  </si>
  <si>
    <t>3324394198</t>
  </si>
  <si>
    <t xml:space="preserve">0053804193 </t>
  </si>
  <si>
    <t xml:space="preserve">citrato de colina + betaína monoidratada + racemetionina </t>
  </si>
  <si>
    <t>100+50+10mg/Ml</t>
  </si>
  <si>
    <t>Magnopyrol</t>
  </si>
  <si>
    <t>25351.658848/2009-35</t>
  </si>
  <si>
    <t>3352982195</t>
  </si>
  <si>
    <t>500 MG COM CT 25 BL AL PLAS AMB X 04
500 MG COM CT 50 BL AL PLAS AMB X 04
500 MG COM CT 25 BL AL PLAS AMB X 08</t>
  </si>
  <si>
    <t>Forvital</t>
  </si>
  <si>
    <t>25351.262389/2015-52</t>
  </si>
  <si>
    <t>3351847195</t>
  </si>
  <si>
    <t>3359771195</t>
  </si>
  <si>
    <t xml:space="preserve">ezetimiba </t>
  </si>
  <si>
    <t>Clone não consta na fila.
Situação matriz: 
Documento distribuído para área técnica.
Encontra-se na
GRMED
Enc.: 02/07/2019
Posição do matriz na fila: 96</t>
  </si>
  <si>
    <t>Clone retirado da Fila.
Status do Matriz:
Documento distribuído para área técnica.
Encontra-se na
GRMED
Enc.: 02/07/2019
Posição do matriz na fila: 96</t>
  </si>
  <si>
    <t>Acompanhamento 06/12/2019</t>
  </si>
  <si>
    <t>Situação
Aguardando análise do cumprimento de exigência
Encontra-se na
COPEC
Desde: 06/02/2019</t>
  </si>
  <si>
    <t xml:space="preserve">Situação
Publicado deferimento
Encontra-se na
COPEC 
Desde: 05/12/2019 </t>
  </si>
  <si>
    <t>Situação
Distribuído para a área responsável
Encontra-se na
CETER
Desde: 03/12/2019</t>
  </si>
  <si>
    <t>1_Oficio de parecer da ANVISA emitido em 09/12/2019, sob o número 3399585191 e expediente 0555078/19-5.</t>
  </si>
  <si>
    <t>40 + 1,5mg</t>
  </si>
  <si>
    <t>10839 - Estudos de Interação Farmacocinética para Anuência em Ensaios Clínicos</t>
  </si>
  <si>
    <t>25351.711800/2019-19</t>
  </si>
  <si>
    <t>3412290197</t>
  </si>
  <si>
    <t>Pantoneo</t>
  </si>
  <si>
    <t>3413059194</t>
  </si>
  <si>
    <t>25351.379161/2014-88</t>
  </si>
  <si>
    <t>BLUMEL HEDERA</t>
  </si>
  <si>
    <t>MACRODANTINA</t>
  </si>
  <si>
    <t>3433649194</t>
  </si>
  <si>
    <t>25351.717022/2019-71</t>
  </si>
  <si>
    <t>Clone não consta na fila.
Situação do matriz:
A documentação apresentada à ANVISA como cumprimento de exigência está sendo analisada.
Encontra-se na
GRMED
Desde: 02/12/2019</t>
  </si>
  <si>
    <t>Acompanhamento 13/12/2019</t>
  </si>
  <si>
    <t>Cancelamento mediante deferimento como clone.
Situação
Concluída análise
Encontra-se na
CRMEC
Enc.: 12/12/2019</t>
  </si>
  <si>
    <t>Situação
Concluída análise
Encontra-se na
GGMED
Enc.: 12/12/2019</t>
  </si>
  <si>
    <t>Concluída Análise</t>
  </si>
  <si>
    <t>Situação
Concluída análise
Encontra-se na
CETER
Desde: 09/12/2019</t>
  </si>
  <si>
    <t>Situação
Distribuído para a área responsável
Encontra-se na
CETER
Enc.: 10/12/2019</t>
  </si>
  <si>
    <t>dipirona monoidratada + cloridrato de prometazina</t>
  </si>
  <si>
    <t>500 mg/1,5mL + 5mg/1,5mL</t>
  </si>
  <si>
    <t>25351.723471/2019-59</t>
  </si>
  <si>
    <t>3474579193</t>
  </si>
  <si>
    <t>1_Notificação de Exigência Nº 0181442/19-7 aberta em 27/02/2019.
2_ Protocolado cumprimento de exigência em 24/06/2018 sob o expediente 00556073/19-0.
3_Notificação de exigência Nº 2010343/19-3 aberta em 20/08/2019.
4_Exigência cumprida em 05/12/2019 sob o protocolo 25352692191201981 e expediente 3366103191.</t>
  </si>
  <si>
    <t>Fabricante do Medicamento</t>
  </si>
  <si>
    <t>25351.707825/2019-18</t>
  </si>
  <si>
    <t>Aquestive</t>
  </si>
  <si>
    <t>769 - MEDICAMENTOS - (Certificação de BPF) de INDÚSTRIA INTERNACIONAL de SÓLIDOS NÃO ESTÉREIS, exceto MERCOSUL</t>
  </si>
  <si>
    <t>Situação
Concluída análise
Encontra-se na
GGMED
Desde: 18/12/2019</t>
  </si>
  <si>
    <t>3493784196</t>
  </si>
  <si>
    <t>Clone não consta na fila.
Situação matriz: 
Documento distribuído para área técnica.
Encontra-se na
GRMED
Enc.: 02/07/2019
Posição do matriz na fila: 95</t>
  </si>
  <si>
    <t>Clone retirado da Fila.
Status do Matriz:
Documento distribuído para área técnica.
Encontra-se na
GRMED
Enc.: 02/07/2019
Posição do matriz na fila: 95</t>
  </si>
  <si>
    <t>Acompanhamento 20/12/2019</t>
  </si>
  <si>
    <t>Atroveran Composto</t>
  </si>
  <si>
    <t>Comprimido e Solução gotas</t>
  </si>
  <si>
    <t>cloridrato de papaverina +  dipirona  monoidratada + extrato fluído de Atropa belladonna Linné + extrato fluído de Hyoscyamus niger Linné + extrato fluído de Peumus boldus Molina</t>
  </si>
  <si>
    <t>25351.645951/2009-86</t>
  </si>
  <si>
    <t>3371030199</t>
  </si>
  <si>
    <t>Situação
Distribuído para a área responsável
Encontra-se na
CETER
Enc.: 16/12/2019</t>
  </si>
  <si>
    <t>1_ O documento saiu da fila na posição 58
2_Entrou em exigência em 14/08/2019 sob o nº 1939338/19-5.
3_Exigência cumprida em 10/12/2019.
4_Publicado deferimento em 23/12/2019.</t>
  </si>
  <si>
    <t xml:space="preserve">Hedera helix L. </t>
  </si>
  <si>
    <t>1_Entrou na fila em 22/10/2019 na posição 11.
2_Publicado deferimento em 23/12/2019.</t>
  </si>
  <si>
    <t xml:space="preserve">_Entrou na fila em 01/11/2019  na posição 49.
2_ Processo saiu da fila para status concluído análise direto em 13/12/2019.
3_Publicado deferimento em 23/12/2019.
</t>
  </si>
  <si>
    <t>25351.734991/2019-97</t>
  </si>
  <si>
    <t>3521648194</t>
  </si>
  <si>
    <t>Observações:
1_Notificação de exigência nº 0221456/18-3, lida em 27/03/2018, protocolade em 03/05/2018 sob expediente nº 0352102/18-8.
2_Ofício nº 0381407186/2018, referente ao deferimento do registro, lido em 28/05/2018.</t>
  </si>
  <si>
    <t>10 MG COM REV CT STR AL X 20
10 MG COM REV CT STR AL X 30</t>
  </si>
  <si>
    <t>enxofre + peróxido de benzoíla</t>
  </si>
  <si>
    <t>20mg/g + 50 mg/g</t>
  </si>
  <si>
    <t>Creme Dermatológico</t>
  </si>
  <si>
    <t>paracetamol + carisoprodol + cafeína</t>
  </si>
  <si>
    <t>350 mg + 150 mg + 50 mg</t>
  </si>
  <si>
    <t>Camila Salles / 28-08-2019 / Desenvolvimento nova FF cápsula (BDR com Dorilax)</t>
  </si>
  <si>
    <t>SONRISAL (bicarbonato de sódio + carbonato de
sódio + ácido acetilsalicílico + ácido cítrico)
SONRISAL limão (bicarbonato de
sódio + carbonato de sódio + ácido acetilsalicílico +ácido cítrico)</t>
  </si>
  <si>
    <t>SONRISAL (854 mg + 400 mg + 325 mg + 1413 mg)
SONRISAL limão (1644 mg + 400 mg +  325 mg + 1507,8 mg)</t>
  </si>
  <si>
    <t>Sonrisal e Sonrisal Limão
(GSK)</t>
  </si>
  <si>
    <t>Acnase
(BIOLAB)</t>
  </si>
  <si>
    <t>Dorilax
(ACHÉ)</t>
  </si>
  <si>
    <t>Comprimido Efervescente</t>
  </si>
  <si>
    <r>
      <t xml:space="preserve">Camila Salles </t>
    </r>
    <r>
      <rPr>
        <sz val="10"/>
        <color rgb="FFFF0000"/>
        <rFont val="Calibri"/>
        <family val="2"/>
        <scheme val="minor"/>
      </rPr>
      <t>/ Data / Objetivo</t>
    </r>
  </si>
  <si>
    <t>1_Ofício nº 0261817186/2018 recebido em 05/04/2018: "Em resposta ao expediente 1601072178, informamos que o medicamento NARIDRIN encontra-se em avaliação de segurança e eficácia para adequação
à RDC 35 de 15/06/2012. Foi solicitada a apresentação de provas necessárias para adequação à Resolução supracitada. Assim que tivermos um parecer, caso seja favorável, o referido medicamento poderá ser incluído na lista."
2_SAT 2019311044 respondido em 07/11/2019: Em atenção a sua solicitação, informamos que a área técnica tem trabalhado para finalizar essas avaliações, no entanto ainda não é possível dar uma previsão real de
quando estes medicamentos poderão ser incluidos nas listas de medicamentos de referência.</t>
  </si>
  <si>
    <t>Sanilin
(KLEY HERTZ)</t>
  </si>
  <si>
    <t>bisacodil</t>
  </si>
  <si>
    <t>Lacto Purga</t>
  </si>
  <si>
    <t>25351637736200973</t>
  </si>
  <si>
    <t xml:space="preserve">5 MG COM REV CT ENV AL POLIET X 100 
(EMB MULT)
5 MG COM REV CT TB PLAS POLIET OPC X 10
5 MG COM REV CT ENV AL POLIET X 150 
(EMB MULT)
</t>
  </si>
  <si>
    <t>0047380204</t>
  </si>
  <si>
    <t>Situação
Concluída análise
Encontra-se na
GGMED
Enc.: 31/12/2019</t>
  </si>
  <si>
    <t>Situação
Concluída análise
Encontra-se na
GGMED
Enc.: 30/12/2019</t>
  </si>
  <si>
    <t>1_Oficio nº 3524805190,  recebido 20/12/2019 em desaprovando a solicitação.</t>
  </si>
  <si>
    <t>Situação
Distribuído para a área responsável
Encontra-se na
CETER
Desde: 06/01/2020</t>
  </si>
  <si>
    <r>
      <t xml:space="preserve">TYLEDOR
</t>
    </r>
    <r>
      <rPr>
        <sz val="10"/>
        <rFont val="Calibri"/>
        <family val="2"/>
        <scheme val="minor"/>
      </rPr>
      <t>(Matriz paracetamol + fosfato de codeína Brainfarma)</t>
    </r>
  </si>
  <si>
    <r>
      <t xml:space="preserve">GALÍCIA
</t>
    </r>
    <r>
      <rPr>
        <sz val="10"/>
        <rFont val="Calibri"/>
        <family val="2"/>
        <scheme val="minor"/>
      </rPr>
      <t>(Matriz pregabalina Actavis)</t>
    </r>
  </si>
  <si>
    <r>
      <t xml:space="preserve">cloridrato de tramadol + paracetamol
</t>
    </r>
    <r>
      <rPr>
        <sz val="10"/>
        <rFont val="Calibri"/>
        <family val="2"/>
        <scheme val="minor"/>
      </rPr>
      <t>(Genérico - Zydus)</t>
    </r>
  </si>
  <si>
    <t>Clone não consta na fila.
Situação do matriz:
A documentação apresentada à ANVISA como cumprimento de exigência está sendo analisada.
Encontra-se na
GRMED
Desde: 02/12/2019</t>
  </si>
  <si>
    <t>Clone não consta na fila.
Situação do matriz:
Petição/processo preliminarmente avaliado, estando em exigência, aguardando manifestação da empresa
Encontra-se na
GRMED
Desde: 02/12/2019</t>
  </si>
  <si>
    <r>
      <t>celecoxibe</t>
    </r>
    <r>
      <rPr>
        <sz val="10"/>
        <rFont val="Calibri"/>
        <family val="2"/>
        <scheme val="minor"/>
      </rPr>
      <t xml:space="preserve">
(genérico - Zydus)</t>
    </r>
  </si>
  <si>
    <r>
      <t xml:space="preserve">ezetimiba + sinvastatina 
</t>
    </r>
    <r>
      <rPr>
        <sz val="10"/>
        <rFont val="Calibri"/>
        <family val="2"/>
        <scheme val="minor"/>
      </rPr>
      <t>(genérico - Zydus)</t>
    </r>
  </si>
  <si>
    <t>Clone não consta na fila.
Situação matriz:
A documentação solicitata pela ANVISA à empresa como cumprimento de exigência foi entregue e aguarda análise.
Encontra-se na
GRMED 
Desde: 23/01/2019</t>
  </si>
  <si>
    <r>
      <t xml:space="preserve">NOVOTRAM P
</t>
    </r>
    <r>
      <rPr>
        <sz val="10"/>
        <rFont val="Calibri"/>
        <family val="2"/>
        <scheme val="minor"/>
      </rPr>
      <t>(genérico - Zydus)</t>
    </r>
  </si>
  <si>
    <r>
      <t>POLADIA</t>
    </r>
    <r>
      <rPr>
        <sz val="10"/>
        <rFont val="Calibri"/>
        <family val="2"/>
        <scheme val="minor"/>
      </rPr>
      <t xml:space="preserve">
(genérico - Brainfarma)</t>
    </r>
  </si>
  <si>
    <t>Clone retirado da fila.
Matriz sem registro ativo - ver situação matriz.
Situação clone:
Aguardando análise do medicamento matriz
Encontra-se na
GGMED - 
Desde: 26/06/2019</t>
  </si>
  <si>
    <r>
      <t>DESRINITE</t>
    </r>
    <r>
      <rPr>
        <sz val="10"/>
        <rFont val="Calibri"/>
        <family val="2"/>
        <scheme val="minor"/>
      </rPr>
      <t xml:space="preserve">
(genérico - Brainfarma)</t>
    </r>
  </si>
  <si>
    <t>Clone retirado da fila.
Matriz sem registro ativo - ver situação matriz.
Situação clone:
Aguardando análise do medicamento matriz
Encontra-se na
GGMED - 
Desde: 16/07/2019</t>
  </si>
  <si>
    <r>
      <t>pregabalina</t>
    </r>
    <r>
      <rPr>
        <sz val="10"/>
        <rFont val="Calibri"/>
        <family val="2"/>
        <scheme val="minor"/>
      </rPr>
      <t xml:space="preserve">
(genérico - Althaia)</t>
    </r>
  </si>
  <si>
    <r>
      <t>ALEF</t>
    </r>
    <r>
      <rPr>
        <sz val="10"/>
        <rFont val="Calibri"/>
        <family val="2"/>
        <scheme val="minor"/>
      </rPr>
      <t xml:space="preserve">
(genérico - Brainfarma)</t>
    </r>
  </si>
  <si>
    <t>Clone não consta na fila.
Matriz sem registro ativo - ver situação matriz.
Situação clone:
Aguardando análise do medicamento matriz
Encontra-se na
GGMED - 
Desde: 02/08/2019</t>
  </si>
  <si>
    <r>
      <t xml:space="preserve">METIOCOLIN COMPLEX
</t>
    </r>
    <r>
      <rPr>
        <sz val="10"/>
        <rFont val="Calibri"/>
        <family val="2"/>
        <scheme val="minor"/>
      </rPr>
      <t>(Epocler - Cosmed)</t>
    </r>
  </si>
  <si>
    <t>(100 + 50 + 10)MG/ML SOL OR CT 4 FLAC PLAS TRANS X 10 ML
(100 + 50 + 10)MG/ML SOL OR CT 6 FLAC PLAS TRANS X 10 ML
(100 + 50 + 10)MG/ML SOL OR CT 12 FLAC PLAS TRANS X 10 ML
(100 + 50 + 10)MG/ML SOL OR CT 60 FLAC PLAS TRANS X 10 ML
(100 + 50 + 10)MG/ML SOL OR CT 20 FLAC PLAS TRANS X 10 ML
(100 + 50 + 10)MG/ML SOL OR CT 30 FLAC PLAS TRANS X 10 ML
(100 + 50 + 10)MG/ML SOL OR CT 48 FLAC PLAS TRANS X 10 ML</t>
  </si>
  <si>
    <t>10 MG COM CT BL AL PLAS TRANS X 10
10 MG COM CT BL AL PLAS TRANS X 20 
10 MG COM CT BL AL PLAS TRANS X 30
10 MG COM CT BL AL PLAS TRANS X 60
10 MG COM CT BL AL PLAS TRANS X 90 (EMB FRAC)</t>
  </si>
  <si>
    <t>500 MG COM CX BL AL PLAS TRANS X 240
1G COM CT BL AL PLAS TRANS X 4
1G COM CT BL AL PLAS TRANS X 10
1G COM CT BL AL PLAS TRANS X 20
1G COM DISP BL AL PLAS TRANS X 100
1G COM DISP BL AL PLAS TRANS X 200
1G  COM CX BL AL PLAS TRANS X 50
1G COM CX BL AL PLAS TRANS X 100
1G COM CX BL AL PLAS TRANS X 200
1G COM CX BL AL PLAS TRANS X 250
1G COM CX BL AL PLAS TRANS X 300
1G COM CX BL AL PLAS TRANS X 400
1G COM CX BL AL PLAS TRANS X 500
1G COM CX BL AL PLAS TRANS X 600</t>
  </si>
  <si>
    <r>
      <t>MIORRELAX UNO</t>
    </r>
    <r>
      <rPr>
        <sz val="10"/>
        <rFont val="Calibri"/>
        <family val="2"/>
        <scheme val="minor"/>
      </rPr>
      <t xml:space="preserve">
(genérico - Brainfarma)</t>
    </r>
  </si>
  <si>
    <t>Acompanhamento 10/01/2020</t>
  </si>
  <si>
    <t>Situação
Concluída análise
Encontra-se na
ARQVO 
Enc.: 10/01/2020</t>
  </si>
  <si>
    <r>
      <t xml:space="preserve">1_Entrou na fila na posição 238 em 16/08/2019
</t>
    </r>
    <r>
      <rPr>
        <b/>
        <sz val="10"/>
        <rFont val="Calibri"/>
        <family val="2"/>
        <scheme val="minor"/>
      </rPr>
      <t>16/01/2019</t>
    </r>
    <r>
      <rPr>
        <sz val="10"/>
        <rFont val="Calibri"/>
        <family val="2"/>
        <scheme val="minor"/>
      </rPr>
      <t>: não terá escoamento de estoque - não será acompanhado</t>
    </r>
  </si>
  <si>
    <r>
      <t xml:space="preserve">1_Entrou na fila na posição 510 em 08/11/2019
</t>
    </r>
    <r>
      <rPr>
        <b/>
        <sz val="10"/>
        <rFont val="Calibri"/>
        <family val="2"/>
        <scheme val="minor"/>
      </rPr>
      <t>16/01/2019</t>
    </r>
    <r>
      <rPr>
        <sz val="10"/>
        <rFont val="Calibri"/>
        <family val="2"/>
        <scheme val="minor"/>
      </rPr>
      <t>: não terá escoamento de estoque - não será acompanhado</t>
    </r>
  </si>
  <si>
    <r>
      <t xml:space="preserve">1_Entrou na fila na posição 45 em 14/11/2019
</t>
    </r>
    <r>
      <rPr>
        <b/>
        <sz val="10"/>
        <rFont val="Calibri"/>
        <family val="2"/>
        <scheme val="minor"/>
      </rPr>
      <t>16/01/2019</t>
    </r>
    <r>
      <rPr>
        <sz val="10"/>
        <rFont val="Calibri"/>
        <family val="2"/>
        <scheme val="minor"/>
      </rPr>
      <t>: não terá escoamento de estoque - não será acompanhado</t>
    </r>
  </si>
  <si>
    <r>
      <t xml:space="preserve">1_Entrou na fila na posição 47 em 14/11/2019
</t>
    </r>
    <r>
      <rPr>
        <b/>
        <sz val="10"/>
        <rFont val="Calibri"/>
        <family val="2"/>
        <scheme val="minor"/>
      </rPr>
      <t>16/01/2019</t>
    </r>
    <r>
      <rPr>
        <sz val="10"/>
        <rFont val="Calibri"/>
        <family val="2"/>
        <scheme val="minor"/>
      </rPr>
      <t>: não terá escoamento de estoque - não será acompanhado</t>
    </r>
  </si>
  <si>
    <r>
      <t xml:space="preserve">1_Entrou na fila na posição 568 em 06/12/2019
</t>
    </r>
    <r>
      <rPr>
        <b/>
        <sz val="10"/>
        <rFont val="Calibri"/>
        <family val="2"/>
        <scheme val="minor"/>
      </rPr>
      <t>16/01/2019</t>
    </r>
    <r>
      <rPr>
        <sz val="10"/>
        <rFont val="Calibri"/>
        <family val="2"/>
        <scheme val="minor"/>
      </rPr>
      <t>: não terá escoamento de estoque - não será acompanhado</t>
    </r>
  </si>
  <si>
    <r>
      <t xml:space="preserve">1_Entrou na fila na posição 55 em 06/12/2019
</t>
    </r>
    <r>
      <rPr>
        <b/>
        <sz val="10"/>
        <rFont val="Calibri"/>
        <family val="2"/>
        <scheme val="minor"/>
      </rPr>
      <t>16/01/2019</t>
    </r>
    <r>
      <rPr>
        <sz val="10"/>
        <rFont val="Calibri"/>
        <family val="2"/>
        <scheme val="minor"/>
      </rPr>
      <t>: não terá escoamento de estoque - não será acompanhado</t>
    </r>
  </si>
  <si>
    <r>
      <t xml:space="preserve">1_Entrou na fila na posição 570 em 06/12/2019
</t>
    </r>
    <r>
      <rPr>
        <b/>
        <sz val="10"/>
        <rFont val="Calibri"/>
        <family val="2"/>
        <scheme val="minor"/>
      </rPr>
      <t>16/01/2019</t>
    </r>
    <r>
      <rPr>
        <sz val="10"/>
        <rFont val="Calibri"/>
        <family val="2"/>
        <scheme val="minor"/>
      </rPr>
      <t>: não terá escoamento de estoque - não será acompanhado</t>
    </r>
  </si>
  <si>
    <r>
      <t xml:space="preserve">1_Entrou na fila na posição 565 em 13/12/2019
</t>
    </r>
    <r>
      <rPr>
        <b/>
        <sz val="10"/>
        <rFont val="Calibri"/>
        <family val="2"/>
        <scheme val="minor"/>
      </rPr>
      <t>16/01/2019</t>
    </r>
    <r>
      <rPr>
        <sz val="10"/>
        <rFont val="Calibri"/>
        <family val="2"/>
        <scheme val="minor"/>
      </rPr>
      <t>: não terá escoamento de estoque - não será acompanhado</t>
    </r>
  </si>
  <si>
    <r>
      <t xml:space="preserve">1_Entrou na fila na posição 432 em 20/12/2019
</t>
    </r>
    <r>
      <rPr>
        <b/>
        <sz val="10"/>
        <rFont val="Calibri"/>
        <family val="2"/>
        <scheme val="minor"/>
      </rPr>
      <t>16/01/2019</t>
    </r>
    <r>
      <rPr>
        <sz val="10"/>
        <rFont val="Calibri"/>
        <family val="2"/>
        <scheme val="minor"/>
      </rPr>
      <t>: não terá escoamento de estoque - não será acompanhado</t>
    </r>
  </si>
  <si>
    <r>
      <t xml:space="preserve">1_Entrou na fila na posição 439 em 09/01/2020
</t>
    </r>
    <r>
      <rPr>
        <b/>
        <sz val="10"/>
        <rFont val="Calibri"/>
        <family val="2"/>
        <scheme val="minor"/>
      </rPr>
      <t>16/01/2019</t>
    </r>
    <r>
      <rPr>
        <sz val="10"/>
        <rFont val="Calibri"/>
        <family val="2"/>
        <scheme val="minor"/>
      </rPr>
      <t>: não terá escoamento de estoque - não será acompanhado</t>
    </r>
  </si>
  <si>
    <t>Acompanhamento 17/01/2021</t>
  </si>
  <si>
    <t>Finalizado</t>
  </si>
  <si>
    <t>Cancelado</t>
  </si>
  <si>
    <t>Acompanhamento 17/01/2020</t>
  </si>
  <si>
    <t>Situação
Em análise do cumprimento de exigência
Encontra-se na COPEC Desde: 06/02/2019</t>
  </si>
  <si>
    <t>Aguardando análise de equivalência terapêutica
Encontra-se na
COPEM.D - Desde: 10/06/2014</t>
  </si>
  <si>
    <t>25351.423850/2017-80</t>
  </si>
  <si>
    <t>25351.431643/2017-07</t>
  </si>
  <si>
    <t>25351.505912/2019-32</t>
  </si>
  <si>
    <t>25351.182587/2018-44</t>
  </si>
  <si>
    <t>25351.583874/2018-78</t>
  </si>
  <si>
    <t>25351.849028/2018-26</t>
  </si>
  <si>
    <t>25351.611810/2019-55</t>
  </si>
  <si>
    <t>ondansetrona filme</t>
  </si>
  <si>
    <t>Situação</t>
  </si>
  <si>
    <t>HISTÓRICO</t>
  </si>
  <si>
    <t>Clone não consta na fila.
Situação matriz:
A documentação solicitata pela ANVISA à empresa como cumprimento de exigência foi entregue e aguarda análise.
Encontra-se na
GRMED 
Desde: 16/01/2020</t>
  </si>
  <si>
    <t>Fabricante do IFA</t>
  </si>
  <si>
    <t>Produto matriz: Genérico (Zydus) - processo nº 25351.743320/2013-01
1_Clone saiu da fila na posição 37 em 16/08/2019.
2_Entrou em análise em  21/10/2019 na posição 6
3_ExigÊncia recebida em 30/10/2019 sob o número 2548360/19-9
4_Exigência cumprida em 28/11/2019 sob o protocolo 25352605594201907</t>
  </si>
  <si>
    <t>Indeferido - em prazo recursal</t>
  </si>
  <si>
    <t>elixir</t>
  </si>
  <si>
    <t>Ausência interesse comercial</t>
  </si>
  <si>
    <t>25351.542330/2011-27</t>
  </si>
  <si>
    <t>0192181/20-9</t>
  </si>
  <si>
    <t>Acompanhamento 24/01/2022</t>
  </si>
  <si>
    <t>29/11/2019: 544
06/12/2019: 516
13/12/2019: 463
20/12/2019: 373
10/01/2020: Situação: Concluída análise. Encontra-se na GGMED Enc.: 30/12/2019
17/01/2020: Igual
24/01/2020: Situação: Concluída análise. Encontra-se na GGMED Desde: 22/01/2020</t>
  </si>
  <si>
    <r>
      <t xml:space="preserve">1_Entrou na fila na posição 45 em 29/11/2019
</t>
    </r>
    <r>
      <rPr>
        <b/>
        <sz val="10"/>
        <rFont val="Calibri"/>
        <family val="2"/>
        <scheme val="minor"/>
      </rPr>
      <t>16/01/2020</t>
    </r>
    <r>
      <rPr>
        <sz val="10"/>
        <rFont val="Calibri"/>
        <family val="2"/>
        <scheme val="minor"/>
      </rPr>
      <t>: terá escoamento de estoque.</t>
    </r>
  </si>
  <si>
    <r>
      <t xml:space="preserve">1_Entrou na fila na posição 46 em 29/11/2019
</t>
    </r>
    <r>
      <rPr>
        <b/>
        <sz val="10"/>
        <rFont val="Calibri"/>
        <family val="2"/>
        <scheme val="minor"/>
      </rPr>
      <t>16/01/2020</t>
    </r>
    <r>
      <rPr>
        <sz val="10"/>
        <rFont val="Calibri"/>
        <family val="2"/>
        <scheme val="minor"/>
      </rPr>
      <t>: terá escoamento de estoque</t>
    </r>
  </si>
  <si>
    <t>1_Entrou na fila em 20/01/2020 na posição 438.</t>
  </si>
  <si>
    <t>atorvastatina cálcica + fenofibrato</t>
  </si>
  <si>
    <t>20mg + 160mg</t>
  </si>
  <si>
    <t>25351.048190/2020-49</t>
  </si>
  <si>
    <t>0226158/20-8</t>
  </si>
  <si>
    <t>Acompanhamento 24/01/2020</t>
  </si>
  <si>
    <t>Publicado deferimento em DOU em 24/01/2020</t>
  </si>
  <si>
    <t>Situação
Distribuído para a área responsável
Encontra-se na
CETER - Enc.: 23/01/2020</t>
  </si>
  <si>
    <t>Publicado indeferimento em DOU em 20/01/2020</t>
  </si>
  <si>
    <t>Clone não consta na fila.
Situação matriz:
Em análise do cumprimento de exigência
Encontra-se na
GRMED 
Desde: 16/01/2020</t>
  </si>
  <si>
    <t>maio/2020</t>
  </si>
  <si>
    <t>25351.055499/2020-95</t>
  </si>
  <si>
    <t xml:space="preserve"> 400 + 4 + 4mg</t>
  </si>
  <si>
    <t>MA</t>
  </si>
  <si>
    <t>400 MG + 4 MG + 4 MG COM CT BL AL AL X 8
400 MG + 4 MG + 4 MG COM CT BL AL AL X 16
400 MG + 4 MG + 4 MG COM CT BL AL AL X 20
400 MG + 4 MG + 4 MG COM CT BL AL AL X 120
400 MG + 4 MG + 4 MG COM CT BL AL AL X 200
400 MG + 4 MG + 4 MG COM CT BL AL PLAS TRANS X 8
400 MG + 4 MG + 4 MG COM CT BL AL PLAS TRANS X 16
400 MG + 4 MG + 4 MG COM CT BL AL PLAS TRANS X 20
400 MG + 4 MG + 4 MG COM CT BL AL PLAS TRANS X 120
400 MG + 4 MG + 4 MG COM CT BL AL PLAS TRANS X 200</t>
  </si>
  <si>
    <t>25 MG COM CT BL AL PLAS TRANS X 10
25 MG COM CT BL AL PLAS TRANS X 30
25 MG COM CT BL AL PLAS TRANS X 500
25 MG COM CT BL AL PLAS TRANS X 1000
75 MG COM CT BL AL PLAS TRANS X 10
75 MG COM CT BL AL PLAS TRANS X 30
75 MG COM CT BL AL PLAS TRANS X 500
75 MG COM CT BL AL PLAS TRANS X 1000</t>
  </si>
  <si>
    <t>25 e 75mg</t>
  </si>
  <si>
    <t>Concluída análise.</t>
  </si>
  <si>
    <r>
      <t xml:space="preserve">1_Entrou na fila na posição 544 em 29/11/2019
</t>
    </r>
    <r>
      <rPr>
        <b/>
        <sz val="10"/>
        <rFont val="Calibri"/>
        <family val="2"/>
        <scheme val="minor"/>
      </rPr>
      <t>16/01/2020</t>
    </r>
    <r>
      <rPr>
        <sz val="10"/>
        <rFont val="Calibri"/>
        <family val="2"/>
        <scheme val="minor"/>
      </rPr>
      <t xml:space="preserve">: terá escoamento de estoque
</t>
    </r>
    <r>
      <rPr>
        <b/>
        <sz val="10"/>
        <rFont val="Calibri"/>
        <family val="2"/>
        <scheme val="minor"/>
      </rPr>
      <t>24/01/2020</t>
    </r>
    <r>
      <rPr>
        <sz val="10"/>
        <rFont val="Calibri"/>
        <family val="2"/>
        <scheme val="minor"/>
      </rPr>
      <t xml:space="preserve">: Previsão de publicação para 27/01/2020.
</t>
    </r>
    <r>
      <rPr>
        <b/>
        <sz val="10"/>
        <rFont val="Calibri"/>
        <family val="2"/>
        <scheme val="minor"/>
      </rPr>
      <t>27/01/2020</t>
    </r>
    <r>
      <rPr>
        <sz val="10"/>
        <rFont val="Calibri"/>
        <family val="2"/>
        <scheme val="minor"/>
      </rPr>
      <t>: Publicado cancelamento</t>
    </r>
  </si>
  <si>
    <t>O produto será transformado em CLONE do medicamento genérico da Ranbaxy</t>
  </si>
  <si>
    <r>
      <rPr>
        <b/>
        <sz val="10"/>
        <rFont val="Arial"/>
        <family val="2"/>
      </rPr>
      <t>MIRADOR</t>
    </r>
    <r>
      <rPr>
        <sz val="10"/>
        <rFont val="Arial"/>
        <family val="2"/>
      </rPr>
      <t xml:space="preserve">
(Genérico - Brainfarma)</t>
    </r>
  </si>
  <si>
    <t>1G COM CT BL AL PLAS TRANS X 4
1G COM CT BL AL PLAS TRANS X 10
1G COM CT BL AL PLAS TRANS X 20
1G COM DISP BL AL PLAS TRANS X 100
1G COM DISP BL AL PLAS TRANS X 200
1G  COM CX BL AL PLAS TRANS X 50
1G COM CX BL AL PLAS TRANS X 100
1G COM CX BL AL PLAS TRANS X 200
1G COM CX BL AL PLAS TRANS X 250
1G COM CX BL AL PLAS TRANS X 300
1G COM CX BL AL PLAS TRANS X 400
1G COM CX BL AL PLAS TRANS X 500
1G COM CX BL AL PLAS TRANS X 600</t>
  </si>
  <si>
    <t>25351.417716/2014-05</t>
  </si>
  <si>
    <r>
      <rPr>
        <b/>
        <sz val="10"/>
        <rFont val="Arial"/>
        <family val="2"/>
      </rPr>
      <t>MOMETAX</t>
    </r>
    <r>
      <rPr>
        <sz val="10"/>
        <rFont val="Arial"/>
        <family val="2"/>
      </rPr>
      <t xml:space="preserve">
(Matriz: Topliv - Brain)</t>
    </r>
  </si>
  <si>
    <t>1 MG/G POM CT BG AL X 20 G
1 MG/G POM CX 50 BG AL X 20 G (EMB HOSP)
1 MG/G CREME CT BG AL X 20G
1 MG/G CREME CX 50 BG AL X 20 G (EMB HOSP)</t>
  </si>
  <si>
    <t>pomada / creme</t>
  </si>
  <si>
    <t>0579751/14-9</t>
  </si>
  <si>
    <t>Inclusão de DCB</t>
  </si>
  <si>
    <t>Nº CAS 8028-89-5
Incluído na Lista com a DCB marrom caramelo 150a = código 11494</t>
  </si>
  <si>
    <t xml:space="preserve">Nº CAS 15790-07-5
A DCB “amarelo crepúsculo, laca de alumínio” foi aprovada na última reunião do CTT DCB realizada em junho de 2016. A minuta de RDC de atualização da lista das DCB se encontra na Diretoria em análise para ser pautada em Reunião Ordinária Pública da Diretoria Colegiada.
Incluído com a DCB amarelo crepúsculo laca de alumínio - código 11424 </t>
  </si>
  <si>
    <t>Nº CAS 25956-17-6
Incluído na Lista com a DCB vermelho allura 129 = código 11499</t>
  </si>
  <si>
    <t>Nº CAS 884648-62-8
Incluído na Lista com a DCB besilato de levanlodipino hemipentaidratado = código 12375</t>
  </si>
  <si>
    <t>Nº CAS 149-32-6
Solicitação feita via e-mail em 01/11/2019
Incluído na lista com a DCB eritritol = código 12396</t>
  </si>
  <si>
    <t>Nº CAS 100208-62-6
Conforme e-mail de 31/01/2020 essa solicitação foi encerrada, motivo: a empresa optou pela utilização de outro corante no desenvolvimento do produto, o qual contém denominação comum brasileira – DCB.</t>
  </si>
  <si>
    <t>CANCELADO</t>
  </si>
  <si>
    <t>FLUXON</t>
  </si>
  <si>
    <t>25351.555621/ 2011-50</t>
  </si>
  <si>
    <t>Acompanhamento 31/01/2020</t>
  </si>
  <si>
    <t>Situação
Em análise
Encontra-se na
CETER - Desde: 31/01/2020</t>
  </si>
  <si>
    <t>Situação
Em exigência
Encontra-se na
CETER - Desde: 27/01/2020</t>
  </si>
  <si>
    <t>Situação
Aguardando análise
Encontra-se na
CETER - Desde: 28/01/2020</t>
  </si>
  <si>
    <r>
      <rPr>
        <b/>
        <sz val="10"/>
        <rFont val="Calibri"/>
        <family val="2"/>
        <scheme val="minor"/>
      </rPr>
      <t>ACOMPANHAR A PUBLICAÇÃO ATRAVÉS DO ADITAMENTO À SOLICITAÇÃO DE REGISTRO (Expediente nº 0453018177)
Situação: Aguardando análise do cumprimento de exigência. Encontra-se na GRMED, desde 12/03/2018.</t>
    </r>
    <r>
      <rPr>
        <sz val="10"/>
        <rFont val="Calibri"/>
        <family val="2"/>
        <scheme val="minor"/>
      </rPr>
      <t xml:space="preserve">
1_Resposta ao Ofício nº 0344109171/2017, protocolado em 21/03/17, sob expediente n° 0453018177.
2_Notificação de Exigência Nº 2190561/17-4 referemte ap Aditamento para a CBREM, recebida em 24/11/2017, protocolada em 17/01/2018 sob expediente 0040284/18-2
3_Protocolo de Aditamento em 31/01/2018 para reenvio das documentações ao CE, sob expediente nº 0076258/18-0, devido ao recebimento de ofício pela CRMEC relatando falha no sistema da ANVISA.
4_Ofício nº 0129806182/2018 de aprovação da petiçao de Aditamento para a CBREM de bula, rotulagem e nome comercial, recebido em 21/02/2018.
5_Notificação de Exigência Nº 0086606/18-7 referente a análise do dossiê do insumo farmacêutico ativo (DIFA), recebida em 06/02/2018, protocolado em 05/04/2018 sob expediente nº 0265465/18- 2.
6_Notificação de Exigência Nº 0288528/18-0, referente ao Aditamento à solicitação de registro (expediente nº 0453018/17-7) recebida em 16/04/2018, cumprida em 10/08/2018 sob expediente nº 0799592/18-0 - Expectativa de análise a partir de 01/11/2018.
7_Notificação de Exigência Nº 0089127/19-4, recebida em 31/01/2019.
8_Cumprimento de exigência em 05/04/19, sob número de conhecimento 201904050078PR.
9_Notificação de exigência Nº 0634350/19-3 recebida em 24/07/2019.
10_Cumprimento de exigência em 21/11/2019 sob o expediente 3210089191.
11_Indeferido em 20/01/2020, Ofício de indeferimento nº 0130768201 - prazo para entrar com recurso 19/02/2020
Data de entrada em análise: 19/03/2018</t>
    </r>
  </si>
  <si>
    <t>Produto matriz Genérico Brainfarma (25351.746408/2013-90).
Clone está no Edital nº 1 de matrizes em adequação? SIM
Aguardando avaliação do processo matriz.
1_Indeferido em 20/01/2020, ofício de indeferimento nº 0131989202 - prazo para entrar com recurso 19/02/2020.</t>
  </si>
  <si>
    <t>Produto matriz Genérico Brainfarma (25351.746408/2013-90).
Clone está no Edital nº 1 de matrizes em adequação? SIM
Aguardando avaliação do processo matriz.
1_Protocolado em 18/03/19 Aditamento à solicitação de registro referente a proposta de alteração de nome comercial, sob expediente 0242387/19-1.
2_Protocolado em 31/05/19 Aditamento à solicitação de registro referente a proposta de alteração de nome comercial, sob expediente 0488432/19-9 (Monle).
3_Indeferido em 20/01/2020, ofício de indeferimento nº 0131988204 - prazo para entrar com recurso 19/02/2020.</t>
  </si>
  <si>
    <t>1_Resposta ao Ofício nº 289943170/2017, protocolado em 04/01/2018, sob expediente n° 0006545185.
2_Notificação de Exigência Nº 0255726/18-6, recebida em 05/04/2018.
3_Notificação de Exigência Nº 0381325/18-8, recebida em 17/05/2018. Cumprida em 29/06/2018.
4_Notificação de Exigência Nº 1083494/18-0, recebida em 19/11/2018.
5_Cumprimento de exigência em 18/03/19, sob número de conhecimento 201903180108PR.
6_Ofício de anuência da CRMEC nº 2018/666 recebido em 20/01/2020.
6_Indeferido em 20/01/2020, ofício de indeferimento nº 0130641203 - prazo para entrar com recurso 19/02/2020.
Data de entrada em análise: 19/03/2018</t>
  </si>
  <si>
    <t>Produto matriz Genérico Brainfarma (25351.746408/2013-90)
Clone está no Edital nº 1 de matrizes em adequação? SIM
Aguardando avaliação do processo matriz.
1_Protocolado em 05/04/19 Aditamento à solicitação de registro referente a proposta de alteração de nome comercial, sob expediente 0310006/19-5.
2_Protocolado em31/05/19 Aditamento à solicitação de registro referente a proposta de alteração de nome comercial, sob expediente 0488489/19-2.
3_Indeferido em 20/01/2020, Ofício de indeferimento nº 0130662206 - prazo para entrar com recurso 19/02/2020.</t>
  </si>
  <si>
    <t>Produto matriz Genérico Brainfarma (25351.746408/2013-90)
Clone está no Edital nº 1 de matrizes em adequação? SIM
Aguardando avaliação do processo matriz.
1_Indeferido em 20/01/2020, ofício de indeferimento nº 0130651201 - prazo para entrar com recurso 19/02/2020.</t>
  </si>
  <si>
    <t>Situação
Aguardando análise do cumprimento de exigência
Encontra-se na GRMED, desde 07/11/2018.</t>
  </si>
  <si>
    <t>4MG  FIL CT ENV AL PLAS X 4
4MG  FIL CT ENV AL PLAS X 10
4MG  FIL CT ENV AL PLAS X 18
4MG  FIL CT ENV AL PLAS X 30
8MG  FIL CT ENV AL PLAS X 4
8MG  FIL CT ENV AL PLAS X 10
8MG  FIL CT ENV AL PLAS X 18
8MG  FIL CT ENV AL PLAS X 30</t>
  </si>
  <si>
    <t>4mg e 8mg</t>
  </si>
  <si>
    <t>filme</t>
  </si>
  <si>
    <t>Teva Pharmaceutical Works Private Limited Company. Address: Pallagi út 13, Debrecen H-4042, Hungary.</t>
  </si>
  <si>
    <t>25351.072529/2020-28</t>
  </si>
  <si>
    <r>
      <t>ORNARE</t>
    </r>
    <r>
      <rPr>
        <sz val="10"/>
        <rFont val="Calibri"/>
        <family val="2"/>
        <scheme val="minor"/>
      </rPr>
      <t xml:space="preserve">
(Genérico Zydus)</t>
    </r>
  </si>
  <si>
    <r>
      <t>cloridrato de trazodona</t>
    </r>
    <r>
      <rPr>
        <sz val="10"/>
        <rFont val="Calibri"/>
        <family val="2"/>
        <scheme val="minor"/>
      </rPr>
      <t xml:space="preserve">
(Genérico Zydus)</t>
    </r>
  </si>
  <si>
    <r>
      <rPr>
        <u/>
        <sz val="10"/>
        <rFont val="Calibri"/>
        <family val="2"/>
        <scheme val="minor"/>
      </rPr>
      <t>ezetimiba:</t>
    </r>
    <r>
      <rPr>
        <sz val="10"/>
        <rFont val="Calibri"/>
        <family val="2"/>
        <scheme val="minor"/>
      </rPr>
      <t xml:space="preserve">Teva API India Ltd
</t>
    </r>
    <r>
      <rPr>
        <u/>
        <sz val="10"/>
        <rFont val="Calibri"/>
        <family val="2"/>
        <scheme val="minor"/>
      </rPr>
      <t>rosuvastatina:</t>
    </r>
    <r>
      <rPr>
        <sz val="10"/>
        <rFont val="Calibri"/>
        <family val="2"/>
        <scheme val="minor"/>
      </rPr>
      <t xml:space="preserve"> Changzhou Pharmaceutical Factory (Manufacturing sites:
Nantong Chanyoo Pharmatech Co., Ltd.)</t>
    </r>
  </si>
  <si>
    <t>25351.077244/2020-83</t>
  </si>
  <si>
    <t>100 MG COM REV LIB PROL CT BL AL PLAS TRANS X 07
100 MG COM REV LIB PROL CT BL AL PLAS TRANS X 14
100 MG COM REV LIB PROL CT BL AL PLAS TRANS X 15
100 MG COM REV LIB PROL CT BL AL PLAS TRANS X 28
100 MG COM REV LIB PROL CT BL AL PLAS TRANS X 30
100 MG COM REV LIB PROL CT BL AL PLAS TRANS X 60
100 MG COM REV LIB PROL CT BL AL PLAS TRANS X 90</t>
  </si>
  <si>
    <t>1_Protocolado em 17/10/2018 Aditamentoa Solicitação de Registro, sob expediente nº 1005899/18-1, para envio da Matriz de Risco da GGMED.</t>
  </si>
  <si>
    <r>
      <rPr>
        <b/>
        <sz val="10"/>
        <rFont val="Calibri"/>
        <family val="2"/>
        <scheme val="minor"/>
      </rPr>
      <t>ATROVERAN DIP</t>
    </r>
    <r>
      <rPr>
        <sz val="10"/>
        <rFont val="Calibri"/>
        <family val="2"/>
        <scheme val="minor"/>
      </rPr>
      <t xml:space="preserve">
(Matriz dipirona Mariol)</t>
    </r>
  </si>
  <si>
    <r>
      <t xml:space="preserve">succinato de desvenlafaxina monoidratado
</t>
    </r>
    <r>
      <rPr>
        <sz val="10"/>
        <rFont val="Calibri"/>
        <family val="2"/>
        <scheme val="minor"/>
      </rPr>
      <t>(Matriz: desvenlafaxina - Althaia)</t>
    </r>
  </si>
  <si>
    <t>Genérico (Althaia)</t>
  </si>
  <si>
    <t>comprimido para colutório</t>
  </si>
  <si>
    <t>comprimido para solução</t>
  </si>
  <si>
    <t>comprimido para suspensão</t>
  </si>
  <si>
    <t>dispositivo intra-uterino</t>
  </si>
  <si>
    <t>emplasto</t>
  </si>
  <si>
    <t>emulsão aerossol</t>
  </si>
  <si>
    <t>emulsão gotas</t>
  </si>
  <si>
    <t>emulsão injetável</t>
  </si>
  <si>
    <t>emulsão para infusão</t>
  </si>
  <si>
    <t>emulsão spray</t>
  </si>
  <si>
    <t>esmalte</t>
  </si>
  <si>
    <t>espuma</t>
  </si>
  <si>
    <t>gás</t>
  </si>
  <si>
    <t>glóbulo</t>
  </si>
  <si>
    <t>goma de mascar</t>
  </si>
  <si>
    <t>25351.083702/2020-13</t>
  </si>
  <si>
    <t>25351.077243/2020-39</t>
  </si>
  <si>
    <t>Acompanhamento</t>
  </si>
  <si>
    <t>07/06/2019</t>
  </si>
  <si>
    <t>14/06/2019</t>
  </si>
  <si>
    <t>19/06/2019</t>
  </si>
  <si>
    <t>28/06/2019</t>
  </si>
  <si>
    <t>05/07/2019</t>
  </si>
  <si>
    <t>12/07/2019</t>
  </si>
  <si>
    <t>19/07/2019</t>
  </si>
  <si>
    <t>26/07/2019</t>
  </si>
  <si>
    <t>02/08/2019</t>
  </si>
  <si>
    <t>09/08/2019</t>
  </si>
  <si>
    <t>16/08/2019</t>
  </si>
  <si>
    <t>23/08/2019</t>
  </si>
  <si>
    <t>30/08/2019</t>
  </si>
  <si>
    <t>06/09/2019</t>
  </si>
  <si>
    <t>13/09/2019</t>
  </si>
  <si>
    <t>20/09/2019</t>
  </si>
  <si>
    <t>27/09/2019</t>
  </si>
  <si>
    <t>04/10/2019</t>
  </si>
  <si>
    <t>11/10/2019</t>
  </si>
  <si>
    <t>18/10/2019</t>
  </si>
  <si>
    <t>25/10/2019</t>
  </si>
  <si>
    <t>01/11/2019</t>
  </si>
  <si>
    <t>08/11/2019</t>
  </si>
  <si>
    <t>14/11/2019</t>
  </si>
  <si>
    <t>22/11/2019</t>
  </si>
  <si>
    <t>29/11/2019</t>
  </si>
  <si>
    <t>06/12/2019</t>
  </si>
  <si>
    <t>13/12/2019</t>
  </si>
  <si>
    <t>20/12/2019</t>
  </si>
  <si>
    <t>10/01/2020</t>
  </si>
  <si>
    <t>17/01/2020</t>
  </si>
  <si>
    <t>24/01/2020</t>
  </si>
  <si>
    <t>31/01/2020</t>
  </si>
  <si>
    <t>07/02/2020</t>
  </si>
  <si>
    <t>Coristina D 400 (Cosmed)</t>
  </si>
  <si>
    <t>Acompanhamento 08/02/20192</t>
  </si>
  <si>
    <t>Acompanhamento 08/02/20193</t>
  </si>
  <si>
    <t>Acompanhar a petição de registro clone.
No registro do medicamento clone FLUXON (Matriz Genérico - Ranbaxy) - processo 25351.077244/2020-83 - foi solicitado o cancelamento do registro de linha.</t>
  </si>
  <si>
    <t>Aguardando análise clone</t>
  </si>
  <si>
    <t>Registro clone</t>
  </si>
  <si>
    <t>Clone não consta na fila.
Situação do matriz:
Petição/processo preliminarmente avaliado, estando em exigência, aguardando manifestação da empresa
Encontra-se na
GRMED
Desde: 03/02/2020</t>
  </si>
  <si>
    <t>Clone não consta na fila.
Situação matriz:
Em análise do cumprimento de exigência
Encontra-se na
GRMED 
Desde: 31/01/2020</t>
  </si>
  <si>
    <t>50 MG COM REV LIB PROL CT BL AL PLAS TRANS X 7
50 MG COM REV LIB PROL CT BL AL PLAS TRANS X 14
50 MG COM REV LIB PROL CT BL AL PLAS TRANS X 15
50 MG COM REV LIB PROL CT BL AL PLAS TRANS X 28
50 MG COM REV LIB PROL CT BL AL PLAS TRANS X 30
50 MG COM REV LIB PROL CT BL AL PLAS TRANS X 60
50 MG COM REV LIB PROL CT BL AL PLAS TRANS X 90</t>
  </si>
  <si>
    <t>0203375/20-5</t>
  </si>
  <si>
    <t>25351.105794/2020-08</t>
  </si>
  <si>
    <t>0485905/20-7</t>
  </si>
  <si>
    <r>
      <t xml:space="preserve">M-LIX
</t>
    </r>
    <r>
      <rPr>
        <sz val="10"/>
        <rFont val="Calibri"/>
        <family val="2"/>
        <scheme val="minor"/>
      </rPr>
      <t>(genérico - Brainfarma)</t>
    </r>
  </si>
  <si>
    <r>
      <t>NAPRONAX</t>
    </r>
    <r>
      <rPr>
        <sz val="10"/>
        <rFont val="Calibri"/>
        <family val="2"/>
        <scheme val="minor"/>
      </rPr>
      <t xml:space="preserve">
(genérico - Brainfarma)</t>
    </r>
  </si>
  <si>
    <r>
      <t>LUNE SL</t>
    </r>
    <r>
      <rPr>
        <sz val="10"/>
        <rFont val="Calibri"/>
        <family val="2"/>
        <scheme val="minor"/>
      </rPr>
      <t xml:space="preserve">
(Genérico - Zydus)</t>
    </r>
  </si>
  <si>
    <r>
      <t>hemitartarato de zolpidem</t>
    </r>
    <r>
      <rPr>
        <sz val="10"/>
        <rFont val="Calibri"/>
        <family val="2"/>
        <scheme val="minor"/>
      </rPr>
      <t xml:space="preserve">
(Genérico - Zydus)</t>
    </r>
  </si>
  <si>
    <r>
      <t xml:space="preserve">HISTAMIN
</t>
    </r>
    <r>
      <rPr>
        <sz val="10"/>
        <rFont val="Calibri"/>
        <family val="2"/>
        <scheme val="minor"/>
      </rPr>
      <t>(genérico - Brainfarma)</t>
    </r>
  </si>
  <si>
    <r>
      <t>EQUILIBRISSE</t>
    </r>
    <r>
      <rPr>
        <sz val="10"/>
        <rFont val="Calibri"/>
        <family val="2"/>
        <scheme val="minor"/>
      </rPr>
      <t xml:space="preserve">
(Matriz Maracugina Cosmed)</t>
    </r>
  </si>
  <si>
    <r>
      <t xml:space="preserve">prednisona
</t>
    </r>
    <r>
      <rPr>
        <sz val="10"/>
        <rFont val="Calibri"/>
        <family val="2"/>
        <scheme val="minor"/>
      </rPr>
      <t>(Corticorten - Brainfarma)</t>
    </r>
  </si>
  <si>
    <r>
      <t>cloridrato de donepezila</t>
    </r>
    <r>
      <rPr>
        <sz val="10"/>
        <rFont val="Calibri"/>
        <family val="2"/>
        <scheme val="minor"/>
      </rPr>
      <t xml:space="preserve">
(Genérico - Zydus)</t>
    </r>
  </si>
  <si>
    <r>
      <t>LISADOR DIP</t>
    </r>
    <r>
      <rPr>
        <sz val="10"/>
        <rFont val="Calibri"/>
        <family val="2"/>
        <scheme val="minor"/>
      </rPr>
      <t xml:space="preserve">
(Genérico - Mariol)</t>
    </r>
  </si>
  <si>
    <r>
      <t>MAXSULID 100</t>
    </r>
    <r>
      <rPr>
        <sz val="10"/>
        <rFont val="Calibri"/>
        <family val="2"/>
        <scheme val="minor"/>
      </rPr>
      <t xml:space="preserve">
(Genérico - Brainfarma)</t>
    </r>
  </si>
  <si>
    <t>Produto matriz: Topliv (Brainfarma)
Nº Processo matriz: 25351.539275/2011-36
1_Indeferido em 11/09/2015
2_Expediente do recurso: 0854312/15-7
3_Desistência do recurso protocolada em 30/01/2020 - expediente 0303946203</t>
  </si>
  <si>
    <t>Publicado indeferimento em DOU em 11/09/2015. Protocolado recurso em 24/09/2015. Recurso desistido em 30/01/2020 - anuída desistência em 10/02/2020.</t>
  </si>
  <si>
    <t>1_Recebido Ofício nº 0494398208 em 18/02/2020, relacionado ao estudo CAEP44.003.19, indicando: “Assim podemos concluir que o medicamento 1 Citalor® (Atorvastatina cálcica) 20mg apresenta alterações em seus parâmetros farmacocinéticos, com característica de inibidor fraco, quando coadministrado com o medicamento 2 Lipidil® (Fenofibrato) 160mg, com 90% de confiança”.
2_Recebido Ofício nº 0494449206 em 18/02/2020, relacionado ao estudo CAEP44.004.19, indicando: “Assim podemos concluir que as formulações R1 e R2 não possuem interação, com 90% de confiança”.</t>
  </si>
  <si>
    <t>21/02/2020</t>
  </si>
  <si>
    <t>14/02/2020</t>
  </si>
  <si>
    <t>25351.115206/2020-36</t>
  </si>
  <si>
    <r>
      <rPr>
        <u/>
        <sz val="10"/>
        <rFont val="Calibri"/>
        <family val="2"/>
        <scheme val="minor"/>
      </rPr>
      <t>07/02/2020</t>
    </r>
    <r>
      <rPr>
        <sz val="10"/>
        <rFont val="Calibri"/>
        <family val="2"/>
        <scheme val="minor"/>
      </rPr>
      <t>: Situação: Aguardando análise
Encontra-se na CETER - Desde: 05/02/2020
14/02/2020: Igual anterior
21/02/2020: Situação: Concluída análise 
Encontra-se na CETER - Desde: 17/02/2020</t>
    </r>
  </si>
  <si>
    <t>25351.115230/2020-75</t>
  </si>
  <si>
    <t>0517740/20-5</t>
  </si>
  <si>
    <t>Publicado deferimento em 26/02/2020.</t>
  </si>
  <si>
    <t>24/01/2020: 411
31/01/2020: 337
07/02/2020: Saiu da fila. Situação
Concluída análise. Encontra-se na
GGMED - Enc. 07/02/2020
14/02/2020: Igual anterior
21/02/2020:  Situação
Concluída análise. Encontra-se na 
GGMED - Desde 20/02/2020
28/02/2020: Situação: Publicado deferimento em 26/02/2020. Encontra-se na GGMED - Desde 26/02/2020</t>
  </si>
  <si>
    <t>Situação
Em análise do cumprimento de exigência
Encontra-se na GRMED.D, desde 07/11/2018.</t>
  </si>
  <si>
    <t>28/02/2020</t>
  </si>
  <si>
    <t>200mg/mL</t>
  </si>
  <si>
    <t>Clone: Não está na fila de análise. Situação
Distribuído para a área responsável. Encontra-se na
GEPRE.D - Desde 21/01/2020
Matriz:
17</t>
  </si>
  <si>
    <t>25351.140793/2020-00</t>
  </si>
  <si>
    <t>dapagliflozina + cloridrato de metformina</t>
  </si>
  <si>
    <t>5 mg + 500 mg; 5
mg + 1000 mg; 10 mg + 500 mg e 10 mg + 1000 mg.</t>
  </si>
  <si>
    <t>10608 - EQUIVALÊNCIA TERAPÊUTICA - Protocolo de Estudo</t>
  </si>
  <si>
    <t>0633075/20-4</t>
  </si>
  <si>
    <t>1_Resposta da Agência em  21.08.2019: Em atenção a sua solicitação, informamos que estamos avaliando a substituição do medicamento CEPACAÍNA na Lista de Medicamentos de Referência. Qualquer alteração
constará na próxima atualização da referida lista.
2_20/09/2019: Em virtude da possível eleição do NEOPIRIN - Foi orientado não solicitar mais essa inclusão _ Por Camila Salles
3_Medicamento cancelado - solicitação de referência realizada novamente para um outro medicamento.</t>
  </si>
  <si>
    <t>Pós registro - gen e similar - ext linha</t>
  </si>
  <si>
    <r>
      <rPr>
        <b/>
        <sz val="10"/>
        <rFont val="Arial"/>
        <family val="2"/>
      </rPr>
      <t>LIPNEO</t>
    </r>
    <r>
      <rPr>
        <sz val="10"/>
        <rFont val="Arial"/>
        <family val="2"/>
      </rPr>
      <t xml:space="preserve">
(Matriz: Ciprofibrato - Brainfarma)</t>
    </r>
  </si>
  <si>
    <t>100 MG COM CT BL AL PLAS TRANS X 10
100 MG COM CT BL AL PLAS TRANS X 20
100 MG COM CT BL AL PLAS TRANS X 30
100 MG COM CT BL AL PLAS TRANS X 60
100 MG COM CX BL AL PLAS TRANS X 100
100 MG COM CX BL AL PLAS TRANS X 200
100 MG COM CX BL AL PLAS TRANS X 500</t>
  </si>
  <si>
    <t>25351.541713/2011-18</t>
  </si>
  <si>
    <t>O produto será transformado em CLONE do medicamento genérico da Brainfarma</t>
  </si>
  <si>
    <t>25351.514654/2017-13
(expediente nº 3584355/19-1 (26/12/2019))</t>
  </si>
  <si>
    <t>0354323204
(Expediente registro clone)</t>
  </si>
  <si>
    <t>1_Aditamento - Aprovação condicional - RDC 219/2018 protocolado em 19/11/2019 sob o expediente 3189076198
2_Notificação de exigência nº 0207778/20-7 aberta na Caixa Postal em 31/01/2020. Cumprida em 21/02/2020 pelo expediente nº 0543898/20-2.
Data de entrada em análise: 24/01/2020</t>
  </si>
  <si>
    <t>25351.176663/2020-05</t>
  </si>
  <si>
    <t>0760134/20-4</t>
  </si>
  <si>
    <r>
      <rPr>
        <u/>
        <sz val="10"/>
        <rFont val="Calibri"/>
        <family val="2"/>
        <scheme val="minor"/>
      </rPr>
      <t>31/01/2020</t>
    </r>
    <r>
      <rPr>
        <sz val="10"/>
        <rFont val="Calibri"/>
        <family val="2"/>
        <scheme val="minor"/>
      </rPr>
      <t xml:space="preserve">: Situação: Não anuído
Encontra-se na GGMED Desde: 08/01/2019
Recebido retorno do SAT em qui 07/11/2019 10:56, não há previsão de publicação pela Agência.
</t>
    </r>
    <r>
      <rPr>
        <u/>
        <sz val="10"/>
        <rFont val="Calibri"/>
        <family val="2"/>
        <scheme val="minor"/>
      </rPr>
      <t>28/02/2020</t>
    </r>
    <r>
      <rPr>
        <sz val="10"/>
        <rFont val="Calibri"/>
        <family val="2"/>
        <scheme val="minor"/>
      </rPr>
      <t xml:space="preserve">: Igual
</t>
    </r>
    <r>
      <rPr>
        <u/>
        <sz val="10"/>
        <rFont val="Calibri"/>
        <family val="2"/>
        <scheme val="minor"/>
      </rPr>
      <t>06/03/2020</t>
    </r>
    <r>
      <rPr>
        <sz val="10"/>
        <rFont val="Calibri"/>
        <family val="2"/>
        <scheme val="minor"/>
      </rPr>
      <t xml:space="preserve">: Igual - Cobrado por SAT.                                     </t>
    </r>
    <r>
      <rPr>
        <u/>
        <sz val="10"/>
        <rFont val="Calibri"/>
        <family val="2"/>
        <scheme val="minor"/>
      </rPr>
      <t>13/03/2020</t>
    </r>
    <r>
      <rPr>
        <sz val="10"/>
        <rFont val="Calibri"/>
        <family val="2"/>
        <scheme val="minor"/>
      </rPr>
      <t>: Igual</t>
    </r>
  </si>
  <si>
    <r>
      <t xml:space="preserve">Recebido retorno do SAT em qui 07/11/2019 10:56, não há previsão de publicação pela Agência.
</t>
    </r>
    <r>
      <rPr>
        <u/>
        <sz val="10"/>
        <rFont val="Calibri"/>
        <family val="2"/>
        <scheme val="minor"/>
      </rPr>
      <t>07/02/2020</t>
    </r>
    <r>
      <rPr>
        <sz val="10"/>
        <rFont val="Calibri"/>
        <family val="2"/>
        <scheme val="minor"/>
      </rPr>
      <t xml:space="preserve">: Situação Não anuído
Encontra-se na GGMED - Desde: 08/01/2019
</t>
    </r>
    <r>
      <rPr>
        <u/>
        <sz val="10"/>
        <rFont val="Calibri"/>
        <family val="2"/>
        <scheme val="minor"/>
      </rPr>
      <t>28/02/2020</t>
    </r>
    <r>
      <rPr>
        <sz val="10"/>
        <rFont val="Calibri"/>
        <family val="2"/>
        <scheme val="minor"/>
      </rPr>
      <t xml:space="preserve">: Igual
</t>
    </r>
    <r>
      <rPr>
        <u/>
        <sz val="10"/>
        <rFont val="Calibri"/>
        <family val="2"/>
        <scheme val="minor"/>
      </rPr>
      <t>06/03/2020</t>
    </r>
    <r>
      <rPr>
        <sz val="10"/>
        <rFont val="Calibri"/>
        <family val="2"/>
        <scheme val="minor"/>
      </rPr>
      <t xml:space="preserve">: Igual - Cobrado por SAT.                                             </t>
    </r>
    <r>
      <rPr>
        <u/>
        <sz val="10"/>
        <rFont val="Calibri"/>
        <family val="2"/>
        <scheme val="minor"/>
      </rPr>
      <t>13/03/2020</t>
    </r>
    <r>
      <rPr>
        <sz val="10"/>
        <rFont val="Calibri"/>
        <family val="2"/>
        <scheme val="minor"/>
      </rPr>
      <t>: Igual</t>
    </r>
  </si>
  <si>
    <r>
      <rPr>
        <u/>
        <sz val="10"/>
        <rFont val="Calibri"/>
        <family val="2"/>
        <scheme val="minor"/>
      </rPr>
      <t>31/01/2020</t>
    </r>
    <r>
      <rPr>
        <sz val="10"/>
        <rFont val="Calibri"/>
        <family val="2"/>
        <scheme val="minor"/>
      </rPr>
      <t xml:space="preserve">: Situação Não anuído
Encontra-se na GGMED - Desde: 07/01/2020
</t>
    </r>
    <r>
      <rPr>
        <u/>
        <sz val="10"/>
        <rFont val="Calibri"/>
        <family val="2"/>
        <scheme val="minor"/>
      </rPr>
      <t>28/02/2020</t>
    </r>
    <r>
      <rPr>
        <sz val="10"/>
        <rFont val="Calibri"/>
        <family val="2"/>
        <scheme val="minor"/>
      </rPr>
      <t xml:space="preserve">: Igual
</t>
    </r>
    <r>
      <rPr>
        <u/>
        <sz val="10"/>
        <rFont val="Calibri"/>
        <family val="2"/>
        <scheme val="minor"/>
      </rPr>
      <t>06/03/2020</t>
    </r>
    <r>
      <rPr>
        <sz val="10"/>
        <rFont val="Calibri"/>
        <family val="2"/>
        <scheme val="minor"/>
      </rPr>
      <t xml:space="preserve">: Igual - Cobrado por SAT                                           </t>
    </r>
    <r>
      <rPr>
        <u/>
        <sz val="10"/>
        <rFont val="Calibri"/>
        <family val="2"/>
        <scheme val="minor"/>
      </rPr>
      <t>13/03/2020:</t>
    </r>
    <r>
      <rPr>
        <sz val="10"/>
        <rFont val="Calibri"/>
        <family val="2"/>
        <scheme val="minor"/>
      </rPr>
      <t xml:space="preserve"> Igual</t>
    </r>
  </si>
  <si>
    <r>
      <t>21/02/2020</t>
    </r>
    <r>
      <rPr>
        <sz val="10"/>
        <rFont val="Calibri"/>
        <family val="2"/>
        <scheme val="minor"/>
      </rPr>
      <t>: Situação: Aguardando análise
Encontra-se na  CETER  Desde: 19/02/2020
13</t>
    </r>
    <r>
      <rPr>
        <u/>
        <sz val="10"/>
        <rFont val="Calibri"/>
        <family val="2"/>
        <scheme val="minor"/>
      </rPr>
      <t>/03/2020</t>
    </r>
    <r>
      <rPr>
        <sz val="10"/>
        <rFont val="Calibri"/>
        <family val="2"/>
        <scheme val="minor"/>
      </rPr>
      <t>: Igual</t>
    </r>
  </si>
  <si>
    <r>
      <rPr>
        <u/>
        <sz val="10"/>
        <rFont val="Calibri"/>
        <family val="2"/>
        <scheme val="minor"/>
      </rPr>
      <t>31/01/2020</t>
    </r>
    <r>
      <rPr>
        <sz val="10"/>
        <rFont val="Calibri"/>
        <family val="2"/>
        <scheme val="minor"/>
      </rPr>
      <t xml:space="preserve">: Situação: A documentação aguarda análise, em ordem cronológica de entrada.
Encontra-se na GGMED - Desde: 22/10/2019
</t>
    </r>
    <r>
      <rPr>
        <u/>
        <sz val="10"/>
        <rFont val="Calibri"/>
        <family val="2"/>
        <scheme val="minor"/>
      </rPr>
      <t>07/02/2020</t>
    </r>
    <r>
      <rPr>
        <sz val="10"/>
        <rFont val="Calibri"/>
        <family val="2"/>
        <scheme val="minor"/>
      </rPr>
      <t xml:space="preserve">: Igual
</t>
    </r>
    <r>
      <rPr>
        <u/>
        <sz val="10"/>
        <rFont val="Calibri"/>
        <family val="2"/>
        <scheme val="minor"/>
      </rPr>
      <t xml:space="preserve">14/02/2020: </t>
    </r>
    <r>
      <rPr>
        <sz val="10"/>
        <rFont val="Calibri"/>
        <family val="2"/>
        <scheme val="minor"/>
      </rPr>
      <t xml:space="preserve"> Situação: A documentação aguarda análise, em ordem cronológica de entrada
  Encontra-se na CETER - Desde: 11/02/2020 
13</t>
    </r>
    <r>
      <rPr>
        <u/>
        <sz val="10"/>
        <rFont val="Calibri"/>
        <family val="2"/>
        <scheme val="minor"/>
      </rPr>
      <t>/03/2020</t>
    </r>
    <r>
      <rPr>
        <sz val="10"/>
        <rFont val="Calibri"/>
        <family val="2"/>
        <scheme val="minor"/>
      </rPr>
      <t>: Igual</t>
    </r>
  </si>
  <si>
    <r>
      <t>07/02/2020</t>
    </r>
    <r>
      <rPr>
        <sz val="10"/>
        <rFont val="Calibri"/>
        <family val="2"/>
        <scheme val="minor"/>
      </rPr>
      <t xml:space="preserve">: Situação: Aguardando análise
Encontra-se na CETER - Desde: 06/02/2020
</t>
    </r>
    <r>
      <rPr>
        <u/>
        <sz val="10"/>
        <rFont val="Calibri"/>
        <family val="2"/>
        <scheme val="minor"/>
      </rPr>
      <t>13/03/2020:</t>
    </r>
    <r>
      <rPr>
        <sz val="10"/>
        <rFont val="Calibri"/>
        <family val="2"/>
        <scheme val="minor"/>
      </rPr>
      <t xml:space="preserve"> Igual</t>
    </r>
  </si>
  <si>
    <t>13/03/2020</t>
  </si>
  <si>
    <t>06/03/2020</t>
  </si>
  <si>
    <t>Acompanhar a petição de registro clone.
No registro do medicamento clone LIPNEO (Matriz Genérico - Brainfarma) -  foi solicitado o cancelamento do registro de linha.</t>
  </si>
  <si>
    <t>Quantidade</t>
  </si>
  <si>
    <t>20/03/2020</t>
  </si>
  <si>
    <t>Situação
Em análise do cumprimento de exigência
GQMED, desde 18/03/2020</t>
  </si>
  <si>
    <t>Clone: Não está na fila de análise. Situação
Distribuído para a área responsável. Encontra-se na
GQMED  - Desde 19/02/2020
Matriz:
17</t>
  </si>
  <si>
    <t>Clone: Não está na fila de análise. Situação
Distribuído para a área responsável. Encontra-se na
GQMED  - Desde 18/02/2020
Matriz:
17</t>
  </si>
  <si>
    <t>29/11/2019: 45
10/01/2020: 40
17/01/2020: 40
24/01/2020: 39
31/01/2020: 32
07/02/2020: 29
14/02/2020: 29
21/02/2020: 26
28/02/2020: 26 
06/03/2020: 26                         13/03/2020: 20
20/03/2020: 19</t>
  </si>
  <si>
    <t>06/12/2019: 46
13/12/2019: 46
20/12/2019:46
10/01/2020: 41
17/01/2020: 41
24/01/2020: 40
31/01/2020: 33
07/02/2020: 30
14/02/2020: 30
21/02/2020: 27
28/02/2020: 27
06/03/2020: 27                       13/03/2020: 21
20/03/2020: 20</t>
  </si>
  <si>
    <t>1_Exigência recebida em 30/01/2020, sob nº de notificação 0270595/20-8. Cumprida em 27/02/2020 sob expediente nº 0591987/20-1.
2_Ofício 0833252205, recebido em  20/03/2020. “Assim podemos concluir que as formulações R1 e R2 não possuem interação, com 90%
de confiança”.
3_Ofício 0833227204,recebido em 20/03/2020. “Assim podemos concluir que as formulações R1 e R2 não possuem interação, com 90%
de confiança”.</t>
  </si>
  <si>
    <r>
      <rPr>
        <u/>
        <sz val="10"/>
        <rFont val="Calibri"/>
        <family val="2"/>
        <scheme val="minor"/>
      </rPr>
      <t>07/02/2020</t>
    </r>
    <r>
      <rPr>
        <sz val="10"/>
        <rFont val="Calibri"/>
        <family val="2"/>
        <scheme val="minor"/>
      </rPr>
      <t xml:space="preserve">: Situação: Em exigência
Encontra-se na CETER - Desde: 27/01/2020
</t>
    </r>
    <r>
      <rPr>
        <u/>
        <sz val="10"/>
        <rFont val="Calibri"/>
        <family val="2"/>
        <scheme val="minor"/>
      </rPr>
      <t>28/02/2020</t>
    </r>
    <r>
      <rPr>
        <sz val="10"/>
        <rFont val="Calibri"/>
        <family val="2"/>
        <scheme val="minor"/>
      </rPr>
      <t xml:space="preserve">: Situação: Aguardando análise do cumprimento de exigência. Encontra-se na CETER - Desde: 27/01/2020
</t>
    </r>
    <r>
      <rPr>
        <u/>
        <sz val="10"/>
        <rFont val="Calibri"/>
        <family val="2"/>
        <scheme val="minor"/>
      </rPr>
      <t>20/03/2020</t>
    </r>
    <r>
      <rPr>
        <sz val="10"/>
        <rFont val="Calibri"/>
        <family val="2"/>
        <scheme val="minor"/>
      </rPr>
      <t>: Igual anterior
23/03/2020: Concluída análise</t>
    </r>
  </si>
  <si>
    <t>Publicado deferimento em 23/03/2020</t>
  </si>
  <si>
    <t>25351.210218/2020-73</t>
  </si>
  <si>
    <t>MILGAMMA COMPLEX</t>
  </si>
  <si>
    <t xml:space="preserve">benfotiamina + cloridrato de piridoxina + cianocobalamina </t>
  </si>
  <si>
    <t xml:space="preserve"> 150/300mg + 100mg + 5.000µg</t>
  </si>
  <si>
    <t>0880727/20-2</t>
  </si>
  <si>
    <t>PREDNISOLON</t>
  </si>
  <si>
    <t xml:space="preserve">prednisolona (fosfato sódico) </t>
  </si>
  <si>
    <t>solução oral 1,34mg/mL</t>
  </si>
  <si>
    <t xml:space="preserve">solução oral </t>
  </si>
  <si>
    <t>25351.215980/2020-46</t>
  </si>
  <si>
    <t>27/03/2020</t>
  </si>
  <si>
    <t>Clone: Não está na fila de análise. Situação
Distribuído para a área responsável. Encontra-se na
GEPRE.D  - Desde 21/01/2020
Matriz:
16</t>
  </si>
  <si>
    <t>Clone: Não está na fila de análise. Situação
Distribuído para a área responsável. Encontra-se na
GEPRE.D  - Desde 20/01/2020
Matriz:
16</t>
  </si>
  <si>
    <t>03/04/2020</t>
  </si>
  <si>
    <t>Situação: Concluída análise
Encontra-se na
GGMED, desde 01/04/2020</t>
  </si>
  <si>
    <t>Clone não consta na fila.
Situação matriz:
Em análise do cumprimento de exigência
Encontra-se na
GQMED  
Desde: 30/03/2020</t>
  </si>
  <si>
    <t>06/04/2020</t>
  </si>
  <si>
    <t>1. Aditamento para a CRMEC de bula, rotulagem e nome comercial em 07/06/2018 sob expediente nº 0458019182  
2.  Aditamento à solicitação de registro (FIDR) em 07/06/2018 sob expediente nº 0458110185 
3. Aditamento de estudo de biodisponibilidade relativa ou Bioisenção em 12/06/2018 sob expediente nº 0469458189
4. Aditamento de estudo de qualificação de impurezas e produtos de degradação em 12/06/2018 sob expediente nº 0469382185
5. Prazo de análise prorrogado por até 122 dias, de acordo com a Resolução-RE nº 1.086, de 25 de abril de 2019, publicada em suplemento do dia 29/04/2019, ficando o prazo máximo para 05/10/2019.
6_Notificação de Exigência recebida em 25/11/2019 sob nº 2376283/19-7. Cumprida em 31/01/2020 pelo expediente 0316113/20-4.
7_ Data de entrada em análise:  07/11/2018</t>
  </si>
  <si>
    <t>ADDERA® D3</t>
  </si>
  <si>
    <t>DSM Nutricional Products Ltd
Endereço: Hauptstrasse 4, Postfach, Sisseln - 4334 Switzerland</t>
  </si>
  <si>
    <t xml:space="preserve">3.000 U.I., 4.000 U.I., 14.000 U.I., 
30.000 U.I. e 60.000 U.I.
</t>
  </si>
  <si>
    <t>1061339/20-1</t>
  </si>
  <si>
    <t>09/04/2020</t>
  </si>
  <si>
    <t>0760134204
(Expediente registro clone)</t>
  </si>
  <si>
    <r>
      <t xml:space="preserve">
</t>
    </r>
    <r>
      <rPr>
        <u/>
        <sz val="10"/>
        <rFont val="Calibri"/>
        <family val="2"/>
        <scheme val="minor"/>
      </rPr>
      <t>20/03/2020</t>
    </r>
    <r>
      <rPr>
        <sz val="10"/>
        <rFont val="Calibri"/>
        <family val="2"/>
        <scheme val="minor"/>
      </rPr>
      <t xml:space="preserve">:Situação: Aguardando análise do cumprimento de exigência. Encontra-se na CETER - Desde: 31/01/2020
</t>
    </r>
    <r>
      <rPr>
        <u/>
        <sz val="10"/>
        <rFont val="Calibri"/>
        <family val="2"/>
        <scheme val="minor"/>
      </rPr>
      <t>09/04/2020</t>
    </r>
    <r>
      <rPr>
        <sz val="10"/>
        <rFont val="Calibri"/>
        <family val="2"/>
        <scheme val="minor"/>
      </rPr>
      <t>: Igual anterior</t>
    </r>
  </si>
  <si>
    <r>
      <t xml:space="preserve">27/03/2020 Situação: Distribuído para a área responsável. Encontra-se na CETER - Desde: 03/03/2020
</t>
    </r>
    <r>
      <rPr>
        <u/>
        <sz val="10"/>
        <rFont val="Calibri"/>
        <family val="2"/>
        <scheme val="minor"/>
      </rPr>
      <t>03/04/2020</t>
    </r>
    <r>
      <rPr>
        <sz val="10"/>
        <rFont val="Calibri"/>
        <family val="2"/>
        <scheme val="minor"/>
      </rPr>
      <t xml:space="preserve"> Situação: Em Análise. Encontra-se na
CETER - Desde: 02/04/2020
09/04/2020: Igual anterior</t>
    </r>
  </si>
  <si>
    <r>
      <rPr>
        <u/>
        <sz val="10"/>
        <rFont val="Calibri"/>
        <family val="2"/>
        <scheme val="minor"/>
      </rPr>
      <t>27/03/2020</t>
    </r>
    <r>
      <rPr>
        <sz val="10"/>
        <rFont val="Calibri"/>
        <family val="2"/>
        <scheme val="minor"/>
      </rPr>
      <t xml:space="preserve"> Situação: Distribuído para a área responsável. Encontra-se na CETER - Desde: 24/03/2020
</t>
    </r>
    <r>
      <rPr>
        <u/>
        <sz val="10"/>
        <rFont val="Calibri"/>
        <family val="2"/>
        <scheme val="minor"/>
      </rPr>
      <t>03/04/2020</t>
    </r>
    <r>
      <rPr>
        <sz val="10"/>
        <rFont val="Calibri"/>
        <family val="2"/>
        <scheme val="minor"/>
      </rPr>
      <t>: Situação: Distribuído para a área responsável. Encontra-se na CETER - Desde: 31/03/2020
09/04/2020: Igual anterior</t>
    </r>
  </si>
  <si>
    <t>17/04/2020</t>
  </si>
  <si>
    <t>CBPF</t>
  </si>
  <si>
    <t xml:space="preserve">09/12/2019: Entrou na fila: INSPEÇÃO E CERTIFICAÇÃO - MEDICAMENTOS - CBPF INTERNACIONAL DE MEDICAMENTOS
24/01/2020: Mudou para a fila: CBPF Internacional de Medicamentos que aguardam inspeção sanitária por parte da ANVISA - posição 53
20/03/2020: Recebido Ofício nº 0833080208, solicitando relatório inspeção FDA.
31/03/2020: Aditamento do Relatório de inspeção de autoridades regulatórias estrangeiras – RDC 346/2020 em Resposta ao Ofício nº 0833080208.
Data de entrada em análise: NA
</t>
  </si>
  <si>
    <t>GASTROL</t>
  </si>
  <si>
    <t xml:space="preserve">37 MG/G + 47 MG/G + 35,6 MG/G e 
185 MG + 231,5 MG + 178MG 
</t>
  </si>
  <si>
    <t>aguarda análise</t>
  </si>
  <si>
    <t xml:space="preserve">Fabricante do Ativo para pastilhas: Carbonato de cálcio: Lagos Indústria Quimica + Hidróxido de magnésio: SRL Pharma GMBH + Hidróxido de alumínio: SRL Pharma GMBH
Fabricante do Ativo para pó efervescente: Hidróxido de alumínio: BK Giulini GmbH + Hidróxido de magnésio: BK Giulini GmbH + carbonato de cálcio: Lagos Indústria Química Ltda. </t>
  </si>
  <si>
    <t>3000 UI CAP MOLE CT BL AL PLAS OPC X 4
3000 UI CAP MOLE CT BL AL PLAS OPC X 8
3000 UI CAP MOLE CT BL AL PLAS OPC X 30
4000 UI CAP MOLE CT BL AL PLAS OPC X 4
4000 UI CAP MOLE CT BL AL PLAS OPC X 8
4000 UI CAP MOLE CT BL AL PLAS OPC X 30
14000 UI CAP MOLE CT BL AL PLAS OPC X 2
14000 UI CAP MOLE CT BL AL PLAS OPC X 4
14000 UI CAP MOLE CT BL AL PLAS OPC X 8
14000 UI CAP MOLE CT BL AL PLAS OPC X 10
14000 UI CAP MOLE CT BL AL PLAS OPC X 30
30000 UI CAP MOLE CT BL AL PLAS OPC X 2
30000 UI CAP MOLE CT BL AL PLAS OPC X 4
30000 UI CAP MOLE CT BL AL PLAS OPC X 8
30000 UI CAP MOLE CT BL AL PLAS OPC X 10
60000 UI CAP MOLE CT BL AL PLAS OPC X 2
60000 UI CAP MOLE CT BL AL PLAS OPC X 4
60000 UI CAP MOLE CT BL AL PLAS OPC X 8
60000 UI CAP MOLE CT BL AL PLAS OPC X 10</t>
  </si>
  <si>
    <t>Gastrol Sachês 37 MG/G + 47 MG/G + 35,6 MG/G PO EFERV CT 6 ENV AL X 5 G ABACAXI
Gastrol Sachês 37 MG/G + 47 MG/G + 35,6 MG/G PO EFERV CT 8 ENV AL X 5 G ABACAXI
Gastrol Sachês 37 MG/G + 47 MG/G + 35,6 MG/G PO EFERV CT 10 ENV AL X 5 G ABACAXI
Gastrol Sachês 37 MG/G + 47 MG/G + 35,6 MG/G PO EFEV CT 6 ENV AL X 5 G LARANJA
Gastrol Sachês 37 MG/G + 47 MG/G + 35,6 MG/G PO EFEV CT 8 ENV AL X 5 G LARANJA
Gastrol Sachês 37 MG/G + 47 MG/G + 35,6 MG/G PO EFEV CT 10 ENV AL X 5 G LARANJA
Gastrol Sachês 37 MG/G + 47 MG/G + 35,6 MG/G PO EFEV CT 6 ENV AL X 5 G LIMÃO
Gastrol Sachês 37 MG/G + 47 MG/G + 35,6 MG/G PO EFEV CT 8 ENV AL X 5 G LIMÃO
Gastrol Sachês 37 MG/G + 47 MG/G + 35,6 MG/G PO EFEV CT 10 ENV AL X 5 G LIMÃO
Gastrol Pastilhas 185 MG + 231,5 MG + 178MG PAS CT BL AL PLAS TRANS X 30
Gastrol Pastilhas 185 MG + 231,5 MG + 178MG PAS CT BL AL PLAS TRANS X 40</t>
  </si>
  <si>
    <t>carbonato de cálcio + hidróxido de alumínio + hidróxido de magnésio</t>
  </si>
  <si>
    <t>24/04/2020</t>
  </si>
  <si>
    <t>Clone: Não está na fila de análise.
 Situação
Distribuído para a área responsável. Encontra-se na
GEPRE.D  - Desde 21/01/2020
Matriz:
16</t>
  </si>
  <si>
    <t>Clone: Não está na fila de análise.
 Situação
Distribuído para a área responsável. Encontra-se na
GEPRE.D  - Desde 21/01/2020
Matriz:
17</t>
  </si>
  <si>
    <t>Clone: Não está na fila de análise. Situação
Distribuído para a área responsável. Encontra-se na
GEPRE.D  - Desde 20/01/2020
Matriz:
17</t>
  </si>
  <si>
    <r>
      <t>1_Priorização de análise, protocolado em 25/09/2013, sob expediente n°0810690/13-8.
2_Priorização de análise, protocolado em 07/02/2014, sob expediente n°0098667/14-4.
3_Notificação de fabricação de lotes especiais destinados exclusivamente para pesquisa clínica, protocolado em 22/07/2014, sob expediente n°0588920/14-1.
4</t>
    </r>
    <r>
      <rPr>
        <b/>
        <sz val="10"/>
        <rFont val="Calibri"/>
        <family val="2"/>
        <scheme val="minor"/>
      </rPr>
      <t>_Exigência n° 487906/14 recebida em 15/07/2014 4, cumprimento em 08/08/2014  sob expediente n°065282/51-2.</t>
    </r>
    <r>
      <rPr>
        <sz val="10"/>
        <rFont val="Calibri"/>
        <family val="2"/>
        <scheme val="minor"/>
      </rPr>
      <t xml:space="preserve">
5</t>
    </r>
    <r>
      <rPr>
        <b/>
        <sz val="10"/>
        <rFont val="Calibri"/>
        <family val="2"/>
        <scheme val="minor"/>
      </rPr>
      <t>_Exigência n° 513432/14 recebida em 26/08/2014, cumprimento em 24/11/2014 sob expediente n°106061/41-9.</t>
    </r>
    <r>
      <rPr>
        <sz val="10"/>
        <rFont val="Calibri"/>
        <family val="2"/>
        <scheme val="minor"/>
      </rPr>
      <t xml:space="preserve">
6_Anuência em Processo de Pesquisa Clínica – Medicamentos Sintéticos</t>
    </r>
    <r>
      <rPr>
        <sz val="10"/>
        <color rgb="FFFF0000"/>
        <rFont val="Calibri"/>
        <family val="2"/>
        <scheme val="minor"/>
      </rPr>
      <t xml:space="preserve"> (Processo n° 5351.664423/2014-59) </t>
    </r>
    <r>
      <rPr>
        <sz val="10"/>
        <rFont val="Calibri"/>
        <family val="2"/>
        <scheme val="minor"/>
      </rPr>
      <t xml:space="preserve"> protocolado e, 29/10/2014, sob expediente n° 0982080/14-9.</t>
    </r>
    <r>
      <rPr>
        <sz val="10"/>
        <color rgb="FFFF0000"/>
        <rFont val="Calibri"/>
        <family val="2"/>
        <scheme val="minor"/>
      </rPr>
      <t xml:space="preserve">
</t>
    </r>
    <r>
      <rPr>
        <sz val="10"/>
        <rFont val="Calibri"/>
        <family val="2"/>
        <scheme val="minor"/>
      </rPr>
      <t xml:space="preserve">7_Priorização de análise, protocolado em 19/02/2015, sob expediente n° 0148139158. </t>
    </r>
    <r>
      <rPr>
        <sz val="10"/>
        <color rgb="FFFF0000"/>
        <rFont val="Calibri"/>
        <family val="2"/>
        <scheme val="minor"/>
      </rPr>
      <t>(Processo n° 25351.664423/2014-59)</t>
    </r>
  </si>
  <si>
    <t>25351.727341/2019-95</t>
  </si>
  <si>
    <t>25351.535210/2012-59</t>
  </si>
  <si>
    <r>
      <t>COLEDUE</t>
    </r>
    <r>
      <rPr>
        <sz val="10"/>
        <rFont val="Calibri"/>
        <family val="2"/>
        <scheme val="minor"/>
      </rPr>
      <t xml:space="preserve">
(genérico - Althaia)</t>
    </r>
  </si>
  <si>
    <t xml:space="preserve">1_Entrou na fila na posição 35 em  20/12/2019
2_Exigência cumprida em 24/03/2020 (Número do Expediente da Exigência:
0319425206), Comprovante de Protocolo: 25352766253202032 Expediente: 0885346203. 
3_ Ofício nº1178887209, recebido em 27/04/2020. Deferimento de registro e aprovação da marca comercial. Lesdip era a primeira opção, não foi aceito, sendo aprovado a marca como Coledue. Produto matriz Genérico (Althaia) Processo: 25351.001001/2015-59
</t>
  </si>
  <si>
    <t>30.000 U.I.</t>
  </si>
  <si>
    <t>30000 UI COM REV CT BL AL PLAS PVDC TRANS X 2
30000 UI COM REV CT BL AL PLAS PVDC TRANS X 4
30000 UI COM REV CT BL AL PLAS PVDC TRANS X 8
30000 UI COM REV CT BL AL PLAS PVDC TRANS X 10
30000 UI COM REV CT BL AL PLAS ACLAR TRANS X 2
30000 UI COM REV CT BL AL PLAS ACLAR TRANS X 4
30000 UI COM REV CT BL AL PLAS ACLAR TRANS X 8
30000 UI COM REV CT BL AL PLAS ACLAR TRANS X 10</t>
  </si>
  <si>
    <t>1299890/20-7</t>
  </si>
  <si>
    <t>1_Exigência nº 0311100/20-8 recebida em 03/02/2020. Cumprida em 17/03/2020 pelo expediente nº 0806324201.
2_Ofício nº 1309246204, recebido em 29/04/2020. Assunto: Estudo de Interação Farmacocinética  (avaliação da indapamida)
3_ Ofício nº 1309250202, recebido em 29/04/2020. Assunto: Estudo de Interação Farmacocinética (avaliação da olmesartana)</t>
  </si>
  <si>
    <t>30/04/2020</t>
  </si>
  <si>
    <t xml:space="preserve">0148413/19-3
</t>
  </si>
  <si>
    <t>Clone: Não está na fila de análise.
 Situação
Distribuído para a área responsável. Encontra-se na
GEPRE.D  - Desde 30/12/2019
Matriz:
16</t>
  </si>
  <si>
    <t>Situação atual
Em análise
Encontra-se na
CBRES - 
Desde: 30/04/2020</t>
  </si>
  <si>
    <t>DSM NUTRITIONAL PRODUCTS LTD.</t>
  </si>
  <si>
    <t>Clone não consta na fila.
Situação matriz:
Em exigência
Encontra-se na
GQMED  
Desde: 30/03/2020</t>
  </si>
  <si>
    <t>Letícia Samara, motivo BDR para desenvolvimento de medicamento inovador</t>
  </si>
  <si>
    <t>11337 - Comunicação de ausência de medicamento de referência no mercado nacional pela empresa interessada</t>
  </si>
  <si>
    <t>08/05/2020</t>
  </si>
  <si>
    <t>MALEATO DE DEXCLORFENIRAMINA</t>
  </si>
  <si>
    <t>25351.539230/2011-23</t>
  </si>
  <si>
    <t>0,4 MG/ML SOL OR CX 50 FR VD AMB X 100 ML
0,4 MG/ML SOL OR CT FR VD AMB X 100 ML
0,4 MG/ML SOL OR CT FR VD AMB X 100 ML + COP
0,4 MG/ML SOL OR CX 50 FR VD AMB X 100 ML + 50 COP</t>
  </si>
  <si>
    <t>Anek Prayog Pvt Ltd.(Holder: Nivedita Chemicals Pvt. Ltd.)</t>
  </si>
  <si>
    <r>
      <t xml:space="preserve">27/03/2020 Situação: Distribuído para a área responsável. Encontra-se na CETER - Desde: 03/03/2020
</t>
    </r>
    <r>
      <rPr>
        <u/>
        <sz val="10"/>
        <rFont val="Calibri"/>
        <family val="2"/>
        <scheme val="minor"/>
      </rPr>
      <t>03/04/2020</t>
    </r>
    <r>
      <rPr>
        <sz val="10"/>
        <rFont val="Calibri"/>
        <family val="2"/>
        <scheme val="minor"/>
      </rPr>
      <t xml:space="preserve"> Situação: Em Análise. Encontra-se na
CETER - Desde: 02/04/2020
</t>
    </r>
    <r>
      <rPr>
        <u/>
        <sz val="10"/>
        <rFont val="Calibri"/>
        <family val="2"/>
        <scheme val="minor"/>
      </rPr>
      <t>24/04/2020</t>
    </r>
    <r>
      <rPr>
        <sz val="10"/>
        <rFont val="Calibri"/>
        <family val="2"/>
        <scheme val="minor"/>
      </rPr>
      <t xml:space="preserve">: Igual anterior
</t>
    </r>
    <r>
      <rPr>
        <u/>
        <sz val="10"/>
        <rFont val="Calibri"/>
        <family val="2"/>
        <scheme val="minor"/>
      </rPr>
      <t>30/04/2020:</t>
    </r>
    <r>
      <rPr>
        <sz val="10"/>
        <rFont val="Calibri"/>
        <family val="2"/>
        <scheme val="minor"/>
      </rPr>
      <t xml:space="preserve"> Situação atual
Em análise
Encontra-se na
CETER -  Desde: 09/04/2020
</t>
    </r>
    <r>
      <rPr>
        <u/>
        <sz val="10"/>
        <rFont val="Calibri"/>
        <family val="2"/>
        <scheme val="minor"/>
      </rPr>
      <t xml:space="preserve">08/05/2020: </t>
    </r>
    <r>
      <rPr>
        <sz val="10"/>
        <rFont val="Calibri"/>
        <family val="2"/>
        <scheme val="minor"/>
      </rPr>
      <t>Situação atual
Concluída análise Encontra-se na
CETER - Desde: 05/05/2020</t>
    </r>
  </si>
  <si>
    <r>
      <t xml:space="preserve">1_ Recebido em 17/04/2020 o Ofício nº 1075905201, do Processo 25351.140793/2020-00 , Expediente 0633075/20-4 Assunto: Protocolo do estudo de biodisponibilidade relativa / bioequivalência para Dapagliflozina + Metformina.A CETER concordou com a proposta da empresa.
</t>
    </r>
    <r>
      <rPr>
        <b/>
        <sz val="10"/>
        <rFont val="Calibri"/>
        <family val="2"/>
        <scheme val="minor"/>
      </rPr>
      <t/>
    </r>
  </si>
  <si>
    <t>Bárbara Rambaldi Foreze</t>
  </si>
  <si>
    <t>cloridrato de donepezila monoidratado</t>
  </si>
  <si>
    <t xml:space="preserve">CLORIDRATO DE CIPROEPTADINA, COBAMAMIDA </t>
  </si>
  <si>
    <t>1mg + 4mg
0,8mg/mL + 4mg/g</t>
  </si>
  <si>
    <t>Comprimido e Pó  para preparações  extemporanea</t>
  </si>
  <si>
    <t>Paula Tiemi De Almeida Matsura (GTE INOVAÇÃO)</t>
  </si>
  <si>
    <t>COBAVITAL (ABBOTT)</t>
  </si>
  <si>
    <t>VERTIX (ACHÉ)</t>
  </si>
  <si>
    <t xml:space="preserve">DICLORIDRATO DE FLUNARIZINA </t>
  </si>
  <si>
    <t>Roberta Alcântara de Melo Mendes (GTE PROJETOS)</t>
  </si>
  <si>
    <t>15/05/2020</t>
  </si>
  <si>
    <t>CORISTINA D 400</t>
  </si>
  <si>
    <t>11305 - Medicamento inovador: protocolo de segurança e eficácia</t>
  </si>
  <si>
    <t>25351.426667/2020-31</t>
  </si>
  <si>
    <t>20 + 5 + 12,5mg, 40 + 5 +12,5mg, 40 + 10 + 12,5mg e 40 + 10 + 25mg</t>
  </si>
  <si>
    <t>22/05/2020</t>
  </si>
  <si>
    <t>0389747/19-8</t>
  </si>
  <si>
    <t>0389663/19-3</t>
  </si>
  <si>
    <t>0492297/19-2</t>
  </si>
  <si>
    <t>1917237/19-1</t>
  </si>
  <si>
    <t>2121991/19-5</t>
  </si>
  <si>
    <t>0264032/20-5</t>
  </si>
  <si>
    <t>0338091/20-2</t>
  </si>
  <si>
    <t>Clone: Não está na fila de análise. 
Situação
Distribuído para a área responsável. Encontra-se na
GEPRE.D  - Desde 20/01/2020
Matriz:
16</t>
  </si>
  <si>
    <t>Clone: Não está na fila de análise. 
Situação
Distribuído para a área responsável. Encontra-se na
GEPRE.D  - Desde 20/01/2020
Matriz:
17</t>
  </si>
  <si>
    <t>Matriz sem registro ativo - ver situação matriz.
Clone: Situação atual
Aguardando análise do medicamento matriz
Encontra-se na
CBRES - 
Desde: 20/05/2020</t>
  </si>
  <si>
    <t>1292487/20-3</t>
  </si>
  <si>
    <t>1436036/20-5</t>
  </si>
  <si>
    <r>
      <rPr>
        <u/>
        <sz val="10"/>
        <rFont val="Calibri"/>
        <family val="2"/>
        <scheme val="minor"/>
      </rPr>
      <t>31/01/2020</t>
    </r>
    <r>
      <rPr>
        <sz val="10"/>
        <rFont val="Calibri"/>
        <family val="2"/>
        <scheme val="minor"/>
      </rPr>
      <t xml:space="preserve">: Situação: A documentação aguarda análise, em ordem cronológica de entrada.
Encontra-se na GGMED Desde: 30/08/2019
</t>
    </r>
    <r>
      <rPr>
        <u/>
        <sz val="10"/>
        <rFont val="Calibri"/>
        <family val="2"/>
        <scheme val="minor"/>
      </rPr>
      <t>28/02/2020</t>
    </r>
    <r>
      <rPr>
        <sz val="10"/>
        <rFont val="Calibri"/>
        <family val="2"/>
        <scheme val="minor"/>
      </rPr>
      <t xml:space="preserve">: Igual anterior
</t>
    </r>
    <r>
      <rPr>
        <u/>
        <sz val="10"/>
        <rFont val="Calibri"/>
        <family val="2"/>
        <scheme val="minor"/>
      </rPr>
      <t>13/03/2020</t>
    </r>
    <r>
      <rPr>
        <sz val="10"/>
        <rFont val="Calibri"/>
        <family val="2"/>
        <scheme val="minor"/>
      </rPr>
      <t xml:space="preserve">: Situação Em análise. Encontra-se na GGMED - Desde: 28/02/2020
</t>
    </r>
    <r>
      <rPr>
        <u/>
        <sz val="10"/>
        <rFont val="Calibri"/>
        <family val="2"/>
        <scheme val="minor"/>
      </rPr>
      <t>20/03/2020:</t>
    </r>
    <r>
      <rPr>
        <sz val="10"/>
        <rFont val="Calibri"/>
        <family val="2"/>
        <scheme val="minor"/>
      </rPr>
      <t xml:space="preserve"> Não anuído
Encontra-se na GGMED - Desde: 08/01/2019
</t>
    </r>
    <r>
      <rPr>
        <u/>
        <sz val="10"/>
        <rFont val="Calibri"/>
        <family val="2"/>
        <scheme val="minor"/>
      </rPr>
      <t>27/03/2020</t>
    </r>
    <r>
      <rPr>
        <sz val="10"/>
        <rFont val="Calibri"/>
        <family val="2"/>
        <scheme val="minor"/>
      </rPr>
      <t xml:space="preserve">: Igual anterior
</t>
    </r>
    <r>
      <rPr>
        <u/>
        <sz val="10"/>
        <rFont val="Calibri"/>
        <family val="2"/>
        <scheme val="minor"/>
      </rPr>
      <t>01/04/2020: I</t>
    </r>
    <r>
      <rPr>
        <sz val="10"/>
        <rFont val="Calibri"/>
        <family val="2"/>
        <scheme val="minor"/>
      </rPr>
      <t xml:space="preserve">gual. Cobrado por SAT. 
</t>
    </r>
    <r>
      <rPr>
        <u/>
        <sz val="10"/>
        <rFont val="Calibri"/>
        <family val="2"/>
        <scheme val="minor"/>
      </rPr>
      <t>08/05//2020</t>
    </r>
    <r>
      <rPr>
        <sz val="10"/>
        <rFont val="Calibri"/>
        <family val="2"/>
        <scheme val="minor"/>
      </rPr>
      <t xml:space="preserve">: Igual anterior. Cobrado por SAT
</t>
    </r>
    <r>
      <rPr>
        <u/>
        <sz val="10"/>
        <rFont val="Calibri"/>
        <family val="2"/>
        <scheme val="minor"/>
      </rPr>
      <t>22/05/2020</t>
    </r>
    <r>
      <rPr>
        <sz val="10"/>
        <rFont val="Calibri"/>
        <family val="2"/>
        <scheme val="minor"/>
      </rPr>
      <t xml:space="preserve">: Igual </t>
    </r>
  </si>
  <si>
    <r>
      <rPr>
        <u/>
        <sz val="10"/>
        <rFont val="Calibri"/>
        <family val="2"/>
        <scheme val="minor"/>
      </rPr>
      <t>13/03/2020</t>
    </r>
    <r>
      <rPr>
        <sz val="10"/>
        <rFont val="Calibri"/>
        <family val="2"/>
        <scheme val="minor"/>
      </rPr>
      <t xml:space="preserve">:Situação: Aguardando análise.
Encontra-se na CETER Desde: 19/02/2020
</t>
    </r>
    <r>
      <rPr>
        <u/>
        <sz val="10"/>
        <rFont val="Calibri"/>
        <family val="2"/>
        <scheme val="minor"/>
      </rPr>
      <t>20/03/2020</t>
    </r>
    <r>
      <rPr>
        <sz val="10"/>
        <rFont val="Calibri"/>
        <family val="2"/>
        <scheme val="minor"/>
      </rPr>
      <t xml:space="preserve">: Não anuído
Encontra-se na GGMED - Desde: 08/01/2019
</t>
    </r>
    <r>
      <rPr>
        <u/>
        <sz val="10"/>
        <rFont val="Calibri"/>
        <family val="2"/>
        <scheme val="minor"/>
      </rPr>
      <t>27/03/2020:</t>
    </r>
    <r>
      <rPr>
        <sz val="10"/>
        <rFont val="Calibri"/>
        <family val="2"/>
        <scheme val="minor"/>
      </rPr>
      <t xml:space="preserve"> Igual anterior
</t>
    </r>
    <r>
      <rPr>
        <u/>
        <sz val="10"/>
        <rFont val="Calibri"/>
        <family val="2"/>
        <scheme val="minor"/>
      </rPr>
      <t>01/04/2020</t>
    </r>
    <r>
      <rPr>
        <sz val="10"/>
        <rFont val="Calibri"/>
        <family val="2"/>
        <scheme val="minor"/>
      </rPr>
      <t xml:space="preserve">: Igual. Cobrado por SAT. 
</t>
    </r>
    <r>
      <rPr>
        <u/>
        <sz val="10"/>
        <rFont val="Calibri"/>
        <family val="2"/>
        <scheme val="minor"/>
      </rPr>
      <t>08/05/2020</t>
    </r>
    <r>
      <rPr>
        <sz val="10"/>
        <rFont val="Calibri"/>
        <family val="2"/>
        <scheme val="minor"/>
      </rPr>
      <t xml:space="preserve">: Igual. Cobrado por SAT. 
</t>
    </r>
    <r>
      <rPr>
        <u/>
        <sz val="10"/>
        <rFont val="Calibri"/>
        <family val="2"/>
        <scheme val="minor"/>
      </rPr>
      <t xml:space="preserve">2205/2020: </t>
    </r>
    <r>
      <rPr>
        <sz val="10"/>
        <rFont val="Calibri"/>
        <family val="2"/>
        <scheme val="minor"/>
      </rPr>
      <t>Igual</t>
    </r>
  </si>
  <si>
    <r>
      <rPr>
        <u/>
        <sz val="10"/>
        <rFont val="Calibri"/>
        <family val="2"/>
        <scheme val="minor"/>
      </rPr>
      <t>31/01/2020</t>
    </r>
    <r>
      <rPr>
        <sz val="10"/>
        <rFont val="Calibri"/>
        <family val="2"/>
        <scheme val="minor"/>
      </rPr>
      <t xml:space="preserve">: Situação Não anuído
Encontra-se na GGMED - Desde: 07/01/2020
</t>
    </r>
    <r>
      <rPr>
        <u/>
        <sz val="10"/>
        <rFont val="Calibri"/>
        <family val="2"/>
        <scheme val="minor"/>
      </rPr>
      <t>28/02/2020</t>
    </r>
    <r>
      <rPr>
        <sz val="10"/>
        <rFont val="Calibri"/>
        <family val="2"/>
        <scheme val="minor"/>
      </rPr>
      <t xml:space="preserve">: Igual
</t>
    </r>
    <r>
      <rPr>
        <u/>
        <sz val="10"/>
        <rFont val="Calibri"/>
        <family val="2"/>
        <scheme val="minor"/>
      </rPr>
      <t>13/03/2020</t>
    </r>
    <r>
      <rPr>
        <sz val="10"/>
        <rFont val="Calibri"/>
        <family val="2"/>
        <scheme val="minor"/>
      </rPr>
      <t xml:space="preserve">: Igual - Cobrado por SAT                                           
</t>
    </r>
    <r>
      <rPr>
        <u/>
        <sz val="10"/>
        <rFont val="Calibri"/>
        <family val="2"/>
        <scheme val="minor"/>
      </rPr>
      <t>20/03/2020</t>
    </r>
    <r>
      <rPr>
        <sz val="10"/>
        <rFont val="Calibri"/>
        <family val="2"/>
        <scheme val="minor"/>
      </rPr>
      <t xml:space="preserve">: Não anuído
Encontra-se na GGMED - Desde: 08/01/2019
</t>
    </r>
    <r>
      <rPr>
        <u/>
        <sz val="10"/>
        <rFont val="Calibri"/>
        <family val="2"/>
        <scheme val="minor"/>
      </rPr>
      <t>27/03/2020:</t>
    </r>
    <r>
      <rPr>
        <sz val="10"/>
        <rFont val="Calibri"/>
        <family val="2"/>
        <scheme val="minor"/>
      </rPr>
      <t xml:space="preserve"> Não anuído
Encontra-se na GGMED - Desde: 07/01/2019
</t>
    </r>
    <r>
      <rPr>
        <u/>
        <sz val="10"/>
        <rFont val="Calibri"/>
        <family val="2"/>
        <scheme val="minor"/>
      </rPr>
      <t>01/04/2020</t>
    </r>
    <r>
      <rPr>
        <sz val="10"/>
        <rFont val="Calibri"/>
        <family val="2"/>
        <scheme val="minor"/>
      </rPr>
      <t xml:space="preserve">: Cobrado pos SAT. 
</t>
    </r>
    <r>
      <rPr>
        <u/>
        <sz val="10"/>
        <rFont val="Calibri"/>
        <family val="2"/>
        <scheme val="minor"/>
      </rPr>
      <t>30/04/2020:</t>
    </r>
    <r>
      <rPr>
        <sz val="10"/>
        <rFont val="Calibri"/>
        <family val="2"/>
        <scheme val="minor"/>
      </rPr>
      <t xml:space="preserve"> Igual. Cobrado por SAT
</t>
    </r>
    <r>
      <rPr>
        <u/>
        <sz val="10"/>
        <rFont val="Calibri"/>
        <family val="2"/>
        <scheme val="minor"/>
      </rPr>
      <t>22/05/2020</t>
    </r>
    <r>
      <rPr>
        <sz val="10"/>
        <rFont val="Calibri"/>
        <family val="2"/>
        <scheme val="minor"/>
      </rPr>
      <t>: Igual</t>
    </r>
  </si>
  <si>
    <r>
      <rPr>
        <u/>
        <sz val="10"/>
        <rFont val="Calibri"/>
        <family val="2"/>
        <scheme val="minor"/>
      </rPr>
      <t>31/01/2020</t>
    </r>
    <r>
      <rPr>
        <sz val="10"/>
        <rFont val="Calibri"/>
        <family val="2"/>
        <scheme val="minor"/>
      </rPr>
      <t xml:space="preserve">: Situação: A documentação aguarda análise, em ordem cronológica de entrada.
Encontra-se na GGMED Desde: 30/08/2019
</t>
    </r>
    <r>
      <rPr>
        <u/>
        <sz val="10"/>
        <rFont val="Calibri"/>
        <family val="2"/>
        <scheme val="minor"/>
      </rPr>
      <t>28/02/2020</t>
    </r>
    <r>
      <rPr>
        <sz val="10"/>
        <rFont val="Calibri"/>
        <family val="2"/>
        <scheme val="minor"/>
      </rPr>
      <t xml:space="preserve">: Igual
</t>
    </r>
    <r>
      <rPr>
        <u/>
        <sz val="10"/>
        <rFont val="Calibri"/>
        <family val="2"/>
        <scheme val="minor"/>
      </rPr>
      <t>06/03/2020</t>
    </r>
    <r>
      <rPr>
        <sz val="10"/>
        <rFont val="Calibri"/>
        <family val="2"/>
        <scheme val="minor"/>
      </rPr>
      <t xml:space="preserve">: Situação Em análise. Encontra-se na GGMED - Desde: 28/02/2020                                                                                 </t>
    </r>
    <r>
      <rPr>
        <u/>
        <sz val="10"/>
        <rFont val="Calibri"/>
        <family val="2"/>
        <scheme val="minor"/>
      </rPr>
      <t>27/03/2020:</t>
    </r>
    <r>
      <rPr>
        <sz val="10"/>
        <rFont val="Calibri"/>
        <family val="2"/>
        <scheme val="minor"/>
      </rPr>
      <t xml:space="preserve"> Igual
</t>
    </r>
    <r>
      <rPr>
        <u/>
        <sz val="10"/>
        <rFont val="Calibri"/>
        <family val="2"/>
        <scheme val="minor"/>
      </rPr>
      <t>01/04/2020:</t>
    </r>
    <r>
      <rPr>
        <sz val="10"/>
        <rFont val="Calibri"/>
        <family val="2"/>
        <scheme val="minor"/>
      </rPr>
      <t xml:space="preserve"> Cobrado pos SAT. 
</t>
    </r>
    <r>
      <rPr>
        <u/>
        <sz val="10"/>
        <rFont val="Calibri"/>
        <family val="2"/>
        <scheme val="minor"/>
      </rPr>
      <t>08/05/2020:</t>
    </r>
    <r>
      <rPr>
        <sz val="10"/>
        <rFont val="Calibri"/>
        <family val="2"/>
        <scheme val="minor"/>
      </rPr>
      <t xml:space="preserve"> Igual. Cobrado por SAT. 
</t>
    </r>
    <r>
      <rPr>
        <u/>
        <sz val="10"/>
        <rFont val="Calibri"/>
        <family val="2"/>
        <scheme val="minor"/>
      </rPr>
      <t>22/05/2020:</t>
    </r>
    <r>
      <rPr>
        <sz val="10"/>
        <rFont val="Calibri"/>
        <family val="2"/>
        <scheme val="minor"/>
      </rPr>
      <t xml:space="preserve"> Igual</t>
    </r>
  </si>
  <si>
    <r>
      <rPr>
        <u/>
        <sz val="10"/>
        <rFont val="Calibri"/>
        <family val="2"/>
        <scheme val="minor"/>
      </rPr>
      <t>21/02/2020</t>
    </r>
    <r>
      <rPr>
        <sz val="10"/>
        <rFont val="Calibri"/>
        <family val="2"/>
        <scheme val="minor"/>
      </rPr>
      <t xml:space="preserve">:Situação: Aguardando análise.
Encontra-se na CETER Desde: 19/02/2020
</t>
    </r>
    <r>
      <rPr>
        <u/>
        <sz val="10"/>
        <rFont val="Calibri"/>
        <family val="2"/>
        <scheme val="minor"/>
      </rPr>
      <t>27/03/2020</t>
    </r>
    <r>
      <rPr>
        <sz val="10"/>
        <rFont val="Calibri"/>
        <family val="2"/>
        <scheme val="minor"/>
      </rPr>
      <t xml:space="preserve">: Igual
</t>
    </r>
    <r>
      <rPr>
        <u/>
        <sz val="10"/>
        <rFont val="Calibri"/>
        <family val="2"/>
        <scheme val="minor"/>
      </rPr>
      <t xml:space="preserve">03/04/2020: </t>
    </r>
    <r>
      <rPr>
        <sz val="10"/>
        <rFont val="Calibri"/>
        <family val="2"/>
        <scheme val="minor"/>
      </rPr>
      <t xml:space="preserve">Igual anterior
</t>
    </r>
    <r>
      <rPr>
        <u/>
        <sz val="10"/>
        <rFont val="Calibri"/>
        <family val="2"/>
        <scheme val="minor"/>
      </rPr>
      <t>17/04/2020</t>
    </r>
    <r>
      <rPr>
        <sz val="10"/>
        <rFont val="Calibri"/>
        <family val="2"/>
        <scheme val="minor"/>
      </rPr>
      <t xml:space="preserve">: Situação
Aguardando análise de eficácia e segurança. Encontra-se na
CETER - Desde: 16/04/2020
</t>
    </r>
    <r>
      <rPr>
        <u/>
        <sz val="10"/>
        <rFont val="Calibri"/>
        <family val="2"/>
        <scheme val="minor"/>
      </rPr>
      <t xml:space="preserve">08/05/2020: </t>
    </r>
    <r>
      <rPr>
        <sz val="10"/>
        <rFont val="Calibri"/>
        <family val="2"/>
        <scheme val="minor"/>
      </rPr>
      <t xml:space="preserve">Igual. Cobrado por SAT. 
</t>
    </r>
    <r>
      <rPr>
        <u/>
        <sz val="10"/>
        <rFont val="Calibri"/>
        <family val="2"/>
        <scheme val="minor"/>
      </rPr>
      <t>22/05/2020:</t>
    </r>
    <r>
      <rPr>
        <sz val="10"/>
        <rFont val="Calibri"/>
        <family val="2"/>
        <scheme val="minor"/>
      </rPr>
      <t xml:space="preserve"> Igual</t>
    </r>
  </si>
  <si>
    <r>
      <t>13/03/2020</t>
    </r>
    <r>
      <rPr>
        <sz val="10"/>
        <rFont val="Calibri"/>
        <family val="2"/>
        <scheme val="minor"/>
      </rPr>
      <t xml:space="preserve">: Situação: Aguardando análise
Encontra-se na  CETER  Desde: 19/02/2020
20/03/2020: Situação: Concluída análise
Encontra-se na CETER Desde: 18/03/2020
</t>
    </r>
    <r>
      <rPr>
        <u/>
        <sz val="10"/>
        <rFont val="Calibri"/>
        <family val="2"/>
        <scheme val="minor"/>
      </rPr>
      <t>27/03/2020</t>
    </r>
    <r>
      <rPr>
        <sz val="10"/>
        <rFont val="Calibri"/>
        <family val="2"/>
        <scheme val="minor"/>
      </rPr>
      <t xml:space="preserve">: Igual 
</t>
    </r>
    <r>
      <rPr>
        <u/>
        <sz val="10"/>
        <rFont val="Calibri"/>
        <family val="2"/>
        <scheme val="minor"/>
      </rPr>
      <t xml:space="preserve">01/04/2020: </t>
    </r>
    <r>
      <rPr>
        <sz val="10"/>
        <rFont val="Calibri"/>
        <family val="2"/>
        <scheme val="minor"/>
      </rPr>
      <t xml:space="preserve">Cobrado pos SAT. 
</t>
    </r>
    <r>
      <rPr>
        <u/>
        <sz val="10"/>
        <rFont val="Calibri"/>
        <family val="2"/>
        <scheme val="minor"/>
      </rPr>
      <t xml:space="preserve">08/05/2020: </t>
    </r>
    <r>
      <rPr>
        <sz val="10"/>
        <rFont val="Calibri"/>
        <family val="2"/>
        <scheme val="minor"/>
      </rPr>
      <t xml:space="preserve">Igual. Cobrado por SAT. 
</t>
    </r>
    <r>
      <rPr>
        <u/>
        <sz val="10"/>
        <rFont val="Calibri"/>
        <family val="2"/>
        <scheme val="minor"/>
      </rPr>
      <t>22/05/2020</t>
    </r>
    <r>
      <rPr>
        <sz val="10"/>
        <rFont val="Calibri"/>
        <family val="2"/>
        <scheme val="minor"/>
      </rPr>
      <t>: Igual</t>
    </r>
  </si>
  <si>
    <r>
      <rPr>
        <u/>
        <sz val="10"/>
        <rFont val="Calibri"/>
        <family val="2"/>
        <scheme val="minor"/>
      </rPr>
      <t>31/01/2020</t>
    </r>
    <r>
      <rPr>
        <sz val="10"/>
        <rFont val="Calibri"/>
        <family val="2"/>
        <scheme val="minor"/>
      </rPr>
      <t xml:space="preserve">: Situação: A documentação aguarda análise, em ordem cronológica de entrada.
Encontra-se na GGMED - Desde: 22/10/2019
</t>
    </r>
    <r>
      <rPr>
        <u/>
        <sz val="10"/>
        <rFont val="Calibri"/>
        <family val="2"/>
        <scheme val="minor"/>
      </rPr>
      <t>07/02/2020</t>
    </r>
    <r>
      <rPr>
        <sz val="10"/>
        <rFont val="Calibri"/>
        <family val="2"/>
        <scheme val="minor"/>
      </rPr>
      <t xml:space="preserve">: Igual
</t>
    </r>
    <r>
      <rPr>
        <u/>
        <sz val="10"/>
        <rFont val="Calibri"/>
        <family val="2"/>
        <scheme val="minor"/>
      </rPr>
      <t xml:space="preserve">14/02/2020: </t>
    </r>
    <r>
      <rPr>
        <sz val="10"/>
        <rFont val="Calibri"/>
        <family val="2"/>
        <scheme val="minor"/>
      </rPr>
      <t xml:space="preserve"> Situação: A documentação aguarda análise, em ordem cronológica de entrada
  Encontra-se na CETER - Desde: 11/02/2020 
</t>
    </r>
    <r>
      <rPr>
        <u/>
        <sz val="10"/>
        <rFont val="Calibri"/>
        <family val="2"/>
        <scheme val="minor"/>
      </rPr>
      <t>27/03/2020</t>
    </r>
    <r>
      <rPr>
        <sz val="10"/>
        <rFont val="Calibri"/>
        <family val="2"/>
        <scheme val="minor"/>
      </rPr>
      <t xml:space="preserve">: Igual
</t>
    </r>
    <r>
      <rPr>
        <u/>
        <sz val="10"/>
        <rFont val="Calibri"/>
        <family val="2"/>
        <scheme val="minor"/>
      </rPr>
      <t xml:space="preserve">01/04/2020: </t>
    </r>
    <r>
      <rPr>
        <sz val="10"/>
        <rFont val="Calibri"/>
        <family val="2"/>
        <scheme val="minor"/>
      </rPr>
      <t xml:space="preserve">Cobrado pos SAT. 
</t>
    </r>
    <r>
      <rPr>
        <u/>
        <sz val="10"/>
        <rFont val="Calibri"/>
        <family val="2"/>
        <scheme val="minor"/>
      </rPr>
      <t>08/05/2020:</t>
    </r>
    <r>
      <rPr>
        <sz val="10"/>
        <rFont val="Calibri"/>
        <family val="2"/>
        <scheme val="minor"/>
      </rPr>
      <t xml:space="preserve"> Igual. Cobrado por SAT. 
</t>
    </r>
    <r>
      <rPr>
        <u/>
        <sz val="10"/>
        <rFont val="Calibri"/>
        <family val="2"/>
        <scheme val="minor"/>
      </rPr>
      <t>22/05/2020</t>
    </r>
    <r>
      <rPr>
        <sz val="10"/>
        <rFont val="Calibri"/>
        <family val="2"/>
        <scheme val="minor"/>
      </rPr>
      <t>: Igual</t>
    </r>
  </si>
  <si>
    <r>
      <t>07/02/2020</t>
    </r>
    <r>
      <rPr>
        <sz val="10"/>
        <rFont val="Calibri"/>
        <family val="2"/>
        <scheme val="minor"/>
      </rPr>
      <t xml:space="preserve">: Situação: Aguardando análise
Encontra-se na CETER - Desde: 06/02/2020
</t>
    </r>
    <r>
      <rPr>
        <u/>
        <sz val="10"/>
        <rFont val="Calibri"/>
        <family val="2"/>
        <scheme val="minor"/>
      </rPr>
      <t>27/03/2020:</t>
    </r>
    <r>
      <rPr>
        <sz val="10"/>
        <rFont val="Calibri"/>
        <family val="2"/>
        <scheme val="minor"/>
      </rPr>
      <t xml:space="preserve"> Situação: Aguardando análise da eficácia e segurança. Encontra-se na Encontra-se na
CETER - Desde: 23/03/2020
</t>
    </r>
    <r>
      <rPr>
        <u/>
        <sz val="10"/>
        <rFont val="Calibri"/>
        <family val="2"/>
        <scheme val="minor"/>
      </rPr>
      <t>01/04/2020:</t>
    </r>
    <r>
      <rPr>
        <sz val="10"/>
        <rFont val="Calibri"/>
        <family val="2"/>
        <scheme val="minor"/>
      </rPr>
      <t xml:space="preserve"> Cobrado pos SAT. 
</t>
    </r>
    <r>
      <rPr>
        <u/>
        <sz val="10"/>
        <rFont val="Calibri"/>
        <family val="2"/>
        <scheme val="minor"/>
      </rPr>
      <t>08/05/2020:</t>
    </r>
    <r>
      <rPr>
        <sz val="10"/>
        <rFont val="Calibri"/>
        <family val="2"/>
        <scheme val="minor"/>
      </rPr>
      <t xml:space="preserve"> Igual. Cobrado por SAT. 
</t>
    </r>
    <r>
      <rPr>
        <u/>
        <sz val="10"/>
        <rFont val="Calibri"/>
        <family val="2"/>
        <scheme val="minor"/>
      </rPr>
      <t>22/05/2020:</t>
    </r>
    <r>
      <rPr>
        <sz val="10"/>
        <rFont val="Calibri"/>
        <family val="2"/>
        <scheme val="minor"/>
      </rPr>
      <t xml:space="preserve"> Igual</t>
    </r>
  </si>
  <si>
    <t>0896355/20-0 </t>
  </si>
  <si>
    <r>
      <t>27/03/2020</t>
    </r>
    <r>
      <rPr>
        <sz val="10"/>
        <rFont val="Calibri"/>
        <family val="2"/>
        <scheme val="minor"/>
      </rPr>
      <t xml:space="preserve">: Situação: Distribuído para a área responsável.
Encontra-se na CETER - Desde: 25/03/2020
</t>
    </r>
    <r>
      <rPr>
        <u/>
        <sz val="10"/>
        <rFont val="Calibri"/>
        <family val="2"/>
        <scheme val="minor"/>
      </rPr>
      <t xml:space="preserve">08/05/2020: </t>
    </r>
    <r>
      <rPr>
        <sz val="10"/>
        <rFont val="Calibri"/>
        <family val="2"/>
        <scheme val="minor"/>
      </rPr>
      <t xml:space="preserve">Igual anterior
</t>
    </r>
    <r>
      <rPr>
        <u/>
        <sz val="10"/>
        <rFont val="Calibri"/>
        <family val="2"/>
        <scheme val="minor"/>
      </rPr>
      <t>22/05/2020:</t>
    </r>
    <r>
      <rPr>
        <sz val="10"/>
        <rFont val="Calibri"/>
        <family val="2"/>
        <scheme val="minor"/>
      </rPr>
      <t xml:space="preserve"> Igual
</t>
    </r>
    <r>
      <rPr>
        <u/>
        <sz val="10"/>
        <rFont val="Calibri"/>
        <family val="2"/>
        <scheme val="minor"/>
      </rPr>
      <t/>
    </r>
  </si>
  <si>
    <t>0383751/19-3</t>
  </si>
  <si>
    <t xml:space="preserve">matriz genérico (Brainafarma) </t>
  </si>
  <si>
    <t>matriz genérico (Brainafarma) 
1_Entrou na fila em 07/02/2020 na posição 70</t>
  </si>
  <si>
    <t>25351.462948/2020-58</t>
  </si>
  <si>
    <t>dipirona monoidratada + cloridrato de prometazina comprimido/solução 500 + 5mg</t>
  </si>
  <si>
    <t>LISADOR® DUO</t>
  </si>
  <si>
    <t>10750 - ENSAIOS CLÍNICOS - Anuência em processo do Dossiê de
Desenvolvimento Clínico de Medicamento (DDCM) - Sintético</t>
  </si>
  <si>
    <t>1641059/20-9</t>
  </si>
  <si>
    <t>500 + 5mg</t>
  </si>
  <si>
    <t>Comprimido/solução</t>
  </si>
  <si>
    <t xml:space="preserve">0,4 MG/ML
</t>
  </si>
  <si>
    <t>50 mcg</t>
  </si>
  <si>
    <t xml:space="preserve">furoato de mometasona monoidratado </t>
  </si>
  <si>
    <t>29/05/2020</t>
  </si>
  <si>
    <t xml:space="preserve">31/01/2020: Não anuído
Encontra-se na GESEF - Desde: 13/06/2018
28/02/2020: Igual
06/03/2020: Igual - Cobrado por SAT.                                              
27/03/2020: Igual anterior
01/04/2020: Igual. Cobrado por SAT. 
08/05/2020: Igual anterior. Cobrado por SAT
22/05/2020: Igual </t>
  </si>
  <si>
    <t>Histórico do Acompanhamento (Até maio/2020)</t>
  </si>
  <si>
    <t>SATs</t>
  </si>
  <si>
    <t>04/06 - SAT: 2020206316</t>
  </si>
  <si>
    <t>25351.508448/2020-70</t>
  </si>
  <si>
    <t xml:space="preserve">50 MCG SUS SPR NAS CT FR SPR PLAS PEAD OPC X 60 ACIONAMENTOS
50 MCG SUS SPR NAS CT FR SPR PLAS PEAD OPC X 120 ACIONAMENTOS
</t>
  </si>
  <si>
    <t xml:space="preserve">AARTI INDUSTRIES LTD.
Unit-IV, Plot NO. E-50, MIDC TARAPUR, TALUKA &amp; DISTRICT - PALGHAR 401506
MAHARASHTRA STATE, INDIA
</t>
  </si>
  <si>
    <t>1778998/20-2</t>
  </si>
  <si>
    <t>05/06/2020</t>
  </si>
  <si>
    <t>0354323204</t>
  </si>
  <si>
    <t>Clone: Não está na fila de análise.
 Situação
Distribuído para a área responsável. Encontra-se na
GEPRE.D  - Desde 21/01/2020
Matriz:
15</t>
  </si>
  <si>
    <t>Clone: Não está na fila de análise. 
Situação
Distribuído para a área responsável. Encontra-se na
GEPRE.D  - Desde 20/01/2020
Matriz:
15</t>
  </si>
  <si>
    <t xml:space="preserve">Acompanhamento </t>
  </si>
  <si>
    <t>0378685204</t>
  </si>
  <si>
    <t>12/06/2020</t>
  </si>
  <si>
    <t xml:space="preserve">Apresentações:
100 MG/ML + 50 MG/ML + 10 MG/ML SOL OR CT 20 FLAC PLAS TRANS X 10 ML
100 MG/ML + 50 MG/ML + 10 MG/ML SOL OR CT 30 FLAC PLAS TRANS X 10 ML
100 MG/ML + 50 MG/ML + 10 MG/ML SOL OR CT 48 FLAC PLAS TRANS X 10 ML
17/06/2020: Soliicitada retificação da publicação sob o expediente 1907223206
</t>
  </si>
  <si>
    <t>Clone: Não está na fila de análise.
 Situação
Distribuído para a área responsável. Encontra-se na GEPRE.D - Desde 21/01/2020
Matriz:
15</t>
  </si>
  <si>
    <t>Clone: Não está na fila de análise. 
Situação
Distribuído para a área responsável. Encontra-se na GEPRE.D  - Desde 20/01/2020
Matriz:
15</t>
  </si>
  <si>
    <t>19/06/2020</t>
  </si>
  <si>
    <t>1_Ofício nº 2308526176/2017, recebido em 21/12/2017, e respondido em 05/01/2018 sob expediente 0010857/18-0.
2_Notificação de Exigência recebida em 07/11/2018, sob expediente nº 1062110/18-5.
3_Exigência cumprida em 07/03/2019, sob expediente número 0208254/19-3.
4_Notificação de Exigência recebida em 05/08/2019, sob o expediente nº 1346709/19-3
5_Exigência cumprida em 25/10/2019 sob o expediente 201910250123PR (observação Anvisa considerou resposta de parceiro como inteiria, portanto, não gerou expediente) - 25352798056201984 protocolo de resposta recebido pela ANVISA
6_ Notificação de exigência nº 0145251/20-7 aberta em 20/01/2020.
7_Exigência cumprida em 25/03/2020 sob o expediente nº 0897597206
8_Publicado deferimento em DOU de 22/06/2020 - RESOLUÇÃO-RE Nº 2.038, DE 18 DE JUNHO DE 2020</t>
  </si>
  <si>
    <r>
      <t xml:space="preserve">cloridrato de tansulosina 
</t>
    </r>
    <r>
      <rPr>
        <sz val="10"/>
        <rFont val="Arial"/>
        <family val="2"/>
      </rPr>
      <t>(genérico - Zydus)</t>
    </r>
  </si>
  <si>
    <t>1_ Situação matriz: Publicado Deferimento em 25/05/2020 - Processo matriz: 25351.807164/2016-75
2_Publicado deferimento em DOU de 22/06/2020 - RESOLUÇÃO-RE Nº 2.038, DE 18 DE JUNHO DE 2020</t>
  </si>
  <si>
    <t>ibuprofeno gel 5%</t>
  </si>
  <si>
    <t>Gel</t>
  </si>
  <si>
    <t>Ibuprofeno</t>
  </si>
  <si>
    <t>25351.579770/2020-83</t>
  </si>
  <si>
    <t>1999989/20-5</t>
  </si>
  <si>
    <t>26/06/2020</t>
  </si>
  <si>
    <t>Clone: Não está na fila de análise.
 Situação
Distribuído para a área responsável. Encontra-se na GEPRE.D - Desde 21/01/2020
Matriz:
13</t>
  </si>
  <si>
    <t>1527006/20-8</t>
  </si>
  <si>
    <t>25351239891201951</t>
  </si>
  <si>
    <t xml:space="preserve">
    donepezila + memantina
</t>
  </si>
  <si>
    <t>70206 - MEDICAMENTOS - Inclusão de Forma(s) Farmacêutica(s) em Linha(s) de
Produção Certificada - Certificado de BPF Internacional</t>
  </si>
  <si>
    <t>Tecnimede/Atlantic Pharma</t>
  </si>
  <si>
    <t>25351.592797/2020-61</t>
  </si>
  <si>
    <t>esomeprazol magnésico tri-hidratado 40mg</t>
  </si>
  <si>
    <t>2039559/20-1</t>
  </si>
  <si>
    <t>Pellets</t>
  </si>
  <si>
    <t xml:space="preserve">letrozol </t>
  </si>
  <si>
    <t xml:space="preserve">2,5 COM REV CT BL AL PLAS PVC/PVDC X 28 
2,5 COM REV CT BL AL PLAS PVC/PVDC X 30
2,5 COM REV CT BL AL PLAS PVC/PVDC X 90
2,5 COM REV CT BL AL PLAS PVC/PVDC X 300
</t>
  </si>
  <si>
    <t>Área de interesse</t>
  </si>
  <si>
    <r>
      <t>FILA</t>
    </r>
    <r>
      <rPr>
        <b/>
        <sz val="2"/>
        <color rgb="FF002060"/>
        <rFont val="Calibri"/>
        <family val="2"/>
        <scheme val="minor"/>
      </rPr>
      <t>2</t>
    </r>
  </si>
  <si>
    <t>Subfila</t>
  </si>
  <si>
    <t>FILA DE ANÁLISE ANVISA</t>
  </si>
  <si>
    <t>MEDICAMENTO</t>
  </si>
  <si>
    <t>Registro</t>
  </si>
  <si>
    <t>Clones</t>
  </si>
  <si>
    <t>Expediente 2</t>
  </si>
  <si>
    <t>Genéricos e Similares</t>
  </si>
  <si>
    <t>Inovadores</t>
  </si>
  <si>
    <t>2352367/16-1</t>
  </si>
  <si>
    <t>1_Entrou na fila na posição 29 em 09/01/2020
2_04/05/2020_Recebida a Exigência nº 1380217/20-8.
3_Realizado cumprimento de exigência em 05/06/2020 sob o expediente 1781603/20-1
4_Processo matriz: 25351.538830/2011-83 (registrado)
5_Publicado deferimento em DOU de 29/06/2020 - RESOLUÇÃO-RE Nº 2.146, DE 25 DE JUNHO DE 2020</t>
  </si>
  <si>
    <t xml:space="preserve">3584355/19-1 </t>
  </si>
  <si>
    <t>Pós-Registro</t>
  </si>
  <si>
    <t>Pós registro - específico - maior complexidade</t>
  </si>
  <si>
    <t>PROTOCOLO DE SEGURANÇA E EFICÁCIA</t>
  </si>
  <si>
    <t>Protocolo de Segurança e Eficácia</t>
  </si>
  <si>
    <t>2039409/20-3</t>
  </si>
  <si>
    <t>0002974/19-2</t>
  </si>
  <si>
    <t>11,6 mg/g</t>
  </si>
  <si>
    <t>11,6 MG/G GEL CT BG AL X 60 G
11,6 MG/G GEL CX 50 BG AL X 60 G</t>
  </si>
  <si>
    <t>Expediente 1</t>
  </si>
  <si>
    <t>Expediente 1: Produto clone
Expediente 2:  matriz pantoprazol sódico sesqui-hidratado Brainfarma</t>
  </si>
  <si>
    <t>Expediente 1: Produto clone
Expediente 2:  matriz (genérico - Brainfarma)</t>
  </si>
  <si>
    <t xml:space="preserve">
Expediente 1: Produto clone
Expediente 2:  matriz CORISTINA D 400 - Cosmed</t>
  </si>
  <si>
    <t>03/07/2020</t>
  </si>
  <si>
    <t>PESQUISA CLÍNICA</t>
  </si>
  <si>
    <t>DDCM</t>
  </si>
  <si>
    <t>25351644429202014</t>
  </si>
  <si>
    <t xml:space="preserve">80mg/mL e 85mg/mL </t>
  </si>
  <si>
    <t xml:space="preserve">micronizado </t>
  </si>
  <si>
    <t xml:space="preserve">Ibuprofeno  </t>
  </si>
  <si>
    <t>25351.559576/2020-81</t>
  </si>
  <si>
    <t>1936159/20-9</t>
  </si>
  <si>
    <t>10/07/2020</t>
  </si>
  <si>
    <t>Fabricante não informado</t>
  </si>
  <si>
    <t>1_Entrou na fila na posição 39 em 13/12/2019
2_15/04/20203_Recebida a Exigência nº 1132871/20-1.
3_17/06/2020 Foi cumprida a exigência sob o expediente 1922842206
4_ Nº processo matriz 25351.637612/2009 -19 (Epocler)
5_Publicado deferimento em DOU de 06/07/2020 - RESOLUÇÃO-RE Nº 2.262, DE 2 DE JULHO DE 2020</t>
  </si>
  <si>
    <t>Clone: Não está na fila de análise.
 Situação
Distribuído para a área responsável. Encontra-se na GEPRE.D - Desde 2001/2020
Matriz:
13</t>
  </si>
  <si>
    <t>2207696/20-4</t>
  </si>
  <si>
    <r>
      <t xml:space="preserve">
</t>
    </r>
    <r>
      <rPr>
        <u/>
        <sz val="10"/>
        <rFont val="Calibri"/>
        <family val="2"/>
        <scheme val="minor"/>
      </rPr>
      <t>10/07/2020:</t>
    </r>
    <r>
      <rPr>
        <sz val="10"/>
        <rFont val="Calibri"/>
        <family val="2"/>
        <scheme val="minor"/>
      </rPr>
      <t xml:space="preserve"> Situação atual
Concluída análise
Encontra-se na
GGMED -
Desde: 08/07/2020
</t>
    </r>
  </si>
  <si>
    <t>2258885/20-0</t>
  </si>
  <si>
    <t>1_Haverá o cancelamento do Lipneo atual (processo nº 25351.541713/2011-18) concomitante ao deferimento do registro do medicamento clone.
2_Obs: entrou na fila na posição 55
3_Aditamento à solicitação do registro, recebido em 21/05, sob o expediente 1597451201
4_Recebida em 09/06/2020 a Exigência Nº: 1816116/20-2, sob o expediente 0760134/20-4.
5_Cumprida a exigência em 17/06/2020, sob o expediente: 1925319202
6_nº processo matriz (Ciprofibrato - Brainfarma) 25351.534907/2011-27
7_ Publicado deferimento em DOU de 13/07/2020 - RESOLUÇÃO-RE Nº 2.390, DE 9 DE JULHO DE 2020</t>
  </si>
  <si>
    <t>Publicado deferimento em DOU 13/07/2020</t>
  </si>
  <si>
    <t>1_Aditamento para a CRMEC de nome comercial protocolado em 15/07/19, sob expediente nº 0616652191.
2_Exigência nº 0279591/20-4 recebida em 03/02/2020.
3_ Cumprimento de Exigência referente a petição 1577 - ESPECÍFICO - Registro de Medicamento. Protocolado em 01/06/2020, sob expediente:1727562208.
3_Desistência de petição solicitada em 01/06/2020. Expediente:
1727481208</t>
  </si>
  <si>
    <t>Desistência a pedido, publicado em DOU em 13/07/2020</t>
  </si>
  <si>
    <t>17/07/2020</t>
  </si>
  <si>
    <t>20/07/2020</t>
  </si>
  <si>
    <t>1_Protocolado em 29/04/2020, expediente: 1327954208. Assunto: Aditamento - Aprovação condicional - RDC 219/2018
2_ Publicado deferimento em DOU de 20/07/2020 - RESOLUÇÃO-RE Nº 2.518, DE 16 DE JULHO DE 2020</t>
  </si>
  <si>
    <r>
      <rPr>
        <u/>
        <sz val="10"/>
        <rFont val="Calibri"/>
        <family val="2"/>
        <scheme val="minor"/>
      </rPr>
      <t xml:space="preserve">paracetamol: </t>
    </r>
    <r>
      <rPr>
        <sz val="10"/>
        <rFont val="Calibri"/>
        <family val="2"/>
        <scheme val="minor"/>
      </rPr>
      <t xml:space="preserve">Anqiu Lu’an Pharmaceutical Co., Ltd. (shortened as Lu’na Pharma or Anqiu Lu’an).
Endereço: No. 35, Weixu North Road, Anqiu City, Shandong Province, China-262100
</t>
    </r>
    <r>
      <rPr>
        <u/>
        <sz val="10"/>
        <rFont val="Calibri"/>
        <family val="2"/>
        <scheme val="minor"/>
      </rPr>
      <t xml:space="preserve">maleato de clorfeniramina </t>
    </r>
    <r>
      <rPr>
        <sz val="10"/>
        <rFont val="Calibri"/>
        <family val="2"/>
        <scheme val="minor"/>
      </rPr>
      <t xml:space="preserve">
SUPRYIA LIFESCIENCE LTD.
Endereço: A-5/2, Lote Parshuram Industrial Area, M.I.D.C Taluka – Khed, District – Ratnagiri, Maharashtra, India 415 722.
</t>
    </r>
    <r>
      <rPr>
        <u/>
        <sz val="10"/>
        <rFont val="Calibri"/>
        <family val="2"/>
        <scheme val="minor"/>
      </rPr>
      <t>cloridrato de fenilferina</t>
    </r>
    <r>
      <rPr>
        <sz val="10"/>
        <rFont val="Calibri"/>
        <family val="2"/>
        <scheme val="minor"/>
      </rPr>
      <t>: NORTEC QUIMICA S.A.
Endereço: Rua Dezessete, n° 200 - A B C D Distrito Industrial - Mantiquira - Duque de Caxias, RJ, Brasil
CEP: 25250-612</t>
    </r>
  </si>
  <si>
    <r>
      <t xml:space="preserve">FLUXON
</t>
    </r>
    <r>
      <rPr>
        <sz val="10"/>
        <rFont val="Calibri"/>
        <family val="2"/>
        <scheme val="minor"/>
      </rPr>
      <t>(Genérico - Ranbaxy)</t>
    </r>
  </si>
  <si>
    <r>
      <rPr>
        <b/>
        <sz val="10"/>
        <rFont val="Calibri"/>
        <family val="2"/>
        <scheme val="minor"/>
      </rPr>
      <t>succinato de desvenlafaxina monoidratado</t>
    </r>
    <r>
      <rPr>
        <sz val="10"/>
        <rFont val="Calibri"/>
        <family val="2"/>
        <scheme val="minor"/>
      </rPr>
      <t xml:space="preserve">
(Matriz: desvenlafaxina - Althaia)</t>
    </r>
  </si>
  <si>
    <r>
      <rPr>
        <b/>
        <sz val="10"/>
        <rFont val="Calibri"/>
        <family val="2"/>
        <scheme val="minor"/>
      </rPr>
      <t>Expediente 1: Produto clone
Expediente 2:  matriz desvenlafaxina - Althaia</t>
    </r>
    <r>
      <rPr>
        <sz val="10"/>
        <rFont val="Calibri"/>
        <family val="2"/>
        <scheme val="minor"/>
      </rPr>
      <t xml:space="preserve">
1_Nome da petição: 10506 - GENÉRICO - Modificação Pós-Registro – Clone (Inclusão de nova concentração)
2_11/02/2020: peticionado 10506 - GENÉRICO - Modificação Pós-Registro – Clone (Inclusão de novo fabricante do IFA) - aguardando pagamento da taxa para gerarmos o comprovante de protocolo.</t>
    </r>
  </si>
  <si>
    <r>
      <rPr>
        <b/>
        <sz val="10"/>
        <rFont val="Calibri"/>
        <family val="2"/>
        <scheme val="minor"/>
      </rPr>
      <t>AVIV</t>
    </r>
    <r>
      <rPr>
        <sz val="10"/>
        <rFont val="Calibri"/>
        <family val="2"/>
        <scheme val="minor"/>
      </rPr>
      <t xml:space="preserve">
(Matriz desvenlafaxina Althaia)</t>
    </r>
  </si>
  <si>
    <r>
      <t xml:space="preserve">
</t>
    </r>
    <r>
      <rPr>
        <b/>
        <sz val="10"/>
        <rFont val="Calibri"/>
        <family val="2"/>
        <scheme val="minor"/>
      </rPr>
      <t xml:space="preserve">
Expediente 1: Produto clone
Expediente 2:  matriz desvenlafaxina - Althaia</t>
    </r>
    <r>
      <rPr>
        <sz val="10"/>
        <rFont val="Calibri"/>
        <family val="2"/>
        <scheme val="minor"/>
      </rPr>
      <t xml:space="preserve">
1_Nome da petição: 10507 - SIMILAR - Modificação Pós-Registro – Clone (Inclusão de nova concentração)
2_10/02/2020: peticionado 10507 - SIMILAR - Modificação Pós-Registro – Clone (Inclusão de novo fabricante do IFA) - aguardando pagamento da taxa para gerarmos o comprovante de protocolo.</t>
    </r>
  </si>
  <si>
    <r>
      <rPr>
        <b/>
        <sz val="10"/>
        <rFont val="Calibri"/>
        <family val="2"/>
        <scheme val="minor"/>
      </rPr>
      <t>RESFRYNEO</t>
    </r>
    <r>
      <rPr>
        <sz val="10"/>
        <rFont val="Calibri"/>
        <family val="2"/>
        <scheme val="minor"/>
      </rPr>
      <t xml:space="preserve">
(Matriz: CORISTINA D 400 - Cosmed)</t>
    </r>
  </si>
  <si>
    <t>nitazoxanida</t>
  </si>
  <si>
    <t xml:space="preserve">20MG/ML PO SUS OR CT FR VD AMB X 45 ML + SER DOS
20MG/ML PO SUS OR CT FR VD AMB X 100 ML + SER DOS
</t>
  </si>
  <si>
    <t xml:space="preserve">nitazoxanida </t>
  </si>
  <si>
    <t>20MG/ML PO SUS OR CT FR VD AMB X 45 ML + SER DOS
20MG/ML PO SUS OR CT FR VD AMB X 100 ML + SER DOS</t>
  </si>
  <si>
    <t xml:space="preserve">1_Ofício nº 0474976186/2018 recebido em 26/06/2018, informama que "o medicamento PRIVINA é um produto antigo e as provas de segurança e eficácia apresentadas deverão ser avaliadas para verificar a adequação aos critérios da RDC 35 de 15/06/2012. Assim que tivermos um parecer, caso seja favorável, o referido medicamento poderá ser incluído na lista."
2_SAT 2019311044 respondido em 07/11/2019: Em atenção a sua solicitação, informamos que a área técnica tem trabalhado para finalizar essas avaliações, no entanto ainda não é possível dar uma previsão real de
quando estes medicamentos poderão ser incluidos nas listas de medicamentos de referência.
3_SAT:2020152630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
</t>
  </si>
  <si>
    <t>1_Ofício nº 0014221192/2019, recebido em 085/01/2018:
"Em resposta ao expediente 0257740182, informamos que o medicamento SUCRAFILM encontra-se em avaliação de segurança e eficácia para adequação à RDC 35 de 15/06/2012. Estamos aguardando a apresentação de provas necessárias para adequação à Resolução supracitada. Assim que tivermos um parecer, caso seja favorável, o referido medicamento poderá ser incluído na lista."
2_SAT 2019311044 respondido em 07/11/2019: Em atenção a sua solicitação, informamos que a área técnica tem trabalhado para finalizar essas avaliações, no entanto ainda não é possível dar uma previsão real de
quando estes medicamentos poderão ser incluidos nas listas de medicamentos de referência.
3_SAT:2020152630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t>
  </si>
  <si>
    <t>1_Ofício nº 0014030199/2019, recebido em 08/01/2018:
"Em resposta ao expediente 0808937180, informamos que o medicamento ETNA encontra-se em avaliação de segurança e eficácia para adequação à RDC 35 de 15/06/2012. Estamos aguardando a apresentação de provas necessárias para adequação à Resolução supracitada. Assim que tivermos um parecer, caso seja favorável, o referido medicamento poderá ser incluído na lista."
2_SAT 2019311044 respondido em 07/11/2019: Em atenção a sua solicitação, informamos que a área técnica tem trabalhado para finalizar essas avaliações, no entanto ainda não é possível dar uma previsão real de
quando estes medicamentos poderão ser incluidos nas listas de medicamentos de referência.
3_SAT:2020152630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t>
  </si>
  <si>
    <t>1_Status não anuído em 09/01/2020, aguardar ofício.
2_20/01/2020: recebido Ofício nº 0057791200: Em resposta ao expediente 1198293184, informamos que o medicamento XAROPE 44E se encontra em avaliação para adequação à RDC 35 de 15/06/2012. Assim que tivermos um parecer, caso seja favorável, o referido medicamento poderá ser incluído na lista.
3_A inclusão na lista será cobrada mensalmente via SAT.
4_SAT:2020152630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t>
  </si>
  <si>
    <r>
      <t xml:space="preserve">1_Sat realizado em 10/09/2019 - número protocolo 2019291380.
2_Resposta do SAT recebida em 10/10/2019 solicitando que a empresa protocole Solicitação de Indicação desse medicamento para a lista de referência.
</t>
    </r>
    <r>
      <rPr>
        <b/>
        <sz val="10"/>
        <rFont val="Calibri"/>
        <family val="2"/>
        <scheme val="minor"/>
      </rPr>
      <t>09/01/2020</t>
    </r>
    <r>
      <rPr>
        <sz val="10"/>
        <rFont val="Calibri"/>
        <family val="2"/>
        <scheme val="minor"/>
      </rPr>
      <t>: acordado com Camila para fazer protocolo de solicitação.
3_Ofício nº 0821814205, recebido em 23/03/2020:
Em resposta ao expediente 0517638207, informamos que o medicamento Acnase se encontra
em avaliação para adequação à RDC 35 de 15/06/2012. Assim que tivermos um parecer, caso
seja favorável, o referido medicamento poderá ser incluído na lista.
4_SAT:2020152630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5_SAT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6_ 23/07/2020: Foi solicitada audiência com ANVISA para discussão a induclusão dos medicamentos na lista de referência. A reunião com a CETER foi recusada</t>
    </r>
  </si>
  <si>
    <r>
      <t xml:space="preserve">Realizado SAT 2019283067 em 02/09/2019. SAT na realidade não solicita indicação do DORILAX. Deve ser realizado um protocolo na ANVISA.
</t>
    </r>
    <r>
      <rPr>
        <b/>
        <sz val="10"/>
        <rFont val="Calibri"/>
        <family val="2"/>
        <scheme val="minor"/>
      </rPr>
      <t>09/01/2020</t>
    </r>
    <r>
      <rPr>
        <sz val="10"/>
        <rFont val="Calibri"/>
        <family val="2"/>
        <scheme val="minor"/>
      </rPr>
      <t>: acordado com Camila para fazer protocolo de solicitação.
2_Ofício nº 0873628206, recebido em 23/03/2020:
Em resposta ao expediente 0378685204, informamos que o medicamento Dorilax se
encontra em avaliação para adequação à RDC 35 de 15/06/2012. Assim que tivermos um
parecer, caso seja favorável, o referido medicamento poderá ser incluído na lista.
3_SAT:2020152630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t>
    </r>
  </si>
  <si>
    <t>1_SAT: 2020140963 aberto em 13/04, retorno: “Em atenção à sua solicitação, informamos que referimento medicamento encontra-se em avaliação e, no momento, não é possível fornecer uma previsão de inclusão do mesmo à lista de medicamentos referência.”
2_SAT: 2020170675 aberto em 07/05. 
3_ 23/07/2020: Foi solicitada audiência com ANVISA para discussão a induclusão dos medicamentos na lista de referência. A reunião com a CETER foi recusada</t>
  </si>
  <si>
    <t>1_SAT realizado em 13/05/2020,  protocolo: 2020176849
“Em atenção a sua solicitação, informamos que referimento medicamento encontra-se em avaliação e, no momento, não é possível fornecer uma previsão de inclusão do mesmo à lista de medicamentos referência.”
2_ 23/07/2020: Foi solicitada audiência com ANVISA para discussão a induclusão dos medicamentos na lista de referência. A reunião com a CETER foi recusada</t>
  </si>
  <si>
    <t>Clone não consta na fila.
Situação do matriz:
Em exigência
Encontra-se na
GRMED
Desde: 03/02/2020</t>
  </si>
  <si>
    <t>Clone: Não está na fila de análise.
 Situação
Distribuído para a área responsável. Encontra-se na GEPRE.D - Desde 21/01/2020
Matriz:
12</t>
  </si>
  <si>
    <t>Clone: Não está na fila de análise.
 Situação
Distribuído para a área responsável. Encontra-se na GEPRE.D - Desde 2001/2020
Matriz:
12</t>
  </si>
  <si>
    <t>27/07/2020</t>
  </si>
  <si>
    <r>
      <t xml:space="preserve">PRATCO
</t>
    </r>
    <r>
      <rPr>
        <sz val="10"/>
        <rFont val="Calibri"/>
        <family val="2"/>
        <scheme val="minor"/>
      </rPr>
      <t>(Matriz paracetamol + fosfato de codeína Brainfarma)</t>
    </r>
  </si>
  <si>
    <r>
      <t xml:space="preserve">AMOME
</t>
    </r>
    <r>
      <rPr>
        <sz val="10"/>
        <rFont val="Calibri"/>
        <family val="2"/>
        <scheme val="minor"/>
      </rPr>
      <t>(Genérico Glenmark)</t>
    </r>
  </si>
  <si>
    <t xml:space="preserve">
1_Aguardando avaliação do processo matriz.
2_ Protocolado em 03/04/2020 10470 - SIMILAR - Aditamento à solicitação de registro. Expediente: 1008457206 para inclusão de duas novas marcas (1ª opção: NOVCOD e 2ª opção: CODVE)
3_ Exigência Nº: 2030204/20-5 recebida em 29/06/2020, sob o expediente: 0129760/15-1 Assunto: nome comercial.
4_ Cumprida a exigência 2030204205 sob o expediente 2264837209, realizada em 13/07/2020. Nome comercial: PRATCO.
5_ Publicado deferimento em DOU de 27/07/2020 -RESOLUÇÃO-RE Nº 2.624, DE 23 DE JULHO DE 2020
</t>
  </si>
  <si>
    <t>1_ Publicado deferimento em DOU de 27/07/2020 -RESOLUÇÃO-RE Nº 2.624, DE 23 DE JULHO DE 2020</t>
  </si>
  <si>
    <r>
      <t xml:space="preserve">IVEVI
</t>
    </r>
    <r>
      <rPr>
        <sz val="10"/>
        <rFont val="Calibri"/>
        <family val="2"/>
        <scheme val="minor"/>
      </rPr>
      <t>(Genérico Accord)</t>
    </r>
  </si>
  <si>
    <r>
      <t xml:space="preserve">nitazoxanida
</t>
    </r>
    <r>
      <rPr>
        <sz val="10"/>
        <rFont val="Calibri"/>
        <family val="2"/>
        <scheme val="minor"/>
      </rPr>
      <t xml:space="preserve">(Genérico Althaia) </t>
    </r>
  </si>
  <si>
    <r>
      <t xml:space="preserve">TRINIDA
</t>
    </r>
    <r>
      <rPr>
        <sz val="10"/>
        <rFont val="Calibri"/>
        <family val="2"/>
        <scheme val="minor"/>
      </rPr>
      <t xml:space="preserve">(Genérico Althaia) </t>
    </r>
  </si>
  <si>
    <t>24/07/2020</t>
  </si>
  <si>
    <t>31/07/2020</t>
  </si>
  <si>
    <t>25351.745640/2020-45</t>
  </si>
  <si>
    <t>citrato de colina + betaína monoidratada + racemetionina</t>
  </si>
  <si>
    <t xml:space="preserve">(100 + 50 + 10)MG/ML SOL ORAL 4 FLAC PLAS TRANS X 10 ML
(100 + 50 + 10)MG/ML SOL ORAL 6 FLAC PLAS TRANS X 10 ML
(100 + 50 + 10)MG/ML SOL ORAL 12 FLAC PLAS TRANS X 10 ML
(100 + 50 + 10)MG/ML SOL ORAL 60 FLAC PLAS TRANS X 10 ML
(100 + 50 + 10)MG/ML SOL ORAL 20 FLAC PLAS TRANS X 10 ML
(100 + 50 + 10)MG/ML SOL ORAL 30 FLAC PLAS TRANS X 10 ML
(100 + 50 + 10)MG/ML SOL ORAL 48 FLAC PLAS TRANS X 10 ML
</t>
  </si>
  <si>
    <t>100+50+10mg/mL</t>
  </si>
  <si>
    <t>1907 - ESPECÍFICO - Retificação de publicação - ANVISA</t>
  </si>
  <si>
    <t>2515728201</t>
  </si>
  <si>
    <r>
      <rPr>
        <u/>
        <sz val="10"/>
        <rFont val="Calibri"/>
        <family val="2"/>
        <scheme val="minor"/>
      </rPr>
      <t xml:space="preserve">31/07/2020: </t>
    </r>
    <r>
      <rPr>
        <sz val="10"/>
        <rFont val="Calibri"/>
        <family val="2"/>
        <scheme val="minor"/>
      </rPr>
      <t>Situação atual
Concluída análise
Encontra-se na
GGMED
Desde: 29/07/2020</t>
    </r>
  </si>
  <si>
    <t>1_Haverá o cancelamento do processo nº 25351.555621/2011-50 concomitante ao deferimento do registro do medicamento clone 
2_Entrou na fila em 07/02/2020: posição 71
3_Exigência 1586622/20-0 recebida em 21/05, sob o expediente: 0354323/20-4, relacionado ao nome comercial.
4_Cumprida exigência em 27/07/2020 sob expediente 2421936209 relacionado ao nome comercial.
5_ Publicado deferimento em DOU de 03/08/2020 - RESOLUÇÃO-RE Nº 2.741, DE 30 DE JULHO DE 2020
6_Publicado cancelamento do processo nº 25351.555621/2011-50 em DOU de 03/08/2020 - RESOLUÇÃO-RE Nº 2.743, DE 30 DE JULHO DE 2020</t>
  </si>
  <si>
    <t>Publicado deferimento em DOU 03/08/2020</t>
  </si>
  <si>
    <t>25351.747164/2020-05</t>
  </si>
  <si>
    <t>2584738/20-4</t>
  </si>
  <si>
    <t>10820 - ENSAIOS CLÍNICOS - Modificação de DDCM - Alteração que potencialmente
gera impacto na qualidade ou segurança do produto sob investigação</t>
  </si>
  <si>
    <t>Melatonina gel sublingual</t>
  </si>
  <si>
    <t>gel sublingual</t>
  </si>
  <si>
    <t>Não aplicável</t>
  </si>
  <si>
    <t>07/08/2020</t>
  </si>
  <si>
    <t>10824 - ENSAIOS CLÍNICOS - Emenda Substancial a Protocolo Clínico</t>
  </si>
  <si>
    <t xml:space="preserve">10818 - ENSAIOS CLÍNICOS - Modificação de DDCM - Inclusão de protocolo de ensaio clínico não previsto no plano inicialde desenvolvimento sob investigação
</t>
  </si>
  <si>
    <r>
      <t xml:space="preserve">10/07/2020: Situação atual
Distribuído para a área responsável
Encontra-se na
CETER - Desde: 30/06/2020
</t>
    </r>
    <r>
      <rPr>
        <u/>
        <sz val="10"/>
        <rFont val="Calibri"/>
        <family val="2"/>
        <scheme val="minor"/>
      </rPr>
      <t>07/08/2020:</t>
    </r>
    <r>
      <rPr>
        <sz val="10"/>
        <rFont val="Calibri"/>
        <family val="2"/>
        <scheme val="minor"/>
      </rPr>
      <t xml:space="preserve">  Concluída análise 
Encontra-se na
CETER - Desde: 04/08/2020</t>
    </r>
  </si>
  <si>
    <t>1_Publicada a retificação de publicação em DOU de 10/08/2020
RETIFICAÇÃO - Na Resolução - RE No 2.262, de 2 de julho de 2020, publicada no Diário Oficial da União nº 127, de 6 de julho de 2020, Seção 1, página 55</t>
  </si>
  <si>
    <t>1_Aditamento para a CRMEC de bula, rotulagem e nome comercial protocolado em 06/05/2019 sob expediente 0398903/19-8.
2_Aditamento de estudo de biodisponibilidade relativa ou Bioisenção protocolado em 07/05/2019 sob expediente 0408524/19-8.
3_Aditamento à solicitação de registro (FIDR) protocolado em 08/05/2019 sob expediente 0408422195.
4_Aditamento referente a envio de atualização do dossiê conforme outro parceiro da Tecnimede e acordado com ANVISA protoclado em 22/05/2020 sob expediente 1612841209.
5_Email enviado à GQMED em 25/05/2020 informando aditamento. 
6_Aditamento referente à solicitação de registro, protocolado em 22/05/2020, sob o expediente: 1612841209
7_Ofício nº 2041395205 , Expediente 0389747/19-8, recebido em 30/06/2020, Assunto: Análise do DMF do IFA celecoxibe da Jiangxi Synergy Pharmaceutical.
8_Ofício nº 2094769201, Expediente 0389747/19-8, recebido em 20/07/2020, Assunto: Anuência Aditamento para a CBRES de bula, rotulagem e nome comercial.
9_ Publicado deferimento em DOU de 20/07/2020 - RESOLUÇÃO-RE Nº 2.518, DE 16 DE JULHO DE 2020
10_ Cumprimento de ofício_Análise do DMF do IFA celecoxibe 2041395205 em 10/08/2020. Expediente nº2654752200</t>
  </si>
  <si>
    <t>1_Número de registro no CAS: 884740-09-4
2_Incluído na Lista DCB em DOU de 12/08/2020 - RESOLUÇÃO DE DIRETORIA COLEGIADA - RDC Nº 411, DE 10 DE AGOSTO DE 2020</t>
  </si>
  <si>
    <t>2683767206</t>
  </si>
  <si>
    <t>Previsão com fórmula i-Helps tipo de fila</t>
  </si>
  <si>
    <t>Novos</t>
  </si>
  <si>
    <t>Genéricos Priorizados</t>
  </si>
  <si>
    <t>Fitoterápicos</t>
  </si>
  <si>
    <t>Biológicos</t>
  </si>
  <si>
    <t>Previsão de entrada em análise (fórmula)</t>
  </si>
  <si>
    <t>Previsão de deferimento (fórmula)</t>
  </si>
  <si>
    <t>Genéricos e Similares + Clones</t>
  </si>
  <si>
    <t>Inovadores + Clones</t>
  </si>
  <si>
    <t>Genéricos Priorizados + Clones</t>
  </si>
  <si>
    <t>Data de protocolo para cálculo médio</t>
  </si>
  <si>
    <t>Prazo máximo conforme Lei 13.411/2016
(20 meses)</t>
  </si>
  <si>
    <t>14/08/2020</t>
  </si>
  <si>
    <t>Clone não consta na fila.
Situação do matriz:
Aguardando análise do cumprimento de exigência
Encontra-se na
Desde: 03/02/2020</t>
  </si>
  <si>
    <t>Clone: Não está na fila de análise.
 Situação
Distribuído para a área responsável. Encontra-se na GEPRE.D - Desde 20/01/2020
Matriz:
12</t>
  </si>
  <si>
    <t>2486689/20-0</t>
  </si>
  <si>
    <t>2516429/20-5</t>
  </si>
  <si>
    <t xml:space="preserve">1_Realizado aditamento em 30/06/2020 sob o expediente: 2093395209. Assunto: Aprovação condicional - RDC 219/2018
2_ Ofício nº2659404208, expediente: 756553/11-4, recebido em 10/08/2020, assunto: Saneamento de apresentações. </t>
  </si>
  <si>
    <t>1_Ofício nº2621865208, expediente nº 2039559/20-1 recebido em 07/08/2020, assunto: Protocolo do estudo de biodisponibilidade relativa/bioequivalência para ezomeprazol magnésio tri-hidratado. 
2_Ofício nº2621711202, expediente: 2039559/20-1, recebido em 07/08/2020. Assunto: Protocolo do estudo de biodisponibilidade relativa/bioequivalência para ezomeprazol magnésio tri-hidratado.</t>
  </si>
  <si>
    <t>25351.828442/2020-16</t>
  </si>
  <si>
    <t>COLEDUE R</t>
  </si>
  <si>
    <t>21/08/2020</t>
  </si>
  <si>
    <t>Clone: Não está na fila de análise.
 Situação
Distribuído para a área responsável. Encontra-se na GEPRE.D - Desde 21/01/2020
Matriz:
9</t>
  </si>
  <si>
    <t xml:space="preserve">Desistência a pedido anuída </t>
  </si>
  <si>
    <t>1_Ofício nº 2845935201 , Expediente 1936159/20-9, recebido em 25/08/2020, Assunto: Resposta ao protocolo de segurança e eficácia sobre ibuprofeno micronizado 80 mg/mL e 85 mg/mL na forma farmacêutica suspensão oral</t>
  </si>
  <si>
    <t>Produto matriz: nºprocesso: 25351.015583/2015-93</t>
  </si>
  <si>
    <t>28/08/2020</t>
  </si>
  <si>
    <r>
      <rPr>
        <u/>
        <sz val="10"/>
        <rFont val="Calibri"/>
        <family val="2"/>
        <scheme val="minor"/>
      </rPr>
      <t>20/03/2020</t>
    </r>
    <r>
      <rPr>
        <sz val="10"/>
        <rFont val="Calibri"/>
        <family val="2"/>
        <scheme val="minor"/>
      </rPr>
      <t xml:space="preserve">:Situação: Aguardando análise do cumprimento de exigência. Encontra-se na CETER - Desde: 31/01/2020
</t>
    </r>
    <r>
      <rPr>
        <u/>
        <sz val="10"/>
        <rFont val="Calibri"/>
        <family val="2"/>
        <scheme val="minor"/>
      </rPr>
      <t>24/04/2020</t>
    </r>
    <r>
      <rPr>
        <sz val="10"/>
        <rFont val="Calibri"/>
        <family val="2"/>
        <scheme val="minor"/>
      </rPr>
      <t xml:space="preserve">: Igual anterior
</t>
    </r>
    <r>
      <rPr>
        <u/>
        <sz val="10"/>
        <rFont val="Calibri"/>
        <family val="2"/>
        <scheme val="minor"/>
      </rPr>
      <t>08/05/2020</t>
    </r>
    <r>
      <rPr>
        <sz val="10"/>
        <rFont val="Calibri"/>
        <family val="2"/>
        <scheme val="minor"/>
      </rPr>
      <t xml:space="preserve">: Situação atual
Concluída análise. Encontra-se na
CETER - 
Desde: 30/04/2020
</t>
    </r>
    <r>
      <rPr>
        <u/>
        <sz val="10"/>
        <rFont val="Calibri"/>
        <family val="2"/>
        <scheme val="minor"/>
      </rPr>
      <t>28/08/2020</t>
    </r>
    <r>
      <rPr>
        <sz val="10"/>
        <rFont val="Calibri"/>
        <family val="2"/>
        <scheme val="minor"/>
      </rPr>
      <t>: igual anterior</t>
    </r>
  </si>
  <si>
    <r>
      <t xml:space="preserve">10/03/2020: Situação atual Distribuído para a área responsável
Encontra-se na COINC Desde: 18/06/2020
</t>
    </r>
    <r>
      <rPr>
        <u/>
        <sz val="10"/>
        <rFont val="Calibri"/>
        <family val="2"/>
        <scheme val="minor"/>
      </rPr>
      <t>21/08/2020:</t>
    </r>
    <r>
      <rPr>
        <sz val="10"/>
        <rFont val="Calibri"/>
        <family val="2"/>
        <scheme val="minor"/>
      </rPr>
      <t xml:space="preserve"> Situação atual Em análise 
Encontra-se na COINC Desde: 17/08/2020
</t>
    </r>
    <r>
      <rPr>
        <u/>
        <sz val="10"/>
        <rFont val="Calibri"/>
        <family val="2"/>
        <scheme val="minor"/>
      </rPr>
      <t>24/08/2020:</t>
    </r>
    <r>
      <rPr>
        <sz val="10"/>
        <rFont val="Calibri"/>
        <family val="2"/>
        <scheme val="minor"/>
      </rPr>
      <t xml:space="preserve"> Situação atual Concluída análise 
Encontra-se na COINC - COORDENAÇÃO DE INOVAÇÃO INCREMENTAL
Desde: 24/08/2020
</t>
    </r>
    <r>
      <rPr>
        <u/>
        <sz val="10"/>
        <rFont val="Calibri"/>
        <family val="2"/>
        <scheme val="minor"/>
      </rPr>
      <t>28/08/2020:</t>
    </r>
    <r>
      <rPr>
        <sz val="10"/>
        <rFont val="Calibri"/>
        <family val="2"/>
        <scheme val="minor"/>
      </rPr>
      <t xml:space="preserve"> Igual anterior
</t>
    </r>
  </si>
  <si>
    <t>04/09/2020</t>
  </si>
  <si>
    <t xml:space="preserve">Medicamento matriz: Genérico (hemifumarato de quetiapina) 
Accord Farmacêutica LTDA
(processo nº 25351.561171/2015-40)
</t>
  </si>
  <si>
    <t xml:space="preserve">50 MG COM REV LIB PROL CT BL AL PLAS PVC/PVDC OPC X 10
50 MG COM REV LIB PROL CT BL AL PLAS PVC/PVDC OPC X 30
50 MG COM REV LIB PROL CT BL AL PLAS PVC/PVDC OPC X 60
50 MG COM REV LIB PROL CT BL AL AL X 10
50 MG COM REV LIB PROL CT BL AL AL X 30
50 MG COM REV LIB PROL CT BL AL AL X 60
200 MG COM REV LIB PROL CT BL AL PLAS PVC/PVDC OPC X 10
200 MG COM REV LIB PROL CT BL AL PLAS PVC/PVDC OPC X 30
200 MG COM REV LIB PROL CT BL AL PLAS PVC/PVDC OPC X 60
200 MG COM REV LIB PROL CT BL AL AL X 10
200 MG COM REV LIB PROL CT BL AL AL X 30
200 MG COM REV LIB PROL CT BL AL AL X 60
300 MG COM REV LIB PROL CT BL AL PLAS PVC/PVDC OPC X 10
300 MG COM REV LIB PROL CT BL AL PLAS PVC/PVDC OPC X 30
300 MG COM REV LIB PROL CT BL AL PLAS PVC/PVDC OPC X 60
300 MG COM REV LIB PROL CT BL AL AL X 10
300 MG COM REV LIB PROL CT BL AL AL X 30
300 MG COM REV LIB PROL CT BL AL AL X 60
</t>
  </si>
  <si>
    <t xml:space="preserve">hemifumarato de quetiapina </t>
  </si>
  <si>
    <t>50mg, 200mg e 300mg</t>
  </si>
  <si>
    <t xml:space="preserve">10 MG + 5 MG COM REV CT BL AL PLAS TRANS X 7
10 MG + 5 MG COM REV CT BL AL PLAS TRANS X 30
10 MG + 10 MG COM REV CT BL AL PLAS TRANS X 7
10 MG + 10 MG COM REV CT BL AL PLAS TRANS X 30
10 MG + 15 MG COM REV CT BL AL PLAS TRANS X 7
10 MG + 15 MG COM REV CT BL AL PLAS TRANS X 30
10 MG + 20 MG COM REV CT BL AL PLAS TRANS X 7
10 MG + 20 MG COM REV CT BL AL PLAS TRANS X 30
</t>
  </si>
  <si>
    <t xml:space="preserve">cloridrato de donepezila + cloridrato de memantina </t>
  </si>
  <si>
    <t>10mg + 5mg, 10mg + 10mg, 10mg + 15mg e 10mg + 20mg</t>
  </si>
  <si>
    <t>cloridrato de donepezila monoidratado – Fabricante: USV PRIVATE LIMITED
cloridrato de memantina – Fabricante: PLIVA Croatia Ltd. / TAPI Croatia</t>
  </si>
  <si>
    <r>
      <t xml:space="preserve">Hemifumarato de Quetiapina 
</t>
    </r>
    <r>
      <rPr>
        <sz val="10"/>
        <rFont val="Arial"/>
        <family val="2"/>
      </rPr>
      <t>(Genérico Accord)</t>
    </r>
  </si>
  <si>
    <t>25351.925079/2020-86</t>
  </si>
  <si>
    <t>3044713/20-5</t>
  </si>
  <si>
    <t>11/09/2020</t>
  </si>
  <si>
    <t>1_Estudo de Interação Farmacocinética para anuência em ensaios clínicos. Procotolado em 24/03/2020
2_ Oficio nº 3075410201 recebido em 11/09/2020 - assunto 10839 - Estudos de Interação Farmacocinética para Anuência em Ensaios Clínicos.
3_Entrada em análise em 04/09/2020</t>
  </si>
  <si>
    <r>
      <rPr>
        <u/>
        <sz val="10"/>
        <rFont val="Calibri"/>
        <family val="2"/>
        <scheme val="minor"/>
      </rPr>
      <t>27/03/2020</t>
    </r>
    <r>
      <rPr>
        <sz val="10"/>
        <rFont val="Calibri"/>
        <family val="2"/>
        <scheme val="minor"/>
      </rPr>
      <t xml:space="preserve"> Situação: Distribuído para a área responsável. Encontra-se na CETER - Desde: 24/03/2020
</t>
    </r>
    <r>
      <rPr>
        <u/>
        <sz val="10"/>
        <rFont val="Calibri"/>
        <family val="2"/>
        <scheme val="minor"/>
      </rPr>
      <t>29/05/2020</t>
    </r>
    <r>
      <rPr>
        <sz val="10"/>
        <rFont val="Calibri"/>
        <family val="2"/>
        <scheme val="minor"/>
      </rPr>
      <t xml:space="preserve">: Situação: Distribuído para a área responsável. Encontra-se na
COINC - Desde: 15/05/2020
</t>
    </r>
    <r>
      <rPr>
        <u/>
        <sz val="10"/>
        <rFont val="Calibri"/>
        <family val="2"/>
        <scheme val="minor"/>
      </rPr>
      <t xml:space="preserve">19/06/2020: </t>
    </r>
    <r>
      <rPr>
        <sz val="10"/>
        <rFont val="Calibri"/>
        <family val="2"/>
        <scheme val="minor"/>
      </rPr>
      <t xml:space="preserve">Situação atual
Distribuído para a área responsável
Encontra-se na
CETER - Desde: 31/03/2020
</t>
    </r>
    <r>
      <rPr>
        <u/>
        <sz val="10"/>
        <rFont val="Calibri"/>
        <family val="2"/>
        <scheme val="minor"/>
      </rPr>
      <t>04/09/2020</t>
    </r>
    <r>
      <rPr>
        <sz val="10"/>
        <rFont val="Calibri"/>
        <family val="2"/>
        <scheme val="minor"/>
      </rPr>
      <t xml:space="preserve">: Situação atual
Em análise - Encontra-se na CETER 
 Desde: 04/09/2020
</t>
    </r>
    <r>
      <rPr>
        <u/>
        <sz val="10"/>
        <rFont val="Calibri"/>
        <family val="2"/>
        <scheme val="minor"/>
      </rPr>
      <t>11/09/2020</t>
    </r>
    <r>
      <rPr>
        <sz val="10"/>
        <rFont val="Calibri"/>
        <family val="2"/>
        <scheme val="minor"/>
      </rPr>
      <t xml:space="preserve">: Situação atual
Concluída análise
Encontra-se na
CETER - Desde: 04/09/2020
</t>
    </r>
    <r>
      <rPr>
        <u/>
        <sz val="10"/>
        <rFont val="Calibri"/>
        <family val="2"/>
        <scheme val="minor"/>
      </rPr>
      <t/>
    </r>
  </si>
  <si>
    <t>Situação atual
Em análise 
Encontra-se na
GQMED -  
Desde: 08/09/2020</t>
  </si>
  <si>
    <t>Clone: Não está na fila de análise.
 Situação
Distribuído para a área responsável. Encontra-se na GEPRE.D - Desde 20/01/2020
Matriz:
9</t>
  </si>
  <si>
    <t>Situação atual
Petição priorizada e aguardando análise técnica
Encontra-se na
ARQVO - Desde: 09/09/2020</t>
  </si>
  <si>
    <t xml:space="preserve">
Data de entrada em análise:  NA</t>
  </si>
  <si>
    <t>1_Aberto em 02/09 SAT: 2020313866 para previsão de análise do protocolo. Em resposta a ANVISA informou que o protocolo foi distribuído para análise no ciclo de produtividade vigente, com manifestação prevista até 30/09/2020.
2_ Ofício nº 3139509201, recebido em 16/09/2020, assunto: Assunto: Resposta ao protocolo de segurança e eficácia sobre ibuprofeno gel 5%.</t>
  </si>
  <si>
    <t>1_Segunda solicitação de indicação do Naridrin como medicamento referência. A primeira foi realizada em 01/08/2017 e tivemos resposta da ANVISA indicando que "o medicamento NARIDRIN encontra-se em avaliação de segurança e eficácia para adequação à RDC 35 de 15/06/2012. Foi solicitada a apresentação de provas necessárias para adequação à Resolução supracitada. Assim que tivermos um parecer, caso seja favorável, o referido medicamento poderá ser incluído na lista."
2_Cobrar mensalmente via SAT.
3_SAT:2020152630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
6_ Ofício nº 3141476201, recebido em 16/09/2020, informa que o medicamento NARIDRIN se
encontra em avaliação para adequação à RDC 35 de 15/06/2012.</t>
  </si>
  <si>
    <t>18/09/2020</t>
  </si>
  <si>
    <t>3151754/20-4</t>
  </si>
  <si>
    <r>
      <rPr>
        <u/>
        <sz val="10"/>
        <rFont val="Calibri"/>
        <family val="2"/>
        <scheme val="minor"/>
      </rPr>
      <t>18/09/2020:</t>
    </r>
    <r>
      <rPr>
        <sz val="10"/>
        <rFont val="Calibri"/>
        <family val="2"/>
        <scheme val="minor"/>
      </rPr>
      <t xml:space="preserve"> Situação atual
Concluída análise
Encontra-se na
COINC - Desde: 14/09/2020
</t>
    </r>
    <r>
      <rPr>
        <u/>
        <sz val="10"/>
        <rFont val="Calibri"/>
        <family val="2"/>
        <scheme val="minor"/>
      </rPr>
      <t/>
    </r>
  </si>
  <si>
    <r>
      <t xml:space="preserve">
</t>
    </r>
    <r>
      <rPr>
        <u/>
        <sz val="10"/>
        <rFont val="Calibri"/>
        <family val="2"/>
        <scheme val="minor"/>
      </rPr>
      <t xml:space="preserve">18/09/2020: </t>
    </r>
    <r>
      <rPr>
        <sz val="10"/>
        <rFont val="Calibri"/>
        <family val="2"/>
        <scheme val="minor"/>
      </rPr>
      <t>Situação atual
Concluída análise
Encontra-se na
CETER - Desde: 16/09/2020</t>
    </r>
  </si>
  <si>
    <t>PARECER POSITIVO</t>
  </si>
  <si>
    <t>cloridrato de donepezila + cloridrato de memantina</t>
  </si>
  <si>
    <t xml:space="preserve">Medicamento matriz: Genérico (cloridrato de donepezila + cloridrato de memantina) - petição priorizada
BRAINFARMA INDÚSTRIA QUÍMICA E FARMACÊUTICA S.A 
(processo nº 25351.925079/2020-86)
</t>
  </si>
  <si>
    <r>
      <t xml:space="preserve">COGUM
</t>
    </r>
    <r>
      <rPr>
        <sz val="10"/>
        <rFont val="Arial"/>
        <family val="2"/>
      </rPr>
      <t>(Genérico Brainfarma)</t>
    </r>
  </si>
  <si>
    <t>cloridrato de donepezila + cloridrato de memantina) - petição priorizada</t>
  </si>
  <si>
    <t>25351.660661/2020-91</t>
  </si>
  <si>
    <t>25/09/2020</t>
  </si>
  <si>
    <t>Situação matriz:
Situação atual
Aguardando análise do cumprimento de exigência
Encontra-se na
Desde: 30/03/2020</t>
  </si>
  <si>
    <t>Clone: Não está na fila de análise.
 Situação
Distribuído para a área responsável. Encontra-se na GEPRE.D - Desde 21/01/2020
Matriz:
8</t>
  </si>
  <si>
    <t>Clone: Não está na fila de análise.
 Situação
Distribuído para a área responsável. Encontra-se na GEPRE.D - Desde 20/01/2020
Matriz:
8</t>
  </si>
  <si>
    <t>25351.000330/2020-06</t>
  </si>
  <si>
    <t>7324 - MEDICAMENTOS - (Certificação de BPF) de INDÚSTRIA INTERNACIONAL de LÍQUIDOS NÃO ESTÉREIS, exceto MERCOSUL</t>
  </si>
  <si>
    <t xml:space="preserve">3277547/20-5
</t>
  </si>
  <si>
    <t>FUROATO DE MOMETASONA MONOIDRATADO</t>
  </si>
  <si>
    <t xml:space="preserve">Produto é clone do furoato de mometasona monoidratado da empresa Glenmark e já possui registro deferido. 
A partir do deferimento do CBPF a empresa Cosmed irá importar o produto.
</t>
  </si>
  <si>
    <t>Glenmark Pharmaceuticals Limited</t>
  </si>
  <si>
    <t>25351.071601/2020-08</t>
  </si>
  <si>
    <t>business unit(BU)</t>
  </si>
  <si>
    <t>PP
NOUR
Marcelo Albertotti</t>
  </si>
  <si>
    <t xml:space="preserve">PP
NOUR
FERNANDA GRANDIS
</t>
  </si>
  <si>
    <t xml:space="preserve">CH
HELIO
CARLA DIAS
</t>
  </si>
  <si>
    <t>PP
NOUR
Marcelo Albertotti
FABIO KUNIAKI
ADALMARIO
GUSTAVO DESGUALDO</t>
  </si>
  <si>
    <t>PP
NOUR
FERNANDA GRANDIS
FABIO KUNIAKI
ADALMARIO</t>
  </si>
  <si>
    <t>02/10/2020</t>
  </si>
  <si>
    <t>Clone: Não está na fila de análise.
 Situação
Distribuído para a área responsável. Encontra-se na GEPRE.D - Desde 21/01/2020
Matriz:
7</t>
  </si>
  <si>
    <r>
      <rPr>
        <b/>
        <sz val="10"/>
        <rFont val="Calibri"/>
        <family val="2"/>
        <scheme val="minor"/>
      </rPr>
      <t xml:space="preserve">Situação Clone: </t>
    </r>
    <r>
      <rPr>
        <sz val="10"/>
        <rFont val="Calibri"/>
        <family val="2"/>
        <scheme val="minor"/>
      </rPr>
      <t xml:space="preserve">
Distribuído para a área responsável
Encontra-se na
CBRES - Desde: 30/09/2020
Fila: 28
</t>
    </r>
    <r>
      <rPr>
        <b/>
        <sz val="10"/>
        <rFont val="Calibri"/>
        <family val="2"/>
        <scheme val="minor"/>
      </rPr>
      <t>Situação atual do matriz</t>
    </r>
    <r>
      <rPr>
        <sz val="10"/>
        <rFont val="Calibri"/>
        <family val="2"/>
        <scheme val="minor"/>
      </rPr>
      <t xml:space="preserve">
Petição priorizada e aguardando análise técnica
Encontra-se na
ARQVO - Desde: 09/09/2020
</t>
    </r>
  </si>
  <si>
    <t>25351.735520/2020-30</t>
  </si>
  <si>
    <t>06/10/2020</t>
  </si>
  <si>
    <t>Clone: Aguarda análise do medicamento matriz
Situação do matriz: em exigência 
Encontra-se na
GQMED - GERÊNCIA DE AVALIAÇÃO DA QUALIDADE DE MEDICAMENTOS SINTÉTICOS
Desde: 30/09/2020</t>
  </si>
  <si>
    <t>Situação atual
Petição priorizada e aguardando análise técnica
Encontra-se na
ARQVO - Desde: 09/09/2020
Fila: 6</t>
  </si>
  <si>
    <r>
      <rPr>
        <b/>
        <sz val="10"/>
        <rFont val="Calibri"/>
        <family val="2"/>
        <scheme val="minor"/>
      </rPr>
      <t xml:space="preserve">Situação Clone: </t>
    </r>
    <r>
      <rPr>
        <sz val="10"/>
        <rFont val="Calibri"/>
        <family val="2"/>
        <scheme val="minor"/>
      </rPr>
      <t xml:space="preserve">
Distribuído para a área responsável
Encontra-se na
CBRES - Desde: 30/09/2020
Fila: 31
</t>
    </r>
    <r>
      <rPr>
        <b/>
        <sz val="10"/>
        <rFont val="Calibri"/>
        <family val="2"/>
        <scheme val="minor"/>
      </rPr>
      <t>Situação atual do matriz</t>
    </r>
    <r>
      <rPr>
        <sz val="10"/>
        <rFont val="Calibri"/>
        <family val="2"/>
        <scheme val="minor"/>
      </rPr>
      <t xml:space="preserve">
Petição priorizada e aguardando análise técnica
Encontra-se na
ARQVO - Desde: 09/09/2020
Fila: 6
</t>
    </r>
  </si>
  <si>
    <t>09/10/2020</t>
  </si>
  <si>
    <t>Clone: Aguarda análise do medicamento matriz
Situação do matriz: em exigência 
Encontra-se na
GQMED - 
Desde: 30/09/2020</t>
  </si>
  <si>
    <t>Clone retirado da fila.
Matriz sem registro ativo - ver situação matriz.
Situação clone:
Aguardando análise do medicamento matriz
Encontra-se na
GGMED - 
Desde: 02/08/2019</t>
  </si>
  <si>
    <t>Situação Atual: 
Em exigência
Encontra-se na
GQMED - 
Desde: 08/09/2020</t>
  </si>
  <si>
    <t>2521329/20-6</t>
  </si>
  <si>
    <t>clones</t>
  </si>
  <si>
    <t>Matriz sem registro ativo - ver situação matriz.
Situação Clone: 
31</t>
  </si>
  <si>
    <t xml:space="preserve">dipirona monoidratada + fosfato de codeína </t>
  </si>
  <si>
    <t xml:space="preserve">olmesartana medoxomila + hidroclorotiazida +  besilato de anlodipino </t>
  </si>
  <si>
    <r>
      <rPr>
        <u/>
        <sz val="10"/>
        <rFont val="Calibri"/>
        <family val="2"/>
        <scheme val="minor"/>
      </rPr>
      <t>09/10/2020</t>
    </r>
    <r>
      <rPr>
        <sz val="10"/>
        <rFont val="Calibri"/>
        <family val="2"/>
        <scheme val="minor"/>
      </rPr>
      <t xml:space="preserve">: Situação atual
Em análise. Encontra-se na
CETER - Desde: 28/09/2020
</t>
    </r>
  </si>
  <si>
    <t xml:space="preserve">1_Protocolado em 09/04/2020, expediente: 1078749206. Assunto: 11559 - Aditamento – petição relacionada a COVID-19
2_Ofício nº 1164863205, recebido em 17/04/2020. Assunto: Aditamento - petição relacionada a COVID-19. NÃO ANUÊNCIA.
3_Aditamento referente a inclusão de apresentações com 60 e 90 cápsulas para as concentrações de 3.000 e 4.000 U.I protocolado em 20/05/2020 sob expediente: 1587078202
4_Exigência Nº: 2362707/20-7 recebida em 22/07 Expediente da petição: 1061339/20-1. Assunto: Inclusão de nova concentração
5_Cumprida exigência em 11/09/2020 sob expediente: 3090730201. Assunto: 1674 - ESPECÍFICO - Inclusão de nova concentração
6_Publicado em DOU de 13/10/2020 pela RESOLUÇÃO-RE Nº 4.079, DE 8 DE OUTUBRO DE 2020 </t>
  </si>
  <si>
    <t>16/10/2020</t>
  </si>
  <si>
    <t>1_07/02/2020: Solicitado por Camila Salles a cobrança desse referência por reuniao no parlatório - reunião nº 37045. Reunião recusada com a justificativa: Prezados, Informamos que a empresa deve aguardar manifestação desta Anvisa quanto aos casos mencionados. Atenciosamente, Coordenação de Equivalência Terapêutica CETER.
2_Cobrar mensamente via SAT.
3_SAT:2020152630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4_SAT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5_ 23/07/2020: Foi solicitada audiência com ANVISA para discussão a induclusão dos medicamentos na lista de referência. A reunião com a CETER foi recusada
6_ Recebido Ofício nº 3490492201, em 14/10/2020, Assunto: Finalização de análise - Substituição de Medicamento Referência.
7_ Em atenção ao expediente 2557933/19-9, informamos que a lista B de medicamentos de referência será atualizada, a fim de incluir o medicamento Sanilin®, (Cloreto de cetilpiridínio + benzocaína), fabricado pela empresa Kley Hertz Farmacêutica S/A.
8_ Incluído na lista B de referência em 16.10.2020</t>
  </si>
  <si>
    <t xml:space="preserve">1_Recebido comprovante de protocolo online em 25/03/2020. 11337 - Comunicação de ausência de medicamento de referência no mercado nacional
pela empresa interessada
2_ Ofício nº 3154192205, recebido em 16/09/2020, Descrição: Instruções para aquisição de amostras de medicamento de referência.
3_ Medicamento excluído da lista de referência por descontinuação definitiva de comercialização 
</t>
  </si>
  <si>
    <t>Clone: Não está na fila de análise.
 Situação
Distribuído para a área responsável. Encontra-se na GEPRE.D - Desde 30/12/2019
Matriz:
7</t>
  </si>
  <si>
    <t>Situação atual
Em análise
Encontra-se na
ARQVO -  Desde: 09/09/2020</t>
  </si>
  <si>
    <t>Matriz sem registro ativo - ver situação matriz.
Situação Clone: 
30</t>
  </si>
  <si>
    <t>Expediente 1: Produto clone
Expediente 2:  matriz pantoprazol sódico sesqui-hidratado Brainfarma
Protocolada a Desistência em 16/10/2020: Expediente: 3589133/20-5</t>
  </si>
  <si>
    <r>
      <rPr>
        <strike/>
        <sz val="10"/>
        <rFont val="Calibri"/>
        <family val="2"/>
        <scheme val="minor"/>
      </rPr>
      <t>Dezembro/20
Janeiro/21</t>
    </r>
    <r>
      <rPr>
        <sz val="10"/>
        <rFont val="Calibri"/>
        <family val="2"/>
        <scheme val="minor"/>
      </rPr>
      <t xml:space="preserve"> 
1º SEM 2021</t>
    </r>
  </si>
  <si>
    <t xml:space="preserve">1_Exigência Nº: 2969797/20-2, recebida em 03/09/2020, Expediente da
petição: 2207696/20-4. Assunto: Redimensionar a logomarca da embalagem secundária comercial
2_Cumprida a exigência em 04/09/2020 sob expediente nº 2969797/20-2. Assunto: Redimensionar a logomarca da embalagem secundária comercial
3_Ofício nº 3367851201, recebido em 21/10/2020, sob , Expediente 3367295/20-4, assunto: informado que foi detectada uma incorreção no deferimento do expediente e que foi realizada a correção através de retificação em DOU </t>
  </si>
  <si>
    <t>Clone: Aguarda análise do medicamento matriz
Encontra-se na
CRMEC.D Enc.: 14/01/2020
Situação matriz:
Situação atual
Aguardando análise do cumprimento de exigência
Encontra-se na
Desde: 30/03/2020</t>
  </si>
  <si>
    <t>Matriz sem registro ativo - ver situação matriz.
Situação Clone: 
27</t>
  </si>
  <si>
    <t>DEEC, Inclusão e emenda de protocolo</t>
  </si>
  <si>
    <t xml:space="preserve">VABAM </t>
  </si>
  <si>
    <t>Rivaroxabana</t>
  </si>
  <si>
    <t>10mg, 15mg e 20mg</t>
  </si>
  <si>
    <t>10 MG COM REV CT BL AL PLAS PVDC TRANS X 10
10 MG COM REV CT BL AL PLAS PVDC TRANS X 30
15 MG COM REV CT BL AL PLAS PVDC TRANS X 10 
15 MG COM REV CT BL AL PLAS PVDC TRANS X 15
15 MG COM REV CT BL AL PLAS PVDC TRANS X 30
20 MG COM REV CT BL AL PLAS PVDC TRANS X 10
20 MG COM REV CT BL AL PLAS PVDC TRANS X 15
20 MG COM REV CT BL AL PLAS PVDC TRANS X 30</t>
  </si>
  <si>
    <t>25351.311801/2020-09</t>
  </si>
  <si>
    <t xml:space="preserve">3728250/20-6
</t>
  </si>
  <si>
    <t xml:space="preserve">Principal: Pharmaceutical Works Polpharma SA
Adicional: Alembic Pharmaceuticals Limited
</t>
  </si>
  <si>
    <t>COM CT BL AL PLAS TRANS X 12 COM AMARELO + 12 COM BRANCO
COM CT BL AL PLAS TRANS X 50 COM AMARELO + 50 COM BRANCO
COM CT BL AL PLAS TRANS X 100 COM AMARELO + 100 COM BRANCO</t>
  </si>
  <si>
    <t>500 MG/ML SOL OR CT FR PLAS OPC GOT X 10 ML
500 MG/ML SOL OR CT FR PLAS OPC GOT X 15ML
500 MG/ML SOL OR CT FR PLAS OPC GOT X 20 ML
500 MG/ML SOL OR CX 48 FR PLAS OPC GOT X 15 ML
500 MG/ML SOL OR CX 96 FR PLAS OPC GOT X 15 ML
500 MG/ML SOL OR CX 48 FR PLAS OPC GOT X 20 ML
500 MG/ML SOL OR CX 96 FR PLAS OPC GOT X 20 ML
500 MG/ML SOL OR CX 48 FR PLAS OPC GOT X 10 ML
500 MG/ML SOL OR CX 96 FR PLAS OPC GOT X 10 ML</t>
  </si>
  <si>
    <t>1_Ofício nº 1800115177/2017, lido em 12/03/2018.
2_Aditamento para o reenvio das documentações referentes ao Recurso Administrativo, solicitado pela CRMEC, protocolado em 28/03/2018 sob expediente nº 0242871/18-7.
Tipo de indeferimento: total.
Motivo: devido à inadequação do processo matriz à RDC 31/2014.
Resposta ao Recurso: Empresa apresentou racional indicando que foi apresentada toda a comprovação da qualidade, segurança e eficácia do medicamento matriz.
1_Recurso peticionado em 20/03/2018. Prazo máximo para posicionamento da ANVISA: 18/06/2018.
2_Recurso pautado para a ROP 022/2018, no dia 16/10/2018.
3_Na ROP 022/2018 foi dado provimento ao recurso, e conceder o regitro.
4_Provimento ao recurso publicado em 26/10/2018.</t>
  </si>
  <si>
    <t>1_Ofício nº 1784045177/2017, lido em 12/03/2018.
2_Aditamento para o reenvio das documentações referentes ao Recurso Administrativo, solicitado pela CRMEC, protocolado em 28/03/2018 sob expediente nº 0242818/18-1.
Tipo de indeferimento: total.
Motivo: devido à inadequação do processo matriz à RDC 31/2014.
Resposta ao Recurso: Empresa apresentou racional indicando que foi apresentada toda a comprovação da qualidade, segurança e eficácia do medicamento matriz.
1_Recurso peticionado em 20/03/2018, expediente 0212811180. Prazo máximo para posicionamento da ANVISA: 18/06/2018
2_Recurso pautado para a ROP 022/2018, no dia 16/10/2018.
3_Na ROP 022/2018 foi dado provimento ao recurso, e conceder o regitro.
4_Provimento ao recurso publicado em 26/10/2018.</t>
  </si>
  <si>
    <t>COM CT BL AL PLAS TRANS X 12 COM AMARELO X 12 COM BRANCO
COM CT BL AL PLAS TRANS X 50 COM AMARELO X 50 COM BRANCO
COM CT BL AL PLAS TRANS X 100 COM AMARELO X 100 COM BRANCO</t>
  </si>
  <si>
    <t>1_Ofício nº 1799359178/2017, lido em 12/03/2018.
2_Aditamento para o reenvio das documentações referentes ao Recurso Administrativo, solicitado pela CRMEC, protocolado em 28/03/2018 sob expediente nº 0242754/18-1.
Tipo de indeferimento: total.
Motivo: devido à inadequação do processo matriz à RDC 31/2014.
Resposta ao Recurso: Empresa apresentou racional indicando que foi apresentada toda a comprovação da qualidade, segurança e eficácia do medicamento matriz.
1_Recurso peticionado em 20/03/2018, expediente 0212839180. Prazo máximo para posicionamento da ANVISA: 18/06/2018
2_Recurso pautado para a ROP 022/2018, no dia 16/10/2018.
3_Na ROP 022/2018 foi dado provimento ao recurso, e conceder o regitro.
4_Provimento ao recurso publicado em 26/10/2018.</t>
  </si>
  <si>
    <t>1_Ofício nº 1777265176/2017, lido em 19/03/2018.
Tipo de indeferimento: total.
Motivo: devido à reprovação do nome comercial e  à inadequação do processo matriz à RDC 31/2014.
Resposta ao Recurso: Empresa apresentou racional indicando que foi apresentada toda a comprovação da qualidade, segurança e eficácia do medicamento matriz e defesa da marca.
1_Recurso peticionado em 21/03/2018, expediente 0220463181. Prazo máximo para posicionamento da ANVISA: 19/06/2018
2_Recurso pautado para a ROP 022/2018, no dia 16/10/2018.
3_Na ROP 022/2018 foi dado provimento ao recurso, e conceder o regitro.
4_Provimento ao recurso publicado em 26/10/2018.</t>
  </si>
  <si>
    <t>497559/09-6</t>
  </si>
  <si>
    <t>495350/09-9</t>
  </si>
  <si>
    <t>0569263/12-6</t>
  </si>
  <si>
    <t>Questões técnicas: 1. Estudos  considerados reprovados; 2.PERFIL DE DISSOLUÇÃO INVÁLIDO.
3.DMF com especificações mais atualizadas; 4 .Falta descrição dos testes de dureza, Friabilidade, Desintegração e Peso Médio, estando em desacordo; 5.estudo de estabilidade, o mesmo foi considerado inválido. 6. texto de bula, modelo de embalagem secundária em desacordo.
Data de Publicação do Indeferimento:  23/09/2013
Data do protocolo do Recurso: 02/10/2013
Expediente do Recurso: 0834352137</t>
  </si>
  <si>
    <t>123981/10-3</t>
  </si>
  <si>
    <t>821352/10-6</t>
  </si>
  <si>
    <t>Bioequivalencia com dois lotes de 40mg. Um aprovado e outro reprovado pela cobio. 
Data de Publicação do Indeferimento: 13/01/2014 
Data do protocolo do Recurso: 22/01/2014
Expediente do Recurso: 0055411141</t>
  </si>
  <si>
    <t xml:space="preserve"> Registro do medicamento similar através do expediente nº. 592145/11-7 de 12/07/2011.
* O estudo de bioequivalência deste medicamento foi aprovado conforme parecer COBIO nº 712/2011 de 13/12/2011.
* O modelo de bula não está de acordo com a bula do medicamento de referência, aprovada em 07/11/2013, disponível no portal da Anvisa.
* O modelo de rotulagem está de acordo com a RDC nº 71 de 22 de dezembro de 2009.
* O nome comercial FEMINEO proposto para o medicamento não foi aprovado por utilizar nome assemelhado a outro já registrado na Anvisa (FEMINA).
Dessa forma, o disposto na Resolução RDC N° 333, de 19 de novembro de 2003 não é atendido
Data de Publicação do Indeferimento: 07/04/2014
Data do protocolo do Recurso: 16/04/2014
Expediente do Recurso: 0301474146</t>
  </si>
  <si>
    <t>592145/11-7</t>
  </si>
  <si>
    <t>0757839/13-3</t>
  </si>
  <si>
    <t>Data de Publicação do Indeferimento: 20/10/2014
Data do protocolo do Recurso: 29/10/2014
Expediente do Recurso: 0975060146</t>
  </si>
  <si>
    <t>0494253/12-1</t>
  </si>
  <si>
    <t>443009/11-3</t>
  </si>
  <si>
    <t>0038973/15-1</t>
  </si>
  <si>
    <t>marca: proposta recusada pela Anvisa
01/09/2020 - Protocolado desistência do recurso. Expediente da Desistência: 2959123/20-4</t>
  </si>
  <si>
    <t>técnico: Bioequivalência nº. SPH012/11.
Data de Publicação do Indeferimento: 08/09/2015
Data do protocolo do Recurso: 17/09/2015
Expediente do Recurso: 0839783150</t>
  </si>
  <si>
    <t>técnico de terceiro: Documentações técnicas apresentadas em desacordo com as legislações vigentes. A  empresa apresentou cronograma para o cumprimento de alguns itens da exigência (com
prazo posterior à exigência).
Data de Publicação do Indeferimento: 10/02/2016
Data do protocolo do Recurso: 25/02/2016
Expediente do Recurso: 1305458169</t>
  </si>
  <si>
    <t>30/10/2020</t>
  </si>
  <si>
    <t>23/10/2020</t>
  </si>
  <si>
    <t>Clone: Não está na fila de análise.
 Situação
Distribuído para a área responsável. Encontra-se na GEPRE.D - Desde 20/01/2020
Matriz:
7</t>
  </si>
  <si>
    <t>25351.359515/2020-16</t>
  </si>
  <si>
    <t>10482 - ENSAIOS CLÍNICOS - Anuência em Processo de Pesquisa Clínica - Medicamentos Sintéticos</t>
  </si>
  <si>
    <t>1_Aberto SAT em 01/09/2020 para verficicar previsão de analise do documento. 
2_ Em 09/09/2020 Anvisa informou que o documento seria distribuído para análise até 30/09/2020
3_Recebido Ofício nº 3780952201 de resposta da ANVISA em 03/11/2020</t>
  </si>
  <si>
    <r>
      <rPr>
        <u/>
        <sz val="10"/>
        <rFont val="Calibri"/>
        <family val="2"/>
        <scheme val="minor"/>
      </rPr>
      <t>29/05/2020</t>
    </r>
    <r>
      <rPr>
        <sz val="10"/>
        <rFont val="Calibri"/>
        <family val="2"/>
        <scheme val="minor"/>
      </rPr>
      <t xml:space="preserve">: Situação atual
Distribuído para a área responsável Encontra-se na COINC - Desde: 15/05/2020
</t>
    </r>
    <r>
      <rPr>
        <u/>
        <sz val="10"/>
        <rFont val="Calibri"/>
        <family val="2"/>
        <scheme val="minor"/>
      </rPr>
      <t>09/10/2020</t>
    </r>
    <r>
      <rPr>
        <sz val="10"/>
        <rFont val="Calibri"/>
        <family val="2"/>
        <scheme val="minor"/>
      </rPr>
      <t>: Situação atual Em análise
Encontra-se na COINC -  Desde: 08/10/2020
30/10/2020: Situação atual Concluída análise
Encontra-se na COINC - Desde: 08/10/2020</t>
    </r>
  </si>
  <si>
    <t xml:space="preserve">10 MG COM REV CT BL AL PLAS PVDC TRANS X 10
10 MG COM REV CT BL AL PLAS PVDC TRANS X 30
15 MG COM REV CT BL AL PLAS PVDC TRANS X 10 
15 MG COM REV CT BL AL PLAS PVDC TRANS X 15
15 MG COM REV CT BL AL PLAS PVDC TRANS X 30
20 MG COM REV CT BL AL PLAS PVDC TRANS X 10
20 MG COM REV CT BL AL PLAS PVDC TRANS X 15
20 MG COM REV CT BL AL PLAS PVDC TRANS X 30
</t>
  </si>
  <si>
    <t>VABAM (Cosmed)</t>
  </si>
  <si>
    <t>06/11/2020</t>
  </si>
  <si>
    <t>Matriz sem registro ativo - ver situação matriz.
Situação Clone: 
36</t>
  </si>
  <si>
    <r>
      <t xml:space="preserve">CALMINEX® </t>
    </r>
    <r>
      <rPr>
        <b/>
        <strike/>
        <sz val="10"/>
        <rFont val="Calibri"/>
        <family val="2"/>
        <scheme val="minor"/>
      </rPr>
      <t>ATLETA</t>
    </r>
    <r>
      <rPr>
        <b/>
        <sz val="10"/>
        <rFont val="Calibri"/>
        <family val="2"/>
        <scheme val="minor"/>
      </rPr>
      <t xml:space="preserve">
DICLO
</t>
    </r>
    <r>
      <rPr>
        <sz val="10"/>
        <rFont val="Calibri"/>
        <family val="2"/>
        <scheme val="minor"/>
      </rPr>
      <t>Genérico (Brainfarma)</t>
    </r>
  </si>
  <si>
    <t>25351.414830/2020-13</t>
  </si>
  <si>
    <t xml:space="preserve">dipirona monoidratada </t>
  </si>
  <si>
    <t>10928 - Consulta GRMED - Bioisenção em razão da forma farmacêutica</t>
  </si>
  <si>
    <t xml:space="preserve">3944905/20-0
</t>
  </si>
  <si>
    <t>13/11/2020</t>
  </si>
  <si>
    <t>Clone: Não está na fila de análise.
 Situação
Distribuído para a área responsável. Encontra-se na
GEPRE.D -  Desde: 21/01/2020
Matriz:
7</t>
  </si>
  <si>
    <t>Matriz sem registro ativo - ver situação matriz.
Situação Clone: 
38</t>
  </si>
  <si>
    <t xml:space="preserve">Etoricoxibe </t>
  </si>
  <si>
    <t>60 mg e 90 mg</t>
  </si>
  <si>
    <t>60 MG COM REV CT BL AL AL X 1
60 MG COM REV CT BL AL AL X 2
60 MG COM REV CT BL AL AL X 3
60 MG COM REV CT BL AL AL X 5
60 MG COM REV CT BL AL AL X 7
60 MG COM REV CT BL AL AL X 14
90 MG COM REV CT BL AL AL X 1
90 MG COM REV CT BL AL AL X 2
90 MG COM REV CT BL AL AL X 3
90 MG COM REV CT BL AL AL X 5
90 MG COM REV CT BL AL AL X 7
90 MG COM REV CT BL AL AL X 14</t>
  </si>
  <si>
    <r>
      <rPr>
        <b/>
        <sz val="10"/>
        <rFont val="Arial"/>
        <family val="2"/>
      </rPr>
      <t>CASTELAIR</t>
    </r>
    <r>
      <rPr>
        <sz val="10"/>
        <rFont val="Arial"/>
        <family val="2"/>
      </rPr>
      <t xml:space="preserve">
(Matriz Ashmacare Medis)</t>
    </r>
  </si>
  <si>
    <t>Expediente 1: Produto clone
Expediente 2:  Situação Desistência
Clone de Pós Registro.
1_Aguardando avaliação do processo matriz.
2_Recebido em 20/04/2020 o comprovante de procolo: 25352.044857/2020-24, expediente: 1212206208. Assunto: Desistência de petição/processo a pedido</t>
  </si>
  <si>
    <t xml:space="preserve">25351.429947/2020-00
</t>
  </si>
  <si>
    <t>25351.456728/2020-95</t>
  </si>
  <si>
    <t>Junho/22</t>
  </si>
  <si>
    <t>Abril/22</t>
  </si>
  <si>
    <t xml:space="preserve">Hetero labs limited </t>
  </si>
  <si>
    <t>Matriz sem registro ativo - ver situação matriz.
Situação Clone: 
40</t>
  </si>
  <si>
    <t>1_Aditamento realizado em 10/09/2020, Expediente: 3073559209. Aditamento para apresentação de novos layouts de embalagem contendo o claim “nova fórmula”, conforme solicitado pela ANVISA em reunião, via videoconferência, no dia 03/09/2020
2_Exigência Nº: 3220294/20-6,  recebida em 22/09/2020, Assunto:  Registro de Produto - CLONE
3_ Reunião com a ANVISA em 08/outubro/20 para alinhamento do cumprimento de exigência
4_Cumprimento da exigência em 10/11/2020, sob o expediente 3943872203, assunto:  Registro de Produto - CLONE_CALMINEX® DICLO</t>
  </si>
  <si>
    <t>4140971/20-0</t>
  </si>
  <si>
    <t>19/11/2020</t>
  </si>
  <si>
    <t>27/11/2020</t>
  </si>
  <si>
    <r>
      <t xml:space="preserve">Rivaroxabana
</t>
    </r>
    <r>
      <rPr>
        <sz val="10"/>
        <rFont val="Arial"/>
        <family val="2"/>
      </rPr>
      <t>(Vabam - Cosmed)</t>
    </r>
  </si>
  <si>
    <r>
      <t xml:space="preserve">CALMINEX® DICLO
</t>
    </r>
    <r>
      <rPr>
        <sz val="10"/>
        <rFont val="Calibri"/>
        <family val="2"/>
        <scheme val="minor"/>
      </rPr>
      <t>Genérico (Brainfarma)</t>
    </r>
  </si>
  <si>
    <t>PP
NOUR
FERNANDA GRANDIS</t>
  </si>
  <si>
    <t>ID PROJECT</t>
  </si>
  <si>
    <t>0520950/19-1</t>
  </si>
  <si>
    <t>Situação atual
Em exigência
Encontra-se na
ARQVO - 
Desde: 09/09/2020</t>
  </si>
  <si>
    <r>
      <t xml:space="preserve">1_Aditamento para a CRMEC de bula, rotulagem e nome comercial protocolado em 16/05/2019 sob expediente 0435634199.
2_Aditamento de estudo de biodisponibilidade relativa ou Bioisenção protocolado em 09/05/2019 sob expediente 0419592192.
3_Aditamento à solicitação de registro (FIDR) protocolado em 17/05/2019 sob expediente 0440192191.
4_ Publicado em 06/04/2020 pela RE Nº 950/2020 a prorrogação do prazo de análise para 122 dias. 
5_conforme reunião realizada com BD em 18/maio/2020, foi definido cancelar esse processo
6_Exigência 2277356/20-8, recebida em 20/07/2020, expediente: 0389663/19-3. Assunto: aditamento da parte fechada do DMF, à semelhança do expediente 0187838/18-7 (documento submetido por terceiro).
7_Cumprida a exigência exp. 2277356208 em 04/09/2020, sob o expediente 3002618209. Assunto: aditamento da parte fechada do DMF
</t>
    </r>
    <r>
      <rPr>
        <b/>
        <sz val="10"/>
        <rFont val="Calibri"/>
        <family val="2"/>
        <scheme val="minor"/>
      </rPr>
      <t>8_ Sinalizado para ANVISA que este processo é igual ao já aprovado da Althaia - análise será otimizada</t>
    </r>
  </si>
  <si>
    <t xml:space="preserve">Ezetimiba + sinvastatina </t>
  </si>
  <si>
    <t>10/10mg;10/20mg;10/40mg</t>
  </si>
  <si>
    <t>25351.576004/2020-67</t>
  </si>
  <si>
    <t>04/12/2020</t>
  </si>
  <si>
    <t>Matriz sem registro ativo - ver situação matriz.
Situação Clone: 
20</t>
  </si>
  <si>
    <t>1_Aditamento realizado em 17/11/2020, sob expediente: 4045955/20-1, assunto: Formulário de Informações Relativas à Documentação de Registro (FIDR)
2_Aditamento realizado em 17/11/2020 sob expediente: 4051294201, assunto: 11630 - GENÉRICO - Estudo de biodisponibilidade relativa
3_Aditamento realizado em 19/11/2020, sob o expediente: 4083858207 - assunto: Documentação para análise de bula, dizeres de rotulagem e nome comercial
4_Aditamento em 04/12/2020 sob expediente: 4285793202 Assunto: 11798 – GGMED – Autorização de aditamento por terceiro</t>
  </si>
  <si>
    <t>Sulfato de hidroxicloroquina</t>
  </si>
  <si>
    <t>400 MG COM REV CT BL AL PLAS ACLAR OPC X 30</t>
  </si>
  <si>
    <t xml:space="preserve">
 matriz nitazoxanida Althaia 25351.477115/2020-91
1_Protocolada a desistência: 3882283/20-1 em 05/11/2020, visto que o medicamento matriz, processo nº 25351477115202091,  nitazoxanida da Althaia, solicitou desistência da petição.</t>
  </si>
  <si>
    <t xml:space="preserve">  matriz nitazoxanida Althaia 25351.477115/2020-91
1_Protocolada a desistência: 3882096/20-0 em 05/11/2020, visto que o medicamento matriz, processo nº 25351477115202091,  nitazoxanida da Althaia, solicitou desistência da petição.</t>
  </si>
  <si>
    <t>25351.609994/2020-27</t>
  </si>
  <si>
    <t>10MG+10MG COM CT BL AL AL x 14
10MG+20MG COM CT BL AL AL x 14
10MG+10MG COM CT BL AL AL x 30
10MG+20MG COM CT BL AL AL x 30
10MG+40MG COM CT BL AL AL x 30</t>
  </si>
  <si>
    <t>Reiteração</t>
  </si>
  <si>
    <t>4259802/20-8</t>
  </si>
  <si>
    <t>Previsão de Entrada em Análise
nov/20 (i-helps)</t>
  </si>
  <si>
    <t>Previsão de Publicação nov/20 (i-helps)</t>
  </si>
  <si>
    <t>*prazos podem ser conferidos em G:\Assuntos Regulatórios Medicamentos\_IR Medicamentos\Anvisa_DOU\Prazos de Análise</t>
  </si>
  <si>
    <t>Maio/22</t>
  </si>
  <si>
    <t xml:space="preserve">10/10mg;10/20mg;10/40mg </t>
  </si>
  <si>
    <t xml:space="preserve">25351.576004/2020-67 </t>
  </si>
  <si>
    <t>Genérico (brainfarma)</t>
  </si>
  <si>
    <t>11/12/2020</t>
  </si>
  <si>
    <t>1ª opção: Coledue S; 2ª opção: Coledue Sin. 3ª opção: Coledue Sinv</t>
  </si>
  <si>
    <r>
      <t xml:space="preserve">Coledue S
</t>
    </r>
    <r>
      <rPr>
        <sz val="10"/>
        <rFont val="Calibri"/>
        <family val="2"/>
        <scheme val="minor"/>
      </rPr>
      <t>Genérico(Brainfarma)</t>
    </r>
    <r>
      <rPr>
        <b/>
        <sz val="10"/>
        <rFont val="Calibri"/>
        <family val="2"/>
        <scheme val="minor"/>
      </rPr>
      <t xml:space="preserve">
</t>
    </r>
  </si>
  <si>
    <t>Clone: Não está na fila de análise
Matriz sem registro ativo - ver situação matriz.
Situação Clone: 
Aguardando análise do medicamento matriz
Encontra-se na
CBRES - 
Enc.: 07/12/2020</t>
  </si>
  <si>
    <r>
      <rPr>
        <b/>
        <sz val="10"/>
        <rFont val="Calibri"/>
        <family val="2"/>
        <scheme val="minor"/>
      </rPr>
      <t>ESTOMADEFENS</t>
    </r>
    <r>
      <rPr>
        <sz val="10"/>
        <rFont val="Calibri"/>
        <family val="2"/>
        <scheme val="minor"/>
      </rPr>
      <t xml:space="preserve">
Genérico (Brainfarma)</t>
    </r>
  </si>
  <si>
    <t>20 MG CAP DURA LIB RETARD CT FR PLAS OPC X 7
20 MG CAP DURA LIB RETARD CT FR PLAS OPC X 14
20 MG CAP DURA LIB RETARD CT FR PLAS OPC X 28
20 MG CAP DURA LIB RETARD CT BL AL PLAS TRANS X 7
20 MG CAP DURA LIB RETARD CT BL AL PLAS TRANS X 14
20 MG CAP DURA LIB RETARD CT BL AL PLAS TRANS X 28
20 MG CAP DURA LIB RETARD CT BL AL PLAS TRANS X 56
20 MG CAP DURA LIB RETARD CX FR PLAS OPC X 490
20 MG CAP DURA LIB RETARD CX BL AL PLAS TRANS X 112
20 MG CAP DURA LIB RETARD CX BL AL PLAS TRANS X 490</t>
  </si>
  <si>
    <t>1_ Publicação mediante deferimento do reenquadramento dos inibidores da bomba de prótons como MIP (Switch IBPs) Medicamento matriz: Genérico Brainfarma (processo n. 25351.622464/2010-38) 
2_Ofício nº 3251503201, recebido em 24/09/2020, Assunto: Solicitação de aditamento
3_Realizado Aditamento em resposta ao oficio nº 3251503201 em 24/09/2020. Sob o Expediente:
3266088200
4_ Exigência Nº: 3380963/20-1, recebido em 05/10/2020, assunto: Registro de Produto - CLONE
5_Cumprimento de exigência em 06/11/2020, sob o expediente: 3896581201,  referente a petição 10490 - SIMILAR - Registro de Produto - CLONE. 
6_SAT (2020419681) realizado em 03/12/2020 questionando a avaliação do cumprimento de exigência referente a petição 10490 - SIMILAR - Registro de Produto - CLONE em 06/11/2020 sob o expediente nº 3896581201
Processo matriz nº 25351.622464/2010-38, Genérico Brainfarma</t>
  </si>
  <si>
    <t xml:space="preserve">besilato de levanlodipino hemipentaidratado </t>
  </si>
  <si>
    <t xml:space="preserve">Fabricante principal: Glochem Industries Private Limited. (Survey Nos. 174 to 176, IDA Bollaram, Sangareddy District - 502 325 Telangana State, INDIA)
Fabricante inclusão: Prudence Pharma Chem (Plot No 7407, Behind Lyka Labs,GIDC Ind. Estate, Ankleshwar – 393 002. Dist. Bharuch, Gujarat, INDIA)
</t>
  </si>
  <si>
    <t>2,5 e 5mg</t>
  </si>
  <si>
    <t>2,5 MG COM CT BL AL PLAS TRISTAR OPC X 5
2,5 MG COM CT BL AL PLAS TRISTAR OPC X 10
2,5 MG COM CT BL AL PLAS TRISTAR OPC X 30
2,5 MG COM CT BL AL PLAS TRISTAR OPC X 60
5 MG COM CT BL AL PLAS TRISTAR OPC X 5
5 MG COM CT BL AL PLAS TRISTAR OPC X 10
5 MG COM CT BL AL PLAS TRISTAR OPC X 30
5 MG COM CT BL AL PLAS TRISTAR OPC X 60</t>
  </si>
  <si>
    <t>Agosto/22</t>
  </si>
  <si>
    <t xml:space="preserve">25351.664347/2020-88
</t>
  </si>
  <si>
    <t xml:space="preserve">dipirona monoidratada  + mucato de isometepteno + cafeína </t>
  </si>
  <si>
    <t xml:space="preserve">Princípio Ativo: Dipirona monoidratada
Fabricante: Wuhan Wuyao Pharmaceutical Co., Ltd.
Endereço: No.18 Wangfen Road, Fuchi Town, Yangxin County,Huangshi City,Hubei Province, China – 435 229
Princípio Ativo: Cafeína
Fabricante: CSPC Innovation Pharmaceutical CO., LTD
Endereço: No.36 Fuqiang Western Road Luancheng County Shijiazhuang City Hebei Province China
Princípio Ativo: Mucato de Isometepteno
Fabricante: Nortec Química S.A.
Endereço: Rua Dezessete, no 200 – A B C D - Distrito Industrial - Mantiquira, Duque de Caxias, CEP: 25250-612, Rio de Janeiro, Brasil
</t>
  </si>
  <si>
    <t xml:space="preserve">etoricoxibe </t>
  </si>
  <si>
    <t xml:space="preserve">25351.456728/2020-95  </t>
  </si>
  <si>
    <r>
      <t xml:space="preserve">ECOXE
</t>
    </r>
    <r>
      <rPr>
        <sz val="10"/>
        <rFont val="Calibri"/>
        <family val="2"/>
        <scheme val="minor"/>
      </rPr>
      <t>Genérico(Brainfarma)</t>
    </r>
  </si>
  <si>
    <t>4028372/20-1</t>
  </si>
  <si>
    <t xml:space="preserve">1_Opções de nomes comerciais: 1ª opção: ECOXE; 2ª opção: ECIBE; 3ª opção: EXIBES
</t>
  </si>
  <si>
    <t>MSN Laboratories Private Limited</t>
  </si>
  <si>
    <t>Wuhan Wuyao pharmaceutical Co., Ltd.
Registered address: No. 160 Building 1 floor 23 No.1-6 Qiaokou
Road, Qiaokou District, Wuhan, Hubei</t>
  </si>
  <si>
    <t>300 MG + 30 MG + 30 MG COM REV CT BL AL PLAS ACLAR TRANS X 20
300 MG + 30 MG + 30 MG COM REV CT BL AL PLAS ACLAR TRANS X 30
300 MG + 30 MG + 30 MG COM REV CT BL AL PLAS ACLAR TRANS X 100
300 MG + 30 MG + 30 MG COM REV CT BL AL PLAS ACLAR TRANS X 200
300 MG + 30 MG + 30 MG COM REV CT BL AL AL X 20
300 MG + 30 MG + 30 MG COM REV CT BL AL AL X 30
300 MG + 30 MG + 30 MG COM REV CT BL AL AL X 100
300 MG + 30 MG + 30 MG COM REV CT BL AL AL X 200</t>
  </si>
  <si>
    <t xml:space="preserve">Besilato de levanlodipino hemipentaidratado </t>
  </si>
  <si>
    <t xml:space="preserve">Dipirona monoidratada + mucato de isometepteno + cafeína </t>
  </si>
  <si>
    <t xml:space="preserve">25351.683005/2020-67
</t>
  </si>
  <si>
    <t>70512 - MEDICAMENTOS – RENOVAÇÃO (Certificação de BPF) de INDÚSTRIA INTERNACIONAL de SÓLIDOS NÃO ESTÉREIS, exceto MERCOSUL</t>
  </si>
  <si>
    <t>RENOVAÇÃO
CBPF INTERNACIONAL</t>
  </si>
  <si>
    <t>EMPRESAS</t>
  </si>
  <si>
    <t>RENOVAÇÃO
CBPF INTERNACIONAL DE MEDICAMENTOS</t>
  </si>
  <si>
    <t xml:space="preserve">cloridrato de duloxetina </t>
  </si>
  <si>
    <t xml:space="preserve">cápsula dura de liberação retardada </t>
  </si>
  <si>
    <t xml:space="preserve">30 MG CAP DURA LIB RETARD CT BL AL AL X 10
30 MG CAP DURA LIB RETARD CT BL AL AL X 30
30 MG CAP DURA LIB RETARD CT BL AL AL X 60
60 MG CAP DURA LIB RETARD CT BL AL AL X 10
60 MG CAP DURA LIB RETARD CT BL AL AL X 30
60 MG CAP DURA LIB RETARD CT BL AL AL X 60
</t>
  </si>
  <si>
    <t>30 e 60mg</t>
  </si>
  <si>
    <t>Fabricante: Nosch Labs Private Limited</t>
  </si>
  <si>
    <t xml:space="preserve">25351.688251/2020-13
</t>
  </si>
  <si>
    <t xml:space="preserve">citalopram </t>
  </si>
  <si>
    <t xml:space="preserve">25351.070166/2005-57 </t>
  </si>
  <si>
    <t xml:space="preserve">cloridrato de paroxetina </t>
  </si>
  <si>
    <t>20 MG COM REV CT BL AL PLAS TRANS X 30
20 MG COM REV CT BL AL PLAS TRANS X 100
20 MG COM REV CT BL AL PLAS TRANS X 200
20 MG COM REV CT BL AL PLAS TRANS X 500</t>
  </si>
  <si>
    <t>25351.228995/2004-54</t>
  </si>
  <si>
    <t xml:space="preserve">topiramato </t>
  </si>
  <si>
    <t xml:space="preserve">25 MG COM REV CT BL AL/AL X 60
50 MG COM REV CT BL AL/AL X 60
100 MG COM REV CT BL AL/AL X 60
</t>
  </si>
  <si>
    <t>25351.332905/2008-52</t>
  </si>
  <si>
    <t xml:space="preserve">montelucaste de sódio </t>
  </si>
  <si>
    <t xml:space="preserve">10 MG COM REV CT BL AL AL X 10
10 MG COM REV CT BL AL AL X 30
</t>
  </si>
  <si>
    <t>25351.723983/2009-98</t>
  </si>
  <si>
    <t>25mg e 100mg</t>
  </si>
  <si>
    <t xml:space="preserve">25 MG COM REV CT BL AL PLAS PVC/PVDC TRANS X 15
25 MG COM REV CT BL AL PLAS PVC/PVDC TRANS X 30
25 MG COM REV CT BL AL PLAS PVC/PVDC TRANS X 10
25 MG COM REV CT BL AL PLAS PVC/PVDC TRANS X 20
100 MG COM REV CT BL AL PLAS PVC/PVDC TRANS X 10
100 MG COM REV CT BL AL PLAS PVC/PVDC TRANS X 15
100 MG COM REV CT BL AL PLAS PVC/PVDC TRANS X 20
100 MG COM REV CT BL AL PLAS PVC/PVDC TRANS X 30
</t>
  </si>
  <si>
    <t xml:space="preserve">25351.378106/2012-93
</t>
  </si>
  <si>
    <t>18/12/2020</t>
  </si>
  <si>
    <t xml:space="preserve">Expediente 1: Produto clone
Expediente 2:  matriz (genérico - Althaia)
1_Clone saiu da fila em 06/09/2019 na posição 22.
2_Matriz publicada em DOU de 05/10/2020 (RESOLUÇÃO-RE Nº 3.972, DE 1º DE OUTUBRO DE 2020)
3_ Clone retorno para fila em 06/10/20 na posição 2
Genérico (Althaia) - 25351.223414/2016-01 
MATRIZ DEFERIDO em 05/10/2020
Expectativa clone: Dezembro/20 Janeiro/21
</t>
  </si>
  <si>
    <t>1_Protocolado em 18/12/2020,  sob o expediente: 4479941201, assunto: Formulário de informações relativas à documentação de registro (FIDR) ou Parecer de Análise Técnica da Empresa (PATE)
2_Realizado o aditamento de Bula &amp; Rotulagem em 18/12/2020, sob o expediente: 4484729207</t>
  </si>
  <si>
    <t xml:space="preserve">25351.688307/2020-21
</t>
  </si>
  <si>
    <t xml:space="preserve">25351.688309/2020-11
</t>
  </si>
  <si>
    <t xml:space="preserve">25351.688310/2020-45
</t>
  </si>
  <si>
    <t xml:space="preserve">25351.688308/2020-76
</t>
  </si>
  <si>
    <t xml:space="preserve">25351.688306/2020-87
</t>
  </si>
  <si>
    <t>RINOSORO SIC 3%</t>
  </si>
  <si>
    <t>CLORETO DE SÓDIO</t>
  </si>
  <si>
    <t xml:space="preserve">30 MG/ML </t>
  </si>
  <si>
    <t>SOLUÇÃO SPRAY</t>
  </si>
  <si>
    <t xml:space="preserve">Tatiane dos Neves Santos </t>
  </si>
  <si>
    <r>
      <t xml:space="preserve">Topiramato
</t>
    </r>
    <r>
      <rPr>
        <sz val="10"/>
        <rFont val="Calibri"/>
        <family val="2"/>
        <scheme val="minor"/>
      </rPr>
      <t>Genérico (Zydus)</t>
    </r>
  </si>
  <si>
    <r>
      <t xml:space="preserve">Montelucaste de sódio
</t>
    </r>
    <r>
      <rPr>
        <sz val="10"/>
        <rFont val="Calibri"/>
        <family val="2"/>
        <scheme val="minor"/>
      </rPr>
      <t>Genérico (Zydus)</t>
    </r>
  </si>
  <si>
    <r>
      <t xml:space="preserve">Cloridrato de paroxetina
</t>
    </r>
    <r>
      <rPr>
        <sz val="10"/>
        <rFont val="Calibri"/>
        <family val="2"/>
        <scheme val="minor"/>
      </rPr>
      <t>Genérico (Zydus)</t>
    </r>
  </si>
  <si>
    <r>
      <t xml:space="preserve">Citalopram
</t>
    </r>
    <r>
      <rPr>
        <sz val="10"/>
        <rFont val="Calibri"/>
        <family val="2"/>
        <scheme val="minor"/>
      </rPr>
      <t>Genérico (Zydus)</t>
    </r>
  </si>
  <si>
    <t xml:space="preserve">Cloridrato de duloxetina </t>
  </si>
  <si>
    <t>25351.687705/2020-21</t>
  </si>
  <si>
    <r>
      <t xml:space="preserve">PRELAVID </t>
    </r>
    <r>
      <rPr>
        <b/>
        <strike/>
        <sz val="10"/>
        <rFont val="Calibri"/>
        <family val="2"/>
        <scheme val="minor"/>
      </rPr>
      <t xml:space="preserve">
GABLIX</t>
    </r>
    <r>
      <rPr>
        <b/>
        <sz val="10"/>
        <rFont val="Calibri"/>
        <family val="2"/>
        <scheme val="minor"/>
      </rPr>
      <t xml:space="preserve">
</t>
    </r>
    <r>
      <rPr>
        <sz val="10"/>
        <rFont val="Calibri"/>
        <family val="2"/>
        <scheme val="minor"/>
      </rPr>
      <t>(pregabalina - Althaia)</t>
    </r>
  </si>
  <si>
    <t>sim</t>
  </si>
  <si>
    <t xml:space="preserve">besilato de anlodipino </t>
  </si>
  <si>
    <t>5 MG COM CT BL AL PLAS PVC AMB X 30
5 MG COM CX BL AL PLAS PVC AMB X 240
10 MG COM CT BL AL PLAS PVC AMB X 30
10 MG COM CX BL AL PLAS PVC AMB X 240</t>
  </si>
  <si>
    <t xml:space="preserve">25351.534857/2011-18 </t>
  </si>
  <si>
    <t>Genérico (Zydus)</t>
  </si>
  <si>
    <t>1_Protocolado em 04/01/2021 sob expediente:0036158215 Assunto: 11630 - GENÉRICO - Estudo de biodisponibilidade relativa
2_Protocolado em 04/01/2021 sob expediente: 0037654210, assunto: 11627 - GENÉRICO – Formulário de informações relativas à documentação de registro (FIDR) ou Parecer de Análise Técnica da Empresa (PATE).
3_Protocolado em 05/01/2021 o aditamento de Bula e Rotulagem sob o expediente: 0051828210</t>
  </si>
  <si>
    <t>08/01/2021</t>
  </si>
  <si>
    <t>2207589/19-5</t>
  </si>
  <si>
    <t>Clone: Não está na fila de análise
Situação atual:
Aguardando análise do medicamento matriz
Encontra-se na
CBRES - 
Desde: 22/12/2020</t>
  </si>
  <si>
    <t>25351.751635/2020-71</t>
  </si>
  <si>
    <t>4609651/20-5</t>
  </si>
  <si>
    <t>Julho/22</t>
  </si>
  <si>
    <t>Março/21</t>
  </si>
  <si>
    <t>Abril/21</t>
  </si>
  <si>
    <t>25351848724/2021-11</t>
  </si>
  <si>
    <t>1_Exigência Nº: 3142542/20-9, recebida em 17/09/2020, Assunto:  10820 - ENSAIOS CLÍNICOS - Modificação de DDCM - Alteração que potencialmente gera impacto na qualidade ou segurança do produto sob investigação.
2_Exigência cumprida em 14/01/2021, sob o expediente: 0182753212. Assunto: Referente ao 10820 - ENSAIOS CLÍNICOS - Modificação de DDCM - Alteração que potencialmente gera impacto na qualidade ou segurança do produto sob investigação. Obs.: Alteração da forma farmacêutica de suspensão sublingual para gel sublingual.</t>
  </si>
  <si>
    <r>
      <rPr>
        <b/>
        <sz val="10"/>
        <rFont val="Arial"/>
        <family val="2"/>
      </rPr>
      <t>Persur</t>
    </r>
    <r>
      <rPr>
        <sz val="10"/>
        <rFont val="Arial"/>
        <family val="2"/>
      </rPr>
      <t xml:space="preserve">
Genérico (Brainfarma)</t>
    </r>
  </si>
  <si>
    <t xml:space="preserve">25351.664347/2020-88 </t>
  </si>
  <si>
    <t>15/01/2021</t>
  </si>
  <si>
    <t>30mg e 60mg</t>
  </si>
  <si>
    <t>30 MG CAP DURA LIB RETARD CT BL AL AL X 10
30 MG CAP DURA LIB RETARD CT BL AL AL X 30
30 MG CAP DURA LIB RETARD CT BL AL AL X 60
60 MG CAP DURA LIB RETARD CT BL AL AL X 10
60 MG CAP DURA LIB RETARD CT BL AL AL X 30
60 MG CAP DURA LIB RETARD CT BL AL AL X 60</t>
  </si>
  <si>
    <t xml:space="preserve">25351.687705/2020-21 </t>
  </si>
  <si>
    <r>
      <t xml:space="preserve">DUXEN
</t>
    </r>
    <r>
      <rPr>
        <sz val="10"/>
        <rFont val="Arial"/>
        <family val="2"/>
      </rPr>
      <t>Genérico (Brainfarma)</t>
    </r>
  </si>
  <si>
    <t xml:space="preserve">300mg + 30mg + 30mg </t>
  </si>
  <si>
    <t xml:space="preserve">300 MG + 30 MG + 30 MG COM REV CT BL AL PLAS ACLAR TRANS X 20
300 MG + 30 MG + 30 MG COM REV CT BL AL PLAS ACLAR TRANS X 30
300 MG + 30 MG + 30 MG COM REV CT BL AL PLAS ACLAR TRANS X 100
300 MG + 30 MG + 30 MG COM REV CT BL AL PLAS ACLAR TRANS X 200
300 MG + 30 MG + 30 MG COM REV CT BL AL AL X 20
300 MG + 30 MG + 30 MG COM REV CT BL AL AL X 30
300 MG + 30 MG + 30 MG COM REV CT BL AL AL X 100
300 MG + 30 MG + 30 MG COM REV CT BL AL AL X 200
</t>
  </si>
  <si>
    <r>
      <t xml:space="preserve">Doralgina
</t>
    </r>
    <r>
      <rPr>
        <sz val="10"/>
        <rFont val="Arial"/>
        <family val="2"/>
      </rPr>
      <t>Genérico (Brainfarma)</t>
    </r>
  </si>
  <si>
    <t>25351.683005/2020-67</t>
  </si>
  <si>
    <t>APRESENTAÇÕES
2,5 MG COM CT BL AL PLAS TRISTAR OPC X 5
2,5 MG COM CT BL AL PLAS TRISTAR OPC X 10
2,5 MG COM CT BL AL PLAS TRISTAR OPC X 30
2,5 MG COM CT BL AL PLAS TRISTAR OPC X 60
5 MG COM CT BL AL PLAS TRISTAR OPC X 5
5 MG COM CT BL AL PLAS TRISTAR OPC X 10
5 MG COM CT BL AL PLAS TRISTAR OPC X 30
5 MG COM CT BL AL PLAS TRISTAR OPC X 60</t>
  </si>
  <si>
    <t>10 MG + 5 MG COM REV CT BL AL PLAS TRANS X 7
10 MG + 5 MG COM REV CT BL AL PLAS TRANS X 30
10 MG + 10 MG COM REV CT BL AL PLAS TRANS X 7
10 MG + 10 MG COM REV CT BL AL PLAS TRANS X 30
10 MG + 15 MG COM REV CT BL AL PLAS TRANS X 7
10 MG + 15 MG COM REV CT BL AL PLAS TRANS X 30
10 MG + 20 MG COM REV CT BL AL PLAS TRANS X 7
10 MG + 20 MG COM REV CT BL AL PLAS TRANS X 30</t>
  </si>
  <si>
    <t>22/01/2021</t>
  </si>
  <si>
    <r>
      <rPr>
        <u/>
        <sz val="10"/>
        <rFont val="Calibri"/>
        <family val="2"/>
        <scheme val="minor"/>
      </rPr>
      <t>13/11/2020</t>
    </r>
    <r>
      <rPr>
        <sz val="10"/>
        <rFont val="Calibri"/>
        <family val="2"/>
        <scheme val="minor"/>
      </rPr>
      <t xml:space="preserve">: Situação atual
Aguardando análise
Encontra-se na
GQMED -  Desde: 10/11/2020
</t>
    </r>
    <r>
      <rPr>
        <u/>
        <sz val="10"/>
        <rFont val="Calibri"/>
        <family val="2"/>
        <scheme val="minor"/>
      </rPr>
      <t xml:space="preserve">22/01/2021: </t>
    </r>
    <r>
      <rPr>
        <sz val="10"/>
        <rFont val="Calibri"/>
        <family val="2"/>
        <scheme val="minor"/>
      </rPr>
      <t>Não anuído
Encontra-se na GQMED - Desde: 19/01/2021</t>
    </r>
  </si>
  <si>
    <t>4480114/20-9</t>
  </si>
  <si>
    <t>4480108/20-4</t>
  </si>
  <si>
    <t>4480120/20-3</t>
  </si>
  <si>
    <t>4480117/20-3</t>
  </si>
  <si>
    <t>4480111/20-4</t>
  </si>
  <si>
    <t xml:space="preserve">25351.963094/2020-22 </t>
  </si>
  <si>
    <t>Buscofem</t>
  </si>
  <si>
    <t xml:space="preserve">200MG/ML SUS GOT CT FR GOT PLAS OPC X 10ML
200MG/ML SUS GOT CT FR GOT PLAS OPCX 20 ML
</t>
  </si>
  <si>
    <t xml:space="preserve">200mg/ml </t>
  </si>
  <si>
    <t xml:space="preserve">cefuroxima sódica </t>
  </si>
  <si>
    <t xml:space="preserve">750 MG PÓ SOL INJ CT 25 FA VD TRANS
750 MG PÓ SOL INJ CT FA VD TRANS + 1 AMP DIL VD TRANS X 6 ML
750 MG PÓ SOL INJ CT 25 FA VD TRANS + 25 AMP DIL VD TRANS X 6 ML
750 MG PÓ SOL INJ CT FA VD TRANS
750 MG PÓ SOL INJ CT 50 FA VD TRANS
</t>
  </si>
  <si>
    <t>750mg</t>
  </si>
  <si>
    <t>25351.016252/2004-33</t>
  </si>
  <si>
    <t>Genérico
(Aurobindo)</t>
  </si>
  <si>
    <t>Recebido Oficio nº 0245662211 em 25/01/2021 Assunto: Não anuência de bioisenção</t>
  </si>
  <si>
    <t xml:space="preserve">cloridrato de cefepima </t>
  </si>
  <si>
    <r>
      <rPr>
        <b/>
        <sz val="10"/>
        <rFont val="Arial"/>
        <family val="2"/>
      </rPr>
      <t xml:space="preserve">Cloridrato de Cefepima </t>
    </r>
    <r>
      <rPr>
        <sz val="10"/>
        <rFont val="Arial"/>
        <family val="2"/>
      </rPr>
      <t xml:space="preserve">
Genérico (Aurobindo)</t>
    </r>
  </si>
  <si>
    <t xml:space="preserve">1 G PO P/ SOL INJ CT 25 FA VD TRANS
1 G PO P/ SOL INJ CT FA VD TRANS X DIL AMP VD TRANS X 3 ML
1 G PO P/ SOL INJ CT 25 FA VD TRANS + 25 DIL AMP VD TRANS X 3ML
1 G PO P/ SOL INJ CT FA VD TRANS
1 G PO SOL INJ CT FA VD TRANS + BOLS PLAS TRANS SIST FECH X 100 ML
1 G PO SOL INJ CT 10 FA VD TRANS + 10 BOLS PLAS TRANS SIST FECH X 100 ML
1 G PO P/ SOL INJ CT 10 FA VD TRANS
1 G PO P/ SOL INJ CT 50 FA VD TRANS
2 G PO P/ SOL INJ CT FA VD TRANS
2 G PO SOL INJ CT FA VD TRANS + BOLS PLAS TRANS SIST FECH X 100 ML
2 G PO SOL INJ CT 10 FA VD TRANS + 10 BOLS PLAS TRANS SIST FECH X 100 ML
2 G PO P/ SOL INJ CT 10 FA VD TRANS
2 G PO P/ SOL INJ CT 25 FA VD TRANS
2 G PO P/ SOL INJ CT 50 FA VD TRANS
</t>
  </si>
  <si>
    <t>1g e 2g</t>
  </si>
  <si>
    <t>25351.120840/2004-71</t>
  </si>
  <si>
    <t>meropenem</t>
  </si>
  <si>
    <r>
      <t>Meropenem</t>
    </r>
    <r>
      <rPr>
        <sz val="10"/>
        <rFont val="Arial"/>
        <family val="2"/>
      </rPr>
      <t xml:space="preserve">
Genérico (Aurobindo)</t>
    </r>
  </si>
  <si>
    <t xml:space="preserve">1 G PO SOL INJ CT 01 FA VD TRANS X 20 ML
1 G PO SOL INJ CT 10 FA VD TRANS X 20 ML
1 G PO SOL INJ CT 01 FA VD TRANS X 20 ML + 01 BOLS PLAS TRANS SIST FECH X 100 ML
1 G PO SOL INJ CT 10 FA VD TRANS X 20 ML +10 BOLS PLAS TRANS SIST FECH X 100 ML
500 MG PO SOL INJ CT 01 FA VD TRANS X 15 ML
500 MG PO SOL INJ CT 10 FA VD TRANS X 15 ML
500 MG PO SOL INJ CT 01 FA VD TRANS X 15ML + AMP PLAS TRANS X 10 ML
500 MG PO SOL INJ CT 01 FA VD TRANS X 15 ML + 01 BOLS PLAS TRANS SIST FECH X 100 ML
500 MG PO SOL INJ CT 10 FA VD TRANS X 15ML + 10 BOLS PLAS TRANS SIST FECH X 100 ML
</t>
  </si>
  <si>
    <t>Genérico (Aurobindo)</t>
  </si>
  <si>
    <t>25351.562125/2012-70</t>
  </si>
  <si>
    <t>levetiracetam</t>
  </si>
  <si>
    <r>
      <rPr>
        <b/>
        <sz val="10"/>
        <rFont val="Arial"/>
        <family val="2"/>
      </rPr>
      <t>levetiracetam</t>
    </r>
    <r>
      <rPr>
        <sz val="10"/>
        <rFont val="Arial"/>
        <family val="2"/>
      </rPr>
      <t xml:space="preserve">
Genérico (Aurobindo)</t>
    </r>
  </si>
  <si>
    <t xml:space="preserve">250 MG COM REV CT BL AL PLAS TRANS X 30
250 MG COM REV CT BL AL PLAS TRANS X 60
250 MG COM REV CT BL AL PLAS TRANS X 100
750 MG COM REV CT BL AL PLAS TRANS X 30
750 MG COM REV CT BL AL PLAS TRANS X 60
750 MG COM REV CT BL AL PLAS TRANS X 100
</t>
  </si>
  <si>
    <t>250mg e 750mg</t>
  </si>
  <si>
    <t>1_Aditamento para a CRMEC de bula, rotulagem e nome
comercial protocolado em 11/09/2019 sob o expediente 2150602197.
2_Aditamento à solicitação de registro (FIDR) protocolado em 12/09/2019 sob o expediente 2159268193.
3_Entrou na fila na posição 144 em 13/09/2019.
4_Expediente 2291653/19-9 protocolado em 30/09/2019 aditamento - documento submetido por terceiro.
5_Aditamento à solicitação de registro, protocolado em 06/05/2020, sob o expediente: 1410445208.
6_Exigência Nº: 3167035/20-1, expediente 2121991/19-5, reeebida em 18/09/2020, assunto estudo de estabilidade e documentação administrativa. 
7_Cumprida a exigência 3167035/20-1 em 07/10/2020, sob o expediente: 3451261201, assunto: estudo de estabilidade e documentação admnistrativa. 
8_Ofício nº 3462332209, recebido em 08/10/2020, Assunto: Análise do DMF do IFA minoxidil da Olon S.p.A.
9_Aditamento em resposta ao Ofício nº 3462332209 de Análise do DMF do IFA minoxidil da Olon S.p.A. em 23/10/2020.
10_SAT 2020419659 realizado em 03/12/2020 questionando um posicionamento relativo ao prazo para análise desta documentação. Resposta dizendo que entraria no próximo ciclo.
11_Ofício nº 3594729202, expediente: 2121991/19-5, recebido em 25/01/2021, Aditamento para a CBRES de bula, rotulagem e nome comercial.</t>
  </si>
  <si>
    <t xml:space="preserve">A retificação peticionada é referente apenas a correção do nome comercial.
Será necessário o medicamento matriz (genérico) proceder com a retificação de publicação referente a concentração e posteriormente essa será realizada pelo clone também. 
Matriz:Genérico (Brainfarma)
 Processo: 25351.542417/2011-00
1_Ofício nº 0230225210, recebido em 25/01/2021, Expediente 4140971/20-0, assunto: retificação de publicação
</t>
  </si>
  <si>
    <t xml:space="preserve">25351.085425/2020-83 
data de entrada: 06/02/2020 </t>
  </si>
  <si>
    <t>Setembro/22</t>
  </si>
  <si>
    <t>Matriz: 4º TRI 2021
Clone: 1º TRI 2022</t>
  </si>
  <si>
    <t>25351.938364/2021-48</t>
  </si>
  <si>
    <t>0320155/21-4</t>
  </si>
  <si>
    <t xml:space="preserve">Clone: Não está na fila de análise.
 Situação
Distribuído para a área responsável. Encontra-se na GEPRE.D - Desde 20/01/2020
</t>
  </si>
  <si>
    <r>
      <t xml:space="preserve">Expediente 1: Produto clone
Expediente 2:  matriz (pregabalina - Althaia)
1_Protocolado aditamento à solicitação de registro no dia 26/06/2019 em relação a alteração do número do processo matriz.
2_Matriz publicada em DOU de 05/10/2020 (RESOLUÇÃO-RE Nº 3.972, DE 1º DE OUTUBRO DE 2020)
3_Aditamento de novas marcas - previsão de protocolo novembro/2020
4_aditamento realizado em 09/11/2020. para envio de novas opções de marcas comerciais para a substituição da marca enviada GABLIX: 1ª opção: Linura 
2ª opção: Prelavid e 3ª opção: Balnov
5_Exigências recebida em 05/01/2021, sob expediente: 0496696/19-1. Assunto: 10490 - SIMILAR - Registro de Produto - CLONE. 
6_Exigência cumprida em 08/01/2021, 0094526214, A marca aceita pela Anvisa foi a segunda opção PRELAVID
Matriz: Genérico (Althaia)
Processo: 25351.223414/2016-01
MATRIZ DEFERIDO em 05/10/2020
Expectativa clone: </t>
    </r>
    <r>
      <rPr>
        <strike/>
        <sz val="10"/>
        <rFont val="Calibri"/>
        <family val="2"/>
        <scheme val="minor"/>
      </rPr>
      <t>Janeiro/21</t>
    </r>
    <r>
      <rPr>
        <sz val="10"/>
        <rFont val="Calibri"/>
        <family val="2"/>
        <scheme val="minor"/>
      </rPr>
      <t xml:space="preserve"> Fevereiro/21</t>
    </r>
  </si>
  <si>
    <t>25351.982658/2021-15</t>
  </si>
  <si>
    <t>4478497/20-0</t>
  </si>
  <si>
    <t>1_Aditamento de estudo de biodisponibilidade relativa ou Bioisenção protocolado em 08/01/2019 sob expediente 0022864/19-8.
2_Aditamento de estudo de qualificação de impurezas e produtos de degradação protocolado em 08/01/2019 sob expediente 0022807/19-9.
3_Aditamento à solicitação de registro protocolado em 08/01/2019 sob expediente 0022763/19-3.
4_Aditamento à solicitação de registro (FIDR) protocolado em 08/01/2018 sob expediente 0013715/19-4.
5_ Publicado em 11/11/2019, pela RE nº 3.158/2019, a prorrogação do prazo de resposta da ANVISA em 122 dias - considerada como data de protocolo 21/12/2018.
6_Exigência nº 0294774/20-9, relacionada ao DMF/IFA, recebida em 05/02/2020.
7_Aditamento ao registro protocolado em 17/03/2020 - complementação estabilidade - sob expediente nº 0806529202.
8_cumprida Exigência nº 0294774209 em 28/04/2020, pelo expediente nº1311959203
9_Exigência nº 1517831/20-5, recebida em: 18/05/2020, relacionada a qualidade pelo expediente nº 0002974/19-2
10_Cumprida a exigência em 30/06/2020, sob o expediente 2096224209
11_ Realizado SAT em 25/08 para questionar quando a exigência seria analisada e respondido pela ANVISA que a analise se dára no ciclo de outubro a dezembro/20
12_Exigência nº4543736/20-0 recebida em 05/01/2021, relacionado ao perfil de dissolução
13_Cumprida exigência nº4543736/20-0 em 22/01/2021, assunto: referente a petição 155 - GENERICO - Registro de Medicamento</t>
  </si>
  <si>
    <t>25351.953778/2021-05</t>
  </si>
  <si>
    <t>0350886/21-2</t>
  </si>
  <si>
    <t>25351.963905/2021-76</t>
  </si>
  <si>
    <t>0365813/21-9</t>
  </si>
  <si>
    <t>25351.963907/2021-65</t>
  </si>
  <si>
    <t>0365819/21-8</t>
  </si>
  <si>
    <t>25351.963906/2021-11</t>
  </si>
  <si>
    <t>0365816/21-3</t>
  </si>
  <si>
    <t>25351.963904/2021-21</t>
  </si>
  <si>
    <t>0365810/21-4</t>
  </si>
  <si>
    <t>4432421/20-9</t>
  </si>
  <si>
    <t>4465330/20-1</t>
  </si>
  <si>
    <t>0069396/20-2</t>
  </si>
  <si>
    <t>29/01/2021</t>
  </si>
  <si>
    <t>05/02/2021</t>
  </si>
  <si>
    <t>Expectativa de deferimento inicial</t>
  </si>
  <si>
    <t>inovadores</t>
  </si>
  <si>
    <t>Clone: Não está na fila de análise.
 Situação
Distribuído para a área responsável. Encontra-se na GEPRE.D - Desde 20/01/2020
Matriz: Fila: 5</t>
  </si>
  <si>
    <r>
      <rPr>
        <b/>
        <sz val="10"/>
        <rFont val="Calibri"/>
        <family val="2"/>
        <scheme val="minor"/>
      </rPr>
      <t>PIELUS MX</t>
    </r>
    <r>
      <rPr>
        <sz val="10"/>
        <rFont val="Calibri"/>
        <family val="2"/>
        <scheme val="minor"/>
      </rPr>
      <t xml:space="preserve">
(genérico - Brainfarma)</t>
    </r>
  </si>
  <si>
    <t>matriz (genérico -  Brainfarma). Publicado deferimento em 25/01/2021. Processo nº 25351.518449/2019-99  
1_Entrou na fila em 20/09/2019 na posição 47.</t>
  </si>
  <si>
    <t xml:space="preserve">25351.963903/2021-87
</t>
  </si>
  <si>
    <t>75 mg</t>
  </si>
  <si>
    <t xml:space="preserve">cápsula dura de liberação prolongada </t>
  </si>
  <si>
    <t xml:space="preserve">75 MG CAP DURA LIB PROL CT BL AL PLAS PVC/PE/PVDC TRANS X 7
75 MG CAP DURA LIB PROL CT BL AL PLAS PVC/PE/PVDC TRANS X 14
75 MG CAP DURA LIB PROL CT BL AL PLAS PVC/PE/PVDC TRANS X 28
75 MG CAP DURA LIB PROL CT BL AL PLAS PVC/PE/PVDC TRANS X 30
75 MG CAP DURA LIB PROL CT BL AL PLAS PVC/PE/PVDC TRANS X 90
</t>
  </si>
  <si>
    <t xml:space="preserve">25351.553384/2012-88 </t>
  </si>
  <si>
    <t>Minoxidil</t>
  </si>
  <si>
    <r>
      <t xml:space="preserve">PIELUS MX
</t>
    </r>
    <r>
      <rPr>
        <sz val="10"/>
        <rFont val="Calibri"/>
        <family val="2"/>
        <scheme val="minor"/>
      </rPr>
      <t>(genérico - Brainfarma)</t>
    </r>
  </si>
  <si>
    <t xml:space="preserve">50 MG/ML SOL SPR CAPI CT FR PLAS PEAD OPC X 15 ML + VALV SPR
50 MG/ML SOL SPR CAPI CT FR PLAS PEAD OPC X 30 ML + VALV SPR
50 MG/ML SOL SPR CAPI CT FR PLAS PEAD OPC X 50 ML + VALV SPR
</t>
  </si>
  <si>
    <t xml:space="preserve">solução capilar </t>
  </si>
  <si>
    <t>0516937/21-2</t>
  </si>
  <si>
    <t xml:space="preserve">25351.518449/2019-99  </t>
  </si>
  <si>
    <t>Observações levantamento fev2021</t>
  </si>
  <si>
    <t>hynova</t>
  </si>
  <si>
    <t>1_Processo peticionado e Gru enviada para pagemento em 28/09/2018;
2_Protocolado em 20/03/19 Aditamento à solicitação de registro referente a proposta de alteração de nome comercial, sob expediente 0250730197;
3_Notificação de exigência nº 0302182/19-3, recebida em 08/04/2019.
4_Cumprimento de exigência realizado em 08/04/2019 sob expediente nº 0315846192.
5_Notificação de exigência nº 0317436/19-1 recebida em 15/04/2019.
6_Cumprimento de exigência realizado em 26/04/2019  sob expediente nº 0377788190.
Expediente entrou em análise em 01/04/2019.
7_Protocolado em 06/11/2020  a Solicitação de alteração de categoria de venda, Resposta ao Ofício nº Ofício nº 2323033209 - Enquadramento de levocetirizina como isento de prescrição (MIP).
8_Protocolado em 06/11/2020, sob o expediente: 4048139205, em Resposta ao Ofício nº Ofício nº 2323033209 - Enquadramento de levocetirizina como isento de prescrição (MIP).
9_Ofício nº 0482685210, protocolado em 17/11/2020, sob o expediente: 4048139/20-5, assunto: aprovado alteração de categoria de venda</t>
  </si>
  <si>
    <t>Apresentações:
5 MG COM REV CT BL AL/AL X 10
5 MG COM REV CT BL AL/AL X 30
5 MG COM REV CT BL AL/AL X 90 
1_Processo peticionado e Gru enviada para pagemento em 28/09/2018
Verificação de entrada na fila: 26/10/2018 posição 52.
Entrada em análise: 05/12/2018 "A análise técnica foi finalizada. Aguardar publicação.Encontra-se na GGMED desde 05/12/2018".
2_Protocolado em 06/11/2020  a Solicitação de alteração de categoria de venda, Resposta ao Ofício nº Ofício nº 2323020207 - Enquadramento de levocetirizina como isento de prescrição (MIP), sob expediente: 4048136201
3_Ofício nº 0482611216, protocolado em 17/11/2020, sob o expediente: 4048136/20-1, assunto: aprovada solicitação de alteração de categoria de venda</t>
  </si>
  <si>
    <t xml:space="preserve">cápsula mole </t>
  </si>
  <si>
    <t xml:space="preserve">400 MG CAP MOLE BL AL PLAS TRANS X 3
400 MG CAP MOLE BL AL PLAS TRANS X 4
400 MG CAP MOLE CT BL AL PLAS TRANS X 8
400 MG CAP MOLE CT BL AL PLAS TRANS X 10
400 MG CAP MOLE CT BL AL PLAS TRANS X 16
400 MG CAP MOLE CT BL AL PLAS TRANS X 20
400 MG CAP MOLE CT BL AL PLAS TRANS X 24
400 MG CAP MOLE CT BL AL PLAS TRANS X 30
400 MG CAP MOLE CT BL AL PLAS TRANS X 36 (EMB MULTI)
400 MG CAP MOLE CX BL AL PLAS TRANS X 48 (EMB MULTI)
400 MG CAP MOLE CX BL AL PLAS TRANS X 72 (EMB MULTI)
400 MG CAP MOLE CX BL AL PLAS TRANS X 96 (EMB MULTI)
400 MG CAP MOLE CT BL AL PLAS TRANS X 144 (EMB MULTI)
400 MG CAP MOLE CT BL AL PLAS TRANS X 192 (EMB MULTI)
</t>
  </si>
  <si>
    <t xml:space="preserve">25351.316225/2010-31  </t>
  </si>
  <si>
    <t>Alivium 400mg
(Cosmed)</t>
  </si>
  <si>
    <r>
      <t xml:space="preserve">AMOME 
</t>
    </r>
    <r>
      <rPr>
        <sz val="10"/>
        <rFont val="Calibri"/>
        <family val="2"/>
        <scheme val="minor"/>
      </rPr>
      <t>(Genérico Glenmark)</t>
    </r>
  </si>
  <si>
    <t>Específico - Menor complexidade
Expediente entrou em análise em 23/05/2019</t>
  </si>
  <si>
    <t>Prazo p/ Publicação (dias</t>
  </si>
  <si>
    <t>12/02/2021</t>
  </si>
  <si>
    <t xml:space="preserve">Expediente 1: Produto clone
16/11 - protocolada desistência
Expediente 2:  matriz (Genérico - Zydus)
Processo Matriz:
2ª Exigência: Recebida em 04/07/2019 e Respondinda em 29/20/2019.
3ª Exigência: Recebida em 16/12/2019 
Exigência Arquivado 355/20 - 08/04
Em exigência  13/12/2019 12/08/2020
Aguardando análise do cumprimento de exigência  12/08/2020 30/09/2020 
Em análise do cumprimento de exigência  30/09/2020 02/10/2020 
4ª exigência  02/10/2020  - data de abertura - 05/10/2020. 
Previsão de cumprimento da exigência: Aguardando a Índia compartilhar a estimativa de envio da documentação
Prazo limite: 02/fev/2021
5_ Protocolada a desistência em 16/11/2020, sob o expediente: 4035683203
Genérico (Zydus)
Processo Matriz: 25351.760446/2014-53
Previsão de Publicação: Expectativa do parceiro informada em 14/abril/2020: Matriz: Setembro/2020 - sob exigência
Expectativa clone: Dezembro/2020
Expectativa do parceiro informada em 30/jul/2020: Matriz: Novembro/2020 - sob exigência
Expectativa clone: Fevereiro/2021
Expectativa clone: 1º SEM 2021
Desistencia do processo solicitada, conforme solicitação de Inovação - BD
</t>
  </si>
  <si>
    <t>Situação Atual: 
Aguardando análise do cumprimento de exigência
Encontra-se na
GQMED - 
Desde: 08/09/2020</t>
  </si>
  <si>
    <t>Clone: Não está na fila de análise.
 Situação
Distribuído para a área responsável. Encontra-se na GEPRE.D - Desde 20/01/2020</t>
  </si>
  <si>
    <t>Clone: Não está na fila de análise.
 Situação
Distribuído para a área responsável. Encontra-se na GEPRE.D - Desde 20/01/202</t>
  </si>
  <si>
    <r>
      <t xml:space="preserve">cloridrato de venlafaxina
</t>
    </r>
    <r>
      <rPr>
        <sz val="10"/>
        <rFont val="Arial"/>
        <family val="2"/>
      </rPr>
      <t>Genérico (Aurobindo)</t>
    </r>
  </si>
  <si>
    <t>0365807/21-4</t>
  </si>
  <si>
    <t>25351.068838/2021-84</t>
  </si>
  <si>
    <t>0649225/21-8</t>
  </si>
  <si>
    <t>0410844/21-2</t>
  </si>
  <si>
    <t>19/02/2021</t>
  </si>
  <si>
    <t>Clone: Aguarda análise do medicamento matriz
Situação do matriz: 
Aguardando análise do cumprimento de exigência
Encontra-se na
GQMED - 
Desde: 30/09/2020</t>
  </si>
  <si>
    <t>Clone: Não está na fila de análise.
 Situação matriz:
Distribuído para a área responsável. Encontra-se na GEPRE.D - Desde 20/01/2020
Fila: 5</t>
  </si>
  <si>
    <r>
      <t xml:space="preserve">CALMINEX DICLO
</t>
    </r>
    <r>
      <rPr>
        <sz val="10"/>
        <rFont val="Arial"/>
        <family val="2"/>
      </rPr>
      <t>(Neocoflan - Brainfarma)</t>
    </r>
  </si>
  <si>
    <t>11,6 MG/ G GEL CT BG AL X 60 G
11,6 MG/G GEL CX 50 BG AL X 60 G
11,6 MG/ G GEL CT BG AL X 30 G
11,6 MG/ G GEL CT 50 BG AL X 30 G  
11,6 MG/G AER TOP TB AL X 30 ML
11,6 MG/G AER TOP TB AL X 40 ML
11,6 MG/G AER TOP TB AL X 60 ML
11,6 MG/G AER TOP TB AL X 85 ML
11,6 MG/G AER TOP TB AL X 100 ML
11,6 MG/G AER TOP TB AL X 120 ML</t>
  </si>
  <si>
    <t xml:space="preserve">gel e aerossol </t>
  </si>
  <si>
    <t>Neocoflan
(Brainfarma)</t>
  </si>
  <si>
    <r>
      <t xml:space="preserve">IBUFRAN
</t>
    </r>
    <r>
      <rPr>
        <sz val="10"/>
        <rFont val="Arial"/>
        <family val="2"/>
      </rPr>
      <t>(Alivium 400mg - Cosmed)</t>
    </r>
  </si>
  <si>
    <t xml:space="preserve">25351.563842/2011-27 </t>
  </si>
  <si>
    <t>1_Exigência Nº: 3220301/20-2, recebida em 22/09/2020, assunto: Emenda Substancial a Protocolo Clínico
2_Exigência cumprida em 14/01/2021, sob o expediente: 0182837211, assunto: Emenda ao Protocolo clínico Fase I, devido a alteração da forma farmacêutica, para o medicamento experimental melatonina gel sublingual. Obs.: Alteração da forma farmacêutica de suspensão sublingual para gel sublingual.
3_Exigência Nº: 0532259/21-6, recebida em 11/02/2021, Expediente da petição:
2683767/20-6
4_Cumprida a exigência em 19/02/2021, sob expediente: 0673556212
Adequação do prazo de validade do medicamento experimental.</t>
  </si>
  <si>
    <t>25351.098945/2021-37</t>
  </si>
  <si>
    <t>clone: Não está na fila de análise.
 Situação
Distribuído para a área responsável. Encontra-se na GEPRE.D - Desde 21/01/202
Fila: 5</t>
  </si>
  <si>
    <t>Clone: Não está na fila de análise.
 Situação matriz:
Distribuído para a área responsável. Encontra-se na GEPRE.D - Desde 20/01/2020
Fila: 4</t>
  </si>
  <si>
    <t>clone: Não está na fila de análise.
 Situação
Distribuído para a área responsável. Encontra-se na GEPRE.D - Desde 21/01/202
Fila: 4</t>
  </si>
  <si>
    <t>Situação atual:
Em análise
Encontra-se na
ARQVO Desde: 16/12/2020</t>
  </si>
  <si>
    <t>CH</t>
  </si>
  <si>
    <t>0737462/21-3</t>
  </si>
  <si>
    <t>0816884/21-9</t>
  </si>
  <si>
    <t>1_Protocolado em 08/12/2020, Estudo de biodisponibilidade relativa,  sob o expediente: 4344792209
2_Protocolado em 11/12/2020, sob o expediente: 4353451201, Documentação para análise de bula, dizeres de rotulagem e nome comercial
3_ Protocolado em 11/12/2020, sob o expediente: 4388912203, Formulário de informações relativas à documentação de registro (FIDR) ou Parecer de Análise Técnica da Empresa (PATE)
4_Exigência Nº:0651432/21-4, recebida em 22/02/2021, sob o expediente: 4344792/20-9, assunto: Estudo de biodisponibilidade relativa
5_Cumprida exigência  em 01/03/2021 sob expediente: 0807193/21-6. Cumprimento de exigência referente ao estudo de biodisponibilidade relativa</t>
  </si>
  <si>
    <t>25351.429601/2019-60</t>
  </si>
  <si>
    <t>EZETIMIBA + ROSUVASTATINA</t>
  </si>
  <si>
    <t xml:space="preserve">ATLANTIC PHARMA - PRODUÇÕES FARMACÊUTICAS, S.A.
</t>
  </si>
  <si>
    <t>0720545/21-8</t>
  </si>
  <si>
    <t>Genérico e Similares</t>
  </si>
  <si>
    <t>Data Fila Inicial</t>
  </si>
  <si>
    <t>Descrição Fila Inicial</t>
  </si>
  <si>
    <t>Data Fila Atual</t>
  </si>
  <si>
    <t>Descrição Fila Atual</t>
  </si>
  <si>
    <t>26/02/2021</t>
  </si>
  <si>
    <t>FILA2</t>
  </si>
  <si>
    <t>7/6/2019</t>
  </si>
  <si>
    <t>14/6/2019</t>
  </si>
  <si>
    <t>5/7/2019</t>
  </si>
  <si>
    <t>2/8/2019</t>
  </si>
  <si>
    <t>9/8/2019</t>
  </si>
  <si>
    <t>25351.124661/2021-11</t>
  </si>
  <si>
    <t>Maio/21</t>
  </si>
  <si>
    <t>PR0196/16</t>
  </si>
  <si>
    <t>PR0099/16</t>
  </si>
  <si>
    <t>PR0190/16</t>
  </si>
  <si>
    <t xml:space="preserve">PR0583/19 </t>
  </si>
  <si>
    <t>PR0951/18</t>
  </si>
  <si>
    <t>PR0832/19</t>
  </si>
  <si>
    <t>PR0819/19</t>
  </si>
  <si>
    <t>PR0505/18</t>
  </si>
  <si>
    <t>PR0833/19</t>
  </si>
  <si>
    <t>PR0520/18</t>
  </si>
  <si>
    <t>PR0988/18</t>
  </si>
  <si>
    <t>PR0139/17</t>
  </si>
  <si>
    <t>PR0211/17</t>
  </si>
  <si>
    <r>
      <rPr>
        <b/>
        <sz val="10"/>
        <rFont val="Calibri"/>
        <family val="2"/>
        <scheme val="minor"/>
      </rPr>
      <t xml:space="preserve">Qualidade - </t>
    </r>
    <r>
      <rPr>
        <sz val="10"/>
        <rFont val="Calibri"/>
        <family val="2"/>
        <scheme val="minor"/>
      </rPr>
      <t>em exigência - previsão de cumprimento março/21</t>
    </r>
    <r>
      <rPr>
        <b/>
        <sz val="10"/>
        <rFont val="Calibri"/>
        <family val="2"/>
        <scheme val="minor"/>
      </rPr>
      <t xml:space="preserve">
DMF - NA
Segurança e Eficacia - NA
Bioquivalência - NA
Bula e Rotulagem  - NA</t>
    </r>
  </si>
  <si>
    <t xml:space="preserve">PR0504/18 </t>
  </si>
  <si>
    <t>PR0472/17</t>
  </si>
  <si>
    <t>PR0503/18</t>
  </si>
  <si>
    <t>PR0305/19</t>
  </si>
  <si>
    <t>PR0478/16</t>
  </si>
  <si>
    <t>PR2752/20</t>
  </si>
  <si>
    <t>PR0150/16</t>
  </si>
  <si>
    <t>PR0139/18</t>
  </si>
  <si>
    <t>PR0753/16</t>
  </si>
  <si>
    <t>PR0037/18</t>
  </si>
  <si>
    <t>PR0160/16</t>
  </si>
  <si>
    <t>PR5026/20</t>
  </si>
  <si>
    <t>PR5030/20</t>
  </si>
  <si>
    <t>PR5027/20</t>
  </si>
  <si>
    <t xml:space="preserve">PR5031/20 </t>
  </si>
  <si>
    <t>PR5028/20</t>
  </si>
  <si>
    <t>PR0363/20</t>
  </si>
  <si>
    <t>PR1015/20</t>
  </si>
  <si>
    <t>PR6045/20</t>
  </si>
  <si>
    <t>PR0495/20</t>
  </si>
  <si>
    <t>PR0809/18</t>
  </si>
  <si>
    <t>PR0496/20</t>
  </si>
  <si>
    <t>PR0497/20</t>
  </si>
  <si>
    <t>PR0010/18</t>
  </si>
  <si>
    <t>PR0148/20</t>
  </si>
  <si>
    <t>SIG
ANA BIGUILIN
LUANA PINHEIRO</t>
  </si>
  <si>
    <t>SIG
ANA BIGUILIN
LUANA PINHEIRO
ADALMARIO
FABIO KUNIAKI</t>
  </si>
  <si>
    <t xml:space="preserve">SIG
ANA BIGUILIN
LUANA PINHEIRO
</t>
  </si>
  <si>
    <t>SIG
ANA BIGUILIM
LUANA PINHEIRO
FABIO KUNIAKI
ADALMARIO
GUSTAVO
DESGUALDO</t>
  </si>
  <si>
    <t xml:space="preserve">SIG
ANA BIGUILIM
CLARISSA PINELI
</t>
  </si>
  <si>
    <t>SIG
ANA BIGUILIM
LUANA PINHEIRO
FABIO KUNIAKI
ADALMARIO
GUSTAVO DESGUALDO</t>
  </si>
  <si>
    <t>SIG
ANA BIGUILIM
LUANA PINHEIRO</t>
  </si>
  <si>
    <t>SIG
ANA BIGUILIM
LUANA PINHEIRO
FABIO KUNIAKI
ADALMARIO</t>
  </si>
  <si>
    <t>PP
NOUR
Regiane Galli</t>
  </si>
  <si>
    <r>
      <t xml:space="preserve">Previsão de Publicação - informada para PMO
</t>
    </r>
    <r>
      <rPr>
        <sz val="10"/>
        <color rgb="FFFFFF00"/>
        <rFont val="Calibri"/>
        <family val="2"/>
        <scheme val="minor"/>
      </rPr>
      <t xml:space="preserve"> Acompanhamento direto </t>
    </r>
  </si>
  <si>
    <t>05/03/2021</t>
  </si>
  <si>
    <t>Especifico</t>
  </si>
  <si>
    <t>clone: Não está na fila de análise.
 Situação
Distribuído para a área responsável. Encontra-se na GEPRE.D - Desde 21/01/202
Fila: 3</t>
  </si>
  <si>
    <t>Clone: Não está na fila de análise.
 Situação matriz:
Distribuído para a área responsável. Encontra-se na GEPRE.D - Desde 20/01/2020
Fila: 3</t>
  </si>
  <si>
    <t>3840850/20-3</t>
  </si>
  <si>
    <t>10+5mg, 10+10mg e 10+20mg</t>
  </si>
  <si>
    <r>
      <rPr>
        <strike/>
        <sz val="10"/>
        <rFont val="Calibri"/>
        <family val="2"/>
        <scheme val="minor"/>
      </rPr>
      <t>Dezembro/20
Janeiro/21</t>
    </r>
    <r>
      <rPr>
        <sz val="10"/>
        <rFont val="Calibri"/>
        <family val="2"/>
        <scheme val="minor"/>
      </rPr>
      <t xml:space="preserve"> 
</t>
    </r>
    <r>
      <rPr>
        <strike/>
        <sz val="10"/>
        <rFont val="Calibri"/>
        <family val="2"/>
        <scheme val="minor"/>
      </rPr>
      <t xml:space="preserve">Abril/21
Junho/21 </t>
    </r>
    <r>
      <rPr>
        <sz val="10"/>
        <rFont val="Calibri"/>
        <family val="2"/>
        <scheme val="minor"/>
      </rPr>
      <t xml:space="preserve">
sinalizado pelo parceiro necessidade de arquivamento de exigência com impacto na data prevista para deferimento  -  arquivamento temporário protocolado em 09/03/2021 - limite para desarquivamento e cumprimento da exigência 11/07/2021
Nova previsão de deferimento após arquivamento: 2º SEM 2021</t>
    </r>
  </si>
  <si>
    <t>Situação clone: matriz em análise</t>
  </si>
  <si>
    <r>
      <rPr>
        <strike/>
        <sz val="10"/>
        <color theme="1"/>
        <rFont val="Arial"/>
        <family val="2"/>
      </rPr>
      <t>Dezembro/21</t>
    </r>
    <r>
      <rPr>
        <sz val="10"/>
        <color theme="1"/>
        <rFont val="Arial"/>
        <family val="2"/>
      </rPr>
      <t xml:space="preserve">
sinalizado pelo parceiro necessidade de arquivamento de exigência do medicamento matriz com impacto na data prevista para deferimento
Nova previsão de deferimento após arquivamento: 2º SEM 2021</t>
    </r>
  </si>
  <si>
    <t>concluída análise</t>
  </si>
  <si>
    <t>1_entrada em análise em 10/03/2021
2_concluída análise em 10/3/2021</t>
  </si>
  <si>
    <t>1_entrada em análise em 08/03/2021
2_concluída análise em 09/3/2021</t>
  </si>
  <si>
    <t>aguarda análise - posição 33</t>
  </si>
  <si>
    <t>aguarda análise do matriz</t>
  </si>
  <si>
    <r>
      <rPr>
        <strike/>
        <sz val="10"/>
        <color rgb="FFFF0000"/>
        <rFont val="Arial"/>
        <family val="2"/>
      </rPr>
      <t>Setembro/21</t>
    </r>
    <r>
      <rPr>
        <sz val="10"/>
        <color rgb="FFFF0000"/>
        <rFont val="Arial"/>
        <family val="2"/>
      </rPr>
      <t xml:space="preserve">
sinalizado pelo parceiro necessidade de arquivamento de exigência com impacto na data prevista para deferimento  -  arquivamento temporário protocolado - limite para desarquivamento e cumprimento da exigência 23/06/2021 (IFA Donepezila), 11/07/2021 (IFA Memantina) e 21/07/2021 (qualidade)
Nova previsão de deferimento após arquivamento: 2º SEM 2021</t>
    </r>
  </si>
  <si>
    <r>
      <rPr>
        <strike/>
        <sz val="10"/>
        <rFont val="Calibri"/>
        <family val="2"/>
        <scheme val="minor"/>
      </rPr>
      <t>Setembro/20
Janeiro/21
Dezembro/20</t>
    </r>
    <r>
      <rPr>
        <sz val="10"/>
        <rFont val="Calibri"/>
        <family val="2"/>
        <scheme val="minor"/>
      </rPr>
      <t xml:space="preserve">
</t>
    </r>
    <r>
      <rPr>
        <strike/>
        <sz val="10"/>
        <rFont val="Calibri"/>
        <family val="2"/>
        <scheme val="minor"/>
      </rPr>
      <t>Janeiro/21</t>
    </r>
    <r>
      <rPr>
        <sz val="10"/>
        <rFont val="Calibri"/>
        <family val="2"/>
        <scheme val="minor"/>
      </rPr>
      <t xml:space="preserve">
1º SEM 2021</t>
    </r>
  </si>
  <si>
    <t>Matriz em fase final de análise</t>
  </si>
  <si>
    <t>0517638/20-7</t>
  </si>
  <si>
    <r>
      <t xml:space="preserve">21/08/2020: Situação atual
Petição priorizada e aguardando análise técnica
Encontra-se na
COPEC - Desde: 12/08/2020
02/10/2020: Situação atual
Aguardando análise do cumprimento de exigência
Encontra-se na
COPEC - Desde: 31/08/2020
</t>
    </r>
    <r>
      <rPr>
        <u/>
        <sz val="10"/>
        <color theme="1"/>
        <rFont val="Calibri"/>
        <family val="2"/>
        <scheme val="minor"/>
      </rPr>
      <t>05/03/202</t>
    </r>
    <r>
      <rPr>
        <sz val="10"/>
        <color theme="1"/>
        <rFont val="Calibri"/>
        <family val="2"/>
        <scheme val="minor"/>
      </rPr>
      <t xml:space="preserve">1: Situação atual
Publicado deferimento em 11/03/2021
Encontra-se na
COPEC -
Desde: 10/03/2021
</t>
    </r>
  </si>
  <si>
    <t xml:space="preserve">Clone: Não está na fila de análise.
 Situação matriz:
Distribuído para a área responsável. Encontra-se na GEPRE.D - Desde 20/01/2020
</t>
  </si>
  <si>
    <t>1_entrada em análise em 12/03/2021
2_concluída análise em 12/3/2021</t>
  </si>
  <si>
    <t>1_entrada em análise em 11/03/2021
2_concluída análise em 11/3/2021</t>
  </si>
  <si>
    <r>
      <rPr>
        <b/>
        <sz val="10"/>
        <rFont val="Calibri"/>
        <family val="2"/>
        <scheme val="minor"/>
      </rPr>
      <t xml:space="preserve">Hemifumarato de quetiapina </t>
    </r>
    <r>
      <rPr>
        <sz val="10"/>
        <rFont val="Calibri"/>
        <family val="2"/>
        <scheme val="minor"/>
      </rPr>
      <t xml:space="preserve">
Genérico (Zydus)</t>
    </r>
  </si>
  <si>
    <t xml:space="preserve">Data de entrada em análise </t>
  </si>
  <si>
    <t xml:space="preserve">Status de petições paralelas / aditamentos
</t>
  </si>
  <si>
    <t>PR0539/20</t>
  </si>
  <si>
    <t xml:space="preserve"> 5mg </t>
  </si>
  <si>
    <t xml:space="preserve">bisacodil </t>
  </si>
  <si>
    <t>LACTO PURGA</t>
  </si>
  <si>
    <t xml:space="preserve">5 MG COM REV DISP BL AL PLAS TRANS X 180  </t>
  </si>
  <si>
    <r>
      <t xml:space="preserve">1_Sat realizado em 10/09/2019, nº protocolo 2019291412.
2_SAT respondido em 14/10/2019 indicando: Essa solicitação deve ser feita por petição eletrônica, utilizando o código de assunto 1648.
</t>
    </r>
    <r>
      <rPr>
        <b/>
        <sz val="10"/>
        <rFont val="Calibri"/>
        <family val="2"/>
        <scheme val="minor"/>
      </rPr>
      <t>09/01/2020</t>
    </r>
    <r>
      <rPr>
        <sz val="10"/>
        <rFont val="Calibri"/>
        <family val="2"/>
        <scheme val="minor"/>
      </rPr>
      <t xml:space="preserve">: acordado com Camila para fazer protocolo de solicitação.
3_Ofício nº 1164328205, do Processo 25351.115230/2020-75 , Expediente 0517740/20-5. Recebido 20/04/2020. Em resposta ao expediente 0517740/20-5, informamos que o medicamento referido se encontra em avaliação de segurança e eficácia para adequação à
RDC n° 35, de 15/06/2012, alterada pela Resolução n° 290, de 04/06/2019. Assim que tivermos um parecer, caso seja favorável, o referido
medicamento poderá ser incluído na lista.
4_SAT:2020152630 respondido em 04/05/2020: Em atenção a sua solicitação, esclarecemos que os medicamentos citados nessa solicitação se encontram aguardando avaliação de segurança e eficácia. Para alguns produtos já estamos aguardando a manifestação da consultoria AD HOC, mas ainda não temos uma previsão para inclusão desses produtos na lista de medicamento de referência.
5_SAT JUNHO: “Em atenção a sua solicitação, informamos que no momento, não há medicamentos com os ativos ora em tela que se adequem à RDC 35 de 15/06/2012. Esclarecemos que alguns medicamentos se encontram aguardando avaliação de segurança e eficácia. Para alguns produtos já estamos aguardando a manifestação da consultoria AD HOC, mas ainda não temos uma previsão para inclusão desses produtos na lista de medicamento de referência.”
6_Em 12/03/2021 a ANVISA nos enviou uma notificação informando que a análise do produto será considerado na proxima revisão da lista que passará a ser feita periodicamente.
</t>
    </r>
  </si>
  <si>
    <t>12/03/2021</t>
  </si>
  <si>
    <t>BI</t>
  </si>
  <si>
    <r>
      <rPr>
        <b/>
        <sz val="10"/>
        <rFont val="Arial"/>
        <family val="2"/>
      </rPr>
      <t>Qualidade</t>
    </r>
    <r>
      <rPr>
        <sz val="10"/>
        <rFont val="Arial"/>
        <family val="2"/>
      </rPr>
      <t xml:space="preserve"> - </t>
    </r>
    <r>
      <rPr>
        <sz val="10"/>
        <rFont val="Calibri"/>
        <family val="2"/>
        <scheme val="minor"/>
      </rPr>
      <t>aguardando análise do cumprimento de exigência pela GQMED - análise concluída pela CETER em 11/03/2021</t>
    </r>
    <r>
      <rPr>
        <b/>
        <sz val="10"/>
        <rFont val="Calibri"/>
        <family val="2"/>
        <scheme val="minor"/>
      </rPr>
      <t xml:space="preserve">
DMF - </t>
    </r>
    <r>
      <rPr>
        <sz val="10"/>
        <rFont val="Calibri"/>
        <family val="2"/>
        <scheme val="minor"/>
      </rPr>
      <t>concluída análise</t>
    </r>
    <r>
      <rPr>
        <b/>
        <sz val="10"/>
        <rFont val="Calibri"/>
        <family val="2"/>
        <scheme val="minor"/>
      </rPr>
      <t xml:space="preserve">
Segurança e Eficacia - </t>
    </r>
    <r>
      <rPr>
        <sz val="10"/>
        <rFont val="Calibri"/>
        <family val="2"/>
        <scheme val="minor"/>
      </rPr>
      <t>NA</t>
    </r>
    <r>
      <rPr>
        <b/>
        <sz val="10"/>
        <rFont val="Calibri"/>
        <family val="2"/>
        <scheme val="minor"/>
      </rPr>
      <t xml:space="preserve">
Bioquivalência - </t>
    </r>
    <r>
      <rPr>
        <sz val="10"/>
        <rFont val="Calibri"/>
        <family val="2"/>
        <scheme val="minor"/>
      </rPr>
      <t>concluída análise</t>
    </r>
    <r>
      <rPr>
        <b/>
        <sz val="10"/>
        <rFont val="Calibri"/>
        <family val="2"/>
        <scheme val="minor"/>
      </rPr>
      <t xml:space="preserve">
Bula e Rotulagem - </t>
    </r>
    <r>
      <rPr>
        <sz val="10"/>
        <rFont val="Calibri"/>
        <family val="2"/>
        <scheme val="minor"/>
      </rPr>
      <t>Anuído</t>
    </r>
  </si>
  <si>
    <r>
      <rPr>
        <strike/>
        <sz val="10"/>
        <rFont val="Calibri"/>
        <family val="2"/>
        <scheme val="minor"/>
      </rPr>
      <t xml:space="preserve">Março/21
Abril/21 </t>
    </r>
    <r>
      <rPr>
        <sz val="10"/>
        <rFont val="Calibri"/>
        <family val="2"/>
        <scheme val="minor"/>
      </rPr>
      <t xml:space="preserve">
</t>
    </r>
    <r>
      <rPr>
        <strike/>
        <sz val="10"/>
        <rFont val="Calibri"/>
        <family val="2"/>
        <scheme val="minor"/>
      </rPr>
      <t>1º SEM 2021</t>
    </r>
    <r>
      <rPr>
        <sz val="10"/>
        <rFont val="Calibri"/>
        <family val="2"/>
        <scheme val="minor"/>
      </rPr>
      <t xml:space="preserve">
Situação clone: 
processo em fase de cancelamento</t>
    </r>
  </si>
  <si>
    <t>Situação clone: protocolado cancelamento em 23/2/2021</t>
  </si>
  <si>
    <t>Expediente 1: Produto clone
Expediente 2:  matriz (genérico - Brainfarma)
1_Protocoloado em 23/02/2021 sob expediente 0723652212 desistência a pedido. 10766 - CBREM - Desistência de petição/processo a pedido.</t>
  </si>
  <si>
    <t>Clone: Não está na fila de análise.
 Situação matriz:
Em análise.
 Encontra-se na GQMED - Desde 15/03/2020</t>
  </si>
  <si>
    <t xml:space="preserve">clone: Não está na fila de análise.
 Situação
Distribuído para a área responsável. Encontra-se na GEPRE.D - Desde 21/01/2020
</t>
  </si>
  <si>
    <t>1_Exigência Nº: 2506382/20-1, recebida em 03/08/2020. Expediente da petição: 1299890/20-7. Assunto: 1674 - ESPECÍFICO - Inclusão de nova concentração
2_ Cumprida a exigência em 03/11/2020, sob expediente 3851619200, Cumprimento de exigência referente a petição 1674 - ESPECÍFICO - Inclusão de nova concentração
3_Exigência 4050232/20-5 recebida em 18/11/2020. Expediente da petição 1299890/20-7. Assunto: 1674 - ESPECÍFICO - Inclusão de nova concentração
4_Cumprida exigência em 04/02/2021, sob expediente: 0463986211. Cumprimento de exigência refetente a petição 1674 - ESPECÍFICO - Inclusão de nova concentração.
5_Complementação da exigência 4050232/20-5 recebida em 17/02/2021. Assunto: 1674 - ESPECÍFICO - Inclusão de nova concentração 
6_Cumprida exigência em 18/03/2021 sob expediente: 1056810211 - 1674 - ESPECÍFICO - Inclusão de nova concentração</t>
  </si>
  <si>
    <t>4094506/20-5</t>
  </si>
  <si>
    <t xml:space="preserve">maleato de clorfeniramina+ ácido ascórbico +  dipirona monoidratada </t>
  </si>
  <si>
    <t xml:space="preserve"> 1 mg + 50 mg + 100 mg </t>
  </si>
  <si>
    <t xml:space="preserve">APRACUR </t>
  </si>
  <si>
    <t>1_entrada em análise em 05/03/2021
2_concluída análise em 05/3/2021
3_Aditamento realizado em 17/03/2021, sob expediente 1043378213, resposta ao Oficio n° 0875112219.</t>
  </si>
  <si>
    <t>PR0407/20</t>
  </si>
  <si>
    <t xml:space="preserve">4MG COM REV CT BL CALEND AL PLAST TRANS X 24 + 4 PLACEBOS 
4MG COM REV CT BL CALEND AL PLAST TRANS X 72 + 12 PLACEBOS 
</t>
  </si>
  <si>
    <t xml:space="preserve">drospirenona </t>
  </si>
  <si>
    <t xml:space="preserve">25351.211178/2019-01 </t>
  </si>
  <si>
    <t xml:space="preserve">1_Aditamento de Relatório de estabilidade AC/LD e uso de 24 meses referente ao estudo de eficácia de conservante realizado 23/03/2021
</t>
  </si>
  <si>
    <t>1_Carta de priorizaçao de análise protocolada em 12/02/2018 sob número de conhecimento 201802080143PR - expediente 108219/18-1. Aprovada em 21/03/2018 no despacho nº15*/2018
2_Notificação de Exigência Nº 0233548/18-4, lida em 27/03/2018. Exigência cumprida em 08/06/2018, sob expediente 0461830/18-1.
3_Ofício de aprovação nº 0910089180/2018 recebido em 20/09/2018.
Manifestação favorável à realização do procedimento submetido à apreciação da ANVISA
4_Ofício nº 3338235192, do Processo 25351.649745/2017-79 , Expediente 2207246/17-2 -
COORDENAÇÃO DE PESQUISA CLÍNICA EM MEDICAMENTOS E PRODUTOS BIOLÓGICOS/ANVISA recebido em 05/12/2019.
5_ Ofício nº 1151623212, recebido em 25/03/2021 (COMUNICADO ESPECIAL EM DOSSIÊ DE DESENVOLVIMENTO CLÍNICO DE MEDICAMENTO (DDCM)) para correção do CE por solicitação da empresa no SAT nº2021074425</t>
  </si>
  <si>
    <t>19/03/2021</t>
  </si>
  <si>
    <t>26/03/2021</t>
  </si>
  <si>
    <t>Clone: Aguarda análise do medicamento matriz
Encontra-se na
CRMEC.D Enc.: 14/01/2020
Situação matriz:
Situação atual
Em análise do cumprimento de exigência
Encontra-se na
Desde: 30/03/2020</t>
  </si>
  <si>
    <t>Clone: Não está na fila de análise
Situação atual
Aguardando análise do medicamento matriz
Encontra-se na
CBRES 
Desde: 23/03/2021</t>
  </si>
  <si>
    <t>Clone: Não está na fila de análise
Situação atual
Aguardando análise do medicamento matriz
Encontra-se na
CBRES 
Enc.: 23/03/2021</t>
  </si>
  <si>
    <t>Clone: Não está na fila de análise
Situação atual
Aguardando análise do medicamento matriz
Encontra-se na
CBRES 
Enc.: 25/03/2021</t>
  </si>
  <si>
    <t>Clone: Não está na fila de análise
Situação atual
Aguardando análise do medicamento matriz
Encontra-se na
CBRES 
Desde: 28/01/2021</t>
  </si>
  <si>
    <r>
      <rPr>
        <b/>
        <sz val="10"/>
        <rFont val="Calibri"/>
        <family val="2"/>
        <scheme val="minor"/>
      </rPr>
      <t xml:space="preserve">Expediente 1: Produto clone
Expediente 2:  matriz (Genérico - Zydus)
</t>
    </r>
    <r>
      <rPr>
        <u/>
        <sz val="10"/>
        <rFont val="Calibri"/>
        <family val="2"/>
        <scheme val="minor"/>
      </rPr>
      <t xml:space="preserve">
Processo Matriz</t>
    </r>
    <r>
      <rPr>
        <sz val="10"/>
        <rFont val="Calibri"/>
        <family val="2"/>
        <scheme val="minor"/>
      </rPr>
      <t xml:space="preserve">:
</t>
    </r>
    <r>
      <rPr>
        <b/>
        <sz val="10"/>
        <rFont val="Calibri"/>
        <family val="2"/>
        <scheme val="minor"/>
      </rPr>
      <t>2ª Exigência</t>
    </r>
    <r>
      <rPr>
        <sz val="10"/>
        <rFont val="Calibri"/>
        <family val="2"/>
        <scheme val="minor"/>
      </rPr>
      <t xml:space="preserve">: Recebida em 04/07/2019 e Respondinda em 29/20/2019.
</t>
    </r>
    <r>
      <rPr>
        <b/>
        <sz val="10"/>
        <rFont val="Calibri"/>
        <family val="2"/>
        <scheme val="minor"/>
      </rPr>
      <t>3ª Exigência</t>
    </r>
    <r>
      <rPr>
        <sz val="10"/>
        <rFont val="Calibri"/>
        <family val="2"/>
        <scheme val="minor"/>
      </rPr>
      <t>: Recebida em 16/12/2019 
Exigência Arquivado 355/20 - 08/04
Em exigência  13/12/2019 12/08/2020
Aguardando análise do cumprimento de exigência  12/08/2020 30/09/2020 
Em análise do cumprimento de exigência  30/09/2020 02/10/2020 
4</t>
    </r>
    <r>
      <rPr>
        <b/>
        <sz val="10"/>
        <rFont val="Calibri"/>
        <family val="2"/>
        <scheme val="minor"/>
      </rPr>
      <t>ª exigência</t>
    </r>
    <r>
      <rPr>
        <sz val="10"/>
        <rFont val="Calibri"/>
        <family val="2"/>
        <scheme val="minor"/>
      </rPr>
      <t xml:space="preserve">  02/10/2020  - data de abertura - 05/10/2020. 
Previsão de cumprimento da exigência: Aguardando a Índia compartilhar a estimativa de envio da documentação
Prazo limite: 02/fev/2021
</t>
    </r>
    <r>
      <rPr>
        <u/>
        <sz val="10"/>
        <rFont val="Calibri"/>
        <family val="2"/>
        <scheme val="minor"/>
      </rPr>
      <t xml:space="preserve">Processo clone:
</t>
    </r>
    <r>
      <rPr>
        <sz val="10"/>
        <rFont val="Calibri"/>
        <family val="2"/>
        <scheme val="minor"/>
      </rPr>
      <t xml:space="preserve">1_Foi realizada a desistência da petição por falta de interesse da BU no produto no dia 29/03/2021, sob expediente 1211627211
</t>
    </r>
  </si>
  <si>
    <t>Junho/21
Março/21
Maio/21</t>
  </si>
  <si>
    <r>
      <t xml:space="preserve">LINTY
</t>
    </r>
    <r>
      <rPr>
        <sz val="10"/>
        <rFont val="Arial"/>
        <family val="2"/>
      </rPr>
      <t>(SLINDA - Exeltis)</t>
    </r>
  </si>
  <si>
    <t>Slinda (Exeltis)</t>
  </si>
  <si>
    <r>
      <rPr>
        <strike/>
        <sz val="10"/>
        <rFont val="Calibri"/>
        <family val="2"/>
        <scheme val="minor"/>
      </rPr>
      <t>Expectativa do parceiro informada em 14/abril/2020: Matriz: Setembro/2020 - sob exigência
Expectativa clone: Dezembro/2020</t>
    </r>
    <r>
      <rPr>
        <sz val="10"/>
        <rFont val="Calibri"/>
        <family val="2"/>
        <scheme val="minor"/>
      </rPr>
      <t xml:space="preserve">
</t>
    </r>
    <r>
      <rPr>
        <strike/>
        <sz val="10"/>
        <rFont val="Calibri"/>
        <family val="2"/>
        <scheme val="minor"/>
      </rPr>
      <t>Expectativa do parceiro informada em 30/jul/2020: Matriz: Novembro/2020 - sob exigência
Expectativa clone: Fevereiro/2021</t>
    </r>
    <r>
      <rPr>
        <sz val="10"/>
        <rFont val="Calibri"/>
        <family val="2"/>
        <scheme val="minor"/>
      </rPr>
      <t xml:space="preserve">
</t>
    </r>
    <r>
      <rPr>
        <strike/>
        <sz val="10"/>
        <rFont val="Calibri"/>
        <family val="2"/>
        <scheme val="minor"/>
      </rPr>
      <t xml:space="preserve">Expectativa clone: 1º SEM 2021
</t>
    </r>
    <r>
      <rPr>
        <sz val="10"/>
        <rFont val="Calibri"/>
        <family val="2"/>
        <scheme val="minor"/>
      </rPr>
      <t>Situação clone: 
processo em fase de cancelamento</t>
    </r>
  </si>
  <si>
    <r>
      <rPr>
        <b/>
        <sz val="10"/>
        <rFont val="Calibri"/>
        <family val="2"/>
        <scheme val="minor"/>
      </rPr>
      <t>Situação matriz:
Qualidade</t>
    </r>
    <r>
      <rPr>
        <sz val="10"/>
        <rFont val="Calibri"/>
        <family val="2"/>
        <scheme val="minor"/>
      </rPr>
      <t xml:space="preserve"> - em análise do cumprimento de exigência
</t>
    </r>
    <r>
      <rPr>
        <b/>
        <sz val="10"/>
        <rFont val="Calibri"/>
        <family val="2"/>
        <scheme val="minor"/>
      </rPr>
      <t xml:space="preserve">DMF </t>
    </r>
    <r>
      <rPr>
        <sz val="10"/>
        <rFont val="Calibri"/>
        <family val="2"/>
        <scheme val="minor"/>
      </rPr>
      <t xml:space="preserve">- aguarda analise
</t>
    </r>
    <r>
      <rPr>
        <b/>
        <sz val="10"/>
        <rFont val="Calibri"/>
        <family val="2"/>
        <scheme val="minor"/>
      </rPr>
      <t>Segurança e Eficacia</t>
    </r>
    <r>
      <rPr>
        <sz val="10"/>
        <rFont val="Calibri"/>
        <family val="2"/>
        <scheme val="minor"/>
      </rPr>
      <t xml:space="preserve"> - NA
</t>
    </r>
    <r>
      <rPr>
        <b/>
        <sz val="10"/>
        <rFont val="Calibri"/>
        <family val="2"/>
        <scheme val="minor"/>
      </rPr>
      <t>Bioquivalência</t>
    </r>
    <r>
      <rPr>
        <sz val="10"/>
        <rFont val="Calibri"/>
        <family val="2"/>
        <scheme val="minor"/>
      </rPr>
      <t xml:space="preserve"> - Anuído
</t>
    </r>
    <r>
      <rPr>
        <b/>
        <sz val="10"/>
        <rFont val="Calibri"/>
        <family val="2"/>
        <scheme val="minor"/>
      </rPr>
      <t>Bula e Rotulagem</t>
    </r>
    <r>
      <rPr>
        <sz val="10"/>
        <rFont val="Calibri"/>
        <family val="2"/>
        <scheme val="minor"/>
      </rPr>
      <t xml:space="preserve"> - anuído
</t>
    </r>
    <r>
      <rPr>
        <b/>
        <sz val="10"/>
        <rFont val="Calibri"/>
        <family val="2"/>
        <scheme val="minor"/>
      </rPr>
      <t xml:space="preserve">
Situação clone: </t>
    </r>
    <r>
      <rPr>
        <sz val="10"/>
        <rFont val="Calibri"/>
        <family val="2"/>
        <scheme val="minor"/>
      </rPr>
      <t xml:space="preserve">aguarda deferimento do matriz
</t>
    </r>
  </si>
  <si>
    <t>Situação clone: protocolado cancelamento em 29/3/2021</t>
  </si>
  <si>
    <t>Situação clone: protocolado cancelamento em 31/3/2021</t>
  </si>
  <si>
    <r>
      <rPr>
        <b/>
        <sz val="10"/>
        <rFont val="Arial"/>
        <family val="2"/>
      </rPr>
      <t>Qualidade</t>
    </r>
    <r>
      <rPr>
        <sz val="10"/>
        <rFont val="Arial"/>
        <family val="2"/>
      </rPr>
      <t xml:space="preserve"> - aguarda análise
</t>
    </r>
    <r>
      <rPr>
        <b/>
        <sz val="10"/>
        <rFont val="Arial"/>
        <family val="2"/>
      </rPr>
      <t>DMF</t>
    </r>
    <r>
      <rPr>
        <sz val="10"/>
        <rFont val="Arial"/>
        <family val="2"/>
      </rPr>
      <t xml:space="preserve"> - aguarda análise
</t>
    </r>
    <r>
      <rPr>
        <b/>
        <sz val="10"/>
        <rFont val="Arial"/>
        <family val="2"/>
      </rPr>
      <t>Bioquivalência</t>
    </r>
    <r>
      <rPr>
        <sz val="10"/>
        <rFont val="Arial"/>
        <family val="2"/>
      </rPr>
      <t xml:space="preserve"> - concluída análise em 26/3/21
</t>
    </r>
    <r>
      <rPr>
        <b/>
        <sz val="10"/>
        <rFont val="Arial"/>
        <family val="2"/>
      </rPr>
      <t>Bula e Rotulagem</t>
    </r>
    <r>
      <rPr>
        <sz val="10"/>
        <rFont val="Arial"/>
        <family val="2"/>
      </rPr>
      <t xml:space="preserve"> -aguarda análise</t>
    </r>
  </si>
  <si>
    <t>retificação do nome comercial - concuída análisem em 17/03/2021
Encontra-se na
GGMED - GERÊNCIA-GERAL DE MEDICAMENTOS E PRODUTOS BIOLÓGICOS
Enc. 25/03/2021</t>
  </si>
  <si>
    <t>2º sem/2021</t>
  </si>
  <si>
    <t xml:space="preserve">  1G COM CT BL AL PLAS TRANS X 4
  1G COM CT BL AL PLAS TRANS X 10
1G COM CT BL AL PLAS TRANS X 20
  1G COM DISP BL AL PLAS TRANS X 100
  1G COM DISP BL AL PLAS TRANS X 200
1G COM CX BL AL PLAS TRANS X 50
1G COM CX BL AL PLAS TRANS X 100
  1G COM CX BL AL PLAS TRANS X 200
  1G COM CX BL AL PLAS TRANS X 250
  1G COM CX BL AL PLAS TRANS X 300
  1G COM CX BL AL PLAS TRANS X 400
  1G COM CX BL AL PLAS TRANS X 500
  1G COM CX BL AL PLAS TRANS X 600</t>
  </si>
  <si>
    <t xml:space="preserve">25351.538830/2011-83 </t>
  </si>
  <si>
    <t>Julho/21</t>
  </si>
  <si>
    <r>
      <rPr>
        <b/>
        <sz val="10"/>
        <rFont val="Arial"/>
        <family val="2"/>
      </rPr>
      <t>NEOSALDINA DIP</t>
    </r>
    <r>
      <rPr>
        <sz val="10"/>
        <rFont val="Arial"/>
        <family val="2"/>
      </rPr>
      <t xml:space="preserve">
(dipirona monoidratada - Brainfarma) </t>
    </r>
  </si>
  <si>
    <t>PR2009/20</t>
  </si>
  <si>
    <t>50 MG/ML SOL SPR CAPI CT FR PLAS PEAD OPC X 100 ML + VALV SPR</t>
  </si>
  <si>
    <t>SIG</t>
  </si>
  <si>
    <t>25351.444776/2019-05</t>
  </si>
  <si>
    <r>
      <rPr>
        <b/>
        <sz val="10"/>
        <rFont val="Calibri"/>
        <family val="2"/>
        <scheme val="minor"/>
      </rPr>
      <t>Expediente 1: Produto clone
Expediente 2:  matriz (genérico -  Brainfarma)</t>
    </r>
    <r>
      <rPr>
        <sz val="10"/>
        <rFont val="Calibri"/>
        <family val="2"/>
        <scheme val="minor"/>
      </rPr>
      <t xml:space="preserve">
1_Entrou na fila na posição 54 em 09/08/2019
2_Protocolada Desistência a pedido em 31/03/2021 sob expediente: 1231181212. Foi realizada a desistência da petição por falta de interesse da BU no produto. </t>
    </r>
  </si>
  <si>
    <t>PR0396/16</t>
  </si>
  <si>
    <t>1251163/21-3</t>
  </si>
  <si>
    <t>01/04/2021</t>
  </si>
  <si>
    <t>0558415/18-9</t>
  </si>
  <si>
    <t>0529762/18-1</t>
  </si>
  <si>
    <r>
      <rPr>
        <b/>
        <sz val="10"/>
        <rFont val="Calibri"/>
        <family val="2"/>
        <scheme val="minor"/>
      </rPr>
      <t>Expediente 1: Produto clone
Expediente 2:  matriz (genérico - Zydus)</t>
    </r>
    <r>
      <rPr>
        <u/>
        <sz val="10"/>
        <rFont val="Calibri"/>
        <family val="2"/>
        <scheme val="minor"/>
      </rPr>
      <t xml:space="preserve">
Processo Matriz</t>
    </r>
    <r>
      <rPr>
        <sz val="10"/>
        <rFont val="Calibri"/>
        <family val="2"/>
        <scheme val="minor"/>
      </rPr>
      <t xml:space="preserve">:
</t>
    </r>
    <r>
      <rPr>
        <b/>
        <sz val="10"/>
        <rFont val="Calibri"/>
        <family val="2"/>
        <scheme val="minor"/>
      </rPr>
      <t>1ª Exigência</t>
    </r>
    <r>
      <rPr>
        <sz val="10"/>
        <rFont val="Calibri"/>
        <family val="2"/>
        <scheme val="minor"/>
      </rPr>
      <t xml:space="preserve">: Recebida em 20/02/2019 e Cumprida em 18/06/2019.
</t>
    </r>
    <r>
      <rPr>
        <b/>
        <sz val="10"/>
        <rFont val="Calibri"/>
        <family val="2"/>
        <scheme val="minor"/>
      </rPr>
      <t xml:space="preserve">2ª Exigência: </t>
    </r>
    <r>
      <rPr>
        <sz val="10"/>
        <rFont val="Calibri"/>
        <family val="2"/>
        <scheme val="minor"/>
      </rPr>
      <t>Emitida 03/04/20 
Exigência Arquivado 355/20 - 28/07
cumprida em 25/09/20
Aguardando análise do cumprimeinto de exigência desde 25/09/20
Em análise do cumprimento de exigência  desde 19/03/2021
Expectativa de deferimento informada pelo parceiro em 23/10/2021:  Status: Dez/2020</t>
    </r>
  </si>
  <si>
    <t>Clone retirado da fila.
Matriz sem registro ativo - ver situação matriz.
Situação clone:
Aguardando análise do medicamento matriz
Encontra-se na
GGMED - 
Desde: 02/08/2019
Situação da Desistência
Distribuido para a área responsável
Encontra-se na
CBRES
Desde: 31/03/2021</t>
  </si>
  <si>
    <t>Situação atual
Em análise
Encontra-se na
ARQVO
 Desde: 08/12/2020</t>
  </si>
  <si>
    <t>Clone: Não está na fila de análise
Situação atual
Aguarda análise do medicamento matriz
Encontra-se na
CBRES
Desde: 27/01/2021</t>
  </si>
  <si>
    <t>25351.637736/2009-73</t>
  </si>
  <si>
    <t>4 MG COM REV CT BL CALEND AL PLAS TRANS X 24 + 4 PLACEBOS</t>
  </si>
  <si>
    <t>PP</t>
  </si>
  <si>
    <t>LINTY</t>
  </si>
  <si>
    <t xml:space="preserve">4mg </t>
  </si>
  <si>
    <t>Out/22</t>
  </si>
  <si>
    <t>0322440/19-2</t>
  </si>
  <si>
    <t>Genéricos, Novos e Similares - Menor complexidade</t>
  </si>
  <si>
    <t>INDUSTRIALE CHIMICA s.r.l</t>
  </si>
  <si>
    <t>25351.284157/2021-61</t>
  </si>
  <si>
    <t>1295421/21-7</t>
  </si>
  <si>
    <r>
      <rPr>
        <u/>
        <sz val="10"/>
        <rFont val="Calibri"/>
        <family val="2"/>
        <scheme val="minor"/>
      </rPr>
      <t>18/09/2020:</t>
    </r>
    <r>
      <rPr>
        <sz val="10"/>
        <rFont val="Calibri"/>
        <family val="2"/>
        <scheme val="minor"/>
      </rPr>
      <t xml:space="preserve"> Situação atual
Aguardando análise do cumprimento de exigência
Encontra-se na
COPEC - Desde: 15/09/2020
05</t>
    </r>
    <r>
      <rPr>
        <u/>
        <sz val="10"/>
        <rFont val="Calibri"/>
        <family val="2"/>
        <scheme val="minor"/>
      </rPr>
      <t>/02/2021:</t>
    </r>
    <r>
      <rPr>
        <sz val="10"/>
        <rFont val="Calibri"/>
        <family val="2"/>
        <scheme val="minor"/>
      </rPr>
      <t xml:space="preserve"> Situação atual
Em análise do cumprimento de exigência
Encontra-se na
COPEC - Desde: 15/09/2020
</t>
    </r>
    <r>
      <rPr>
        <u/>
        <sz val="10"/>
        <rFont val="Calibri"/>
        <family val="2"/>
        <scheme val="minor"/>
      </rPr>
      <t>12/02/2021</t>
    </r>
    <r>
      <rPr>
        <sz val="10"/>
        <rFont val="Calibri"/>
        <family val="2"/>
        <scheme val="minor"/>
      </rPr>
      <t>: Publicado deferimento em DOU</t>
    </r>
  </si>
  <si>
    <t>25351.538600/2011-15</t>
  </si>
  <si>
    <t>TENSALIV</t>
  </si>
  <si>
    <t>besilato de anlodipino</t>
  </si>
  <si>
    <t>Cancelamento de registro para adequação à RDC 31/2014</t>
  </si>
  <si>
    <t>09/04/2021</t>
  </si>
  <si>
    <t xml:space="preserve">Matriz sem registro ativo - ver situação matriz.
Clone: Situação atual
Aguardando análise do medicamento matriz
Encontra-se na
CBRES - 
Desde: 20/05/2020
</t>
  </si>
  <si>
    <t>Situação atual
Em exigência
Encontra-se na
ARQVO
 Desde: 08/12/2020</t>
  </si>
  <si>
    <t>Em exigência
Fila:135</t>
  </si>
  <si>
    <t xml:space="preserve">Clone retirado da fila.
Situação clone:
Aguardando análise do medicamento matriz
Encontra-se na
GGMED - 
Desde: 16/07/2019
Situação Matriz:
Aguardando análise do cumprimento de exigência
</t>
  </si>
  <si>
    <t>todas</t>
  </si>
  <si>
    <r>
      <rPr>
        <strike/>
        <sz val="10"/>
        <rFont val="Calibri"/>
        <family val="2"/>
        <scheme val="minor"/>
      </rPr>
      <t xml:space="preserve">Março/21
Abril/21 </t>
    </r>
    <r>
      <rPr>
        <sz val="10"/>
        <rFont val="Calibri"/>
        <family val="2"/>
        <scheme val="minor"/>
      </rPr>
      <t xml:space="preserve">
</t>
    </r>
    <r>
      <rPr>
        <strike/>
        <sz val="10"/>
        <rFont val="Calibri"/>
        <family val="2"/>
        <scheme val="minor"/>
      </rPr>
      <t xml:space="preserve">1º SEM 2021
</t>
    </r>
    <r>
      <rPr>
        <sz val="10"/>
        <rFont val="Calibri"/>
        <family val="2"/>
        <scheme val="minor"/>
      </rPr>
      <t>Situação clone: 
processo em fase de cancelamento</t>
    </r>
  </si>
  <si>
    <r>
      <rPr>
        <strike/>
        <sz val="10"/>
        <rFont val="Arial"/>
        <family val="2"/>
      </rPr>
      <t>Maio/22</t>
    </r>
    <r>
      <rPr>
        <sz val="10"/>
        <rFont val="Arial"/>
        <family val="2"/>
      </rPr>
      <t xml:space="preserve">
2º SEM 2021
*pleiteada análise priorizada pela RDC 415/20 - anuída - processo em exigência</t>
    </r>
  </si>
  <si>
    <t xml:space="preserve"> 
Será realizada a modificação pós registro clone para o medicamento PIELUS MX.
1_Protocolado aditamento em 14/04/2021, Assunto:11320 - GENÉRICO - Aditamento - Aprovação condicional - RDC 219/2018, sob expediente: 1429407219</t>
  </si>
  <si>
    <t>Processo Matriz genérico: 25351.534857/2011-18 com cancelamento de registro do processo nº 25351.538600/2011-15
1_Recebida exigência 1106935/21-0 em 24/03/2021 sob expediente 0141073/21-3. Assunto: 10490 - SIMILAR - Registro de Produto - CLONE (Bula e rotulagem)
2_Cumprida exigência  em 13/04/2021 sob expediente: 1414245211. Cumprimento de exigência referente ao protocolo de cancelamento</t>
  </si>
  <si>
    <t>aguarda análise cumprimento exigência</t>
  </si>
  <si>
    <t>16/04/2021</t>
  </si>
  <si>
    <t xml:space="preserve">Clone retirado da fila.
Situação clone:
Aguardando análise do medicamento matriz
Encontra-se na
GGMED - 
Desde: 16/07/2019
Situação Matriz:
Em análise do cumprimento de exigência
 Encontra-se na: GQMED Desde: 18/11/2020
</t>
  </si>
  <si>
    <t>Arpejo (E MS)</t>
  </si>
  <si>
    <t>Aristab (Aché)</t>
  </si>
  <si>
    <t>1_ Solicitação realizada para viabilização do projeto PR6010/21 (Aripiprazol liq oral)</t>
  </si>
  <si>
    <t xml:space="preserve">20mg/ml </t>
  </si>
  <si>
    <t>1 mg/ml</t>
  </si>
  <si>
    <t>Ilana Oliveira</t>
  </si>
  <si>
    <t>1_Exigência nº 1157340/21-6, recebida em 29/03/2021,  Assunto: 10488 - GENÉRICO - Registro de Medicamento - CLONE (COORDENAÇÃO DE BULA, ROTULAGEM, REGISTRO SIMPLIFICADO E NOMECOMERCIAL
2_ Cumprimento de exigência em 20/04/2021, sob expediente 1500143219.</t>
  </si>
  <si>
    <t>1_Exigência nº 1199020/21-1, recebida em 30/03/2021, assunto: 10488 - GENÉRICO - Registro de Medicamento - CLONE (COORDENAÇÃO DE BULA, ROTULAGEM, REGISTRO SIMPLIFICADO E NOMECOMERCIAL)
2_Cumprimento de exigência em 20/04/2021, sob expediente 1500144215</t>
  </si>
  <si>
    <t xml:space="preserve">1_Exigência nº 1139462/21-5, recebida em 26/03/2021, Assunto: 10488 - GENÉRICO - Registro de Medicamento - CLONE (COORDENAÇÃO DE BULA, ROTULAGEM, REGISTRO SIMPLIFICADO E NOMECOMERCIAL)
2_Cumprimento de exigência em 20/04/2021, sob expediente 1499210213. </t>
  </si>
  <si>
    <t>Clone: Situação atual: Aguardando análise do medicamento matriz
 Encontra-se na: CBRES
Desde: 20/05/2020
 Matriz: Situação atual: Distribuído para a área responsável
 Encontra-se na: ARQVO - ARQUIVO - GERÊNCIA DE GESTÃO DOCUMENTAL_x000D_
Desde: 22/04/2021</t>
  </si>
  <si>
    <t xml:space="preserve"> Situação atual: Em exigência
 Encontra-se na: ARQVO
Desde: 09/09/2020</t>
  </si>
  <si>
    <t>Clone: Situação atual: Aguardando análise do medicamento matriz
 Encontra-se na: CBRES
Desde: 22/12/2020
 Matriz: Situação atual: Distribuído para a área responsável
 Encontra-se na: ARQVO - ARQUIVO - GERÊNCIA DE GESTÃO DOCUMENTAL_x000D_
Desde: 10/11/2020</t>
  </si>
  <si>
    <t>1_Exigência nº1139462/21-5, recebida em 26/03/2021, Assunto: 10488 - GENÉRICO - Registro de Medicamento - CLONE (COORDENAÇÃO DE BULA, ROTULAGEM, REGISTRO SIMPLIFICADO E NOME COMERCIAL)
2_ Cumprimento de exigência em 19/04/2021, sob expediente 1500302210</t>
  </si>
  <si>
    <t>ONDIF</t>
  </si>
  <si>
    <t xml:space="preserve">1_Protocolado aditamento para aprovação condicional conforme RDC 219, no dia 09/04/2021, sob expediente: 1347242219, assunto: 11321 - SIMILAR - Aditamento - Aprovação condicional - RDC 219/2018
2_Realizado aditamento ao processo para correção no FP, sob expediente 1643493215. </t>
  </si>
  <si>
    <t>1_Protocolado em 16/12/2020, sob o expediente: 4447287201, assunto: Estudo de biodisponibilidade relativa
2_Protocolado em 16/12/2020, sob expediente 4451596201, assunto: 11212 - GENÉRICO/SIMILAR - Documentação para análise de bula, dizeres de
rotulagem e nome comercial
3_Protocolado em 16/12/2020, sob expediente 4452941204, assunto: 11627 - GENÉRICO – Formulário de informações relativas à documentação de registro (FIDR)
4_Recebida exigência 0968574/21-0 em 16/03/2021 sob expediente 4447287/20-1. Assunto: 11630-Genérico- Estudo de biodisponibilidade relativa 
5_Cumprimento de exigência em 29/04/2021 referente a petição 11630 - GENÉRICO - Estudo de biodisponibilidade relativa, sob expediente 1638689211.</t>
  </si>
  <si>
    <t>PR6048/20</t>
  </si>
  <si>
    <t xml:space="preserve"> (37,5 +325,0) MG COM REV CT BL AL PLAS PVC/PEBD/PVDC OPC X 10
(37,5 +325,0) MG COM REV CT BL AL PLAS PVC/PEBD/PVDC OPC X 20
(37,5 +325,0) MG COM REV CT BL AL PLAS PVC/PEBD/PVDC OPC X 30
(37,5 +325,0) MG COM REV CT BL AL PLAS PVC/PEBD/PVDC  OPC X 50
</t>
  </si>
  <si>
    <t>37,5mg + 325mg</t>
  </si>
  <si>
    <t>4242642/20-1</t>
  </si>
  <si>
    <t xml:space="preserve"> NOVOTRAM PAR (Cosmed)</t>
  </si>
  <si>
    <t xml:space="preserve"> 25351.568013/2020-84</t>
  </si>
  <si>
    <t>Clone: Aguarda análise do medicamento matriz
Encontra-se na
CRMEC.D Enc.: 14/01/2020
Situação matriz:
Situação atual
Em análise do cumprimento de exigência
Encontra-se na GQMED
Desde: 30/03/2020</t>
  </si>
  <si>
    <t xml:space="preserve">Clone retirado da fila.
Situação clone:
Aguardando análise do medicamento matriz
Encontra-se na
GGMED - 
Desde: 26/06/2019
Situação Matriz:
Em análise do cumprimento de exigência
 Encontra-se na: GQMED Desde: 18/11/2020
</t>
  </si>
  <si>
    <t>Clone: Distribuído para a área responsável
GEPRE.D  Desde: 20/01/2020
 Situação matriz:
Em análise.
 Encontra-se na GQMED - Desde 15/03/2020</t>
  </si>
  <si>
    <t>Clone:Distribuído para a área responsável
GEPRE.D 
Desde: 21/01/2020
 Situação matriz:
Em análise.
 Encontra-se na GQMED - Desde 15/03/2020</t>
  </si>
  <si>
    <t>Clone: Não está na fila de análise
Situação atual
Aguardando análise do medicamento matriz
Encontra-se na
CBRES 
Desde: 23/03/2021
Matriz:119</t>
  </si>
  <si>
    <t>Clone: Situação atual: Aguardando análise do medicamento matriz
 Encontra-se na: CBRES 
 Enc.: 23/03/2021
 Matriz : Situação atual: Distribuído para a área responsável
 Encontra-se na: ARQVO
Desde: 18/11/2020 - Posição na fila 111</t>
  </si>
  <si>
    <t>Clone: Situação atual: Aguardando análise do medicamento matriz
 Encontra-se na: CBRES 
Desde: 27/01/2021
 Matriz: Situação atual: Distribuído para a área responsável
 Encontra-se na: ARQVO - ARQUIVO - GERÊNCIA DE GESTÃO DOCUMENTAL_x000D_
Desde: 16/12/2020</t>
  </si>
  <si>
    <t>Clone: Não esta na fila;  Aguardando análise do medicamento matriz
 Encontra-se na: CBRES - 
Desde: 18/02/2021
 Matrizl: Distribuído para a área responsável
 Encontra-se na: ARQVO - Desde: 18/12/2020. Posição na fila 131</t>
  </si>
  <si>
    <t xml:space="preserve">30/04/2021: Expedienten 1: Situação atual: Aguardando análise do medicamento matriz. Encontra-se na: CBRES - 
 Enc.: 25/03/2021
 Matriz : Situação atual: Distribuído para a área responsável
 Encontra-se na: ARQVO - 
Desde: 22/12/2020. Posição na fila 134
 </t>
  </si>
  <si>
    <t>30/04/2021: Situação atual: Em exigência
 Encontra-se na: CBRES 
Desde: 02/03/2021</t>
  </si>
  <si>
    <t xml:space="preserve">1_exigência recebida em 17/10/2019 sob o nº de notificação 2515074/19-0.
2_Exigência cumprida em 13/11/2019 sob o protocolo nº 25352131571201944
3_Protocolo de petição 10823 - ENSAIOS CLÍNICOS - Alteração de Formulário de Apresentação de Ensaio Clínico, em 28/04/2021, sob expediente 1631108216, para Alteração do formulário do estudo clínico Fase II para inclusão de mais dois centros de pesquisa.
</t>
  </si>
  <si>
    <r>
      <t xml:space="preserve">cloridrato de tramadol + paracetamol 
</t>
    </r>
    <r>
      <rPr>
        <sz val="10"/>
        <rFont val="Arial"/>
        <family val="2"/>
      </rPr>
      <t>(NOVOTRAM PAR - Cosmed)</t>
    </r>
  </si>
  <si>
    <t xml:space="preserve">
1464775/21-3
</t>
  </si>
  <si>
    <r>
      <t>Tensaliv</t>
    </r>
    <r>
      <rPr>
        <sz val="10"/>
        <rFont val="Calibri"/>
        <family val="2"/>
        <scheme val="minor"/>
      </rPr>
      <t xml:space="preserve">
Genérico (Brainfarma)</t>
    </r>
  </si>
  <si>
    <r>
      <t xml:space="preserve">Cefuroxima Sódica </t>
    </r>
    <r>
      <rPr>
        <sz val="10"/>
        <rFont val="Arial"/>
        <family val="2"/>
      </rPr>
      <t xml:space="preserve">
Genérico (Aurobindo)</t>
    </r>
  </si>
  <si>
    <r>
      <rPr>
        <b/>
        <sz val="10"/>
        <rFont val="Arial"/>
        <family val="2"/>
      </rPr>
      <t>Qualidade</t>
    </r>
    <r>
      <rPr>
        <sz val="10"/>
        <rFont val="Arial"/>
        <family val="2"/>
      </rPr>
      <t xml:space="preserve"> - aguarda análise
</t>
    </r>
    <r>
      <rPr>
        <b/>
        <sz val="10"/>
        <rFont val="Arial"/>
        <family val="2"/>
      </rPr>
      <t>DMF</t>
    </r>
    <r>
      <rPr>
        <sz val="10"/>
        <rFont val="Arial"/>
        <family val="2"/>
      </rPr>
      <t xml:space="preserve"> - aguarda análise
</t>
    </r>
    <r>
      <rPr>
        <b/>
        <sz val="10"/>
        <rFont val="Arial"/>
        <family val="2"/>
      </rPr>
      <t>Bioquivalência</t>
    </r>
    <r>
      <rPr>
        <sz val="10"/>
        <rFont val="Arial"/>
        <family val="2"/>
      </rPr>
      <t xml:space="preserve"> - concluída análise
</t>
    </r>
    <r>
      <rPr>
        <b/>
        <sz val="10"/>
        <rFont val="Arial"/>
        <family val="2"/>
      </rPr>
      <t>Bula e Rotulagem</t>
    </r>
    <r>
      <rPr>
        <sz val="10"/>
        <rFont val="Arial"/>
        <family val="2"/>
      </rPr>
      <t xml:space="preserve"> -aguarda análise</t>
    </r>
  </si>
  <si>
    <r>
      <rPr>
        <b/>
        <sz val="10"/>
        <rFont val="Arial"/>
        <family val="2"/>
      </rPr>
      <t>Qualidade</t>
    </r>
    <r>
      <rPr>
        <sz val="10"/>
        <rFont val="Arial"/>
        <family val="2"/>
      </rPr>
      <t xml:space="preserve"> - aguarda análise
</t>
    </r>
    <r>
      <rPr>
        <b/>
        <sz val="10"/>
        <rFont val="Arial"/>
        <family val="2"/>
      </rPr>
      <t>DMF</t>
    </r>
    <r>
      <rPr>
        <sz val="10"/>
        <rFont val="Arial"/>
        <family val="2"/>
      </rPr>
      <t xml:space="preserve"> - aguarda análise
</t>
    </r>
    <r>
      <rPr>
        <b/>
        <sz val="10"/>
        <rFont val="Arial"/>
        <family val="2"/>
      </rPr>
      <t>Bioquivalência/BDR</t>
    </r>
    <r>
      <rPr>
        <sz val="10"/>
        <rFont val="Arial"/>
        <family val="2"/>
      </rPr>
      <t xml:space="preserve"> - concluida análise
</t>
    </r>
    <r>
      <rPr>
        <b/>
        <sz val="10"/>
        <rFont val="Arial"/>
        <family val="2"/>
      </rPr>
      <t>Bula e Rotulagem</t>
    </r>
    <r>
      <rPr>
        <sz val="10"/>
        <rFont val="Arial"/>
        <family val="2"/>
      </rPr>
      <t xml:space="preserve"> -aguarda análise</t>
    </r>
  </si>
  <si>
    <t>PR0234/20</t>
  </si>
  <si>
    <t xml:space="preserve">Questões técnicas:1. A empresa não cumpriu  com o itém 2.9 da Resolução- RE 1/2009, que dispõe ser obrigatório no estudo de estabilidade: '' quantificação de produtos de degradação e método analítico correspondente''; 2. 
Data de Publicação do Indeferimento: 29/07/2013
Data do protocolo do Recurso: 22/08/2013
Expediente do Recurso: 697939134
07/05/2021 - Protocolado desistencia do recurso administrativo sob expediente 1756569215. 
</t>
  </si>
  <si>
    <t>BENALET TSC (Janssen)</t>
  </si>
  <si>
    <t xml:space="preserve">bromidrato de dextrometorfano </t>
  </si>
  <si>
    <t>Comunicação de ausência de medicamento de referência no mercado nacional pela empresa interessada</t>
  </si>
  <si>
    <t xml:space="preserve">Comunicação de ausência de medicamento de referência </t>
  </si>
  <si>
    <t>Grazielly Moura</t>
  </si>
  <si>
    <t xml:space="preserve">        Paracetamol </t>
  </si>
  <si>
    <t>Tylenol AP</t>
  </si>
  <si>
    <t>650 mg</t>
  </si>
  <si>
    <t>25351.364360/2021-11</t>
  </si>
  <si>
    <t>25351.285228/2021-43</t>
  </si>
  <si>
    <r>
      <rPr>
        <b/>
        <sz val="10"/>
        <rFont val="Arial"/>
        <family val="2"/>
      </rPr>
      <t xml:space="preserve">Qualidade - </t>
    </r>
    <r>
      <rPr>
        <b/>
        <sz val="10"/>
        <rFont val="Arial"/>
        <family val="2"/>
      </rPr>
      <t xml:space="preserve">
DMF - </t>
    </r>
    <r>
      <rPr>
        <b/>
        <sz val="10"/>
        <rFont val="Arial"/>
        <family val="2"/>
      </rPr>
      <t xml:space="preserve">
Bioquivalência/BDR - </t>
    </r>
    <r>
      <rPr>
        <b/>
        <sz val="10"/>
        <rFont val="Arial"/>
        <family val="2"/>
      </rPr>
      <t xml:space="preserve">
Bula e Rotulagem -</t>
    </r>
  </si>
  <si>
    <r>
      <t xml:space="preserve">Qualidade - </t>
    </r>
    <r>
      <rPr>
        <b/>
        <sz val="10"/>
        <rFont val="Arial"/>
        <family val="2"/>
      </rPr>
      <t xml:space="preserve">
DMF - </t>
    </r>
    <r>
      <rPr>
        <b/>
        <sz val="10"/>
        <rFont val="Arial"/>
        <family val="2"/>
      </rPr>
      <t xml:space="preserve">
Bioquivalência/BDR - </t>
    </r>
    <r>
      <rPr>
        <b/>
        <sz val="10"/>
        <rFont val="Arial"/>
        <family val="2"/>
      </rPr>
      <t xml:space="preserve">
Bula e Rotulagem -</t>
    </r>
  </si>
  <si>
    <t>25351.431126/2021-14</t>
  </si>
  <si>
    <t>25351.431067/2021-00</t>
  </si>
  <si>
    <t>25351.357134/2021-83</t>
  </si>
  <si>
    <t>25351.355559/2021-58</t>
  </si>
  <si>
    <t xml:space="preserve">Drospirenona </t>
  </si>
  <si>
    <t>4 mg</t>
  </si>
  <si>
    <t>25351.424737/2021-06</t>
  </si>
  <si>
    <t>Nome comercial
1ª opção: LINTY
2ª opção:  AMMY
1_Protocolado o aditamento FIDR no dia 09/04/2021 , sob expediente 1359457215,  
Assunto: 11626 - MEDICAMENTO INOVADOR – Formulário de informações relativas à
documentação de registro (FIDR) ou Parecer de Análise Técnica da Empresa (PATE)
2_Protocolado aditamento sob expediente 1362504211, no dia 09/04/2021, sob expediente: 136250/42-11 Assunto: 11817 - Plano de Gerenciamento de Risco/Plano de Minimização de Risco – Outrosmedicamentos
3_Protocolado em 04/05/2021 Documentação para avaliação de segurança e eficacia, sob expediente 1724679/21-2
4_Protocolado em 04/05/2021 11798 – Autorização de aditamento por terceiro sob expediente: 1611506212
5_Protocolado aditamento em 07/05/2021 - Aditamento de atualização da parte aberta do DMF (por solicitação do parceiro) Sob expediemte: 1713963215</t>
  </si>
  <si>
    <t>30/04/2021</t>
  </si>
  <si>
    <t>07/05/2021</t>
  </si>
  <si>
    <t xml:space="preserve">07/05/2021: Situação atual
Concluída análise
Encontra-se na
GGMED Enc. 04/05/2021
</t>
  </si>
  <si>
    <r>
      <rPr>
        <b/>
        <sz val="10"/>
        <rFont val="Calibri"/>
        <family val="2"/>
        <scheme val="minor"/>
      </rPr>
      <t>Genérico (Actavis)
25351.000282/2015-44
Expediente 1: Produto clone
Expediente 2:  Matriz pregabalina Actavis</t>
    </r>
    <r>
      <rPr>
        <sz val="10"/>
        <rFont val="Calibri"/>
        <family val="2"/>
        <scheme val="minor"/>
      </rPr>
      <t xml:space="preserve">
1_18/10/2019 verificada alteração do status do matriz pelo recebimento de exigência. Prazo para cumprimento 15/02/2020.
2_Matriz deferida em DOU de 28/12/2020
3_Exigência nº1025614/21-8 recebida em 18/03/2021 sob expediente 0558415/18-9 - Bula e rotulagem
4_Protocolada a desistência do processo por falta de interesse comercial em 31/03/2021, sob expediente nº 1233564219.
5_Cumprida a exigência 01/04/2021 sob expediente: 1250739/21-7
Matriz:  2ºSEM2020
*parceiro não informa previsão de deferimento de forma clara
Clone:  2ºSEM2020
Matriz: deferido em Dezembro/20
Clone:  1ºTRI2021  Fevereiro/2021 
Situação clone: 
processo em fase de cancelamento</t>
    </r>
  </si>
  <si>
    <t>Situação atual: Em análise
 Encontra-se na: ARQVO - 
Desde: 23/04/2021</t>
  </si>
  <si>
    <t>Clone: Situação atual: Aguardando análise do medicamento matriz
 Encontra-se na: CBRES
Desde: 20/05/2020
 Matriz: Situação atual: Distribuído para a área responsável
 Encontra-se na: ARQVO - ARQUIVO - 
Desde: 22/04/2021</t>
  </si>
  <si>
    <t>Clone:  Situação atual: Aguardando análise do medicamento matriz
 Encontra-se na: CBRES
 Enc.: 07/12/2020
 Matriz: Situação atual: Em exigência
 Encontra-se na: ARQVO - ARQUIVO - 
Desde: 09/09/2020</t>
  </si>
  <si>
    <t>Clone: Situação atual: Aguardando análise do medicamento matriz
 Encontra-se na: CBRES
Desde: 22/12/2020
 Matriz: Situação atual: Distribuído para a área responsável
 Encontra-se na: ARQVO - ARQUIVO - 
Desde: 10/11/2020</t>
  </si>
  <si>
    <t>Clone: Não está na fila de análise
Situação atual
Aguardando análise do medicamento matriz
Encontra-se na
CBRES 
Desde: 23/03/2021
Matriz:115</t>
  </si>
  <si>
    <t>Clone: Situação atual: Aguardando análise do medicamento matriz
 Encontra-se na: CBRES 
 Enc.: 23/03/2021
 Matriz : Situação atual: Distribuído para a área responsável
 Encontra-se na: ARQVO
Desde: 18/11/2020 - 
Fila 107</t>
  </si>
  <si>
    <t>Clone: Situação atual: Aguardando análise do medicamento matriz
 Encontra-se na: CBRES 
Desde: 27/01/2021
 Matriz: Situação atual: Distribuído para a área responsável
 Encontra-se na: ARQVO - ARQUIVO - _x000D_
Desde: 16/12/2020</t>
  </si>
  <si>
    <t xml:space="preserve"> Situação atual: Aguardando análise do medicamento matriz
 Encontra-se na: CBRES
Desde: 28/01/2021
 Expediente 2: Situação atual: Em exigência
 Encontra-se na: ARQVO - 
Desde: 11/02/2020</t>
  </si>
  <si>
    <t>Situação atual: Aguardando análise do medicamento matriz
 Encontra-se na: CBRES
Desde: 28/01/2021
 Expediente 2: Situação atual: Em exigência
 Encontra-se na: ARQVO - ARQUIVO - GERÊNCIA DE GESTÃO DOCUMENTAL_x000D_
Desde: 11/02/2020</t>
  </si>
  <si>
    <t xml:space="preserve">Situação atual: Aguardando análise do medicamento matriz. Encontra-se na: CBRES - 
 Enc.: 25/03/2021
 Matriz : Situação atual: Distribuído para a área responsável
 Encontra-se na: ARQVO - 
Desde: 22/12/2020. 
 </t>
  </si>
  <si>
    <t xml:space="preserve">Clone: Não esta na fila;  Aguardando análise do medicamento matriz
 Encontra-se na: CBRES - 
Desde: 18/02/2021
 Matrizl: Distribuído para a área responsável
 Encontra-se na: ARQVO - Desde: 18/12/2020. </t>
  </si>
  <si>
    <t xml:space="preserve"> Situação atual: Em exigência
 Encontra-se na: CBRES 
Desde: 02/03/2021</t>
  </si>
  <si>
    <t>1537341/21-0</t>
  </si>
  <si>
    <t>1409696/21-0</t>
  </si>
  <si>
    <r>
      <rPr>
        <b/>
        <sz val="10"/>
        <rFont val="Calibri"/>
        <family val="2"/>
        <scheme val="minor"/>
      </rPr>
      <t xml:space="preserve">Qualidade </t>
    </r>
    <r>
      <rPr>
        <sz val="10"/>
        <rFont val="Calibri"/>
        <family val="2"/>
        <scheme val="minor"/>
      </rPr>
      <t>- aguarda análise</t>
    </r>
    <r>
      <rPr>
        <b/>
        <sz val="10"/>
        <rFont val="Calibri"/>
        <family val="2"/>
        <scheme val="minor"/>
      </rPr>
      <t xml:space="preserve">
DMF </t>
    </r>
    <r>
      <rPr>
        <sz val="10"/>
        <rFont val="Calibri"/>
        <family val="2"/>
        <scheme val="minor"/>
      </rPr>
      <t>- aguarda análise</t>
    </r>
    <r>
      <rPr>
        <b/>
        <sz val="10"/>
        <rFont val="Calibri"/>
        <family val="2"/>
        <scheme val="minor"/>
      </rPr>
      <t xml:space="preserve">
Bioquivalência/BDR - </t>
    </r>
    <r>
      <rPr>
        <sz val="10"/>
        <rFont val="Calibri"/>
        <family val="2"/>
        <scheme val="minor"/>
      </rPr>
      <t>concluída análise</t>
    </r>
    <r>
      <rPr>
        <b/>
        <sz val="10"/>
        <rFont val="Calibri"/>
        <family val="2"/>
        <scheme val="minor"/>
      </rPr>
      <t xml:space="preserve">
Bula e Rotulagem -</t>
    </r>
    <r>
      <rPr>
        <sz val="10"/>
        <rFont val="Calibri"/>
        <family val="2"/>
        <scheme val="minor"/>
      </rPr>
      <t>aguarda análise</t>
    </r>
    <r>
      <rPr>
        <sz val="10"/>
        <color rgb="FFFF0000"/>
        <rFont val="Calibri"/>
        <family val="2"/>
        <scheme val="minor"/>
      </rPr>
      <t xml:space="preserve">
</t>
    </r>
  </si>
  <si>
    <r>
      <rPr>
        <b/>
        <sz val="10"/>
        <rFont val="Arial"/>
        <family val="2"/>
      </rPr>
      <t>Qualidade</t>
    </r>
    <r>
      <rPr>
        <sz val="10"/>
        <rFont val="Arial"/>
        <family val="2"/>
      </rPr>
      <t xml:space="preserve"> - aguarda análise
</t>
    </r>
    <r>
      <rPr>
        <b/>
        <sz val="10"/>
        <rFont val="Arial"/>
        <family val="2"/>
      </rPr>
      <t xml:space="preserve">DMF </t>
    </r>
    <r>
      <rPr>
        <sz val="10"/>
        <rFont val="Arial"/>
        <family val="2"/>
      </rPr>
      <t xml:space="preserve">- aguarda análise
</t>
    </r>
    <r>
      <rPr>
        <b/>
        <sz val="10"/>
        <rFont val="Arial"/>
        <family val="2"/>
      </rPr>
      <t xml:space="preserve">Bioquivalência/BDR </t>
    </r>
    <r>
      <rPr>
        <sz val="10"/>
        <rFont val="Arial"/>
        <family val="2"/>
      </rPr>
      <t xml:space="preserve">- concluida analise
</t>
    </r>
    <r>
      <rPr>
        <b/>
        <sz val="10"/>
        <rFont val="Arial"/>
        <family val="2"/>
      </rPr>
      <t>Bula e Rotulagem</t>
    </r>
    <r>
      <rPr>
        <sz val="10"/>
        <rFont val="Arial"/>
        <family val="2"/>
      </rPr>
      <t xml:space="preserve"> -aguarda análise</t>
    </r>
  </si>
  <si>
    <r>
      <rPr>
        <b/>
        <sz val="10"/>
        <rFont val="Arial"/>
        <family val="2"/>
      </rPr>
      <t xml:space="preserve">Qualidade - </t>
    </r>
    <r>
      <rPr>
        <sz val="10"/>
        <rFont val="Arial"/>
        <family val="2"/>
      </rPr>
      <t>aguarda análise</t>
    </r>
    <r>
      <rPr>
        <b/>
        <sz val="10"/>
        <rFont val="Arial"/>
        <family val="2"/>
      </rPr>
      <t xml:space="preserve">
DMF - </t>
    </r>
    <r>
      <rPr>
        <sz val="10"/>
        <rFont val="Arial"/>
        <family val="2"/>
      </rPr>
      <t>oficio recebido aguarda retorno SAT</t>
    </r>
    <r>
      <rPr>
        <b/>
        <sz val="10"/>
        <rFont val="Arial"/>
        <family val="2"/>
      </rPr>
      <t xml:space="preserve">
Bioquivalência/BDR - </t>
    </r>
    <r>
      <rPr>
        <sz val="10"/>
        <rFont val="Arial"/>
        <family val="2"/>
      </rPr>
      <t>aguarda análise</t>
    </r>
    <r>
      <rPr>
        <b/>
        <sz val="10"/>
        <rFont val="Arial"/>
        <family val="2"/>
      </rPr>
      <t xml:space="preserve">
Bula e Rotulagem -</t>
    </r>
    <r>
      <rPr>
        <sz val="10"/>
        <rFont val="Arial"/>
        <family val="2"/>
      </rPr>
      <t>aguarda análise</t>
    </r>
  </si>
  <si>
    <r>
      <rPr>
        <strike/>
        <sz val="10"/>
        <rFont val="Calibri"/>
        <family val="2"/>
        <scheme val="minor"/>
      </rPr>
      <t>Setembro/20
Julho/21</t>
    </r>
    <r>
      <rPr>
        <sz val="10"/>
        <rFont val="Calibri"/>
        <family val="2"/>
        <scheme val="minor"/>
      </rPr>
      <t xml:space="preserve">
</t>
    </r>
    <r>
      <rPr>
        <strike/>
        <sz val="10"/>
        <rFont val="Calibri"/>
        <family val="2"/>
        <scheme val="minor"/>
      </rPr>
      <t xml:space="preserve">Março/21 
</t>
    </r>
    <r>
      <rPr>
        <sz val="10"/>
        <rFont val="Calibri"/>
        <family val="2"/>
        <scheme val="minor"/>
      </rPr>
      <t>Junho/21</t>
    </r>
  </si>
  <si>
    <r>
      <rPr>
        <b/>
        <sz val="10"/>
        <rFont val="Calibri"/>
        <family val="2"/>
        <scheme val="minor"/>
      </rPr>
      <t xml:space="preserve">Qualidade - </t>
    </r>
    <r>
      <rPr>
        <sz val="10"/>
        <rFont val="Calibri"/>
        <family val="2"/>
        <scheme val="minor"/>
      </rPr>
      <t>Em exigência</t>
    </r>
    <r>
      <rPr>
        <b/>
        <sz val="10"/>
        <rFont val="Calibri"/>
        <family val="2"/>
        <scheme val="minor"/>
      </rPr>
      <t xml:space="preserve">
DMF - a</t>
    </r>
    <r>
      <rPr>
        <sz val="10"/>
        <rFont val="Calibri"/>
        <family val="2"/>
        <scheme val="minor"/>
      </rPr>
      <t>guarda análise</t>
    </r>
    <r>
      <rPr>
        <b/>
        <sz val="10"/>
        <rFont val="Calibri"/>
        <family val="2"/>
        <scheme val="minor"/>
      </rPr>
      <t xml:space="preserve">
Segurança e Eficacia/BDR - </t>
    </r>
    <r>
      <rPr>
        <sz val="10"/>
        <rFont val="Calibri"/>
        <family val="2"/>
        <scheme val="minor"/>
      </rPr>
      <t xml:space="preserve">concluída análise
</t>
    </r>
    <r>
      <rPr>
        <b/>
        <sz val="10"/>
        <rFont val="Calibri"/>
        <family val="2"/>
        <scheme val="minor"/>
      </rPr>
      <t xml:space="preserve">BDR </t>
    </r>
    <r>
      <rPr>
        <sz val="10"/>
        <rFont val="Calibri"/>
        <family val="2"/>
        <scheme val="minor"/>
      </rPr>
      <t>- concluída análise</t>
    </r>
    <r>
      <rPr>
        <b/>
        <sz val="10"/>
        <rFont val="Calibri"/>
        <family val="2"/>
        <scheme val="minor"/>
      </rPr>
      <t xml:space="preserve">
Bula e Rotulagem - </t>
    </r>
    <r>
      <rPr>
        <sz val="10"/>
        <rFont val="Calibri"/>
        <family val="2"/>
        <scheme val="minor"/>
      </rPr>
      <t xml:space="preserve">anuído (03/05/2021)
</t>
    </r>
  </si>
  <si>
    <t xml:space="preserve">Hemitartarato de zolpidem </t>
  </si>
  <si>
    <t xml:space="preserve">Ana Carolina </t>
  </si>
  <si>
    <t>25351.173177/2021-16</t>
  </si>
  <si>
    <t>0957574/21-0</t>
  </si>
  <si>
    <r>
      <rPr>
        <b/>
        <sz val="10"/>
        <rFont val="Calibri"/>
        <family val="2"/>
        <scheme val="minor"/>
      </rPr>
      <t xml:space="preserve">Situação matriz: </t>
    </r>
    <r>
      <rPr>
        <sz val="10"/>
        <rFont val="Calibri"/>
        <family val="2"/>
        <scheme val="minor"/>
      </rPr>
      <t xml:space="preserve">Publicado deferimento
</t>
    </r>
    <r>
      <rPr>
        <b/>
        <sz val="10"/>
        <rFont val="Calibri"/>
        <family val="2"/>
        <scheme val="minor"/>
      </rPr>
      <t>Situação clone:</t>
    </r>
    <r>
      <rPr>
        <sz val="10"/>
        <rFont val="Calibri"/>
        <family val="2"/>
        <scheme val="minor"/>
      </rPr>
      <t xml:space="preserve"> 
Situação atual
Desistência a pedido</t>
    </r>
  </si>
  <si>
    <t>25351.463418/2021-16</t>
  </si>
  <si>
    <t>1829000/21-1</t>
  </si>
  <si>
    <t>1298608/21-9</t>
  </si>
  <si>
    <r>
      <rPr>
        <strike/>
        <sz val="10"/>
        <rFont val="Calibri"/>
        <family val="2"/>
        <scheme val="minor"/>
      </rPr>
      <t>Dezembro/2020
Abril/21</t>
    </r>
    <r>
      <rPr>
        <sz val="10"/>
        <rFont val="Calibri"/>
        <family val="2"/>
        <scheme val="minor"/>
      </rPr>
      <t xml:space="preserve">
</t>
    </r>
    <r>
      <rPr>
        <strike/>
        <sz val="10"/>
        <rFont val="Calibri"/>
        <family val="2"/>
        <scheme val="minor"/>
      </rPr>
      <t>Março/21</t>
    </r>
    <r>
      <rPr>
        <sz val="10"/>
        <rFont val="Calibri"/>
        <family val="2"/>
        <scheme val="minor"/>
      </rPr>
      <t xml:space="preserve">
</t>
    </r>
    <r>
      <rPr>
        <strike/>
        <sz val="10"/>
        <rFont val="Calibri"/>
        <family val="2"/>
        <scheme val="minor"/>
      </rPr>
      <t>Abril/21</t>
    </r>
    <r>
      <rPr>
        <sz val="10"/>
        <rFont val="Calibri"/>
        <family val="2"/>
        <scheme val="minor"/>
      </rPr>
      <t xml:space="preserve">
</t>
    </r>
    <r>
      <rPr>
        <strike/>
        <sz val="10"/>
        <rFont val="Calibri"/>
        <family val="2"/>
        <scheme val="minor"/>
      </rPr>
      <t xml:space="preserve">1º SEM 2021
</t>
    </r>
    <r>
      <rPr>
        <sz val="10"/>
        <rFont val="Calibri"/>
        <family val="2"/>
        <scheme val="minor"/>
      </rPr>
      <t>2º SEM 2021</t>
    </r>
  </si>
  <si>
    <r>
      <rPr>
        <b/>
        <sz val="10"/>
        <rFont val="Calibri"/>
        <family val="2"/>
        <scheme val="minor"/>
      </rPr>
      <t xml:space="preserve">Qualidade - </t>
    </r>
    <r>
      <rPr>
        <sz val="10"/>
        <rFont val="Calibri"/>
        <family val="2"/>
        <scheme val="minor"/>
      </rPr>
      <t>concluída análise em 13/05/2021</t>
    </r>
    <r>
      <rPr>
        <b/>
        <sz val="10"/>
        <rFont val="Calibri"/>
        <family val="2"/>
        <scheme val="minor"/>
      </rPr>
      <t xml:space="preserve">
DMF - </t>
    </r>
    <r>
      <rPr>
        <sz val="10"/>
        <rFont val="Calibri"/>
        <family val="2"/>
        <scheme val="minor"/>
      </rPr>
      <t>concluída análise</t>
    </r>
    <r>
      <rPr>
        <b/>
        <sz val="10"/>
        <rFont val="Calibri"/>
        <family val="2"/>
        <scheme val="minor"/>
      </rPr>
      <t xml:space="preserve">
Segurança e Eficacia - </t>
    </r>
    <r>
      <rPr>
        <sz val="10"/>
        <rFont val="Calibri"/>
        <family val="2"/>
        <scheme val="minor"/>
      </rPr>
      <t>NA</t>
    </r>
    <r>
      <rPr>
        <b/>
        <sz val="10"/>
        <rFont val="Calibri"/>
        <family val="2"/>
        <scheme val="minor"/>
      </rPr>
      <t xml:space="preserve">
Bioquivalência -  </t>
    </r>
    <r>
      <rPr>
        <sz val="10"/>
        <rFont val="Calibri"/>
        <family val="2"/>
        <scheme val="minor"/>
      </rPr>
      <t>concluída análise</t>
    </r>
    <r>
      <rPr>
        <b/>
        <sz val="10"/>
        <rFont val="Calibri"/>
        <family val="2"/>
        <scheme val="minor"/>
      </rPr>
      <t xml:space="preserve">
Bula e Rotulagem - </t>
    </r>
    <r>
      <rPr>
        <sz val="10"/>
        <rFont val="Calibri"/>
        <family val="2"/>
        <scheme val="minor"/>
      </rPr>
      <t>Anuído</t>
    </r>
  </si>
  <si>
    <r>
      <rPr>
        <strike/>
        <sz val="10"/>
        <rFont val="Calibri"/>
        <family val="2"/>
        <scheme val="minor"/>
      </rPr>
      <t>Junho/21 
Julho/21</t>
    </r>
    <r>
      <rPr>
        <sz val="10"/>
        <rFont val="Calibri"/>
        <family val="2"/>
        <scheme val="minor"/>
      </rPr>
      <t xml:space="preserve">
2º Sem/2021</t>
    </r>
  </si>
  <si>
    <r>
      <rPr>
        <strike/>
        <sz val="10"/>
        <rFont val="Calibri"/>
        <family val="2"/>
        <scheme val="minor"/>
      </rPr>
      <t>Setembro/2021</t>
    </r>
    <r>
      <rPr>
        <sz val="10"/>
        <rFont val="Calibri"/>
        <family val="2"/>
        <scheme val="minor"/>
      </rPr>
      <t xml:space="preserve">
</t>
    </r>
    <r>
      <rPr>
        <strike/>
        <sz val="10"/>
        <rFont val="Calibri"/>
        <family val="2"/>
        <scheme val="minor"/>
      </rPr>
      <t>Outubro/2021</t>
    </r>
    <r>
      <rPr>
        <sz val="10"/>
        <rFont val="Calibri"/>
        <family val="2"/>
        <scheme val="minor"/>
      </rPr>
      <t xml:space="preserve">
2º Sem/2021</t>
    </r>
  </si>
  <si>
    <r>
      <rPr>
        <strike/>
        <sz val="10"/>
        <rFont val="Arial"/>
        <family val="2"/>
      </rPr>
      <t>Maio/21</t>
    </r>
    <r>
      <rPr>
        <sz val="10"/>
        <rFont val="Arial"/>
        <family val="2"/>
      </rPr>
      <t xml:space="preserve">
2º Sem/2021</t>
    </r>
  </si>
  <si>
    <t>80mg, 160mg e 320mg</t>
  </si>
  <si>
    <t xml:space="preserve">80 MG COM REV CT BL AL AL X 15
80 MG COM REV CT BL AL AL X 30
80 MG COM REV CT BL AL AL X 60
80 MG COM REV CT BL AL AL X 90
80 MG COM REV CT BL AL AL X 120
80 MG COM REV CX BL AL AL X 500
80 MG COM REV CT BL AL PLAS TRANS X 15
80 MG COM REV CT BL AL PLAS TRANS X 30
80 MG COM REV CT BL AL PLAS TRANS X 60
80 MG COM REV CT BL AL PLAS TRANS X 90
80 MG COM REV CT BL AL PLAS TRANS X 120
80 MG COM REV CX BL AL PLAS TRANS X 500
160 MG COM REV CT BL AL AL X 15
160 MG COM REV CT BL AL AL X 30
160 MG COM REV CT BL AL AL X 60
160 MG COM REV CT BL AL AL X 90
160 MG COM REV CT BL AL AL X 120
160 MG COM REV CX BL AL AL X 500
160 MG COM REV CT BL AL PLAS TRANS X 15
160 MG COM REV CT BL AL PLAS TRANS X 30
160 MG COM REV CT BL AL PLAS TRANS X 60
160 MG COM REV CT BL AL PLAS TRANS X 90
160 MG COM REV CT BL AL PLAS TRANS X 120
160 MG COM REV CX BL AL PLAS TRANS X 500
320 MG COM REV CT BL AL AL X 15
320 MG COM REV CT BL AL AL X 30
320 MG COM REV CT BL AL AL X 60
320 MG COM REV CT BL AL AL X 90
320 MG COM REV CT BL AL AL X 120
320 MG COM REV CX BL AL AL X 500
320 MG COM REV CT BL AL PLAS TRANS X 15
320 MG COM REV CT BL AL PLAS TRANS X 30
320 MG COM REV CT BL AL PLAS TRANS X 60
320 MG COM REV CT BL AL PLAS TRANS X 90
320 MG COM REV CT BL AL PLAS TRANS X 120
320 MG COM REV CX BL AL PLAS TRANS X 500
</t>
  </si>
  <si>
    <t xml:space="preserve">25351.596243/2011-71 </t>
  </si>
  <si>
    <r>
      <rPr>
        <b/>
        <sz val="10"/>
        <rFont val="Arial"/>
        <family val="2"/>
      </rPr>
      <t>NEOSARTAN</t>
    </r>
    <r>
      <rPr>
        <sz val="10"/>
        <rFont val="Arial"/>
        <family val="2"/>
      </rPr>
      <t xml:space="preserve">
Genérico (Brainfarma)</t>
    </r>
  </si>
  <si>
    <t>PR2502/21</t>
  </si>
  <si>
    <t>1464775/21-3</t>
  </si>
  <si>
    <t>14/05/2021</t>
  </si>
  <si>
    <t xml:space="preserve">Clone retirado da fila.
Situação clone:
Aguardando análise do medicamento matriz
Encontra-se na
GGMED - 
Desde: 26/06/2019
Situação Matriz:
Concluída análise
 Encontra-se na: GQMED  Enc.: 13/05/2021
</t>
  </si>
  <si>
    <r>
      <t xml:space="preserve">Situação clone:
Aguardando análise do medicamento matriz
Encontra-se na
GGMED - 
Desde: 02/08/2019
</t>
    </r>
    <r>
      <rPr>
        <b/>
        <sz val="10"/>
        <rFont val="Calibri"/>
        <family val="2"/>
        <scheme val="minor"/>
      </rPr>
      <t>Situação da Desistência</t>
    </r>
    <r>
      <rPr>
        <sz val="10"/>
        <rFont val="Calibri"/>
        <family val="2"/>
        <scheme val="minor"/>
      </rPr>
      <t xml:space="preserve">
Distribuido para a área responsável
Encontra-se na
CBRES
Desde: 31/03/2021</t>
    </r>
  </si>
  <si>
    <t>Clone: Distribuído para a área responsável
GEPRE.D 
Desde: 21/01/2020
 Situação matriz:
Em análise.
 Encontra-se na GQMED - Desde 15/03/2020</t>
  </si>
  <si>
    <t>Situação atual: Em exigência
 Encontra-se na: ARQVO - 
Desde: 23/04/2021</t>
  </si>
  <si>
    <t>Situação atual
Aguardando análise do cumprimento de exigência
Encontra-se na
ARQVO
 Desde: 08/12/2020</t>
  </si>
  <si>
    <t>Clone: Não está na fila de análise
Situação atual
Aguardando análise do medicamento matriz
Encontra-se na
CBRES 
Desde: 23/03/2021
Matriz:110</t>
  </si>
  <si>
    <t>Clone: Situação atual: Aguardando análise do medicamento matriz
 Encontra-se na: CBRES 
 Enc.: 23/03/2021
 Matriz : Situação atual: Distribuído para a área responsável
 Encontra-se na: ARQVO
Desde: 18/11/2020 - 
Fila 102</t>
  </si>
  <si>
    <t>Publicado deferimento em DOU 17/05/2021</t>
  </si>
  <si>
    <r>
      <rPr>
        <strike/>
        <sz val="10"/>
        <rFont val="Arial"/>
        <family val="2"/>
      </rPr>
      <t xml:space="preserve">Maio/22 
</t>
    </r>
    <r>
      <rPr>
        <sz val="10"/>
        <rFont val="Arial"/>
        <family val="2"/>
      </rPr>
      <t>julho/2022 (Correção conforme a formula)</t>
    </r>
  </si>
  <si>
    <t xml:space="preserve">Clone retirado da fila.
Situação clone:
Aguardando análise do medicamento matriz
Encontra-se na
GGMED - 
Desde: 26/06/2019
Situação Matriz:
Concluída análise
 Encontra-se na: GGMED  Desde 17/05/2021
</t>
  </si>
  <si>
    <t>Situação Atual: 
Em análise do cumprimento de exigência
Encontra-se na
GQMED - 
Desde: 08/09/2020</t>
  </si>
  <si>
    <t>Clone: Não está na fila de análise
Situação atual
Aguardando análise do medicamento matriz
Encontra-se na
CBRES 
Desde: 23/03/2021
Matriz:107</t>
  </si>
  <si>
    <t>Clone: Situação atual: Aguardando análise do medicamento matriz
 Encontra-se na: CBRES 
 Enc.: 23/03/2021
 Matriz : Situação atual: Distribuído para a área responsável
 Encontra-se na: ARQVO
Desde: 18/11/2020 - 
Fila 99</t>
  </si>
  <si>
    <t>Clone: Distribuído para a área responsável
GEPRE.D  Desde: 20/01/2020
 Situação matriz:
Em análise.
 Encontra-se na GQMED - Desde 17/05/2020</t>
  </si>
  <si>
    <t>Clone: Distribuído para a área responsável
GEPRE.D 
Desde: 21/01/2020
 Situação matriz:
Em análise.
 Encontra-se na GQMED - Desde 17/05/2020</t>
  </si>
  <si>
    <t>2082950197</t>
  </si>
  <si>
    <t>21/05/2021</t>
  </si>
  <si>
    <t xml:space="preserve">769 - MEDICAMENTOS - (Certificação de BPF) de INDÚSTRIA INTERNACIONAL de SÓLIDOS NÃO ESTÉREIS, exceto MERCOSUL </t>
  </si>
  <si>
    <t>1_Aditamento para a CRMEC de bula, rotulagem e nome comercial protocolado em 06/06/2019 sob expediente nº 0504152/19-0.
2_Aditamento de estudo de biodisponibilidade relativa ou Bioisenção protocolado em 06/06/2019 sob expediente nº 0503100/19-1.
3_Aditamento à solicitação de registro (FIDR) protocolado em 06/06/2019 sob expediente nº 0504398/19-1.
4_Aditamento submetido por terceiro (closed part DMF) protocolado em (18/06/2019) sob expediente 0541395/19-8
5_ Publicado em 06/04/2020 pela RE Nº 950/2020 a prorrogação do prazo de análise para 122 dias. 
6_Recebido em 09/04/2020 comprovante de protocolo: 25352.939720/2020-50, expediente: 1079212201. Assunto: 10471 - Aditamento à solicitação de registro
7_Exigência recebida em 18/11/2020. Expediente: 4026605/20-2, referente a petição 2670187/20-1. Assunto: 11302 - Aditamento - análise de Dossiê de Insumo Farmacêutico Ativo (DIFA)
8_Exigência Nº: 4083869/20-2, recebida em 23/11/2020, assunto: registro de medicamento
9_Cumprida a exigência (4026605202) em 15/12/2020, sob o expediente: 4432517204, referente a petição 11302 - Aditamento - análise de Dossiê de Insumo Farmacêutico Ativo (DIFA)
10_Cumprida a exigência (4083869202) em 15/12/2020, sob expediente: 4436773205, referente petição 155 - GENERICO - Registro de Medicamento
11_Exigência nº 1510611/21-0, recebida em 26/04/2021, assunto: 11212 - GENÉRICO/SIMILAR - Documentação para análise de bula, dizeres derotulagem e nome comercial
12_ Cumprimento de exigência em 26/04/2021, sob expediente  1596232218.  Assunto: Documentação para análise de bula, dizeres derotulagem e nome comercial
13_Oficio nº 1625309214 recebido em 25/05/2021, aprovação da documentação para análise de bula, dizeres e rotulagem e nome comercial.  
Data inicial ds Fila: 7/6/2019
Descrisão incial da Fila: 135</t>
  </si>
  <si>
    <t xml:space="preserve">1_Aditamento ao processo para atualização dos estudos de estabilidade com os dados do time point de 12 meses, realizado no dia 28/05/2021, sob expediente 2060577213. </t>
  </si>
  <si>
    <t xml:space="preserve">
CBPF INTERNACIONAL</t>
  </si>
  <si>
    <t xml:space="preserve">
CBPF INTERNACIONAL DE MEDICAMENTOS</t>
  </si>
  <si>
    <t>28/05/2021</t>
  </si>
  <si>
    <t>Clone: Aguarda análise do medicamento matriz
Encontra-se na
CRMEC.D Enc.: 14/01/2020
Situação matriz:
Em análise do cumprimento de exigência
Encontra-se na GQMED
Desde: 30/03/2020</t>
  </si>
  <si>
    <t xml:space="preserve">Situação clone:
Aguardando análise do medicamento matriz
Encontra-se na
GGMED - 
Desde: 26/06/2019
Situação Matriz:
Publicado deferimento
 Encontra-se na: GGMED  Desde 19/05/2021
Situação da desistência
Distribuído para a área responsável
 Encontra-se na
CBRES Desde: 23/02/2021
</t>
  </si>
  <si>
    <t xml:space="preserve">Situação atual: Aguardando análise do insumo farmacêutico ativo
 Encontra-se na: GQMED -
Desde: 08/09/2020 </t>
  </si>
  <si>
    <t>Clone: Distribuído para a área responsável
GEPRE.D  Desde: 20/01/2020
 Situação matriz:
Em  exigência
 Encontra-se na GQMED - Desde 17/05/2020</t>
  </si>
  <si>
    <t>Clone: Não está na fila de análise
Situação atual
Aguardando análise do medicamento matriz
Encontra-se na
CBRES 
Desde: 23/03/2021
Matriz:98</t>
  </si>
  <si>
    <t>Clone: Situação atual: Aguardando análise do medicamento matriz
 Encontra-se na: CBRES 
 Enc.: 23/03/2021
 Matriz : Situação atual: Distribuído para a área responsável
 Encontra-se na: ARQVO
Desde: 18/11/2020 - 
Fila 90</t>
  </si>
  <si>
    <t>02/06/2021: Situação atual
Concluída análise
Encontra-se na
CETER Desde: 24/05/2021</t>
  </si>
  <si>
    <t xml:space="preserve">Situação atual
Desistência a pedido
Encontra-se na
CBRES 
Desde: 31/05/2021
Situação da desistência
Distribuído para a área responsável
 Encontra-se na
CBRES Desde: 23/02/2021
</t>
  </si>
  <si>
    <r>
      <t xml:space="preserve"> Situação atual: Desistência a pedido
 Encontra-se na: CBRES - Desde: 31/05/2021
</t>
    </r>
    <r>
      <rPr>
        <b/>
        <sz val="10"/>
        <rFont val="Calibri"/>
        <family val="2"/>
        <scheme val="minor"/>
      </rPr>
      <t>Situação da Desistência</t>
    </r>
    <r>
      <rPr>
        <sz val="10"/>
        <rFont val="Calibri"/>
        <family val="2"/>
        <scheme val="minor"/>
      </rPr>
      <t xml:space="preserve">
Distribuido para a área responsável
Encontra-se na
CBRES
Desde: 31/03/2021</t>
    </r>
  </si>
  <si>
    <t>Clone: Não está na fila de análise
Situação atual
Aguardando análise do medicamento matriz
Encontra-se na
CBRES 
Desde: 23/03/2021
Matriz:97</t>
  </si>
  <si>
    <t>Clone: Situação atual: Aguardando análise do medicamento matriz
 Encontra-se na: CBRES 
 Enc.: 23/03/2021
 Matriz : Situação atual: Distribuído para a área responsável
 Encontra-se na: ARQVO
Desde: 18/11/2020 - 
Fila 89</t>
  </si>
  <si>
    <t>Clone: Situação atual: Aguardando análise do medicamento matriz
 Encontra-se na: CBRES 
Desde: 27/01/2021
 Matriz: Situação atual: Distribuído para a área responsável
 Encontra-se na: ARQVO - ARQUIVO -_x000D_
Desde: 16/12/2020</t>
  </si>
  <si>
    <r>
      <rPr>
        <u/>
        <sz val="10"/>
        <rFont val="Arial"/>
        <family val="2"/>
      </rPr>
      <t xml:space="preserve">Processo Matriz:
</t>
    </r>
    <r>
      <rPr>
        <sz val="10"/>
        <rFont val="Arial"/>
        <family val="2"/>
      </rPr>
      <t xml:space="preserve">Produto Slinda.
Situação atual: Aguardando análise do cumprimento de exigência desde de 01/04/2021
</t>
    </r>
    <r>
      <rPr>
        <u/>
        <sz val="10"/>
        <rFont val="Arial"/>
        <family val="2"/>
      </rPr>
      <t>Processo Clone</t>
    </r>
    <r>
      <rPr>
        <sz val="10"/>
        <rFont val="Arial"/>
        <family val="2"/>
      </rPr>
      <t xml:space="preserve"> 
Nome comercial
1ª opção: LINTY
2ª opção:  AMMY
1_ Exigência nº2069174/21-2 recebida em 01/06/2021 da Coordenação de Bula e Rotulagem, registro simplificado e nome comercial. 
</t>
    </r>
  </si>
  <si>
    <t>Situação atual: Em exigência
 Encontra-se na: CBRES - Desde: 28/05/2021</t>
  </si>
  <si>
    <t>2º semestre/2021</t>
  </si>
  <si>
    <t>2032380/21-8</t>
  </si>
  <si>
    <t>CH
HELIO
CARLA DIAS</t>
  </si>
  <si>
    <t xml:space="preserve">SIG
ANA BIGUILIM
LUANA PINHEIRO
</t>
  </si>
  <si>
    <r>
      <rPr>
        <b/>
        <sz val="10"/>
        <rFont val="Calibri"/>
        <family val="2"/>
        <scheme val="minor"/>
      </rPr>
      <t xml:space="preserve">Qualidade - </t>
    </r>
    <r>
      <rPr>
        <sz val="10"/>
        <rFont val="Calibri"/>
        <family val="2"/>
        <scheme val="minor"/>
      </rPr>
      <t>aguardando análise do cumprimento de exigência</t>
    </r>
    <r>
      <rPr>
        <b/>
        <sz val="10"/>
        <rFont val="Calibri"/>
        <family val="2"/>
        <scheme val="minor"/>
      </rPr>
      <t xml:space="preserve">
DMF</t>
    </r>
    <r>
      <rPr>
        <b/>
        <sz val="10"/>
        <color rgb="FFFF0000"/>
        <rFont val="Calibri"/>
        <family val="2"/>
        <scheme val="minor"/>
      </rPr>
      <t xml:space="preserve"> </t>
    </r>
    <r>
      <rPr>
        <b/>
        <sz val="10"/>
        <rFont val="Calibri"/>
        <family val="2"/>
        <scheme val="minor"/>
      </rPr>
      <t xml:space="preserve">- </t>
    </r>
    <r>
      <rPr>
        <sz val="10"/>
        <rFont val="Calibri"/>
        <family val="2"/>
        <scheme val="minor"/>
      </rPr>
      <t>em exigência -  arquivamento temporário protocolado em 09/03/2021 - limite para desarquivamento e cumprimento da exigência 11/07/2021</t>
    </r>
    <r>
      <rPr>
        <b/>
        <sz val="10"/>
        <rFont val="Calibri"/>
        <family val="2"/>
        <scheme val="minor"/>
      </rPr>
      <t xml:space="preserve">
Segurança e Eficacia - </t>
    </r>
    <r>
      <rPr>
        <sz val="10"/>
        <rFont val="Calibri"/>
        <family val="2"/>
        <scheme val="minor"/>
      </rPr>
      <t>concluida análise</t>
    </r>
    <r>
      <rPr>
        <b/>
        <sz val="10"/>
        <rFont val="Calibri"/>
        <family val="2"/>
        <scheme val="minor"/>
      </rPr>
      <t xml:space="preserve">
Biodisponibilidade - </t>
    </r>
    <r>
      <rPr>
        <sz val="10"/>
        <rFont val="Calibri"/>
        <family val="2"/>
        <scheme val="minor"/>
      </rPr>
      <t>concluida análise</t>
    </r>
    <r>
      <rPr>
        <b/>
        <sz val="10"/>
        <rFont val="Calibri"/>
        <family val="2"/>
        <scheme val="minor"/>
      </rPr>
      <t xml:space="preserve">
Bula e Rotulagem - </t>
    </r>
    <r>
      <rPr>
        <sz val="10"/>
        <rFont val="Calibri"/>
        <family val="2"/>
        <scheme val="minor"/>
      </rPr>
      <t xml:space="preserve">Em exigência
</t>
    </r>
  </si>
  <si>
    <r>
      <rPr>
        <strike/>
        <sz val="10"/>
        <rFont val="Calibri"/>
        <family val="2"/>
        <scheme val="minor"/>
      </rPr>
      <t xml:space="preserve">Expectativa do parceiro informada em março 2020: novembro/2020
Previsão clone: novembro/2020
1º SEM 2021
Junho 2021
</t>
    </r>
    <r>
      <rPr>
        <sz val="10"/>
        <rFont val="Calibri"/>
        <family val="2"/>
        <scheme val="minor"/>
      </rPr>
      <t xml:space="preserve">
</t>
    </r>
    <r>
      <rPr>
        <strike/>
        <sz val="10"/>
        <rFont val="Calibri"/>
        <family val="2"/>
        <scheme val="minor"/>
      </rPr>
      <t xml:space="preserve">Expectativa parceiro: Junho/21
</t>
    </r>
    <r>
      <rPr>
        <sz val="10"/>
        <rFont val="Calibri"/>
        <family val="2"/>
        <scheme val="minor"/>
      </rPr>
      <t>Expectativa: dez/21</t>
    </r>
    <r>
      <rPr>
        <strike/>
        <sz val="10"/>
        <rFont val="Calibri"/>
        <family val="2"/>
        <scheme val="minor"/>
      </rPr>
      <t xml:space="preserve">
</t>
    </r>
  </si>
  <si>
    <r>
      <rPr>
        <strike/>
        <sz val="10"/>
        <rFont val="Calibri"/>
        <family val="2"/>
        <scheme val="minor"/>
      </rPr>
      <t>Expectativa do parceiro informada em março 2020: novembro/2020
Previsão clone: novembro/2020
1º SEM 2021
Junho 2021</t>
    </r>
    <r>
      <rPr>
        <sz val="10"/>
        <rFont val="Calibri"/>
        <family val="2"/>
        <scheme val="minor"/>
      </rPr>
      <t xml:space="preserve">
</t>
    </r>
    <r>
      <rPr>
        <strike/>
        <sz val="10"/>
        <rFont val="Calibri"/>
        <family val="2"/>
        <scheme val="minor"/>
      </rPr>
      <t xml:space="preserve">Expectativa parceiro: Junho/21
</t>
    </r>
    <r>
      <rPr>
        <sz val="10"/>
        <rFont val="Calibri"/>
        <family val="2"/>
        <scheme val="minor"/>
      </rPr>
      <t>Expectativa: dez/21</t>
    </r>
  </si>
  <si>
    <r>
      <rPr>
        <strike/>
        <sz val="10"/>
        <rFont val="Calibri"/>
        <family val="2"/>
        <scheme val="minor"/>
      </rPr>
      <t>Junho/21</t>
    </r>
    <r>
      <rPr>
        <sz val="10"/>
        <rFont val="Calibri"/>
        <family val="2"/>
        <scheme val="minor"/>
      </rPr>
      <t xml:space="preserve">
</t>
    </r>
    <r>
      <rPr>
        <strike/>
        <sz val="10"/>
        <rFont val="Calibri"/>
        <family val="2"/>
        <scheme val="minor"/>
      </rPr>
      <t xml:space="preserve">Agosto/21
</t>
    </r>
    <r>
      <rPr>
        <sz val="10"/>
        <rFont val="Calibri"/>
        <family val="2"/>
        <scheme val="minor"/>
      </rPr>
      <t>2º semestre/21</t>
    </r>
  </si>
  <si>
    <r>
      <rPr>
        <b/>
        <sz val="10"/>
        <rFont val="Calibri"/>
        <family val="2"/>
        <scheme val="minor"/>
      </rPr>
      <t xml:space="preserve">Petição 415/20 - </t>
    </r>
    <r>
      <rPr>
        <sz val="10"/>
        <rFont val="Calibri"/>
        <family val="2"/>
        <scheme val="minor"/>
      </rPr>
      <t>anuído - aguarda DOU</t>
    </r>
    <r>
      <rPr>
        <b/>
        <sz val="10"/>
        <rFont val="Calibri"/>
        <family val="2"/>
        <scheme val="minor"/>
      </rPr>
      <t xml:space="preserve">
Qualidade </t>
    </r>
    <r>
      <rPr>
        <sz val="10"/>
        <rFont val="Calibri"/>
        <family val="2"/>
        <scheme val="minor"/>
      </rPr>
      <t>- aguardando análise exigência</t>
    </r>
    <r>
      <rPr>
        <b/>
        <sz val="10"/>
        <rFont val="Calibri"/>
        <family val="2"/>
        <scheme val="minor"/>
      </rPr>
      <t xml:space="preserve">
DMF </t>
    </r>
    <r>
      <rPr>
        <sz val="10"/>
        <rFont val="Calibri"/>
        <family val="2"/>
        <scheme val="minor"/>
      </rPr>
      <t>- petição encerrada</t>
    </r>
    <r>
      <rPr>
        <b/>
        <sz val="10"/>
        <rFont val="Calibri"/>
        <family val="2"/>
        <scheme val="minor"/>
      </rPr>
      <t xml:space="preserve">
Bioquivalência - </t>
    </r>
    <r>
      <rPr>
        <sz val="10"/>
        <rFont val="Calibri"/>
        <family val="2"/>
        <scheme val="minor"/>
      </rPr>
      <t>aguarda análise</t>
    </r>
    <r>
      <rPr>
        <b/>
        <sz val="10"/>
        <rFont val="Calibri"/>
        <family val="2"/>
        <scheme val="minor"/>
      </rPr>
      <t xml:space="preserve">
Bula e Rotulagem -</t>
    </r>
    <r>
      <rPr>
        <sz val="10"/>
        <rFont val="Calibri"/>
        <family val="2"/>
        <scheme val="minor"/>
      </rPr>
      <t>aguarda análise</t>
    </r>
    <r>
      <rPr>
        <sz val="10"/>
        <color rgb="FFFF0000"/>
        <rFont val="Calibri"/>
        <family val="2"/>
        <scheme val="minor"/>
      </rPr>
      <t xml:space="preserve">
</t>
    </r>
  </si>
  <si>
    <r>
      <rPr>
        <strike/>
        <sz val="10"/>
        <rFont val="Calibri"/>
        <family val="2"/>
        <scheme val="minor"/>
      </rPr>
      <t>Março/21
Abril/21 
1º SEM 2021</t>
    </r>
    <r>
      <rPr>
        <sz val="10"/>
        <rFont val="Calibri"/>
        <family val="2"/>
        <scheme val="minor"/>
      </rPr>
      <t xml:space="preserve">
julho/21</t>
    </r>
  </si>
  <si>
    <t>Nuit flash</t>
  </si>
  <si>
    <t>11/06/2021</t>
  </si>
  <si>
    <t>Clone: Situação atual: Aguardando análise do medicamento matriz
 Encontra-se na: CBRES 
 Enc.: 23/03/2021
 Matriz : Situação atual: Distribuído para a área responsável
 Encontra-se na: ARQVO
Desde: 18/11/2020 - 
Fila 87</t>
  </si>
  <si>
    <t>02/06/2021</t>
  </si>
  <si>
    <t>Clone: Não está na fila de análise
Situação atual
Aguardando análise do medicamento matriz
Encontra-se na
CBRES 
Desde: 23/03/2021
Matriz:94</t>
  </si>
  <si>
    <t>Slinda</t>
  </si>
  <si>
    <t>1_Exigência nº1526951/21-5 recebida em 26/04/2021, assunto: 10490 - SIMILAR - Registro de Produto - CLONE
2_Cumprida exigência em 14/06/2021 sob expediente: 2302509218. Assunto: SIMILAR - Registro de Produto - CLONE</t>
  </si>
  <si>
    <t>Publicado indeferimento
Desistência do recurso anuída</t>
  </si>
  <si>
    <t>28/out/20: Expectativa Althaia de receber a primeira exigência da Desvenlafaxina 50mg em novembro ou dezembro deste ano, com deferimento ocorrendo em junho 21
15/03/2021: entrada em análise da inclusão de concentração no matriz
25/05/21 - exigência recebida qualidade - Parceiro informou que sera cumprida em set/21</t>
  </si>
  <si>
    <t>28/out/20: Expecativa Althaia de receber a primeira exigência da Desvenlafaxina 50mg em novembro ou dezembro deste ano, com deferimento ocorrendo em junho 21
15/03/2021: entrada em análise da inclusão de concentração no matriz
25/05/21 - exigência recebida quallidade - Parceiro informou que sera cumprida em set/21</t>
  </si>
  <si>
    <r>
      <rPr>
        <b/>
        <sz val="10"/>
        <rFont val="Calibri"/>
        <family val="2"/>
        <scheme val="minor"/>
      </rPr>
      <t xml:space="preserve">Qualidade - </t>
    </r>
    <r>
      <rPr>
        <sz val="10"/>
        <rFont val="Calibri"/>
        <family val="2"/>
        <scheme val="minor"/>
      </rPr>
      <t>em análise 15.06/21</t>
    </r>
    <r>
      <rPr>
        <b/>
        <sz val="10"/>
        <rFont val="Calibri"/>
        <family val="2"/>
        <scheme val="minor"/>
      </rPr>
      <t xml:space="preserve">
DMF - </t>
    </r>
    <r>
      <rPr>
        <sz val="10"/>
        <rFont val="Calibri"/>
        <family val="2"/>
        <scheme val="minor"/>
      </rPr>
      <t>Aguarda Análise</t>
    </r>
    <r>
      <rPr>
        <b/>
        <sz val="10"/>
        <rFont val="Calibri"/>
        <family val="2"/>
        <scheme val="minor"/>
      </rPr>
      <t xml:space="preserve">
Segurança e Eficacia/BDR - </t>
    </r>
    <r>
      <rPr>
        <sz val="10"/>
        <rFont val="Calibri"/>
        <family val="2"/>
        <scheme val="minor"/>
      </rPr>
      <t xml:space="preserve"> concluída analise</t>
    </r>
    <r>
      <rPr>
        <b/>
        <sz val="10"/>
        <rFont val="Calibri"/>
        <family val="2"/>
        <scheme val="minor"/>
      </rPr>
      <t xml:space="preserve">
Bula e Rotulagem -</t>
    </r>
    <r>
      <rPr>
        <sz val="10"/>
        <rFont val="Calibri"/>
        <family val="2"/>
        <scheme val="minor"/>
      </rPr>
      <t xml:space="preserve"> aguarda análise
</t>
    </r>
    <r>
      <rPr>
        <b/>
        <sz val="10"/>
        <rFont val="Calibri"/>
        <family val="2"/>
        <scheme val="minor"/>
      </rPr>
      <t>BDR CETER</t>
    </r>
    <r>
      <rPr>
        <sz val="10"/>
        <rFont val="Calibri"/>
        <family val="2"/>
        <scheme val="minor"/>
      </rPr>
      <t xml:space="preserve"> - Concluída análise</t>
    </r>
  </si>
  <si>
    <t xml:space="preserve">5 MG COM REV CT BL AL PLAS TRANS X 12 </t>
  </si>
  <si>
    <t xml:space="preserve">1_Exigência nº2315257/21-5 recebida em 16/06/2021 sobre nome comercial. </t>
  </si>
  <si>
    <t>Questões técnicas : 1. As epecificações do teste de dissolução não poderiam ser aceitas para fins de registro ; 2. produto com tempo de liberação muito diferentes, ausência de avaliação dos seguintes parâmetros no desenvolvimento de dissolução - avaliação quantitativa, demonstrar  que meio de dissolução é mais adequado  á substância ativa ,  que o aparato da rotação  e os filtros  mais adequados ,  ultilização de âncoras,  comprovar necessidade de uso de tensoativos, escolha do valor de Q , necessidade da aplicação de método de degradação, quando aplicável. 3. metodologia ultilizada  para detecção de produtos de degradação não é adequada ao produto, pois a validação nao demonstrou que este possua seletividade e especificidade aceitável na presença de suas impurezas. 4. Dos estudos  de equivalência farmacêutica  não serão aceitos pois nao foi comprovado  o prazo de validade e   a equivalência farmacêutica não será aceita  aja vista que, nao foi atendida o Art.3° da Resolução - RDC n° 31, de agosto de 2010.
Data de Publicação do Indeferimento: 03/06/2013
Data do protocolo do Recurso: 13/06/2013
Expediente do Recurso: 0474725139
15/06/2021: Solicitado desistência do recurso sob expediente: 2316688217
16/06/2021: Desistencia anuída</t>
  </si>
  <si>
    <t>Questões técnicas : 1. As epecificações do teste de dissolução não poderiam ser aceitas para fins de registro ; 2. produto com tempo de liberação muito diferentes, ausência de avaliação dos seguintes parâmetros no desenvolvimento de dissolução - avaliação quantitativa, demonstrar  que meio de dissolução é mais adequado  á substância ativa ,  que o aparato da rotação  e os filtros  mais adequados ,  ultilização de âncoras,  comprovar necessidade de uso de tensoativos, escolha do valor de Q , necessidade da aplicação de método de degradação, quando aplicável. 3. metodologia ultilizada  para detecção de produtos de degradação não é adequada ao produto, pois a validação nao demonstrou que este possua seletividade e especificidade aceitável na presença de suas impurezas. 4. Dos estudos  de equivalência farmacêutica  não serão aceitos pois nao foi comprovado  o prazo de validade e   a equivalência farmacêutica não será aceita  aja vista que, nao foi atendida o Art.3° da Resolução - RDC n° 31, de agosto de 2010.
Data de Publicação do Indeferimento: 03/06/2013
Data do protocolo do Recurso: 13/06/2013
Expediente do Recurso: 0475382138 
15/06/2021: Solicitado desistência do recurso sob expediente: 2316688217
16/06/2021: Desistencia anuída</t>
  </si>
  <si>
    <t xml:space="preserve">BALKANPHARMA-DUPNITSA AD
</t>
  </si>
  <si>
    <t>CLORIDRATO DE METILFENIDATO</t>
  </si>
  <si>
    <t>25351.634162/2021-20</t>
  </si>
  <si>
    <t>2344713/21-2</t>
  </si>
  <si>
    <t>Status de petições paralelas / aditamentos
ATUALIZADO 18/Jun/2021</t>
  </si>
  <si>
    <t>18/06/2021</t>
  </si>
  <si>
    <r>
      <rPr>
        <b/>
        <sz val="10"/>
        <rFont val="Calibri"/>
        <family val="2"/>
        <scheme val="minor"/>
      </rPr>
      <t>Qualidade -</t>
    </r>
    <r>
      <rPr>
        <sz val="10"/>
        <rFont val="Calibri"/>
        <family val="2"/>
        <scheme val="minor"/>
      </rPr>
      <t xml:space="preserve"> concluida analise 11.06</t>
    </r>
    <r>
      <rPr>
        <b/>
        <sz val="10"/>
        <rFont val="Calibri"/>
        <family val="2"/>
        <scheme val="minor"/>
      </rPr>
      <t xml:space="preserve">
DMF - </t>
    </r>
    <r>
      <rPr>
        <sz val="10"/>
        <rFont val="Calibri"/>
        <family val="2"/>
        <scheme val="minor"/>
      </rPr>
      <t>aguardando análise - oficio respondido em 09/07/20</t>
    </r>
    <r>
      <rPr>
        <b/>
        <sz val="10"/>
        <rFont val="Calibri"/>
        <family val="2"/>
        <scheme val="minor"/>
      </rPr>
      <t xml:space="preserve">
Segurança e Eficacia - </t>
    </r>
    <r>
      <rPr>
        <sz val="10"/>
        <rFont val="Calibri"/>
        <family val="2"/>
        <scheme val="minor"/>
      </rPr>
      <t>análise concluída</t>
    </r>
    <r>
      <rPr>
        <b/>
        <sz val="10"/>
        <rFont val="Calibri"/>
        <family val="2"/>
        <scheme val="minor"/>
      </rPr>
      <t xml:space="preserve">
Biodisponibilidade - </t>
    </r>
    <r>
      <rPr>
        <sz val="10"/>
        <rFont val="Calibri"/>
        <family val="2"/>
        <scheme val="minor"/>
      </rPr>
      <t>concluída análise</t>
    </r>
    <r>
      <rPr>
        <b/>
        <sz val="10"/>
        <rFont val="Calibri"/>
        <family val="2"/>
        <scheme val="minor"/>
      </rPr>
      <t xml:space="preserve">
Bula e Rotulagem - </t>
    </r>
    <r>
      <rPr>
        <sz val="10"/>
        <rFont val="Calibri"/>
        <family val="2"/>
        <scheme val="minor"/>
      </rPr>
      <t>concluída analise 12.06  
Previsão de publicação: 28/06/2021</t>
    </r>
  </si>
  <si>
    <t>Situação da Desistência 
Distribuído para a área responsável
Encontra-se na
CBRES Desde: 30/03/2021</t>
  </si>
  <si>
    <t>Situação atual
Desistência a pedido
Encontra-se na
CBRES 
Desde: 31/05/2021
Situação da desistência
Distribuído para a área responsável
 Encontra-se na
CBRES Desde: 23/02/2021</t>
  </si>
  <si>
    <t>Situação atual
Em análise
Encontra-se na
ARQVO Desde: 22/04/2021</t>
  </si>
  <si>
    <t>Clone: Situação atual: Aguardando análise do medicamento matriz
 Encontra-se na: CBRES
Desde: 20/05/2020
 Matriz: Situação atual: Em análise
 Encontra-se na: ARQVO - ARQUIVO - 
Desde: 22/04/2021</t>
  </si>
  <si>
    <r>
      <rPr>
        <strike/>
        <sz val="10"/>
        <rFont val="Calibri"/>
        <family val="2"/>
        <scheme val="minor"/>
      </rPr>
      <t>Expectativa do parceiro informada em 02/abril/2020: Maio 2020
Expectativa clone (+1mês genêrico):  Junho 2020
Expectativa do parceiro informada em 14/abril/2020: Matriz: Setembro/2020 - sob exigência
Expectativa clone: Dezembro/2020</t>
    </r>
    <r>
      <rPr>
        <sz val="10"/>
        <rFont val="Calibri"/>
        <family val="2"/>
        <scheme val="minor"/>
      </rPr>
      <t xml:space="preserve">
</t>
    </r>
    <r>
      <rPr>
        <strike/>
        <sz val="10"/>
        <rFont val="Calibri"/>
        <family val="2"/>
        <scheme val="minor"/>
      </rPr>
      <t>Expectativa do parceiro informada em 30/jul/2020: Matriz: Novembro/2020 - sob exigência
Expectativa clone: Fevereiro/2021</t>
    </r>
    <r>
      <rPr>
        <sz val="10"/>
        <rFont val="Calibri"/>
        <family val="2"/>
        <scheme val="minor"/>
      </rPr>
      <t xml:space="preserve">
</t>
    </r>
    <r>
      <rPr>
        <strike/>
        <sz val="10"/>
        <rFont val="Calibri"/>
        <family val="2"/>
        <scheme val="minor"/>
      </rPr>
      <t xml:space="preserve">Expectativa matriz: Dezembro/20
Expectativa clone: 1º TRI 2021
</t>
    </r>
    <r>
      <rPr>
        <sz val="10"/>
        <rFont val="Calibri"/>
        <family val="2"/>
        <scheme val="minor"/>
      </rPr>
      <t xml:space="preserve">
</t>
    </r>
    <r>
      <rPr>
        <strike/>
        <sz val="10"/>
        <rFont val="Calibri"/>
        <family val="2"/>
        <scheme val="minor"/>
      </rPr>
      <t>Expectativa matriz: aguardando posicionamento do parceiro</t>
    </r>
    <r>
      <rPr>
        <sz val="10"/>
        <rFont val="Calibri"/>
        <family val="2"/>
        <scheme val="minor"/>
      </rPr>
      <t xml:space="preserve">
</t>
    </r>
    <r>
      <rPr>
        <strike/>
        <sz val="10"/>
        <rFont val="Calibri"/>
        <family val="2"/>
        <scheme val="minor"/>
      </rPr>
      <t>Expectativa clone: 1º SEM 2021</t>
    </r>
    <r>
      <rPr>
        <sz val="10"/>
        <rFont val="Calibri"/>
        <family val="2"/>
        <scheme val="minor"/>
      </rPr>
      <t xml:space="preserve">
Expectativa clone: 2º SEM 2021
Expectativa Parceiro: Final de julho/2021
Expectativa clone: 2º SEM 2021</t>
    </r>
  </si>
  <si>
    <t>Clone: Não está na fila de análise
Situação atual
Aguardando análise do medicamento matriz
Encontra-se na
CBRES 
Desde: 23/03/2021
Matriz:92</t>
  </si>
  <si>
    <t>Clone: Situação atual: Aguardando análise do medicamento matriz
 Encontra-se na: CBRES 
 Enc.: 23/03/2021
 Matriz : Situação atual: Distribuído para a área responsável
 Encontra-se na: ARQVO
Desde: 18/11/2020 - 
Fila 84</t>
  </si>
  <si>
    <t>Clone: Situação atual: Aguardando análise do medicamento matriz
 Encontra-se na: CBRES 
Desde: 27/01/2021
 Matriz: Situação atual: Distribuído para a área responsável
 Encontra-se na: ARQVO - ARQUIVO -_x000D_
Desde: 16/12/2020
Matriz: 99</t>
  </si>
  <si>
    <t xml:space="preserve">Situação atual: Aguardando análise do medicamento matriz. Encontra-se na: CBRES - 
 Enc.: 25/03/2021
 Matriz : Situação atual: Distribuído para a área responsável
 Encontra-se na: ARQVO - 
Desde: 22/12/2020.
Matriz: 107 
 </t>
  </si>
  <si>
    <r>
      <rPr>
        <b/>
        <sz val="10"/>
        <rFont val="Arial"/>
        <family val="2"/>
      </rPr>
      <t>Matriz:</t>
    </r>
    <r>
      <rPr>
        <sz val="10"/>
        <rFont val="Arial"/>
        <family val="2"/>
      </rPr>
      <t xml:space="preserve">
Situação atual: Em exigência desde 23/04/2021</t>
    </r>
  </si>
  <si>
    <t>Situação atual
Aguardando análise do cumprimento de exigência 
Encontra-se na
CBRES Desde: 02/03/2021</t>
  </si>
  <si>
    <t xml:space="preserve">Qualidade - Distribuído para a área responsável
DMF - concluída análise 01/06/2021
Bioquivalência/BDR - Distribuído para a área responsável
Bula e Rotulagem - Distribuído para a área responsável
</t>
  </si>
  <si>
    <r>
      <rPr>
        <strike/>
        <sz val="11"/>
        <rFont val="Calibri"/>
        <family val="2"/>
      </rPr>
      <t xml:space="preserve">1º sem/2021
</t>
    </r>
    <r>
      <rPr>
        <sz val="11"/>
        <rFont val="Calibri"/>
        <family val="2"/>
      </rPr>
      <t>2º sem/2021</t>
    </r>
  </si>
  <si>
    <t>Aguarda análise do matriz
Nov/20: Expectativa do parceiro para deferimento do matriz: 
- Expectativa de receber exigência técnica: Mai/21
- Expectativa de deferimento: Fim/2021
18/06/2021: Aguardando posicionamento do parceiro quanto a previsão do cumprimento da exigência</t>
  </si>
  <si>
    <t>Situação atual
Em exigência
Encontra-se na
CBRES
Desde: 26/05/2021</t>
  </si>
  <si>
    <t>PR2002/21</t>
  </si>
  <si>
    <t xml:space="preserve">ivermectina </t>
  </si>
  <si>
    <t xml:space="preserve">6 MG COM CT STR AL X 2
6 MG COM CT STR AL X 4
6 MG COM CX STR AL X 40
6 MG COM CX STR AL X 80
6 MG COM CX STR AL X 100
6 MG COM CX STR AL X 200
6 MG COM CX STR AL X 400
6 MG COM CX STR AL X 500
6 MG COM CX STR AL X 600
</t>
  </si>
  <si>
    <r>
      <rPr>
        <b/>
        <sz val="10"/>
        <rFont val="Arial"/>
        <family val="2"/>
      </rPr>
      <t xml:space="preserve"> Ivermectina </t>
    </r>
    <r>
      <rPr>
        <sz val="10"/>
        <rFont val="Arial"/>
        <family val="2"/>
      </rPr>
      <t xml:space="preserve">
(IVERNEO)</t>
    </r>
  </si>
  <si>
    <t xml:space="preserve"> 25351.545329/2011-59</t>
  </si>
  <si>
    <t>Clone: Aguarda análise do medicamento matriz
Encontra-se na
CRMEC.D Enc.: 14/01/2020
Situação matriz:
Em exigência
Encontra-se na GQMED
Desde: 23/06/2021</t>
  </si>
  <si>
    <t>Clone: Situação atual: Aguardando análise do medicamento matriz
 Encontra-se na: CBRES 
 Enc.: 23/03/2021
 Matriz : Situação atual: Distribuído para a área responsável
 Encontra-se na: ARQVO
Desde: 18/11/2020 - 
Fila 81</t>
  </si>
  <si>
    <t xml:space="preserve">Situação atual: Aguardando análise do medicamento matriz. Encontra-se na: CBRES - 
 Enc.: 25/03/2021
 Matriz : Situação atual: Distribuído para a área responsável
 Encontra-se na: ARQVO - 
Desde: 22/12/2020.
Matriz: 104
 </t>
  </si>
  <si>
    <t>Clone: Situação atual: Aguardando análise do medicamento matriz
 Encontra-se na: CBRES 
Desde: 27/01/2021
 Matriz: Situação atual: Distribuído para a área responsável
 Encontra-se na: ARQVO - ARQUIVO -_x000D_
Desde: 16/12/2020
Matriz: 96</t>
  </si>
  <si>
    <t>Clone: Não está na fila de análise
Situação atual
Aguardando análise do medicamento matriz
Encontra-se na
CBRES 
Desde: 23/03/2021
Matriz:89</t>
  </si>
  <si>
    <t>PR0304/19</t>
  </si>
  <si>
    <t xml:space="preserve">cloridrato de metilfenidato </t>
  </si>
  <si>
    <t xml:space="preserve">18 MG COM REV LIB PROL CT FR PLAS HDPE OPC X 30
36 MG COM REV LIB PROL CT FR PLAS HDPE OPC X 30
54 MG COM REV LIB PROL CT FR PLAS HDPE OPC X 30
</t>
  </si>
  <si>
    <t>18mg, 36mg e 54mg</t>
  </si>
  <si>
    <t>25351.695192/2021-11</t>
  </si>
  <si>
    <t xml:space="preserve">1_Entrou na fila na posição 29 em 24/01/2020
2_Aditamento 10717 - Plano de Farmacovigilância / Plano Minimização de Risco - Medicamento Novo protocolado em 03/02/2020, sob expediente nº 0339945/20-1.
3_Aditamento 11213 - NOVO - Aditamento para CRMEC de rotulagem e nome comercial protocolado em 03/02/2020, sob expediente nº 0293033/20-1.
4_Aditamento 557 - MEDICAMENTO NOVO - Aditamento de estudo de biodisponibilidade relativa ou Bioisenção protocolado em 04/02/2020, sob expediente nº 0354020/20-1.
5_Aditamento 1384 - MEDICAMENTO NOVO - Aditamento para avaliação de segurança e eficácia protocolado em 04/02/2020, sob expediente nº 0352001/20-3.
6_Aditamento 10474 - MEDICAMENTO NOVO - Aditamento à solicitação de registro protocolado em 06/02/2020 sob expediente nº 0379212/20-9.
7_Recebido em 10/02/2020 o Ofício nº 0377164204, solicitando o protocolo do FIDR.
8_ Aditamento 11559 – petição relacionada a COVID-19, protocolado em 20/04/2020, nºprotocolo: 25352.047819/2020-23, nºexpediente:1215836204
9_Ofício 1406986205, recebido em 06/05/2020, Expediente 1215836/20-4, Assunto: Não anuência do aditamento de petição realacionada a COVID-19.
10_Exigência 1697744/20-1 recebida em 01/06/2020, sob o expediente: 0354020/20. Assunto:Aditamento de estudo de biodisponibilidade relativa ou Bioisenção
11_Exigência 1971568/20-4, recebida em 23/06/2020, expediente: 0515647/20-5. Assunto: Aditamento para avaliação de segurança e eficácia
12_Cumprida a exigência em 30/06/2020, expediente: 2092157205, assunto: Aditamento de estudo de biodisponibilidade relativa ou Bioisenção
13_ Cumprida a exigencia em 24/07/2020 sob o expediente: 2419748204. Assunto: Aditamento para avaliação de segurança e eficácia
14_Exigência sob oficio nº 2999773209, Assunto: Análise do DMF do IFA paracetamol da Anqiu Lu´an Pharmaceutical Co., Ltd.
15_Aditamento em 02/10/2020 Envio do DMF paracetamol_Anqiu Lu´an _version_Open part_ June 2020-20200618 referente a solicitação do Ofício nº 2999773209
16_Exigência Nº: 3433867/20-5, recebida em 07/10/2020 Assunto: Documentação para avaliação de segurança e eficácia
17_Cumprimento de Exigência 3433867/20-5 em 07/10/2020, assunto: Aditamento para avaliação de
segurança e eficácia
18_Recebida exigência em 24/06/2021 nº 2401838/21-4. Assunto: 11302 - Aditamento - análise de Dossiê de Insumo Farmacêutico Ativo (DIFA) - Fenilefrina
19_ Recebida exigência em 01/07/2021 nº 2504683/21-7. Assunto: 11302 - Aditamento - análise de Dossiê de Insumo Farmacêutico Ativo (DIFA) - Clorfeniramina
</t>
  </si>
  <si>
    <t>02/07/2021</t>
  </si>
  <si>
    <t>25/06/2021</t>
  </si>
  <si>
    <t>2535584/21-8</t>
  </si>
  <si>
    <t>2536217/21-8</t>
  </si>
  <si>
    <r>
      <rPr>
        <b/>
        <sz val="10"/>
        <rFont val="Calibri"/>
        <family val="2"/>
        <scheme val="minor"/>
      </rPr>
      <t xml:space="preserve">Petição 415/20 - </t>
    </r>
    <r>
      <rPr>
        <sz val="10"/>
        <rFont val="Calibri"/>
        <family val="2"/>
        <scheme val="minor"/>
      </rPr>
      <t>não anuída</t>
    </r>
    <r>
      <rPr>
        <b/>
        <sz val="10"/>
        <rFont val="Calibri"/>
        <family val="2"/>
        <scheme val="minor"/>
      </rPr>
      <t xml:space="preserve">
Qualidade </t>
    </r>
    <r>
      <rPr>
        <sz val="10"/>
        <rFont val="Calibri"/>
        <family val="2"/>
        <scheme val="minor"/>
      </rPr>
      <t>- Em análise</t>
    </r>
    <r>
      <rPr>
        <b/>
        <sz val="10"/>
        <rFont val="Calibri"/>
        <family val="2"/>
        <scheme val="minor"/>
      </rPr>
      <t xml:space="preserve">
DMF </t>
    </r>
    <r>
      <rPr>
        <sz val="10"/>
        <rFont val="Calibri"/>
        <family val="2"/>
        <scheme val="minor"/>
      </rPr>
      <t>- em exigência recebida 30/04</t>
    </r>
    <r>
      <rPr>
        <b/>
        <sz val="10"/>
        <rFont val="Calibri"/>
        <family val="2"/>
        <scheme val="minor"/>
      </rPr>
      <t xml:space="preserve">
Bioquivalência - </t>
    </r>
    <r>
      <rPr>
        <sz val="10"/>
        <rFont val="Calibri"/>
        <family val="2"/>
        <scheme val="minor"/>
      </rPr>
      <t>concluída análise</t>
    </r>
    <r>
      <rPr>
        <b/>
        <sz val="10"/>
        <rFont val="Calibri"/>
        <family val="2"/>
        <scheme val="minor"/>
      </rPr>
      <t xml:space="preserve">
Bula e Rotulagem -</t>
    </r>
    <r>
      <rPr>
        <sz val="10"/>
        <rFont val="Calibri"/>
        <family val="2"/>
        <scheme val="minor"/>
      </rPr>
      <t>aguarda análise</t>
    </r>
    <r>
      <rPr>
        <sz val="10"/>
        <color rgb="FFFF0000"/>
        <rFont val="Calibri"/>
        <family val="2"/>
        <scheme val="minor"/>
      </rPr>
      <t xml:space="preserve">
</t>
    </r>
  </si>
  <si>
    <t xml:space="preserve"> Situação atual: Em análise
 Encontra-se na: ARQVO
Desde: 10/11/2020</t>
  </si>
  <si>
    <t>Clone: Situação atual: Aguardando análise do medicamento matriz
 Encontra-se na: CBRES
Desde: 22/12/2020
 Matriz: Situação atual: Em análise
 Encontra-se na: ARQVO - ARQUIVO - 
Desde: 10/11/2020</t>
  </si>
  <si>
    <t>Clone: Não está na fila de análise
Situação atual
Aguardando análise do medicamento matriz
Encontra-se na
CBRES 
Desde: 23/03/2021
Matriz:82</t>
  </si>
  <si>
    <t>Clone: Situação atual: Aguardando análise do medicamento matriz
 Encontra-se na: CBRES 
 Enc.: 23/03/2021
 Matriz : Situação atual: Distribuído para a área responsável
 Encontra-se na: ARQVO
Desde: 18/11/2020 - 
Fila 74</t>
  </si>
  <si>
    <t>Clone: Situação atual: Aguardando análise do medicamento matriz
 Encontra-se na: CBRES 
Desde: 27/01/2021
 Matriz: Situação atual: Distribuído para a área responsável
 Encontra-se na: ARQVO - ARQUIVO -_x000D_
Desde: 16/12/2020
Matriz: 89</t>
  </si>
  <si>
    <t xml:space="preserve">Situação atual: Aguardando análise do medicamento matriz. Encontra-se na: CBRES - 
 Enc.: 25/03/2021
 Matriz : Situação atual: Distribuído para a área responsável
 Encontra-se na: ARQVO - 
Desde: 22/12/2020.
Matriz: 97
 </t>
  </si>
  <si>
    <t xml:space="preserve"> Situação atual: Aguardando análise do medicamento matriz
 Encontra-se na: CBRES
Desde: 28/01/2021
 Expediente 2: Situação atual: Aguardando análise do cumprimento de exigência
 Encontra-se na: ARQVO - 
Desde: 11/02/2020</t>
  </si>
  <si>
    <t>2º semestre/2022</t>
  </si>
  <si>
    <r>
      <t xml:space="preserve">20 MG COM REV LIB RETARD CT BL AL/AL X 7
20 MG COM REV LIB RETARD CT BL AL/AL X 14
20 MG COM REV LIB RETARD CT BL AL/AL X 28
</t>
    </r>
    <r>
      <rPr>
        <sz val="10"/>
        <color rgb="FFFF0000"/>
        <rFont val="Arial"/>
        <family val="2"/>
      </rPr>
      <t>20 MG COM REV LIB RETARD CT BL AL/AL X 30</t>
    </r>
    <r>
      <rPr>
        <sz val="10"/>
        <rFont val="Arial"/>
        <family val="2"/>
      </rPr>
      <t xml:space="preserve">
20 MG COM REV LIB RETARD CT BL AL/AL X 42
20 MG COM REV LIB RETARD CT BL AL/AL X 56
40 MG COM REV LIB RETARD CT BL AL/AL X 7
40 MG COM REV LIB RETARD CT BL AL/AL X 14
40 MG COM REV LIB RETARD CT BL AL/AL X 28
</t>
    </r>
    <r>
      <rPr>
        <sz val="10"/>
        <color rgb="FFFF0000"/>
        <rFont val="Arial"/>
        <family val="2"/>
      </rPr>
      <t>40 MG COM REV LIB RETARD CT BL AL/AL X 30</t>
    </r>
    <r>
      <rPr>
        <sz val="10"/>
        <rFont val="Arial"/>
        <family val="2"/>
      </rPr>
      <t xml:space="preserve">
40 MG COM REV LIB RETARD CT BL AL/AL X 42
40 MG COM REV LIB RETARD CT BL AL/AL X 56
40 MG COM REV LIB RETARD CT BL AL/AL X 60</t>
    </r>
  </si>
  <si>
    <t>1_recebido oficio em 05/07/2021 referente a apresentação de 30 unidades farmacopeicas que não constavam no registro matriz. Essa apresentação não foi deferida</t>
  </si>
  <si>
    <t>1_Protocolado em 02/07/2021 FIDIR sob expediente 2569584213
2_Protocolado em 05/07/2021 Estudo de biodisponibilidade sob expediente:260878217</t>
  </si>
  <si>
    <t xml:space="preserve">08/07/2021: Situação atual:Concluída Análise
Encontra-se na CETER desde 22/06/2021 </t>
  </si>
  <si>
    <t xml:space="preserve">08/07/2021 Situação atual: Concluída análise
Encontra-se na CETER desde 22/06/2021 </t>
  </si>
  <si>
    <t>1_Aditameento protocolado em 08/07/2021 sob expediente 2654709211. Assunto: 11321 - SIMILAR - Aditamento - Aprovação condicional - RDC 219/2018</t>
  </si>
  <si>
    <t>Dipirona monoidratada</t>
  </si>
  <si>
    <t>2570596/21-2</t>
  </si>
  <si>
    <t>25351.706413/2021-85</t>
  </si>
  <si>
    <t>08/07/2021</t>
  </si>
  <si>
    <r>
      <rPr>
        <b/>
        <sz val="10"/>
        <rFont val="Calibri"/>
        <family val="2"/>
        <scheme val="minor"/>
      </rPr>
      <t xml:space="preserve">Qualidade </t>
    </r>
    <r>
      <rPr>
        <sz val="10"/>
        <rFont val="Calibri"/>
        <family val="2"/>
        <scheme val="minor"/>
      </rPr>
      <t>- em exigência - arquivado</t>
    </r>
    <r>
      <rPr>
        <b/>
        <sz val="10"/>
        <rFont val="Calibri"/>
        <family val="2"/>
        <scheme val="minor"/>
      </rPr>
      <t xml:space="preserve">
DMF - </t>
    </r>
    <r>
      <rPr>
        <sz val="10"/>
        <rFont val="Calibri"/>
        <family val="2"/>
        <scheme val="minor"/>
      </rPr>
      <t>em exigência - arquivado</t>
    </r>
    <r>
      <rPr>
        <b/>
        <sz val="10"/>
        <rFont val="Calibri"/>
        <family val="2"/>
        <scheme val="minor"/>
      </rPr>
      <t xml:space="preserve">
Bioquivalência/BDR - </t>
    </r>
    <r>
      <rPr>
        <sz val="10"/>
        <rFont val="Calibri"/>
        <family val="2"/>
        <scheme val="minor"/>
      </rPr>
      <t>Concluída análise</t>
    </r>
    <r>
      <rPr>
        <b/>
        <sz val="10"/>
        <rFont val="Calibri"/>
        <family val="2"/>
        <scheme val="minor"/>
      </rPr>
      <t xml:space="preserve">
Bula e Rotulagem -</t>
    </r>
    <r>
      <rPr>
        <sz val="10"/>
        <rFont val="Calibri"/>
        <family val="2"/>
        <scheme val="minor"/>
      </rPr>
      <t>aguarda análise</t>
    </r>
    <r>
      <rPr>
        <sz val="10"/>
        <color rgb="FFFF0000"/>
        <rFont val="Calibri"/>
        <family val="2"/>
        <scheme val="minor"/>
      </rPr>
      <t xml:space="preserve">
</t>
    </r>
  </si>
  <si>
    <t>Situação atual:
Em análise do cumprimento de exigência
Encontra-se na
ARQVO
Desde: 08/12/2020</t>
  </si>
  <si>
    <t>Clone: Não está na fila de análise
Situação atual
Aguardando análise do medicamento matriz
Encontra-se na
CBRES 
Desde: 23/03/2021
Matriz:79</t>
  </si>
  <si>
    <t>Clone: Situação atual: Aguardando análise do medicamento matriz
 Encontra-se na: CBRES 
Desde: 27/01/2021
 Matriz: Situação atual: Distribuído para a área responsável
 Encontra-se na: ARQVO - ARQUIVO -_x000D_
Desde: 16/12/2020
Matriz: 86</t>
  </si>
  <si>
    <t xml:space="preserve">Situação atual: Aguardando análise do medicamento matriz. Encontra-se na: CBRES - 
 Enc.: 25/03/2021
 Matriz : Situação atual: Distribuído para a área responsável
 Encontra-se na: ARQVO - 
Desde: 22/12/2020.
Matriz: 94
 </t>
  </si>
  <si>
    <t>Situação atual
Em análise do cumprimento de exigência
Encontra-se na
CBRES Desde: 02/03/2021</t>
  </si>
  <si>
    <t>Pelargonium sidoides DC</t>
  </si>
  <si>
    <t xml:space="preserve">825 MG/ML SOL GOT OR CT FR GOT VD AMB X 20 ML
825 MG/ML SOL GOT OR CT FR GOT VD AMB X 50 ML
</t>
  </si>
  <si>
    <t>825 mg/mL</t>
  </si>
  <si>
    <t>25351.413682/2017-21</t>
  </si>
  <si>
    <t>IMUNOTRAT PELARGONIUM (KLEY HERTZ)</t>
  </si>
  <si>
    <t>PR5018/20</t>
  </si>
  <si>
    <t>25351.531209/2021-02</t>
  </si>
  <si>
    <t xml:space="preserve">Trometamol cetorolaco </t>
  </si>
  <si>
    <t>PR0903/18</t>
  </si>
  <si>
    <t xml:space="preserve">10 MG COM SUBL CT BL AL PLAS AMB X 10
10 MG COM SUBL CT BL AL PLAS AMB X 5
10 MG COM SUBL CT BL AL PLAS AMB X 4
10 MG COM SUBL CT BL AL PLAS AMB X 20
10 MG COM SUBL CT BL AL PLAS AMB X 30
</t>
  </si>
  <si>
    <t>25351.759636/2021-45</t>
  </si>
  <si>
    <t>Saurav Chemicals Limited</t>
  </si>
  <si>
    <t>2740239/21-8</t>
  </si>
  <si>
    <t>2762836/20-1</t>
  </si>
  <si>
    <t>16/07/2021</t>
  </si>
  <si>
    <t>Situação atual: Aguardando análise do insumo farmacêutico ativo
 Encontra-se na: ARQVO -
Desde: 14/07/2021</t>
  </si>
  <si>
    <t xml:space="preserve"> Situação atual: Em exigência
 Encontra-se na: ARQVO
Desde: 10/11/2020</t>
  </si>
  <si>
    <t>Clone: Situação atual: Aguardando análise do medicamento matriz
 Encontra-se na: CBRES
Desde: 22/12/2020
 Matriz: Situação atual: Em exigência 
 Encontra-se na: ARQVO - ARQUIVO - 
Desde: 10/11/2020</t>
  </si>
  <si>
    <t>Clone: Situação atual: Aguardando análise do medicamento matriz
 Encontra-se na: CBRES 
 Enc.: 23/03/2021
 Matriz : Situação atual: Distribuído para a área responsável
 Encontra-se na: ARQVO
Desde: 18/11/2020 - 
Fila 69</t>
  </si>
  <si>
    <t>Clone: Situação atual: Aguardando análise do medicamento matriz
 Encontra-se na: CBRES 
 Enc.: 23/03/2021
 Matriz : Situação atual: Distribuído para a área responsável
 Encontra-se na: ARQVO
Desde: 18/11/2020 - 
Fila 71</t>
  </si>
  <si>
    <t xml:space="preserve">Situação atual: Aguardando análise do medicamento matriz. Encontra-se na: CBRES - 
 Enc.: 25/03/2021
 Matriz : Situação atual: Distribuído para a área responsável
 Encontra-se na: ARQVO - 
Desde: 22/12/2020.
Matriz: 93
 </t>
  </si>
  <si>
    <t>Clone: Não esta na fila;  Aguardando análise do medicamento matriz
 Encontra-se na: CBRES - 
Desde: 18/02/2021
 Matrizl: Distribuído para a área responsável
 Encontra-se na: ARQVO - Desde: 18/12/2020. 
Matriz: 90</t>
  </si>
  <si>
    <t>Situação atual: Concluída análise
 Encontra-se na: CBRES - 
 Enc.: 08/07/2021</t>
  </si>
  <si>
    <t>Testosterona</t>
  </si>
  <si>
    <t>50 mg por envelope (10mg/g)</t>
  </si>
  <si>
    <t>25351.782250/2021-37</t>
  </si>
  <si>
    <t>2810137/21-5</t>
  </si>
  <si>
    <t xml:space="preserve">1_Protocolado em 27/01/2021, Formulário de informações relativas à documentação de registro (FIDR) ou Parecer de Análise Técnica da Empresa (PATE), sob o expediente: 0354773216
2_Protocolado em 08/02/2021 aditamento para complementação de documentação sob expediente 0516981210. Assunto: 1432 - MEDICAMENTO NOVO - Aditamento
3_Protocolado em 09/02/2021, sob o expediente: 0531247210, assunto: Plano de Gerenciamento de Risco/Plano de Minimização de Risco – Outros medicamentos
4_Protocolado em 24/03/2021 o aditamento: 1384 - MEDICAMENTO NOVO - Documentação para avaliação de segurança e eficácia
5_Protocolado em 24/03/2021 o aditamento: 557 - MEDICAMENTO NOVO - Estudo de biodisponibilidade relativa
6_Exigência recebido em 20/04/2021 sob expediente 0320155/21-4. Análise do DIFA
7_Cumprida a exigência via SAT (Aditamento expediente 0516981/21-0 cumpriu a exigência) 
7_Recebido oficio nº1812916211 em 12/05/2021 . Assunto: Enquadramento de petição e processos iguais
8_Aditamento ao processo em atendimento ao ofício nº 1812916211, em 09/06/2021, sob expediente 2230412216
 </t>
  </si>
  <si>
    <t xml:space="preserve">1_Entrou na fila em 03/02/2020 na posição 32
2_13/02/2020: Protocolado Aditamento do 10717 - Plano de Farmacovigilância / Plano Minimização de Risco - Medicamento Novo, sob expediente nº 0455396/20-9.
3_ 17/02/2020: Protocolado 11485 - MEDICAMENTO INOVADOR-Aditamento para avaliação de segurança e eticécia, sob expediente nº 0489386/20-7
4_ 17/02/2020: Protocolado 11487 - MEDICAMENTO INOVADOR-Aditamento de estudo de biodisponibilidade relativa ou Bioisenção, sob expediente nº 0488741/20-7
5_ 17/02/2020: Protocolado 10474 - MEDICAMENTO NOVO - Aditamento à solicitação de registro, sob expediente nº 0494468/20-2.
6_Exigência Nº: 1754507/20-2, recebida em 03/06, sob Expediente da petição: 0489386/20-7, Assunto: para avaliação de segurança e eficácia.
7_ Aditamento de estudo de biodisponibilidade relativa ou Bioisenção, sob expediente nº 0488741/20-7, teve sua análise concluída em 20/05/2020. 
8_Cumprida a exigência em 03/07/2020 sob expediente nº2136066/20-0. Assunto: 11485 - MEDICAMENTO INOVADOR - Aditamento para avaliação de segurança e eficácia
9_Exigência Nº: 3044798/20-4 recebida em 09/09/2020 sob o expediente 0489386/20-7, assunto: Documentação para avaliação de segurança e eficácia
10_Cumprida a exigencia em 11/09/2020, sob o expediente: 3090708/20- 5 assunto: 11485 - MEDICAMENTO INOVADOR - Aditamento para avaliação de segurança e eficácia
11_Novo Plano de Farmacovigilância enviado com o objetivo de incluir os novos alertas de segurança solicitados em exigência, realizado em 23/09/2020, sob o expediente: 3247465202.
12_Concluída análise de segurança e eficácia em 28/09/2020
13_Aditamento realizado em 19/04/2021 sob expediente 1493726213
14_Exigencia nº 1524888/21-7 recebida em 26/04/2021, assunto: 11213 - NOVO - Documentação para análise de bula, dizeres de rotulagem e nomecomercial
15_Cumprimento de exigência referente a petição 11213 - NOVO - Documentação para análise de bula, dizeres de rotulagem e nome comercial em 30/04/2021, sob expediente 1655652214.  A marca Nonzea foi reprovada pela Anvisa e foi substituída por Ondif (segunda opção de marca aprovada).
16_Recebida exigência nº1743246/21-4 em 11/05/2021 Assunto: Registro de Medicamento.
17_Recebida exigência nº 2843961/21-9 em 22/07/2021 Assunto: Aditamento - análise de Dossiê do IFA. </t>
  </si>
  <si>
    <t>25351.800353/2021-96</t>
  </si>
  <si>
    <t>2854714/21-4</t>
  </si>
  <si>
    <t>25351.738212/2021-47</t>
  </si>
  <si>
    <t>2669641/21-0</t>
  </si>
  <si>
    <t>2407004/20-1</t>
  </si>
  <si>
    <t>2406967/20-1</t>
  </si>
  <si>
    <t>0979731/20-9</t>
  </si>
  <si>
    <t>3500112/19-7</t>
  </si>
  <si>
    <t>23/07/2021</t>
  </si>
  <si>
    <t>Situação atual: Aguardando análise do insumo farmacêutico ativo
 Encontra-se na: ARQVO -
Desde: 23/07/2021</t>
  </si>
  <si>
    <r>
      <rPr>
        <u/>
        <sz val="10"/>
        <rFont val="Calibri"/>
        <family val="2"/>
        <scheme val="minor"/>
      </rPr>
      <t xml:space="preserve">paracetamol: </t>
    </r>
    <r>
      <rPr>
        <sz val="10"/>
        <rFont val="Calibri"/>
        <family val="2"/>
        <scheme val="minor"/>
      </rPr>
      <t xml:space="preserve">Anqiu Lu’an Pharmaceutical Co., Ltd.
</t>
    </r>
    <r>
      <rPr>
        <u/>
        <sz val="10"/>
        <rFont val="Calibri"/>
        <family val="2"/>
        <scheme val="minor"/>
      </rPr>
      <t xml:space="preserve">maleato de clorfeniramina: </t>
    </r>
    <r>
      <rPr>
        <sz val="10"/>
        <rFont val="Calibri"/>
        <family val="2"/>
        <scheme val="minor"/>
      </rPr>
      <t xml:space="preserve">SUPRYIA LIFESCIENCE LTD.
</t>
    </r>
    <r>
      <rPr>
        <u/>
        <sz val="10"/>
        <rFont val="Calibri"/>
        <family val="2"/>
        <scheme val="minor"/>
      </rPr>
      <t>cloridrato de fenilferina</t>
    </r>
    <r>
      <rPr>
        <sz val="10"/>
        <rFont val="Calibri"/>
        <family val="2"/>
        <scheme val="minor"/>
      </rPr>
      <t>: NORTEC QUIMICA S.A.</t>
    </r>
  </si>
  <si>
    <t>1513316/21-8</t>
  </si>
  <si>
    <t>1513240/21-4</t>
  </si>
  <si>
    <t>0515647/20-5</t>
  </si>
  <si>
    <t>0354020/20-1</t>
  </si>
  <si>
    <t>0352001/20-3</t>
  </si>
  <si>
    <t>Fila:0</t>
  </si>
  <si>
    <t>23/07/2021 Situação atual
Concluída análise
Encontra-se na
CETER: Desde: 19/07/2021</t>
  </si>
  <si>
    <t xml:space="preserve">1_ Recebido oficio 2810876211 em 20/07/2021 -  Sobre aquisição de amostras. ANVISA não deu um parecer se retiraria o medicamento da lista de referência </t>
  </si>
  <si>
    <t>Situação atual: Aguardando análise do cumprimento de exigência
 Encontra-se na: ARQVO Desde: 09/09/2020</t>
  </si>
  <si>
    <t>Clone: Situação atual: Aguardando análise do medicamento matriz
 Encontra-se na: CBRES - 
 Enc.: 07/12/2020
Matriz: Situação atual: Aguardando análise do cumprimento de exigência
 Encontra-se na: ARQVO -_x000D_
Desde: 09/09/2020</t>
  </si>
  <si>
    <t>Clone: 
Situação atual
Aguardando análise do medicamento matriz
Encontra-se na
CBRES 
Desde: 23/03/2021
Matriz:78</t>
  </si>
  <si>
    <t>Clone: 
Situação atual
Aguardando análise do medicamento matriz
Encontra-se na
CBRES 
Desde: 23/03/2021
Matriz:76</t>
  </si>
  <si>
    <t>Clone: Situação atual: Aguardando análise do medicamento matriz
 Encontra-se na: CBRES 
 Enc.: 23/03/2021
 Matriz : Situação atual: Distribuído para a área responsável
 Encontra-se na: ARQVO
Desde: 18/11/2020 - 
Fila 68</t>
  </si>
  <si>
    <t>Clone: Situação atual: Aguardando análise do medicamento matriz
 Encontra-se na: CBRES 
Desde: 27/01/2021
 Matriz: Situação atual: Distribuído para a área responsável
 Encontra-se na: ARQVO - ARQUIVO -_x000D_
Desde: 16/12/2020
Matriz: 83</t>
  </si>
  <si>
    <t>Clone: Situação atual: Aguardando análise do medicamento matriz
 Encontra-se na: CBRES 
Desde: 27/01/2021
 Matriz: Situação atual: Distribuído para a área responsável
 Encontra-se na: ARQVO - ARQUIVO -_x000D_
Desde: 16/12/2020
Matriz: 85</t>
  </si>
  <si>
    <t xml:space="preserve">Situação atual: Aguardando análise do medicamento matriz. Encontra-se na: CBRES - 
 Enc.: 25/03/2021
 Matriz : Situação atual: Distribuído para a área responsável
 Encontra-se na: ARQVO - 
Desde: 22/12/2020.
Matriz: 91
 </t>
  </si>
  <si>
    <t>Clone: Não esta na fila;  Aguardando análise do medicamento matriz
 Encontra-se na: CBRES - 
Desde: 18/02/2021
 Matrizl: Distribuído para a área responsável
 Encontra-se na: ARQVO - Desde: 18/12/2020. 
Matriz: 88</t>
  </si>
  <si>
    <r>
      <rPr>
        <b/>
        <sz val="10"/>
        <rFont val="Arial"/>
        <family val="2"/>
      </rPr>
      <t xml:space="preserve">
Blugrip Pelargonium</t>
    </r>
    <r>
      <rPr>
        <sz val="10"/>
        <rFont val="Arial"/>
        <family val="2"/>
      </rPr>
      <t xml:space="preserve">
IMUNOTRAT PELARGONIUM (KLEY HERTZ)
</t>
    </r>
  </si>
  <si>
    <r>
      <t xml:space="preserve">Expediente 1: Produto clone
Expediente 2:  Matriz Ashmacare Medis
1_Recebida exigência nº 2224866/21-8 em 10/06/2021, Assunto: Bula e Rotulagem
2_ Autorizado por BD a desistência da registro.
3_Realizada desistência do registro, em 30/06/2021, sob expediente: </t>
    </r>
    <r>
      <rPr>
        <b/>
        <sz val="10"/>
        <rFont val="Arial"/>
        <family val="2"/>
      </rPr>
      <t>2539877216.</t>
    </r>
    <r>
      <rPr>
        <sz val="10"/>
        <rFont val="Arial"/>
        <family val="2"/>
      </rPr>
      <t xml:space="preserve">
4_Cumprida exigência em 01/07/2021 sob expediente 2551152216. Assunto: Bula e Rotulagem
Situação Matriz: Concluída análise Encontra-se na
CPMEC Enc.: 14/04/2021
Qualidade - não informada pelo parceiro
DMF - aguarda analise
Segurança e Eficacia - NA
Bioquivalência - anuído
Bula e Rotulagem - anuído
06/out/20 - Situação atual
Aguardando análise do insumo farmacêutico ativo
Encontra-se na GRMED.D 
Enc.: 02/10/2019
05/03/2021 - gerado token para submissão de documento por terceiro "11798 - GGMED - Autorização de aditamento por terceiro"
BD: autorizado a desistência da petição
</t>
    </r>
  </si>
  <si>
    <t>Situação atual: Desistência a pedido
 Encontra-se na: CBRES desde 08/06/2021
Situação da desistência
Situação atual
Anuída
 Encontra-se na
CBRES Desde: 19/07/2021</t>
  </si>
  <si>
    <t>1513330/21-3</t>
  </si>
  <si>
    <t>0489386/20-7</t>
  </si>
  <si>
    <t>0488741/20-7</t>
  </si>
  <si>
    <t>0379202/20-1</t>
  </si>
  <si>
    <t>Anuído</t>
  </si>
  <si>
    <t>Não Anuído</t>
  </si>
  <si>
    <t>3724507/20-4</t>
  </si>
  <si>
    <t>3654531/20-7</t>
  </si>
  <si>
    <t>3122316/20-8</t>
  </si>
  <si>
    <t>3087012/20-7</t>
  </si>
  <si>
    <t>3047112/20-5</t>
  </si>
  <si>
    <t>1516736/21-4</t>
  </si>
  <si>
    <t>3853640/20-4</t>
  </si>
  <si>
    <t>3794653/20-6</t>
  </si>
  <si>
    <t>4083858/20-7</t>
  </si>
  <si>
    <t>4051294/20-1</t>
  </si>
  <si>
    <t>4045955/20-1</t>
  </si>
  <si>
    <t>4388912/20-3</t>
  </si>
  <si>
    <t>4353451/20-1</t>
  </si>
  <si>
    <t>4344792/20-9</t>
  </si>
  <si>
    <t>2111410/21-2</t>
  </si>
  <si>
    <t>1023849/21-2</t>
  </si>
  <si>
    <t>0182495/21-3</t>
  </si>
  <si>
    <t>4368256/20-1</t>
  </si>
  <si>
    <t>4366940/20-9</t>
  </si>
  <si>
    <t>4338229/20-1</t>
  </si>
  <si>
    <t>4452941/20-4</t>
  </si>
  <si>
    <t>4451596/20-1</t>
  </si>
  <si>
    <t>4484729/20-7</t>
  </si>
  <si>
    <t>4482473/20-4</t>
  </si>
  <si>
    <t>4479941/20-1</t>
  </si>
  <si>
    <t>Aditamento - análise de Dossiê de Insumo Farmacêutico Ativo (DIFA)</t>
  </si>
  <si>
    <t>Estudo de biodisponibilidade relativa</t>
  </si>
  <si>
    <t>Formulário de informações relativas à documentação de registro (FIDR) – Análise de Qualidade Registro</t>
  </si>
  <si>
    <t>Documentação para análise de bula, dizeres de rotulagem e nome comercial</t>
  </si>
  <si>
    <t>Documentação para avaliação de segurança e eficácia</t>
  </si>
  <si>
    <t>Aditamento – petição relacionada a COVID-19</t>
  </si>
  <si>
    <t>0051828/21-0</t>
  </si>
  <si>
    <t> 04/01/2021</t>
  </si>
  <si>
    <t>1147874/21-8</t>
  </si>
  <si>
    <t>1147867/21-5</t>
  </si>
  <si>
    <t>0419049/21-1</t>
  </si>
  <si>
    <t>0354773/21-6</t>
  </si>
  <si>
    <t>Aditamento - análise simplificada de Dossiê de Insumo Farmacêutico Ativo (DIFA) - OS 58/2019</t>
  </si>
  <si>
    <t>2105981/21-1</t>
  </si>
  <si>
    <t>1724679/21-2</t>
  </si>
  <si>
    <t>1359457/21-5</t>
  </si>
  <si>
    <t>1357047/21-1</t>
  </si>
  <si>
    <t>2656281/21-2</t>
  </si>
  <si>
    <t>2608784/21-7</t>
  </si>
  <si>
    <t>2828377/21-5</t>
  </si>
  <si>
    <t>2764745/21-5</t>
  </si>
  <si>
    <t>2803703/21-1</t>
  </si>
  <si>
    <t>2876982/21-1</t>
  </si>
  <si>
    <t>1988691/19-8</t>
  </si>
  <si>
    <r>
      <rPr>
        <strike/>
        <sz val="10"/>
        <rFont val="Arial"/>
        <family val="2"/>
      </rPr>
      <t xml:space="preserve">1º semestre/2022
</t>
    </r>
    <r>
      <rPr>
        <sz val="10"/>
        <rFont val="Arial"/>
        <family val="2"/>
      </rPr>
      <t xml:space="preserve">2ºsemestre 2022
</t>
    </r>
  </si>
  <si>
    <t xml:space="preserve">1_Protocolado em 16/07/2021 - 12107 - GENÉRICO – Formulário de informações relativas à documentação de registro (FIDR) – Análise de Qualidade Registro
2_Protocolado em 19/07/2021 sob expediente: 2803703211 Assunto: 11630 - GENÉRICO - Estudo de biodisponibilidade relativa
3_Protocolado em 19/07/2021 sob expediente 2804004210 , assunto: 11721 – Registro – Notificação do Processo da CADIFA
4_ Protocolado em 20/07/2021 sob expediente: 2828377/21-5 - Documentação para análise de bula, dizeres de rotulagem e nome comercial
5_Recebido oficio 2872581216 em 27/07/2021, referente a não anuencia do processo de priorização de análise, devido a terem outros dois processos aguardando análise. </t>
  </si>
  <si>
    <t>0493446/19-6</t>
  </si>
  <si>
    <t>1211627/21-1</t>
  </si>
  <si>
    <t>0503232/19-6</t>
  </si>
  <si>
    <t>0561484/19-8</t>
  </si>
  <si>
    <t>1923992/19-1</t>
  </si>
  <si>
    <t>Protocolo recebido em 03/11/2020
1_Recebida exigência em 21/06/2021 -  nº2386332/21-3
2_Cumprida exigência em 27/07/2021 sob expediente: 2924464/21-8</t>
  </si>
  <si>
    <t>25351.490819/2020-50</t>
  </si>
  <si>
    <t>0293033/20-1</t>
  </si>
  <si>
    <t>1215836/20-4</t>
  </si>
  <si>
    <t>0188201/20-5</t>
  </si>
  <si>
    <t>3584355/19-1</t>
  </si>
  <si>
    <t>3854050/20-9</t>
  </si>
  <si>
    <t>3973472/20-2</t>
  </si>
  <si>
    <t>3728250/20-6</t>
  </si>
  <si>
    <t>4324102/20-6</t>
  </si>
  <si>
    <t>4479805/20-9</t>
  </si>
  <si>
    <t>4447287/20-1</t>
  </si>
  <si>
    <t>0037654/21-0</t>
  </si>
  <si>
    <t>0036158/21-5</t>
  </si>
  <si>
    <t>2569584/21-3</t>
  </si>
  <si>
    <t>9.1</t>
  </si>
  <si>
    <t>9.2</t>
  </si>
  <si>
    <t>9.3</t>
  </si>
  <si>
    <t>9.4</t>
  </si>
  <si>
    <t>9.5</t>
  </si>
  <si>
    <t>9.6</t>
  </si>
  <si>
    <t>13.1</t>
  </si>
  <si>
    <t>13.2</t>
  </si>
  <si>
    <t>13.3</t>
  </si>
  <si>
    <t>13.4</t>
  </si>
  <si>
    <t>13.5</t>
  </si>
  <si>
    <t>13.6</t>
  </si>
  <si>
    <t>13.7</t>
  </si>
  <si>
    <t>14.1</t>
  </si>
  <si>
    <t>14.2</t>
  </si>
  <si>
    <t>14.3</t>
  </si>
  <si>
    <t>14.4</t>
  </si>
  <si>
    <t>16.1</t>
  </si>
  <si>
    <t>16.2</t>
  </si>
  <si>
    <t>16.3</t>
  </si>
  <si>
    <t>16.4</t>
  </si>
  <si>
    <t>16.5</t>
  </si>
  <si>
    <t>18.1</t>
  </si>
  <si>
    <t>18.2</t>
  </si>
  <si>
    <t>18.3</t>
  </si>
  <si>
    <t>18.4</t>
  </si>
  <si>
    <t>20.1</t>
  </si>
  <si>
    <t>20.2</t>
  </si>
  <si>
    <t>20.3</t>
  </si>
  <si>
    <t>21.1</t>
  </si>
  <si>
    <t>21.2</t>
  </si>
  <si>
    <t>22.3</t>
  </si>
  <si>
    <t>25.1</t>
  </si>
  <si>
    <t>25.2</t>
  </si>
  <si>
    <t>25.3</t>
  </si>
  <si>
    <t>21.3</t>
  </si>
  <si>
    <t>22.1</t>
  </si>
  <si>
    <t>22.2</t>
  </si>
  <si>
    <t>22.4</t>
  </si>
  <si>
    <t>22.5</t>
  </si>
  <si>
    <t>22.6</t>
  </si>
  <si>
    <t>24.1</t>
  </si>
  <si>
    <t>24.2</t>
  </si>
  <si>
    <t>24.3</t>
  </si>
  <si>
    <t>27.1</t>
  </si>
  <si>
    <t>27.2</t>
  </si>
  <si>
    <t>27.3</t>
  </si>
  <si>
    <t>31.1</t>
  </si>
  <si>
    <t>31.2</t>
  </si>
  <si>
    <t>31.3</t>
  </si>
  <si>
    <t>31.4</t>
  </si>
  <si>
    <t>25351.623262/2021-21</t>
  </si>
  <si>
    <t>Saurav</t>
  </si>
  <si>
    <t>70158 - INSUMOS FARMACÊUTICOS - Certificação de Boas Práticas de Fabricação para Indústria Internacional, exceto Mercosul - síntese química</t>
  </si>
  <si>
    <t>2312504/21-9</t>
  </si>
  <si>
    <t xml:space="preserve">FOQ XR
</t>
  </si>
  <si>
    <t>30/07/2021</t>
  </si>
  <si>
    <t>30/07/2021: Expedienten 1: Distribuído para a área responsável
CBRES - COORDENAÇÃO DE BULA, ROTULAGEM, REGISTRO SIMPLIFICADO E NOME COMERCIAL_x000D_
Desde: 30/03/2021
 Expediente 2: Situação atual: Aguardando análise do medicamento matriz
 Encontra-se na: CRMEC.D - COORDENAÇÃO DE REGISTRO DE MEDICAMENTOS DE MENOR COMPLEXIDADE, BULA E ROTULAGEM_x000D_
 Enc.: 15/07/2019</t>
  </si>
  <si>
    <t>30/07/2021: Expedienten 1: Situação atual: Aguardando análise do medicamento matriz
 Encontra-se na: CRMEC.D - COORDENAÇÃO DE REGISTRO DE MEDICAMENTOS DE MENOR COMPLEXIDADE, BULA E ROTULAGEM_x000D_
 Enc.: 14/01/2020
 Expediente 2: Situação atual: Em exigência
 Encontra-se na: GQMED - GERÊNCIA DE AVALIAÇÃO DA QUALIDADE DE MEDICAMENTOS SINTÉTICOS_x000D_
Desde: 23/06/2021</t>
  </si>
  <si>
    <t>30/07/2021: Situação atual: Em análise
 Encontra-se na: ARQVO - ARQUIVO - GERÊNCIA DE GESTÃO DOCUMENTAL_x000D_
Desde: 23/07/2021</t>
  </si>
  <si>
    <t>30/07/2021: Aguardando análise do insumo farmacêutico ativo
GQMED - GERÊNCIA DE AVALIAÇÃO DA QUALIDADE DE MEDICAMENTOS SINTÉTICOS_x000D_
Desde: 23/07/2021</t>
  </si>
  <si>
    <t>30/07/2021: Aguardando análise do cumprimento de exigência
COIFA - COORDENAÇÃO DE REGISTRO DE INSUMOS FARMACÊUTICOS ATIVOS_x000D_
Desde: 23/07/2020</t>
  </si>
  <si>
    <t>30/07/2021: Concluída análise
CETER - COORDENAÇÃO DE EQUIVALÊNCIA TERAPÊUTICA_x000D_
Desde: 13/10/2020</t>
  </si>
  <si>
    <t>30/07/2021: Distribuído para a área responsável
CRMEC.D - COORDENAÇÃO DE REGISTRO DE MEDICAMENTOS DE MENOR COMPLEXIDADE, BULA E ROTULAGEM_x000D_
Desde: 18/12/2019</t>
  </si>
  <si>
    <t>30/07/2021: Concluída análise
COINC - COORDENAÇÃO DE INOVAÇÃO INCREMENTAL_x000D_
Desde: 07/12/2020</t>
  </si>
  <si>
    <t>30/07/2021: Expedienten 1: Distribuído para a área responsável
GEPRE.D - GERÊNCIA DE AVALIAÇÃO DE TECNOLOGIA DE PÓS-REGISTRO DE MEDICAMENTOS SINTÉTICOS_x000D_
Desde: 20/01/2020
 Expediente 2: Em exigência
GQMED - GERÊNCIA DE AVALIAÇÃO DA QUALIDADE DE MEDICAMENTOS SINTÉTICOS_x000D_
Desde: 17/05/2021</t>
  </si>
  <si>
    <t>30/07/2021: Situação atual: Em análise
 Encontra-se na: ARQVO - ARQUIVO - GERÊNCIA DE GESTÃO DOCUMENTAL_x000D_
Desde: 22/04/2021</t>
  </si>
  <si>
    <t>30/07/2021: Em exigência
COIFA - COORDENAÇÃO DE REGISTRO DE INSUMOS FARMACÊUTICOS ATIVOS_x000D_
Desde: 15/06/2021</t>
  </si>
  <si>
    <t>30/07/2021: Em exigência
COIFA - COORDENAÇÃO DE REGISTRO DE INSUMOS FARMACÊUTICOS ATIVOS_x000D_
Desde: 14/06/2021</t>
  </si>
  <si>
    <t>30/07/2021: Concluída análise
COINC - COORDENAÇÃO DE INOVAÇÃO INCREMENTAL_x000D_
Desde: 05/02/2021</t>
  </si>
  <si>
    <t>30/07/2021: Concluída análise
CETER - COORDENAÇÃO DE EQUIVALÊNCIA TERAPÊUTICA_x000D_
Desde: 17/07/2020</t>
  </si>
  <si>
    <t>30/07/2021: Petição encerrada
COINC - COORDENAÇÃO DE INOVAÇÃO INCREMENTAL_x000D_
Desde: 06/05/2020</t>
  </si>
  <si>
    <t>30/07/2021: Distribuído para a área responsável
CRMEC.D - COORDENAÇÃO DE REGISTRO DE MEDICAMENTOS DE MENOR COMPLEXIDADE, BULA E ROTULAGEM_x000D_
Desde: 29/01/2020</t>
  </si>
  <si>
    <t>30/07/2021: Situação atual: Em exigência
 Encontra-se na: ARQVO - ARQUIVO - GERÊNCIA DE GESTÃO DOCUMENTAL_x000D_
Desde: 23/04/2021</t>
  </si>
  <si>
    <t>30/07/2021: Em exigência
COIFA - COORDENAÇÃO DE REGISTRO DE INSUMOS FARMACÊUTICOS ATIVOS_x000D_
Desde: 21/07/2021</t>
  </si>
  <si>
    <t>30/07/2021: Concluída análise
COINC - COORDENAÇÃO DE INOVAÇÃO INCREMENTAL_x000D_
Desde: 03/02/2021</t>
  </si>
  <si>
    <t>30/07/2021: Concluída análise
CETER - COORDENAÇÃO DE EQUIVALÊNCIA TERAPÊUTICA_x000D_
Desde: 20/05/2020</t>
  </si>
  <si>
    <t>30/07/2021: Anuído
CBRES - COORDENAÇÃO DE BULA, ROTULAGEM, REGISTRO SIMPLIFICADO E NOME COMERCIAL_x000D_
Desde: 04/05/2021</t>
  </si>
  <si>
    <t>30/07/2021: Expedienten 1: Situação atual: Aguardando análise do medicamento matriz
 Encontra-se na: CBRES - COORDENAÇÃO DE BULA, ROTULAGEM, REGISTRO SIMPLIFICADO E NOME COMERCIAL_x000D_
Desde: 20/05/2020
 Expediente 2: Situação atual: Em análise
 Encontra-se na: ARQVO - ARQUIVO - GERÊNCIA DE GESTÃO DOCUMENTAL_x000D_
Desde: 22/04/2021</t>
  </si>
  <si>
    <t>30/07/2021: Situação atual: Aguardando análise do cumprimento de exigência
 Encontra-se na: ARQVO - ARQUIVO - GERÊNCIA DE GESTÃO DOCUMENTAL_x000D_
Desde: 09/09/2020</t>
  </si>
  <si>
    <t>30/07/2021: Em exigência
COIFA - COORDENAÇÃO DE REGISTRO DE INSUMOS FARMACÊUTICOS ATIVOS_x000D_
Desde: 26/10/2020</t>
  </si>
  <si>
    <t>30/07/2021: Em exigência
COIFA - COORDENAÇÃO DE REGISTRO DE INSUMOS FARMACÊUTICOS ATIVOS_x000D_
Desde: 21/10/2020</t>
  </si>
  <si>
    <t>30/07/2021: Distribuído para a área responsável
GQMED - GERÊNCIA DE AVALIAÇÃO DA QUALIDADE DE MEDICAMENTOS SINTÉTICOS_x000D_
Desde: 23/09/2020</t>
  </si>
  <si>
    <t>30/07/2021: Distribuído para a área responsável
CBRES - COORDENAÇÃO DE BULA, ROTULAGEM, REGISTRO SIMPLIFICADO E NOME COMERCIAL_x000D_
Desde: 11/09/2020</t>
  </si>
  <si>
    <t>30/07/2021: Concluída análise
CETER - COORDENAÇÃO DE EQUIVALÊNCIA TERAPÊUTICA_x000D_
Desde: 13/07/2021</t>
  </si>
  <si>
    <t>30/07/2021: Situação atual: Em exigência
 Encontra-se na: ARQVO - ARQUIVO - GERÊNCIA DE GESTÃO DOCUMENTAL_x000D_
Desde: 10/11/2020</t>
  </si>
  <si>
    <t>30/07/2021: Em exigência
COIFA - COORDENAÇÃO DE REGISTRO DE INSUMOS FARMACÊUTICOS ATIVOS_x000D_
Desde: 20/04/2021</t>
  </si>
  <si>
    <t>30/07/2021: Concluída análise
CETER - COORDENAÇÃO DE EQUIVALÊNCIA TERAPÊUTICA_x000D_
Desde: 24/12/2020</t>
  </si>
  <si>
    <t>30/07/2021: Distribuído para a área responsável
GQMED - GERÊNCIA DE AVALIAÇÃO DA QUALIDADE DE MEDICAMENTOS SINTÉTICOS_x000D_
Desde: 03/11/2020</t>
  </si>
  <si>
    <t>30/07/2021: Anuído
CBRES - COORDENAÇÃO DE BULA, ROTULAGEM, REGISTRO SIMPLIFICADO E NOME COMERCIAL_x000D_
 Enc.: 29/07/2021</t>
  </si>
  <si>
    <t>30/07/2021: Expedienten 1: Situação atual: Aguardando análise do medicamento matriz
 Encontra-se na: CBRES - COORDENAÇÃO DE BULA, ROTULAGEM, REGISTRO SIMPLIFICADO E NOME COMERCIAL_x000D_
Desde: 22/12/2020
 Expediente 2: Situação atual: Em exigência
 Encontra-se na: ARQVO - ARQUIVO - GERÊNCIA DE GESTÃO DOCUMENTAL_x000D_
Desde: 10/11/2020</t>
  </si>
  <si>
    <t>30/07/2021: Situação atual: Em análise
 Encontra-se na: ARQVO - ARQUIVO - GERÊNCIA DE GESTÃO DOCUMENTAL_x000D_
Desde: 18/11/2020</t>
  </si>
  <si>
    <t>30/07/2021: Distribuído para a área responsável
CBRES - COORDENAÇÃO DE BULA, ROTULAGEM, REGISTRO SIMPLIFICADO E NOME COMERCIAL_x000D_
Desde: 19/11/2020</t>
  </si>
  <si>
    <t>30/07/2021: Concluída análise
CETER - COORDENAÇÃO DE EQUIVALÊNCIA TERAPÊUTICA_x000D_
Desde: 25/11/2020</t>
  </si>
  <si>
    <t>30/07/2021: Em análise
GQMED - GERÊNCIA DE AVALIAÇÃO DA QUALIDADE DE MEDICAMENTOS SINTÉTICOS_x000D_
Desde: 02/12/2020</t>
  </si>
  <si>
    <t>30/07/2021: Situação atual: Em análise
 Encontra-se na: ARQVO - ARQUIVO - GERÊNCIA DE GESTÃO DOCUMENTAL_x000D_
Desde: 03/12/2020</t>
  </si>
  <si>
    <t>30/07/2021: Distribuído para a área responsável
GQMED - GERÊNCIA DE AVALIAÇÃO DA QUALIDADE DE MEDICAMENTOS SINTÉTICOS_x000D_
Desde: 11/12/2020</t>
  </si>
  <si>
    <t>30/07/2021: Distribuído para a área responsável
CBRES - COORDENAÇÃO DE BULA, ROTULAGEM, REGISTRO SIMPLIFICADO E NOME COMERCIAL_x000D_
Desde: 09/12/2020</t>
  </si>
  <si>
    <t>30/07/2021: Concluída análise
CETER - COORDENAÇÃO DE EQUIVALÊNCIA TERAPÊUTICA_x000D_
Desde: 07/04/2021</t>
  </si>
  <si>
    <t>30/07/2021: Situação atual: Em análise do cumprimento de exigência
 Encontra-se na: ARQVO - ARQUIVO - GERÊNCIA DE GESTÃO DOCUMENTAL_x000D_
Desde: 08/12/2020</t>
  </si>
  <si>
    <t>30/07/2021: Distribuído para a área responsável
GQMED - GERÊNCIA DE AVALIAÇÃO DA QUALIDADE DE MEDICAMENTOS SINTÉTICOS_x000D_
Desde: 01/06/2021</t>
  </si>
  <si>
    <t>30/07/2021: Distribuído para a área responsável
CETER - COORDENAÇÃO DE EQUIVALÊNCIA TERAPÊUTICA_x000D_
Desde: 16/03/2021</t>
  </si>
  <si>
    <t>30/07/2021: Petição encerrada
COIFA - COORDENAÇÃO DE REGISTRO DE INSUMOS FARMACÊUTICOS ATIVOS_x000D_
Desde: 14/01/2021</t>
  </si>
  <si>
    <t>30/07/2021: Aguardando análise do cumprimento de exigência
CBRES - COORDENAÇÃO DE BULA, ROTULAGEM, REGISTRO SIMPLIFICADO E NOME COMERCIAL_x000D_
Desde: 12/07/2021</t>
  </si>
  <si>
    <t>30/07/2021: Anuído
GQMED - GERÊNCIA DE AVALIAÇÃO DA QUALIDADE DE MEDICAMENTOS SINTÉTICOS_x000D_
Desde: 11/01/2021</t>
  </si>
  <si>
    <t>30/07/2021: Distribuído para a área responsável
GQMED - GERÊNCIA DE AVALIAÇÃO DA QUALIDADE DE MEDICAMENTOS SINTÉTICOS_x000D_
Desde: 08/12/2020</t>
  </si>
  <si>
    <t>30/07/2021: Expedienten 1: Situação atual: Aguardando análise do medicamento matriz
 Encontra-se na: CBRES - COORDENAÇÃO DE BULA, ROTULAGEM, REGISTRO SIMPLIFICADO E NOME COMERCIAL_x000D_
Desde: 23/03/2021
 Expediente 2: Situação atual: Em análise
 Encontra-se na: ARQVO - ARQUIVO - GERÊNCIA DE GESTÃO DOCUMENTAL_x000D_
Desde: 03/12/2020</t>
  </si>
  <si>
    <t>30/07/2021: Situação atual: Em análise
 Encontra-se na: ARQVO - ARQUIVO - GERÊNCIA DE GESTÃO DOCUMENTAL_x000D_
Desde: 16/12/2020</t>
  </si>
  <si>
    <t>30/07/2021: Distribuído para a área responsável
GQMED - GERÊNCIA DE AVALIAÇÃO DA QUALIDADE DE MEDICAMENTOS SINTÉTICOS_x000D_
Desde: 16/12/2020</t>
  </si>
  <si>
    <t>30/07/2021: Distribuído para a área responsável
CBRES - COORDENAÇÃO DE BULA, ROTULAGEM, REGISTRO SIMPLIFICADO E NOME COMERCIAL_x000D_
Desde: 16/12/2020</t>
  </si>
  <si>
    <t>30/07/2021: Concluída análise
CETER - COORDENAÇÃO DE EQUIVALÊNCIA TERAPÊUTICA_x000D_
Desde: 06/05/2021</t>
  </si>
  <si>
    <t>30/07/2021: Situação atual: Em análise
 Encontra-se na: ARQVO - ARQUIVO - GERÊNCIA DE GESTÃO DOCUMENTAL_x000D_
Desde: 18/12/2020</t>
  </si>
  <si>
    <t>30/07/2021: Distribuído para a área responsável
CBRES - COORDENAÇÃO DE BULA, ROTULAGEM, REGISTRO SIMPLIFICADO E NOME COMERCIAL_x000D_
Desde: 18/12/2020</t>
  </si>
  <si>
    <t>30/07/2021: Concluída análise
CETER - COORDENAÇÃO DE EQUIVALÊNCIA TERAPÊUTICA_x000D_
Desde: 10/05/2021</t>
  </si>
  <si>
    <t>30/07/2021: Distribuído para a área responsável
GQMED - GERÊNCIA DE AVALIAÇÃO DA QUALIDADE DE MEDICAMENTOS SINTÉTICOS_x000D_
Desde: 18/12/2020</t>
  </si>
  <si>
    <t>30/07/2021: Expedienten 1: Situação atual: Aguardando análise do medicamento matriz
 Encontra-se na: CBRES - COORDENAÇÃO DE BULA, ROTULAGEM, REGISTRO SIMPLIFICADO E NOME COMERCIAL_x000D_
 Enc.: 23/03/2021
 Expediente 2: Situação atual: Em análise
 Encontra-se na: ARQVO - ARQUIVO - GERÊNCIA DE GESTÃO DOCUMENTAL_x000D_
Desde: 18/11/2020</t>
  </si>
  <si>
    <t>30/07/2021: Situação atual: Em análise
 Encontra-se na: ARQVO - ARQUIVO - GERÊNCIA DE GESTÃO DOCUMENTAL_x000D_
Desde: 22/12/2020</t>
  </si>
  <si>
    <t>30/07/2021: Distribuído para a área responsável
CBRES - COORDENAÇÃO DE BULA, ROTULAGEM, REGISTRO SIMPLIFICADO E NOME COMERCIAL_x000D_
Desde: 05/01/2021</t>
  </si>
  <si>
    <t>30/07/2021: Distribuído para a área responsável
GQMED - GERÊNCIA DE AVALIAÇÃO DA QUALIDADE DE MEDICAMENTOS SINTÉTICOS_x000D_
Desde: 04/01/2021</t>
  </si>
  <si>
    <t>30/07/2021: Concluída análise
CETER - COORDENAÇÃO DE EQUIVALÊNCIA TERAPÊUTICA_x000D_
Desde: 29/03/2021</t>
  </si>
  <si>
    <t>30/07/2021: Expedienten 1: Situação atual: Aguardando análise do medicamento matriz
 Encontra-se na: CBRES - COORDENAÇÃO DE BULA, ROTULAGEM, REGISTRO SIMPLIFICADO E NOME COMERCIAL_x000D_
Desde: 27/01/2021
 Expediente 2: Situação atual: Em análise
 Encontra-se na: ARQVO - ARQUIVO - GERÊNCIA DE GESTÃO DOCUMENTAL_x000D_
Desde: 16/12/2020</t>
  </si>
  <si>
    <t>30/07/2021: Expedienten 1: Situação atual: Aguardando análise do medicamento matriz
 Encontra-se na: CBRES - COORDENAÇÃO DE BULA, ROTULAGEM, REGISTRO SIMPLIFICADO E NOME COMERCIAL_x000D_
 Enc.: 25/03/2021
 Expediente 2: Situação atual: Em análise
 Encontra-se na: ARQVO - ARQUIVO - GERÊNCIA DE GESTÃO DOCUMENTAL_x000D_
Desde: 22/12/2020</t>
  </si>
  <si>
    <t>30/07/2021: Expedienten 1: Situação atual: Aguardando análise do medicamento matriz
 Encontra-se na: CBRES - COORDENAÇÃO DE BULA, ROTULAGEM, REGISTRO SIMPLIFICADO E NOME COMERCIAL_x000D_
Desde: 18/02/2021
 Expediente 2: Situação atual: Em análise
 Encontra-se na: ARQVO - ARQUIVO - GERÊNCIA DE GESTÃO DOCUMENTAL_x000D_
Desde: 18/12/2020</t>
  </si>
  <si>
    <t>30/07/2021: Distribuído para a área responsável
GEDOC - GERÊNCIA DE GESTÃO DOCUMENTAL E MEMÓRIA CORPORATIVA_x000D_
Desde: 25/03/2021</t>
  </si>
  <si>
    <t>30/07/2021: Distribuído para a área responsável
CETER - COORDENAÇÃO DE EQUIVALÊNCIA TERAPÊUTICA_x000D_
 Enc.: 25/03/2021</t>
  </si>
  <si>
    <t>30/07/2021: Distribuído para a área responsável
CBRES - COORDENAÇÃO DE BULA, ROTULAGEM, REGISTRO SIMPLIFICADO E NOME COMERCIAL_x000D_
Desde: 01/02/2021</t>
  </si>
  <si>
    <t>30/07/2021: Distribuído para a área responsável
GQMED - GERÊNCIA DE AVALIAÇÃO DA QUALIDADE DE MEDICAMENTOS SINTÉTICOS_x000D_
Desde: 27/01/2021</t>
  </si>
  <si>
    <t>30/07/2021: Expedienten 1: Situação atual: Aguardando análise do medicamento matriz
 Encontra-se na: CBRES - COORDENAÇÃO DE BULA, ROTULAGEM, REGISTRO SIMPLIFICADO E NOME COMERCIAL_x000D_
Desde: 28/01/2021
 Expediente 2: Situação atual: Aguardando análise do cumprimento de exigência
 Encontra-se na: CETER - COORDENAÇÃO DE EQUIVALÊNCIA TERAPÊUTICA_x000D_
 Enc.: 28/07/2021</t>
  </si>
  <si>
    <t>30/07/2021: Situação atual: Concluída análise
 Encontra-se na: GGMED - GERÊNCIA-GERAL DE MEDICAMENTOS E PRODUTOS BIOLÓGICOS_x000D_
Desde: 29/07/2021</t>
  </si>
  <si>
    <t>30/07/2021: Expedienten 1: Situação atual: Em exigência
 Encontra-se na: CBRES - COORDENAÇÃO DE BULA, ROTULAGEM, REGISTRO SIMPLIFICADO E NOME COMERCIAL_x000D_
Desde: 28/05/2021
 Expediente 2: Situação atual: Publicado deferimento
 Encontra-se na: GGMED - GERÊNCIA-GERAL DE MEDICAMENTOS E PRODUTOS BIOLÓGICOS_x000D_
Desde: 28/04/2021</t>
  </si>
  <si>
    <t>30/07/2021: Concluída análise
COIFA - COORDENAÇÃO DE REGISTRO DE INSUMOS FARMACÊUTICOS ATIVOS_x000D_
Desde: 07/06/2021</t>
  </si>
  <si>
    <t>0723652/21-2</t>
  </si>
  <si>
    <t>30/07/2021: Expedienten 1: Situação atual: Distribuído para a área responsável 
Encontra-se na
CBRES Desde: 23/02/2021
 Expediente 2: Situação atual: Desistência a pedido
 Encontra-se na: CBRES - COORDENAÇÃO DE BULA, ROTULAGEM, REGISTRO SIMPLIFICADO E NOME COMERCIAL
Desde: 31/05/2021</t>
  </si>
  <si>
    <t>1231181/21-2</t>
  </si>
  <si>
    <t>30/07/2021: Expedienten 1: Situação atual: Desistência a pedido
 Encontra-se na: CBRES - COORDENAÇÃO DE BULA, ROTULAGEM, REGISTRO SIMPLIFICADO E NOME COMERCIAL_x000D_
Desde: 31/05/2021
 Expediente 2: Situação da Desistência
Distribuido para a área responsável
Encontra-se na
CBRES
Desde: 31/03/2021</t>
  </si>
  <si>
    <t>30/07/2021: Expedienten 1: Distribuído para a área responsável
GEPRE.D - GERÊNCIA DE AVALIAÇÃO DE TECNOLOGIA DE PÓS-REGISTRO DE MEDICAMENTOS SINTÉTICOS_x000D_
Desde: 21/01/2020
 Expediente 2: Em exigência
GQMED - GERÊNCIA DE AVALIAÇÃO DA QUALIDADE DE MEDICAMENTOS SINTÉTICOS
Desde: 17/05/2021</t>
  </si>
  <si>
    <t>30/07/2021: Situação atual
Não anuído Encontra-se na
GQMED - GERÊNCIA DE AVALIAÇÃO DA QUALIDADE DE MEDICAMENTOS SINTÉTICOS
Desde 20/04/2020</t>
  </si>
  <si>
    <t>3347968/20-2</t>
  </si>
  <si>
    <t>30/07/2021: Expedienten 1: ituação atual: Aguardando análise do medicamento matriz
 Encontra-se na: CBRES - 
 Enc.: 07/12/2020
 Expediente 2: Situação atual: Aguardando análise do cumprimento de exigência
 Encontra-se na: ARQVO - ARQUIVO - GERÊNCIA DE GESTÃO DOCUMENTAL_x000D_
Desde: 09/09/2020</t>
  </si>
  <si>
    <t>Situação atual
Distribuído para a área responsável
Encontra-se na
GESEF - GERÊNCIA DE AVALIAÇÃO DE SEGURANÇA E EFICÁCIA
Enc. 05/05/2021</t>
  </si>
  <si>
    <t>Situação atual
Distribuído para a área responsável
Encontra-se na
GQMED - GERÊNCIA DE AVALIAÇÃO DA QUALIDADE DE MEDICAMENTOS SINTÉTICOS
Desde 09/04/2021</t>
  </si>
  <si>
    <t>Situação atual
Distribuído para a área responsável
Encontra-se na
CBRES - COORDENAÇÃO DE BULA, ROTULAGEM, REGISTRO SIMPLIFICADO E NOME COMERCIAL
Desde 09/04/2021</t>
  </si>
  <si>
    <t>Situação atual
Distribuído para a área responsável
Encontra-se na
CBRES - COORDENAÇÃO DE BULA, ROTULAGEM, REGISTRO SIMPLIFICADO E NOME COMERCIAL
Desde 08/07/2021</t>
  </si>
  <si>
    <t>Situação atual
Distribuído para a área responsável
Encontra-se na
CETER - COORDENAÇÃO DE EQUIVALÊNCIA TERAPÊUTICA
Desde 05/07/2021</t>
  </si>
  <si>
    <t>Situação atual
Distribuído para a área responsável
Encontra-se na
GQMED - GERÊNCIA DE AVALIAÇÃO DA QUALIDADE DE MEDICAMENTOS SINTÉTICOS
Desde 02/07/2021</t>
  </si>
  <si>
    <t>Situação atual
Distribuído para a área responsável
Encontra-se na
CBRES - COORDENAÇÃO DE BULA, ROTULAGEM, REGISTRO SIMPLIFICADO E NOME COMERCIAL
Desde 20/07/2021</t>
  </si>
  <si>
    <t>Situação atual
Distribuído para a área responsável
Encontra-se na
CETER - COORDENAÇÃO DE EQUIVALÊNCIA TERAPÊUTICA
Desde 19/07/2021</t>
  </si>
  <si>
    <t>Situação atual
Distribuído para a área responsável
Encontra-se na
GGMED - GERÊNCIA-GERAL DE MEDICAMENTOS E PRODUTOS BIOLÓGICOS
Desde 16/07/2021</t>
  </si>
  <si>
    <t>41.1</t>
  </si>
  <si>
    <t>41.3</t>
  </si>
  <si>
    <t>PR0179/17</t>
  </si>
  <si>
    <t>ZOGAST XR</t>
  </si>
  <si>
    <t xml:space="preserve">esomeprazol magnésico tri-hidratado </t>
  </si>
  <si>
    <t xml:space="preserve">20MG CAP DURA LIB RETARD CT FR PLAS PEAD OPC X 7
20MG CAP DURA LIB RETARD CT FR PLAS PEAD OPC X 14
20MG CAP DURA LIB RETARD CT FR PLAS PEAD OPC X 28
40MG CAP DURA LIB RETARD CT FR PLAS PEAD OPC X 7
40MG CAP DURA LIB RETARD CT FR PLAS PEAD OPC X 14
40MG CAP DURA LIB RETARD CT FR PLAS PEAD OPC X 28
</t>
  </si>
  <si>
    <t>20mg  e 40mg</t>
  </si>
  <si>
    <t>2ºsemestre 2022</t>
  </si>
  <si>
    <r>
      <t xml:space="preserve">1_Aditamento para a CRMEC de bula, rotulagem e nome comercial protocolado em 09/05/2019 sob expediente 0414683192.
2_Aditamento de estudo de biodisponibilidade relativa ou Bioisenção protocolado em 09/05/2019 sob expediente 0419590196 .
3_Aditamento à solicitação de registro (FIDR) protocolado em 16/05/2019 sob expediente 0435168191.
4_Aditamento Plano de Farmacovigilância / Plano Minimização de Risco - Medicamento Novo protocolado em 16/05/2019 sob expediente 0435245199.
5_Aditamento para avaliação de segurança e eficácia protocolado em 09/05/2019 sob expediente 0419337197.
6_Publicado prorrogação de prazo de 60 dias em DOU em 30/09/2019.
7_Exigência recebida em 04/10/2019 sob o número 2324209/19-4 (segurança e eficácia). Exigência cumprida em 31/01/2020 sob expediente nº 0317289/20-9.
8_Exigência nº 0684166/20-0 aberta em 06/03/2020 para o aditamento de segurança e eficácia.
9_Realizado 10474 - MEDICAMENTO NOVO - Aditamento à solicitação de registro em 09/03/2020, pelo expediente nº 0710460/20-0: foram Atualização dos estudos de estabilidade de longa duração em andamento (resultados de 18 meses) e estudos de estabilidade em uso em andamento (resultados de 12 meses)
10_ Publicado em 06/04/2020 a prorrogação do prazo de análise para até 122 dias. 
11_Exigência cumprida sob expediente 2106365209 em 01/07/2020, relacionada ao estudo de segurança e eficácia.
12_Ofício nº 2011085205 , Expediente 0383751/19-3 recebido em 30/06/2020. Assunto: Análise do DMF do IFA
13_ Cumprimento de ofício referente a petição 11116 - RDC 73/2016 - NOVO - Inclusão de nova concentração, em 09/07/2020, sob o expediente: 2213747205
14_Exigência Nº: 2261069/20-3, recebida em 16/07/2020, Expediente da petição: 0419337/19-7, assunto: avaliação da segurança e eficácia. 
15_Exigência nº 2419858/20-7, recebida em 27/07/2020, expediente da petição  0383751/19-3. Assunto:  RDC 73/2016 - NOVO - Inclusão de nova concentração 
16_Exigência cumprida sob expediente 2616420201 em 07/08/2020, relacionada aos ajustes nos textos de bula mediante a aprovação da manutenção da tarja proposta pela empresa - restrição de venda do novo medicamento como "Venda sob prescrição médica" da Exigência Nº: 2261069/20-3
17_Exigência Nº: 3044789/20-5, recebida em 09/09/2020, sob o expediente: 0419337/19-7, assunto: Documentação para avaliação de segurança e eficácia
</t>
    </r>
    <r>
      <rPr>
        <sz val="10"/>
        <rFont val="Calibri"/>
        <family val="2"/>
        <scheme val="minor"/>
      </rPr>
      <t xml:space="preserve">18_Cumprimento da exigência, sob o expediente: 3264900203, em 24/09/2020, assunto: Documentação para avaliação de segurança e eficácia
19_Cumprimento de exigência sob o expediente: 3637854201, referente referente a petição 11116 - RDC 73/2016 - NOVO - Inclusão de nova concentração, em 20/10/2020. 
20_Exigência Nº: 0147655/21-6 recebida em 18/01/2021, sob o Expediente da petição: 0383751/19-3, assunto: 11116 - RDC 73/2016 - NOVO - Inclusão de nova concentração
21_ Cumprimento de exigência em 24/02/2021 sob expediente 0735468214. Cumprimento de exigência referente a petição 11116 - RDC 73/2016 - NOVO - Inclusão de nova concentração
22_recebido oficios em 05/07/2021 nº 2267060212, 2445671213 e 2351802212
23_Resposta a ofício referente a apresentação do protocolo do estudo de estabilidade em uso, a ser realizado nos lotes de lançamento, sob expediente 2976200211 protocolada em 30/07/2021. </t>
    </r>
  </si>
  <si>
    <t>25351.868324/2021-21</t>
  </si>
  <si>
    <t>3014612/21-7</t>
  </si>
  <si>
    <t>3043389/21-4</t>
  </si>
  <si>
    <t>3055883/21-2</t>
  </si>
  <si>
    <t>RIVNEO</t>
  </si>
  <si>
    <t>rivaroxabana</t>
  </si>
  <si>
    <t>10, 15 e 20mg</t>
  </si>
  <si>
    <t xml:space="preserve">NOME COMERCIAL
1ª opção:  RIVNEO
2ª opção: BANXELTO
3ª opção: RANBANEO
</t>
  </si>
  <si>
    <t>Fila: 8</t>
  </si>
  <si>
    <t>06/08/2021: Expediente 1: Distribuído para a área responsável
CBRES - COORDENAÇÃO DE BULA, ROTULAGEM, REGISTRO SIMPLIFICADO E NOME COMERCIAL
Desde: 30/03/2021
 Expediente 2: Situação atual: Aguardando análise do medicamento matriz
 Encontra-se na: CRMEC.D - COORDENAÇÃO DE REGISTRO DE MEDICAMENTOS DE MENOR COMPLEXIDADE, BULA E ROTULAGEM
 Enc.: 15/07/2019</t>
  </si>
  <si>
    <t>06/08/2021: Expedienten 1: Situação atual: Aguardando análise do medicamento matriz
 Encontra-se na: CRMEC.D - COORDENAÇÃO DE REGISTRO DE MEDICAMENTOS DE MENOR COMPLEXIDADE, BULA E ROTULAGEM
 Enc.: 14/01/2020
 Expediente 2: Situação atual: Em exigência
 Encontra-se na: GQMED - GERÊNCIA DE AVALIAÇÃO DA QUALIDADE DE MEDICAMENTOS SINTÉTICOS
Desde: 23/06/2021</t>
  </si>
  <si>
    <t>06/08/2021: Expediente 1: Distribuído para a área responsável
CBRES - COORDENAÇÃO DE BULA, ROTULAGEM, REGISTRO SIMPLIFICADO E NOME COMERCIAL
Desde: 23/02/2021
 Expediente 2: Situação atual: Desistência a pedido
 Encontra-se na: CBRES - COORDENAÇÃO DE BULA, ROTULAGEM, REGISTRO SIMPLIFICADO E NOME COMERCIAL
Desde: 31/05/2021</t>
  </si>
  <si>
    <t>06/08/2021: Situação atual: Em análise
 Encontra-se na: ARQVO - ARQUIVO - GERÊNCIA DE GESTÃO DOCUMENTAL
Desde: 23/07/2021</t>
  </si>
  <si>
    <t>06/08/2021: Aguardando análise do insumo farmacêutico ativo
GQMED - GERÊNCIA DE AVALIAÇÃO DA QUALIDADE DE MEDICAMENTOS SINTÉTICOS_x000D_
Desde: 23/07/2021</t>
  </si>
  <si>
    <t>06/08/2021: Aguardando análise do cumprimento de exigência
COIFA - COORDENAÇÃO DE REGISTRO DE INSUMOS FARMACÊUTICOS ATIVOS_x000D_
Desde: 23/07/2020</t>
  </si>
  <si>
    <t>06/08/2021: Concluída análise
CETER - COORDENAÇÃO DE EQUIVALÊNCIA TERAPÊUTICA_x000D_
Desde: 13/10/2020</t>
  </si>
  <si>
    <t>06/08/2021: Distribuído para a área responsável
CRMEC.D - COORDENAÇÃO DE REGISTRO DE MEDICAMENTOS DE MENOR COMPLEXIDADE, BULA E ROTULAGEM_x000D_
Desde: 18/12/2019</t>
  </si>
  <si>
    <t>06/08/2021: Concluída análise
COINC - COORDENAÇÃO DE INOVAÇÃO INCREMENTAL_x000D_
Desde: 07/12/2020</t>
  </si>
  <si>
    <t>06/08/2021: Expedienten 1: Situação atual: Desistência a pedido
 Encontra-se na: CBRES - COORDENAÇÃO DE BULA, ROTULAGEM, REGISTRO SIMPLIFICADO E NOME COMERCIAL
Desde: 31/05/2021
 Expediente 2: Distribuído para a área responsável
CBRES - COORDENAÇÃO DE BULA, ROTULAGEM, REGISTRO SIMPLIFICADO E NOME COMERCIAL
Desde: 31/03/2021</t>
  </si>
  <si>
    <t>06/08/2021: Expedienten 1: Distribuído para a área responsável
GEPRE.D - GERÊNCIA DE AVALIAÇÃO DE TECNOLOGIA DE PÓS-REGISTRO DE MEDICAMENTOS SINTÉTICOS
Desde: 20/01/2020
 Expediente 2: Em exigência
GQMED - GERÊNCIA DE AVALIAÇÃO DA QUALIDADE DE MEDICAMENTOS SINTÉTICOS
Desde: 17/05/2021</t>
  </si>
  <si>
    <t>06/08/2021: Expedienten 1: Distribuído para a área responsável
GEPRE.D - GERÊNCIA DE AVALIAÇÃO DE TECNOLOGIA DE PÓS-REGISTRO DE MEDICAMENTOS SINTÉTICOS
Desde: 21/01/2020
 Expediente 2: Em exigência
GQMED - GERÊNCIA DE AVALIAÇÃO DA QUALIDADE DE MEDICAMENTOS SINTÉTICOS
Desde: 17/05/2021</t>
  </si>
  <si>
    <t>06/08/2021: Situação atual: Em análise
 Encontra-se na: ARQVO - ARQUIVO - GERÊNCIA DE GESTÃO DOCUMENTAL_x000D_
Desde: 22/04/2021</t>
  </si>
  <si>
    <t>06/08/2021: Em exigência
COIFA - COORDENAÇÃO DE REGISTRO DE INSUMOS FARMACÊUTICOS ATIVOS_x000D_
Desde: 15/06/2021</t>
  </si>
  <si>
    <t>06/08/2021: Em exigência
COIFA - COORDENAÇÃO DE REGISTRO DE INSUMOS FARMACÊUTICOS ATIVOS_x000D_
Desde: 14/06/2021</t>
  </si>
  <si>
    <t>06/08/2021: Não anuído
GQMED - GERÊNCIA DE AVALIAÇÃO DA QUALIDADE DE MEDICAMENTOS SINTÉTICOS_x000D_
Desde: 20/04/2020</t>
  </si>
  <si>
    <t>06/08/2021: Concluída análise
COINC - COORDENAÇÃO DE INOVAÇÃO INCREMENTAL_x000D_
Desde: 05/02/2021</t>
  </si>
  <si>
    <t>06/08/2021: Concluída análise
CETER - COORDENAÇÃO DE EQUIVALÊNCIA TERAPÊUTICA_x000D_
Desde: 17/07/2020</t>
  </si>
  <si>
    <t>06/08/2021: Petição encerrada
COINC - COORDENAÇÃO DE INOVAÇÃO INCREMENTAL_x000D_
Desde: 06/05/2020</t>
  </si>
  <si>
    <t>06/08/2021: Distribuído para a área responsável
CRMEC.D - COORDENAÇÃO DE REGISTRO DE MEDICAMENTOS DE MENOR COMPLEXIDADE, BULA E ROTULAGEM_x000D_
Desde: 29/01/2020</t>
  </si>
  <si>
    <t>06/08/2021: Situação atual: Em exigência
 Encontra-se na: ARQVO - ARQUIVO - GERÊNCIA DE GESTÃO DOCUMENTAL_x000D_
Desde: 23/04/2021</t>
  </si>
  <si>
    <t>06/08/2021: Em exigência
COIFA - COORDENAÇÃO DE REGISTRO DE INSUMOS FARMACÊUTICOS ATIVOS_x000D_
Desde: 21/07/2021</t>
  </si>
  <si>
    <t>06/08/2021: Concluída análise
COINC - COORDENAÇÃO DE INOVAÇÃO INCREMENTAL_x000D_
Desde: 03/02/2021</t>
  </si>
  <si>
    <t>06/08/2021: Concluída análise
CETER - COORDENAÇÃO DE EQUIVALÊNCIA TERAPÊUTICA_x000D_
Desde: 20/05/2020</t>
  </si>
  <si>
    <t>06/08/2021: Anuído
CBRES - COORDENAÇÃO DE BULA, ROTULAGEM, REGISTRO SIMPLIFICADO E NOME COMERCIAL_x000D_
Desde: 04/05/2021</t>
  </si>
  <si>
    <t>06/08/2021: Expedienten 1: Situação atual: Aguardando análise do medicamento matriz
 Encontra-se na: CBRES - COORDENAÇÃO DE BULA, ROTULAGEM, REGISTRO SIMPLIFICADO E NOME COMERCIAL
Desde: 20/05/2020
 Expediente 2: Situação atual: Em análise
 Encontra-se na: ARQVO - ARQUIVO - GERÊNCIA DE GESTÃO DOCUMENTAL
Desde: 22/04/2021</t>
  </si>
  <si>
    <t>06/08/2021: Situação atual: Em análise do cumprimento de exigência
 Encontra-se na: ARQVO - ARQUIVO - GERÊNCIA DE GESTÃO DOCUMENTAL_x000D_
Desde: 09/09/2020</t>
  </si>
  <si>
    <t>06/08/2021: Em exigência
COIFA - COORDENAÇÃO DE REGISTRO DE INSUMOS FARMACÊUTICOS ATIVOS_x000D_
Desde: 26/10/2020</t>
  </si>
  <si>
    <t>06/08/2021: Em exigência
COIFA - COORDENAÇÃO DE REGISTRO DE INSUMOS FARMACÊUTICOS ATIVOS_x000D_
Desde: 21/10/2020</t>
  </si>
  <si>
    <t>06/08/2021: Distribuído para a área responsável
GQMED - GERÊNCIA DE AVALIAÇÃO DA QUALIDADE DE MEDICAMENTOS SINTÉTICOS_x000D_
Desde: 23/09/2020</t>
  </si>
  <si>
    <t>06/08/2021: Distribuído para a área responsável
CBRES - COORDENAÇÃO DE BULA, ROTULAGEM, REGISTRO SIMPLIFICADO E NOME COMERCIAL_x000D_
Desde: 11/09/2020</t>
  </si>
  <si>
    <t>06/08/2021: Concluída análise
CETER - COORDENAÇÃO DE EQUIVALÊNCIA TERAPÊUTICA_x000D_
Desde: 13/07/2021</t>
  </si>
  <si>
    <t>06/08/2021: Expedienten 1: Aguardando análise do medicamento matriz
 Encontra-se na: CBRES - 
 Enc.: 07/12/2020 
 Expediente 2: Situação atual: Em análise do cumprimento de exigência
 Encontra-se na: ARQVO - ARQUIVO - GERÊNCIA DE GESTÃO DOCUMENTAL
Desde: 09/09/2020</t>
  </si>
  <si>
    <t>06/08/2021: Situação atual: Em exigência
 Encontra-se na: ARQVO - ARQUIVO - GERÊNCIA DE GESTÃO DOCUMENTAL_x000D_
Desde: 10/11/2020</t>
  </si>
  <si>
    <t>06/08/2021: Aguardando análise do cumprimento de exigência
COIFA - COORDENAÇÃO DE REGISTRO DE INSUMOS FARMACÊUTICOS ATIVOS_x000D_
Desde: 20/04/2021</t>
  </si>
  <si>
    <t>06/08/2021: Concluída análise
CETER - COORDENAÇÃO DE EQUIVALÊNCIA TERAPÊUTICA_x000D_
Desde: 24/12/2020</t>
  </si>
  <si>
    <t>06/08/2021: Distribuído para a área responsável
GQMED - GERÊNCIA DE AVALIAÇÃO DA QUALIDADE DE MEDICAMENTOS SINTÉTICOS_x000D_
Desde: 03/11/2020</t>
  </si>
  <si>
    <t>06/08/2021: Anuído
CBRES - COORDENAÇÃO DE BULA, ROTULAGEM, REGISTRO SIMPLIFICADO E NOME COMERCIAL_x000D_
Desde: 04/08/2021</t>
  </si>
  <si>
    <t>06/08/2021: Expedienten 1: Situação atual: Aguardando análise do medicamento matriz
 Encontra-se na: CBRES - COORDENAÇÃO DE BULA, ROTULAGEM, REGISTRO SIMPLIFICADO E NOME COMERCIAL
Desde: 22/12/2020
 Expediente 2: Situação atual: Em exigência
 Encontra-se na: ARQVO - ARQUIVO - GERÊNCIA DE GESTÃO DOCUMENTAL
Desde: 10/11/2020</t>
  </si>
  <si>
    <t>06/08/2021: Situação atual: Em análise
 Encontra-se na: ARQVO - ARQUIVO - GERÊNCIA DE GESTÃO DOCUMENTAL_x000D_
Desde: 18/11/2020</t>
  </si>
  <si>
    <t>06/08/2021: Distribuído para a área responsável
CBRES - COORDENAÇÃO DE BULA, ROTULAGEM, REGISTRO SIMPLIFICADO E NOME COMERCIAL_x000D_
Desde: 19/11/2020</t>
  </si>
  <si>
    <t>06/08/2021: Concluída análise
CETER - COORDENAÇÃO DE EQUIVALÊNCIA TERAPÊUTICA_x000D_
Desde: 25/11/2020</t>
  </si>
  <si>
    <t>06/08/2021: Em análise
GQMED - GERÊNCIA DE AVALIAÇÃO DA QUALIDADE DE MEDICAMENTOS SINTÉTICOS_x000D_
Desde: 02/12/2020</t>
  </si>
  <si>
    <t>04/08/2021: Situação atual: Em análise
 Encontra-se na: ARQVO - ARQUIVO - GERÊNCIA DE GESTÃO DOCUMENTAL_x000D_
Desde: 03/12/2020</t>
  </si>
  <si>
    <t>06/08/2021: Distribuído para a área responsável
GQMED - GERÊNCIA DE AVALIAÇÃO DA QUALIDADE DE MEDICAMENTOS SINTÉTICOS_x000D_
Desde: 11/12/2020</t>
  </si>
  <si>
    <t>06/08/2021: Distribuído para a área responsável
CBRES - COORDENAÇÃO DE BULA, ROTULAGEM, REGISTRO SIMPLIFICADO E NOME COMERCIAL_x000D_
Desde: 09/12/2020</t>
  </si>
  <si>
    <t>06/08/2021: Concluída análise
CETER - COORDENAÇÃO DE EQUIVALÊNCIA TERAPÊUTICA_x000D_
Desde: 07/04/2021</t>
  </si>
  <si>
    <t>06/08/2021: Situação atual: Em análise do cumprimento de exigência
 Encontra-se na: ARQVO - ARQUIVO - GERÊNCIA DE GESTÃO DOCUMENTAL_x000D_
Desde: 08/12/2020</t>
  </si>
  <si>
    <t>06/08/2021: Distribuído para a área responsável
GQMED - GERÊNCIA DE AVALIAÇÃO DA QUALIDADE DE MEDICAMENTOS SINTÉTICOS_x000D_
Desde: 01/06/2021</t>
  </si>
  <si>
    <t>06/08/2021: Em análise
CETER - COORDENAÇÃO DE EQUIVALÊNCIA TERAPÊUTICA_x000D_
Desde: 03/08/2021</t>
  </si>
  <si>
    <t>06/08/2021: Petição encerrada
COIFA - COORDENAÇÃO DE REGISTRO DE INSUMOS FARMACÊUTICOS ATIVOS_x000D_
Desde: 14/01/2021</t>
  </si>
  <si>
    <t>06/08/2021: Aguardando análise do cumprimento de exigência
CBRES - COORDENAÇÃO DE BULA, ROTULAGEM, REGISTRO SIMPLIFICADO E NOME COMERCIAL_x000D_
Desde: 12/07/2021</t>
  </si>
  <si>
    <t>06/08/2021: Anuído
GQMED - GERÊNCIA DE AVALIAÇÃO DA QUALIDADE DE MEDICAMENTOS SINTÉTICOS_x000D_
Desde: 11/01/2021</t>
  </si>
  <si>
    <t>06/08/2021: Distribuído para a área responsável
GQMED - GERÊNCIA DE AVALIAÇÃO DA QUALIDADE DE MEDICAMENTOS SINTÉTICOS_x000D_
Desde: 08/12/2020</t>
  </si>
  <si>
    <t>06/08/2021: Expedienten 1: Situação atual: Aguardando análise do medicamento matriz
 Encontra-se na: CBRES - COORDENAÇÃO DE BULA, ROTULAGEM, REGISTRO SIMPLIFICADO E NOME COMERCIAL
Desde: 23/03/2021
Expediente 2: Situação atual: Em análise
 Encontra-se na: ARQVO - ARQUIVO - GERÊNCIA DE GESTÃO DOCUMENTAL
Desde: 03/12/2020</t>
  </si>
  <si>
    <t>06/08/2021: Situação atual: Em análise
 Encontra-se na: ARQVO - ARQUIVO - GERÊNCIA DE GESTÃO DOCUMENTAL
Desde: 16/12/2020</t>
  </si>
  <si>
    <t>06/08/2021: Distribuído para a área responsável
GQMED - GERÊNCIA DE AVALIAÇÃO DA QUALIDADE DE MEDICAMENTOS SINTÉTICOS_x000D_
Desde: 16/12/2020</t>
  </si>
  <si>
    <t>06/08/2021: Distribuído para a área responsável
CBRES - COORDENAÇÃO DE BULA, ROTULAGEM, REGISTRO SIMPLIFICADO E NOME COMERCIAL_x000D_
Desde: 16/12/2020</t>
  </si>
  <si>
    <t>06/08/2021: Concluída análise
CETER - COORDENAÇÃO DE EQUIVALÊNCIA TERAPÊUTICA_x000D_
Desde: 06/05/2021</t>
  </si>
  <si>
    <t>06/08/2021: Situação atual: Em análise
 Encontra-se na: ARQVO - ARQUIVO - GERÊNCIA DE GESTÃO DOCUMENTAL_x000D_
Desde: 18/12/2020</t>
  </si>
  <si>
    <t>06/08/2021: Distribuído para a área responsável
CBRES - COORDENAÇÃO DE BULA, ROTULAGEM, REGISTRO SIMPLIFICADO E NOME COMERCIAL_x000D_
Desde: 18/12/2020</t>
  </si>
  <si>
    <t>06/08/2021: Concluída análise
CETER - COORDENAÇÃO DE EQUIVALÊNCIA TERAPÊUTICA_x000D_
Desde: 10/05/2021</t>
  </si>
  <si>
    <t>06/08/2021: Distribuído para a área responsável
GQMED - GERÊNCIA DE AVALIAÇÃO DA QUALIDADE DE MEDICAMENTOS SINTÉTICOS_x000D_
Desde: 18/12/2020</t>
  </si>
  <si>
    <t>06/08/2021: Expedienten 1: Situação atual: Aguardando análise do medicamento matriz
 Encontra-se na: CBRES - COORDENAÇÃO DE BULA, ROTULAGEM, REGISTRO SIMPLIFICADO E NOME COMERCIAL
 Enc.: 23/03/2021
Expediente 2: Situação atual: Em análise
 Encontra-se na: ARQVO - ARQUIVO - GERÊNCIA DE GESTÃO DOCUMENTAL
Desde: 18/11/2020</t>
  </si>
  <si>
    <t>06/08/2021: Situação atual: Em análise
 Encontra-se na: ARQVO - ARQUIVO - GERÊNCIA DE GESTÃO DOCUMENTAL_x000D_
Desde: 22/12/2020</t>
  </si>
  <si>
    <t>06/08/2021: Distribuído para a área responsável
CBRES - COORDENAÇÃO DE BULA, ROTULAGEM, REGISTRO SIMPLIFICADO E NOME COMERCIAL_x000D_
Desde: 05/01/2021</t>
  </si>
  <si>
    <t>06/08/2021: Distribuído para a área responsável
GQMED - GERÊNCIA DE AVALIAÇÃO DA QUALIDADE DE MEDICAMENTOS SINTÉTICOS_x000D_
Desde: 04/01/2021</t>
  </si>
  <si>
    <t>06/08/2021: Concluída análise
CETER - COORDENAÇÃO DE EQUIVALÊNCIA TERAPÊUTICA_x000D_
Desde: 29/03/2021</t>
  </si>
  <si>
    <t>06/08/2021: Expedienten 1: Situação atual: Aguardando análise do medicamento matriz
 Encontra-se na: CBRES - COORDENAÇÃO DE BULA, ROTULAGEM, REGISTRO SIMPLIFICADO E NOME COMERCIAL
Desde: 27/01/2021
 Expediente 2: Situação atual: Em análise
 Encontra-se na: ARQVO - ARQUIVO - GERÊNCIA DE GESTÃO DOCUMENTAL
Desde: 16/12/2020</t>
  </si>
  <si>
    <t>06/08/2021: Expedienten 1: Situação atual: Aguardando análise do medicamento matriz
 Encontra-se na: CBRES - COORDENAÇÃO DE BULA, ROTULAGEM, REGISTRO SIMPLIFICADO E NOME COMERCIAL
 Enc.: 25/03/2021
 Expediente 2: Situação atual: Em análise
 Encontra-se na: ARQVO - ARQUIVO - GERÊNCIA DE GESTÃO DOCUMENTAL
Desde: 22/12/2020</t>
  </si>
  <si>
    <t>Aguardando análise do medicamento matriz
 Encontra-se na: CBRES - COORDENAÇÃO DE BULA, ROTULAGEM, REGISTRO SIMPLIFICADO E NOME COMERCIAL
Desde: 18/02/2021
 Expediente 2: Situação atual: Em análise
 Encontra-se na: ARQVO - ARQUIVO - GERÊNCIA DE GESTÃO DOCUMENTAL
Desde: 18/12/2020</t>
  </si>
  <si>
    <t>06/08/2021: Distribuído para a área responsável
GEDOC - GERÊNCIA DE GESTÃO DOCUMENTAL E MEMÓRIA CORPORATIVA_x000D_
Desde: 25/03/2021</t>
  </si>
  <si>
    <t>06/08/2021: Distribuído para a área responsável
CETER - COORDENAÇÃO DE EQUIVALÊNCIA TERAPÊUTICA_x000D_
 Enc.: 25/03/2021</t>
  </si>
  <si>
    <t>06/08/2021: Distribuído para a área responsável
CBRES - COORDENAÇÃO DE BULA, ROTULAGEM, REGISTRO SIMPLIFICADO E NOME COMERCIAL_x000D_
Desde: 01/02/2021</t>
  </si>
  <si>
    <t>06/08/2021: Distribuído para a área responsável
GQMED - GERÊNCIA DE AVALIAÇÃO DA QUALIDADE DE MEDICAMENTOS SINTÉTICOS_x000D_
Desde: 27/01/2021</t>
  </si>
  <si>
    <t>06/08/2021: Expedienten 1: Situação atual: Aguardando análise do medicamento matriz
 Encontra-se na: CBRES - COORDENAÇÃO DE BULA, ROTULAGEM, REGISTRO SIMPLIFICADO E NOME COMERCIAL
Desde: 28/01/2021
 Expediente 2: Situação atual: Aguardando análise do cumprimento de exigência
 Encontra-se na: ARQVO - ARQUIVO - GERÊNCIA DE GESTÃO DOCUMENTAL
Desde: 04/08/2021</t>
  </si>
  <si>
    <t>06/08/2021: Expedienten 1: Situação atual: Em exigência
 Encontra-se na: CBRES - COORDENAÇÃO DE BULA, ROTULAGEM, REGISTRO SIMPLIFICADO E NOME COMERCIAL_x000D_
Desde: 28/05/2021
 Expediente 2: Situação atual: Publicado deferimento
 Encontra-se na: GGMED - GERÊNCIA-GERAL DE MEDICAMENTOS E PRODUTOS BIOLÓGICOS_x000D_
Desde: 28/04/2021</t>
  </si>
  <si>
    <t>06/08/2021: Concluída análise
COIFA - COORDENAÇÃO DE REGISTRO DE INSUMOS FARMACÊUTICOS ATIVOS_x000D_
Desde: 07/06/2021</t>
  </si>
  <si>
    <t>06/08/2021: Distribuído para a área responsável
GESEF - GERÊNCIA DE AVALIAÇÃO DE SEGURANÇA E EFICÁCIA _x000D_
 Enc.: 05/05/2021</t>
  </si>
  <si>
    <t>06/08/2021: Distribuído para a área responsável
GQMED - GERÊNCIA DE AVALIAÇÃO DA QUALIDADE DE MEDICAMENTOS SINTÉTICOS_x000D_
Desde: 09/04/2021</t>
  </si>
  <si>
    <t>06/08/2021: Distribuído para a área responsável
CBRES - COORDENAÇÃO DE BULA, ROTULAGEM, REGISTRO SIMPLIFICADO E NOME COMERCIAL_x000D_
Desde: 09/04/2021</t>
  </si>
  <si>
    <t>06/08/2021: Situação atual: Em exigência
 Encontra-se na: CBRES - COORDENAÇÃO DE BULA, ROTULAGEM, REGISTRO SIMPLIFICADO E NOME COMERCIAL
Desde: 26/05/2021</t>
  </si>
  <si>
    <t>06/08/2021: Distribuído para a área responsável
CBRES - COORDENAÇÃO DE BULA, ROTULAGEM, REGISTRO SIMPLIFICADO E NOME COMERCIAL_x000D_
Desde: 08/07/2021</t>
  </si>
  <si>
    <t>06/08/2021: Distribuído para a área responsável
CETER - COORDENAÇÃO DE EQUIVALÊNCIA TERAPÊUTICA_x000D_
Desde: 05/07/2021</t>
  </si>
  <si>
    <t>06/08/2021: Distribuído para a área responsável
GQMED - GERÊNCIA DE AVALIAÇÃO DA QUALIDADE DE MEDICAMENTOS SINTÉTICOS_x000D_
Desde: 02/07/2021</t>
  </si>
  <si>
    <t>06/08/2021: Distribuído para a área responsável
CBRES - COORDENAÇÃO DE BULA, ROTULAGEM, REGISTRO SIMPLIFICADO E NOME COMERCIAL_x000D_
Desde: 20/07/2021</t>
  </si>
  <si>
    <t>06/08/2021: Distribuído para a área responsável
CETER - COORDENAÇÃO DE EQUIVALÊNCIA TERAPÊUTICA_x000D_
Desde: 19/07/2021</t>
  </si>
  <si>
    <t>06/08/2021: Distribuído para a área responsável
GGMED - GERÊNCIA-GERAL DE MEDICAMENTOS E PRODUTOS BIOLÓGICOS_x000D_
Desde: 16/07/2021</t>
  </si>
  <si>
    <t>Situação atual
Petição priorizada e aguardando análise técnica
Encontra-se na ARQVO Desde: 03/08/2021</t>
  </si>
  <si>
    <t>Distribuído para a área responsável
Encontra-se na CBRES Desde: 04/08/2021</t>
  </si>
  <si>
    <t>34.1</t>
  </si>
  <si>
    <t>34.2</t>
  </si>
  <si>
    <t>34.3</t>
  </si>
  <si>
    <t>34.4</t>
  </si>
  <si>
    <t>25351.040400/2021-31</t>
  </si>
  <si>
    <t>Aditamento será realizado conforme RDC 415
nomes comerciais: VABAM (1ª opção)
ROMBOZ
BOSIS
1_Realizado aditamento realizado em 04/11/2020 sob expediente: 3853488206. 
2_ Realizado aditamento sob Estudo de biodisponibilidade relativa em 04/11/2020 sob o expediente: 3854050209
3_Aditamento_COVID-19, conforme RDC 415 realizado em 06/11/2020
4_Aditamento de envio da parte fechada dos DMF’s provenientes dos fabricantes Polpharma (principal) e Alembic (Inclusão)., realizado em 12/11/2020. 
5_Aditamento, realizado em 13/11/2020 para envio do Relatório final de bioequivalência - etapa pós-prandial em atendimento ao termo de compromisso e cronograma apresentado na petição relacionada a COVID-19, sob expediente: 3993317202
6_Aditamento realizado para apresentação do termo de compromisso, cronograma e análise de risco, via código de assunto específico solicitado na RDC 415/20, sob o expediente: 4032148207, em 16/11/2020. 
7_Ofício nº 0129416214, recebido em 15/01/2021, sob expediente: 3897665/20-0, Assunto: Não anuência de fluxo da RDC 415/2020
8_Exigência recebida  nº1568025/21-8 sub expediente 1516736/21-4 , aberta em 30/04/2021, referente ao assunto 11302 - Aditamento - análise de Dossiê de Insumo Farmacêutico Ativo (DIFA). 
9_Exigência nº2624050/21-5 recebida em 12/07/2021 - 150 - SIMILAR - Registro de Medicamento Similar
10_Cumprimento de exigência de Análise de Dossiê de Insumo Farmacêutico Ativo (DIFA), fabricante Alembic Pharmaceuticals Limited, protocolado em 03/08/2021, sob expediente 3032291216. 
11_Cumprimento de exigência de SIMILAR - Registro de Medicamento Similar, em 12/08/2021, sob expediente 3164231211.</t>
  </si>
  <si>
    <t>13/08/2021: Expedienten 1: Distribuído para a área responsável
CBRES - COORDENAÇÃO DE BULA, ROTULAGEM, REGISTRO SIMPLIFICADO E NOME COMERCIAL_x000D_
Desde: 30/03/2021
 Expediente 2: Situação atual: Aguardando análise do medicamento matriz
 Encontra-se na: CRMEC.D - COORDENAÇÃO DE REGISTRO DE MEDICAMENTOS DE MENOR COMPLEXIDADE, BULA E ROTULAGEM_x000D_
 Enc.: 15/07/2019</t>
  </si>
  <si>
    <t>13/08/2021: Expedienten 1: Situação atual: Aguardando análise do medicamento matriz
 Encontra-se na: CRMEC.D - COORDENAÇÃO DE REGISTRO DE MEDICAMENTOS DE MENOR COMPLEXIDADE, BULA E ROTULAGEM_x000D_
 Enc.: 14/01/2020
 Expediente 2: Situação atual: Em exigência
 Encontra-se na: GQMED - GERÊNCIA DE AVALIAÇÃO DA QUALIDADE DE MEDICAMENTOS SINTÉTICOS_x000D_
Desde: 23/06/2021</t>
  </si>
  <si>
    <t>13/08/2021: Expedienten 1: Distribuído para a área responsável
CBRES - COORDENAÇÃO DE BULA, ROTULAGEM, REGISTRO SIMPLIFICADO E NOME COMERCIAL_x000D_
Desde: 23/02/2021
 Expediente 2: Situação atual: Desistência a pedido
 Encontra-se na: CBRES - COORDENAÇÃO DE BULA, ROTULAGEM, REGISTRO SIMPLIFICADO E NOME COMERCIAL_x000D_
Desde: 31/05/2021</t>
  </si>
  <si>
    <t>13/08/2021: Situação atual: Em análise
 Encontra-se na: ARQVO - ARQUIVO - GERÊNCIA DE GESTÃO DOCUMENTAL_x000D_
Desde: 23/07/2021</t>
  </si>
  <si>
    <t>13/08/2021: Aguardando análise do insumo farmacêutico ativo
GQMED - GERÊNCIA DE AVALIAÇÃO DA QUALIDADE DE MEDICAMENTOS SINTÉTICOS_x000D_
Desde: 23/07/2021</t>
  </si>
  <si>
    <t>13/08/2021: Em análise do cumprimento de exigência
COIFA - COORDENAÇÃO DE REGISTRO DE INSUMOS FARMACÊUTICOS ATIVOS_x000D_
Desde: 23/07/2020</t>
  </si>
  <si>
    <t>13/08/2021: Aguardando análise do cumprimento de exigência
COIFA - COORDENAÇÃO DE REGISTRO DE INSUMOS FARMACÊUTICOS ATIVOS_x000D_
Desde: 23/07/2020</t>
  </si>
  <si>
    <t>13/08/2021: Concluída análise
CETER - COORDENAÇÃO DE EQUIVALÊNCIA TERAPÊUTICA_x000D_
Desde: 13/10/2020</t>
  </si>
  <si>
    <t>13/08/2021: Petição encerrada
CRMEC.D - COORDENAÇÃO DE REGISTRO DE MEDICAMENTOS DE MENOR COMPLEXIDADE, BULA E ROTULAGEM_x000D_
Desde: 18/12/2019</t>
  </si>
  <si>
    <t>13/08/2021: Concluída análise
COINC - COORDENAÇÃO DE INOVAÇÃO INCREMENTAL_x000D_
Desde: 07/12/2020</t>
  </si>
  <si>
    <t>13/08/2021: Expedienten 1: Situação atual: Desistência a pedido
 Encontra-se na: CBRES - COORDENAÇÃO DE BULA, ROTULAGEM, REGISTRO SIMPLIFICADO E NOME COMERCIAL_x000D_
Desde: 31/05/2021
 Expediente 2: Distribuído para a área responsável
CBRES - COORDENAÇÃO DE BULA, ROTULAGEM, REGISTRO SIMPLIFICADO E NOME COMERCIAL_x000D_
Desde: 31/03/2021</t>
  </si>
  <si>
    <t>13/08/2021: Expedienten 1: Distribuído para a área responsável
GEPRE.D - GERÊNCIA DE AVALIAÇÃO DE TECNOLOGIA DE PÓS-REGISTRO DE MEDICAMENTOS SINTÉTICOS_x000D_
Desde: 20/01/2020
 Expediente 2: Em exigência
GQMED - GERÊNCIA DE AVALIAÇÃO DA QUALIDADE DE MEDICAMENTOS SINTÉTICOS_x000D_
Desde: 17/05/2021</t>
  </si>
  <si>
    <t>13/08/2021: Situação atual: Em análise
 Encontra-se na: ARQVO - ARQUIVO - GERÊNCIA DE GESTÃO DOCUMENTAL_x000D_
Desde: 22/04/2021</t>
  </si>
  <si>
    <t>13/08/2021: Em exigência
COIFA - COORDENAÇÃO DE REGISTRO DE INSUMOS FARMACÊUTICOS ATIVOS_x000D_
Desde: 15/06/2021</t>
  </si>
  <si>
    <t>13/08/2021: Em exigência
COIFA - COORDENAÇÃO DE REGISTRO DE INSUMOS FARMACÊUTICOS ATIVOS_x000D_
Desde: 14/06/2021</t>
  </si>
  <si>
    <t>13/08/2021: Não anuído
GQMED - GERÊNCIA DE AVALIAÇÃO DA QUALIDADE DE MEDICAMENTOS SINTÉTICOS_x000D_
Desde: 20/04/2020</t>
  </si>
  <si>
    <t>13/08/2021: Concluída análise
COINC - COORDENAÇÃO DE INOVAÇÃO INCREMENTAL_x000D_
Desde: 05/02/2021</t>
  </si>
  <si>
    <t>13/08/2021: Concluída análise
CETER - COORDENAÇÃO DE EQUIVALÊNCIA TERAPÊUTICA_x000D_
Desde: 17/07/2020</t>
  </si>
  <si>
    <t>13/08/2021: Petição encerrada
COINC - COORDENAÇÃO DE INOVAÇÃO INCREMENTAL_x000D_
Desde: 06/05/2020</t>
  </si>
  <si>
    <t>13/08/2021: Distribuído para a área responsável
CRMEC.D - COORDENAÇÃO DE REGISTRO DE MEDICAMENTOS DE MENOR COMPLEXIDADE, BULA E ROTULAGEM_x000D_
Desde: 29/01/2020</t>
  </si>
  <si>
    <t>13/08/2021: Situação atual: Em exigência
 Encontra-se na: ARQVO - ARQUIVO - GERÊNCIA DE GESTÃO DOCUMENTAL_x000D_
Desde: 23/04/2021</t>
  </si>
  <si>
    <t>13/08/2021: Concluída análise
COINC - COORDENAÇÃO DE INOVAÇÃO INCREMENTAL_x000D_
Desde: 03/02/2021</t>
  </si>
  <si>
    <t>13/08/2021: Concluída análise
CETER - COORDENAÇÃO DE EQUIVALÊNCIA TERAPÊUTICA_x000D_
Desde: 20/05/2020</t>
  </si>
  <si>
    <t>13/08/2021: Anuído
CBRES - COORDENAÇÃO DE BULA, ROTULAGEM, REGISTRO SIMPLIFICADO E NOME COMERCIAL_x000D_
Desde: 04/05/2021</t>
  </si>
  <si>
    <t>13/08/2021: Expedienten 1: Situação atual: Aguardando análise do medicamento matriz
 Encontra-se na: CBRES - COORDENAÇÃO DE BULA, ROTULAGEM, REGISTRO SIMPLIFICADO E NOME COMERCIAL_x000D_
Desde: 20/05/2020
 Expediente 2: Situação atual: Em análise
 Encontra-se na: ARQVO - ARQUIVO - GERÊNCIA DE GESTÃO DOCUMENTAL_x000D_
Desde: 22/04/2021</t>
  </si>
  <si>
    <t>13/08/2021: Situação atual: Em análise do cumprimento de exigência
 Encontra-se na: ARQVO - ARQUIVO - GERÊNCIA DE GESTÃO DOCUMENTAL_x000D_
Desde: 09/09/2020</t>
  </si>
  <si>
    <t>13/08/2021: Em exigência
COIFA - COORDENAÇÃO DE REGISTRO DE INSUMOS FARMACÊUTICOS ATIVOS_x000D_
Desde: 26/10/2020</t>
  </si>
  <si>
    <t>13/08/2021: Em exigência
COIFA - COORDENAÇÃO DE REGISTRO DE INSUMOS FARMACÊUTICOS ATIVOS_x000D_
Desde: 21/10/2020</t>
  </si>
  <si>
    <t>13/08/2021: Distribuído para a área responsável
GQMED - GERÊNCIA DE AVALIAÇÃO DA QUALIDADE DE MEDICAMENTOS SINTÉTICOS_x000D_
Desde: 23/09/2020</t>
  </si>
  <si>
    <t>13/08/2021: Distribuído para a área responsável
CBRES - COORDENAÇÃO DE BULA, ROTULAGEM, REGISTRO SIMPLIFICADO E NOME COMERCIAL_x000D_
Desde: 11/09/2020</t>
  </si>
  <si>
    <t>13/08/2021: Concluída análise
CETER - COORDENAÇÃO DE EQUIVALÊNCIA TERAPÊUTICA_x000D_
Desde: 13/07/2021</t>
  </si>
  <si>
    <t>13/08/2021: Expedienten 1: Distribuído para a área responsável
GEPRE.D - GERÊNCIA DE AVALIAÇÃO DE TECNOLOGIA DE PÓS-REGISTRO DE MEDICAMENTOS SINTÉTICOS_x000D_
Desde: 21/01/2020
 Expediente 2: Em exigência
GQMED - GERÊNCIA DE AVALIAÇÃO DA QUALIDADE DE MEDICAMENTOS SINTÉTICOS
Desde: 17/05/2021</t>
  </si>
  <si>
    <t>13/08/2021:  Em exigência
COIFA - COORDENAÇÃO DE REGISTRO DE INSUMOS FARMACÊUTICOS ATIVOS
Desde: 21/07/2021</t>
  </si>
  <si>
    <t>13/08/2021: Situação atual: Aguardando análise do cumprimento de exigência
 Encontra-se na: ARQVO - ARQUIVO - GERÊNCIA DE GESTÃO DOCUMENTAL_x000D_
Desde: 10/11/2020</t>
  </si>
  <si>
    <t>13/08/2021: Concluída análise
COIFA - COORDENAÇÃO DE REGISTRO DE INSUMOS FARMACÊUTICOS ATIVOS_x000D_
Desde: 11/08/2021</t>
  </si>
  <si>
    <t>13/08/2021: Concluída análise
CETER - COORDENAÇÃO DE EQUIVALÊNCIA TERAPÊUTICA_x000D_
Desde: 24/12/2020</t>
  </si>
  <si>
    <t>13/08/2021: Distribuído para a área responsável
GQMED - GERÊNCIA DE AVALIAÇÃO DA QUALIDADE DE MEDICAMENTOS SINTÉTICOS_x000D_
Desde: 03/11/2020</t>
  </si>
  <si>
    <t>13/08/2021: Anuído
CBRES - COORDENAÇÃO DE BULA, ROTULAGEM, REGISTRO SIMPLIFICADO E NOME COMERCIAL_x000D_
Desde: 04/08/2021</t>
  </si>
  <si>
    <t>13/08/2021: Expedienten 1: Situação atual: Aguardando análise do medicamento matriz
 Encontra-se na: CBRES - COORDENAÇÃO DE BULA, ROTULAGEM, REGISTRO SIMPLIFICADO E NOME COMERCIAL_x000D_
Desde: 22/12/2020
 Expediente 2: Situação atual: Aguardando análise do cumprimento de exigência
 Encontra-se na: ARQVO - ARQUIVO - GERÊNCIA DE GESTÃO DOCUMENTAL_x000D_
Desde: 10/11/2020</t>
  </si>
  <si>
    <t>13/08/2021: Expedienten 1: Aguardando análise do medicamento matriz
 Encontra-se na: CBRES - 
 Enc.: 07/12/2020 
 Expediente 2: Situação atual: Em análise do cumprimento de exigência
 Encontra-se na: ARQVO - ARQUIVO - GERÊNCIA DE GESTÃO DOCUMENTAL_x000D_
Desde: 09/09/2020</t>
  </si>
  <si>
    <t>13/08/2021: Situação atual: Em análise
 Encontra-se na: ARQVO - ARQUIVO - GERÊNCIA DE GESTÃO DOCUMENTAL_x000D_
Desde: 18/11/2020</t>
  </si>
  <si>
    <t>13/08/2021: Distribuído para a área responsável
CBRES - COORDENAÇÃO DE BULA, ROTULAGEM, REGISTRO SIMPLIFICADO E NOME COMERCIAL_x000D_
Desde: 19/11/2020</t>
  </si>
  <si>
    <t>13/08/2021: Concluída análise
CETER - COORDENAÇÃO DE EQUIVALÊNCIA TERAPÊUTICA_x000D_
Desde: 25/11/2020</t>
  </si>
  <si>
    <t>13/08/2021: Em análise
GQMED - GERÊNCIA DE AVALIAÇÃO DA QUALIDADE DE MEDICAMENTOS SINTÉTICOS_x000D_
Desde: 02/12/2020</t>
  </si>
  <si>
    <t>13/08/2021: Situação atual: Em análise
 Encontra-se na: ARQVO - ARQUIVO - GERÊNCIA DE GESTÃO DOCUMENTAL_x000D_
Desde: 03/12/2020</t>
  </si>
  <si>
    <t>13/08/2021: Distribuído para a área responsável
GQMED - GERÊNCIA DE AVALIAÇÃO DA QUALIDADE DE MEDICAMENTOS SINTÉTICOS_x000D_
Desde: 11/12/2020</t>
  </si>
  <si>
    <t>13/08/2021: Distribuído para a área responsável
CBRES - COORDENAÇÃO DE BULA, ROTULAGEM, REGISTRO SIMPLIFICADO E NOME COMERCIAL_x000D_
Desde: 09/12/2020</t>
  </si>
  <si>
    <t>13/08/2021: Concluída análise
CETER - COORDENAÇÃO DE EQUIVALÊNCIA TERAPÊUTICA_x000D_
Desde: 07/04/2021</t>
  </si>
  <si>
    <t>13/08/2021: Situação atual: Em análise do cumprimento de exigência
 Encontra-se na: ARQVO - ARQUIVO - GERÊNCIA DE GESTÃO DOCUMENTAL_x000D_
Desde: 08/12/2020</t>
  </si>
  <si>
    <t>13/08/2021: Distribuído para a área responsável
GQMED - GERÊNCIA DE AVALIAÇÃO DA QUALIDADE DE MEDICAMENTOS SINTÉTICOS_x000D_
Desde: 01/06/2021</t>
  </si>
  <si>
    <t>13/08/2021: Em exigência
CETER - COORDENAÇÃO DE EQUIVALÊNCIA TERAPÊUTICA_x000D_
Desde: 03/08/2021</t>
  </si>
  <si>
    <t>13/08/2021: Petição encerrada
COIFA - COORDENAÇÃO DE REGISTRO DE INSUMOS FARMACÊUTICOS ATIVOS_x000D_
Desde: 14/01/2021</t>
  </si>
  <si>
    <t>13/08/2021: Aguardando análise do cumprimento de exigência
CBRES - COORDENAÇÃO DE BULA, ROTULAGEM, REGISTRO SIMPLIFICADO E NOME COMERCIAL_x000D_
Desde: 12/07/2021</t>
  </si>
  <si>
    <t>13/08/2021: Anuído
GQMED - GERÊNCIA DE AVALIAÇÃO DA QUALIDADE DE MEDICAMENTOS SINTÉTICOS_x000D_
Desde: 11/01/2021</t>
  </si>
  <si>
    <t>13/08/2021: Distribuído para a área responsável
GQMED - GERÊNCIA DE AVALIAÇÃO DA QUALIDADE DE MEDICAMENTOS SINTÉTICOS_x000D_
Desde: 08/12/2020</t>
  </si>
  <si>
    <t>13/08/2021: Expedienten 1: Situação atual: Aguardando análise do medicamento matriz
 Encontra-se na: CBRES - COORDENAÇÃO DE BULA, ROTULAGEM, REGISTRO SIMPLIFICADO E NOME COMERCIAL_x000D_
Desde: 23/03/2021
 Expediente 2: Situação atual: Em análise
 Encontra-se na: ARQVO - ARQUIVO - GERÊNCIA DE GESTÃO DOCUMENTAL_x000D_
Desde: 03/12/2020</t>
  </si>
  <si>
    <t>13/08/2021: Situação atual: Em análise
 Encontra-se na: ARQVO - ARQUIVO - GERÊNCIA DE GESTÃO DOCUMENTAL_x000D_
Desde: 16/12/2020</t>
  </si>
  <si>
    <t>13/08/2021: Distribuído para a área responsável
GQMED - GERÊNCIA DE AVALIAÇÃO DA QUALIDADE DE MEDICAMENTOS SINTÉTICOS_x000D_
Desde: 16/12/2020</t>
  </si>
  <si>
    <t>13/08/2021: Distribuído para a área responsável
CBRES - COORDENAÇÃO DE BULA, ROTULAGEM, REGISTRO SIMPLIFICADO E NOME COMERCIAL_x000D_
Desde: 16/12/2020</t>
  </si>
  <si>
    <t>13/08/2021: Concluída análise
CETER - COORDENAÇÃO DE EQUIVALÊNCIA TERAPÊUTICA_x000D_
Desde: 06/05/2021</t>
  </si>
  <si>
    <t>13/08/2021: Situação atual: Em análise
 Encontra-se na: ARQVO - ARQUIVO - GERÊNCIA DE GESTÃO DOCUMENTAL_x000D_
Desde: 18/12/2020</t>
  </si>
  <si>
    <t>13/08/2021: Distribuído para a área responsável
CBRES - COORDENAÇÃO DE BULA, ROTULAGEM, REGISTRO SIMPLIFICADO E NOME COMERCIAL_x000D_
Desde: 18/12/2020</t>
  </si>
  <si>
    <t>13/08/2021: Concluída análise
CETER - COORDENAÇÃO DE EQUIVALÊNCIA TERAPÊUTICA_x000D_
Desde: 10/05/2021</t>
  </si>
  <si>
    <t>13/08/2021: Distribuído para a área responsável
GQMED - GERÊNCIA DE AVALIAÇÃO DA QUALIDADE DE MEDICAMENTOS SINTÉTICOS_x000D_
Desde: 18/12/2020</t>
  </si>
  <si>
    <t>13/08/2021: Expedienten 1: Situação atual: Aguardando análise do medicamento matriz
 Encontra-se na: CBRES - COORDENAÇÃO DE BULA, ROTULAGEM, REGISTRO SIMPLIFICADO E NOME COMERCIAL_x000D_
 Enc.: 23/03/2021
 Expediente 2: Situação atual: Em análise
 Encontra-se na: ARQVO - ARQUIVO - GERÊNCIA DE GESTÃO DOCUMENTAL_x000D_
Desde: 18/11/2020</t>
  </si>
  <si>
    <t>13/08/2021: Situação atual: Em análise
 Encontra-se na: ARQVO - ARQUIVO - GERÊNCIA DE GESTÃO DOCUMENTAL_x000D_
Desde: 22/12/2020</t>
  </si>
  <si>
    <t>13/08/2021: Distribuído para a área responsável
CBRES - COORDENAÇÃO DE BULA, ROTULAGEM, REGISTRO SIMPLIFICADO E NOME COMERCIAL_x000D_
Desde: 05/01/2021</t>
  </si>
  <si>
    <t>13/08/2021: Distribuído para a área responsável
GQMED - GERÊNCIA DE AVALIAÇÃO DA QUALIDADE DE MEDICAMENTOS SINTÉTICOS_x000D_
Desde: 04/01/2021</t>
  </si>
  <si>
    <t>13/08/2021: Concluída análise
CETER - COORDENAÇÃO DE EQUIVALÊNCIA TERAPÊUTICA_x000D_
Desde: 29/03/2021</t>
  </si>
  <si>
    <t>13/08/2021: Expedienten 1: Situação atual: Aguardando análise do medicamento matriz
 Encontra-se na: CBRES - COORDENAÇÃO DE BULA, ROTULAGEM, REGISTRO SIMPLIFICADO E NOME COMERCIAL_x000D_
Desde: 27/01/2021
 Expediente 2: Situação atual: Em análise
 Encontra-se na: ARQVO - ARQUIVO - GERÊNCIA DE GESTÃO DOCUMENTAL_x000D_
Desde: 16/12/2020</t>
  </si>
  <si>
    <t>13/08/2021: Expedienten 1: Situação atual: Aguardando análise do medicamento matriz
 Encontra-se na: CBRES - COORDENAÇÃO DE BULA, ROTULAGEM, REGISTRO SIMPLIFICADO E NOME COMERCIAL_x000D_
 Enc.: 25/03/2021
 Expediente 2: Situação atual: Em análise
 Encontra-se na: ARQVO - ARQUIVO - GERÊNCIA DE GESTÃO DOCUMENTAL_x000D_
Desde: 22/12/2020</t>
  </si>
  <si>
    <t>13/08/2021: Expedienten 1: Situação atual: Aguardando análise do medicamento matriz
 Encontra-se na: CBRES - COORDENAÇÃO DE BULA, ROTULAGEM, REGISTRO SIMPLIFICADO E NOME COMERCIAL_x000D_
Desde: 18/02/2021
 Expediente 2: Situação atual: Em análise
 Encontra-se na: ARQVO - ARQUIVO - GERÊNCIA DE GESTÃO DOCUMENTAL_x000D_
Desde: 18/12/2020</t>
  </si>
  <si>
    <t>13/08/2021: Distribuído para a área responsável
GEDOC - GERÊNCIA DE GESTÃO DOCUMENTAL E MEMÓRIA CORPORATIVA_x000D_
Desde: 25/03/2021</t>
  </si>
  <si>
    <t>13/08/2021: Distribuído para a área responsável
CETER - COORDENAÇÃO DE EQUIVALÊNCIA TERAPÊUTICA_x000D_
 Enc.: 25/03/2021</t>
  </si>
  <si>
    <t>13/08/2021: Distribuído para a área responsável
CBRES - COORDENAÇÃO DE BULA, ROTULAGEM, REGISTRO SIMPLIFICADO E NOME COMERCIAL_x000D_
Desde: 01/02/2021</t>
  </si>
  <si>
    <t>13/08/2021: Distribuído para a área responsável
GQMED - GERÊNCIA DE AVALIAÇÃO DA QUALIDADE DE MEDICAMENTOS SINTÉTICOS_x000D_
Desde: 27/01/2021</t>
  </si>
  <si>
    <t>13/08/2021: Expedienten 1: Situação atual: Aguardando análise do medicamento matriz
 Encontra-se na: CBRES - COORDENAÇÃO DE BULA, ROTULAGEM, REGISTRO SIMPLIFICADO E NOME COMERCIAL_x000D_
Desde: 28/01/2021
 Expediente 2: Situação atual: Aguardando análise do cumprimento de exigência
 Encontra-se na: ARQVO - ARQUIVO - GERÊNCIA DE GESTÃO DOCUMENTAL_x000D_
Desde: 04/08/2021</t>
  </si>
  <si>
    <t>13/08/2021: Concluída análise
COIFA - COORDENAÇÃO DE REGISTRO DE INSUMOS FARMACÊUTICOS ATIVOS_x000D_
Desde: 07/06/2021</t>
  </si>
  <si>
    <t>13/08/2021: Distribuído para a área responsável
GESEF - GERÊNCIA DE AVALIAÇÃO DE SEGURANÇA E EFICÁCIA _x000D_
 Enc.: 05/05/2021</t>
  </si>
  <si>
    <t>13/08/2021: Distribuído para a área responsável
GQMED - GERÊNCIA DE AVALIAÇÃO DA QUALIDADE DE MEDICAMENTOS SINTÉTICOS_x000D_
Desde: 09/04/2021</t>
  </si>
  <si>
    <t>13/08/2021: Distribuído para a área responsável
CBRES - COORDENAÇÃO DE BULA, ROTULAGEM, REGISTRO SIMPLIFICADO E NOME COMERCIAL_x000D_
Desde: 09/04/2021</t>
  </si>
  <si>
    <t>13/08/2021: Expedienten 1: Situação atual: Concluída análise
 Encontra-se na: GGMED - GERÊNCIA-GERAL DE MEDICAMENTOS E PRODUTOS BIOLÓGICOS_x000D_
Desde: 12/08/2021
 Expediente 2: Situação atual: Publicado deferimento
 Encontra-se na: ARQVO - ARQUIVO - GERÊNCIA DE GESTÃO DOCUMENTAL_x000D_
Desde: 10/03/2021</t>
  </si>
  <si>
    <t>13/08/2021:  Expedienten 1: Situação atual: Em exigência
 Encontra-se na: CBRES - COORDENAÇÃO DE BULA, ROTULAGEM, REGISTRO SIMPLIFICADO E NOME COMERCIAL
Desde: 28/05/2021
Situação atual: Publicado deferimento
 Encontra-se na: GGMED - GERÊNCIA-GERAL DE MEDICAMENTOS E PRODUTOS BIOLÓGICOS_x000D_
Desde: 03/08/2021</t>
  </si>
  <si>
    <t>13/08/2021: Situação atual: Em exigência
 Encontra-se na: CBRES - COORDENAÇÃO DE BULA, ROTULAGEM, REGISTRO SIMPLIFICADO E NOME COMERCIAL_x000D_
Desde: 26/05/2021</t>
  </si>
  <si>
    <t>13/08/2021: Distribuído para a área responsável
CBRES - COORDENAÇÃO DE BULA, ROTULAGEM, REGISTRO SIMPLIFICADO E NOME COMERCIAL_x000D_
Desde: 08/07/2021</t>
  </si>
  <si>
    <t>13/08/2021: Distribuído para a área responsável
CETER - COORDENAÇÃO DE EQUIVALÊNCIA TERAPÊUTICA_x000D_
Desde: 05/07/2021</t>
  </si>
  <si>
    <t>13/08/2021: Distribuído para a área responsável
GQMED - GERÊNCIA DE AVALIAÇÃO DA QUALIDADE DE MEDICAMENTOS SINTÉTICOS_x000D_
Desde: 02/07/2021</t>
  </si>
  <si>
    <t>13/08/2021: Distribuído para a área responsável
CBRES - COORDENAÇÃO DE BULA, ROTULAGEM, REGISTRO SIMPLIFICADO E NOME COMERCIAL_x000D_
Desde: 20/07/2021</t>
  </si>
  <si>
    <t>13/08/2021: Distribuído para a área responsável
CETER - COORDENAÇÃO DE EQUIVALÊNCIA TERAPÊUTICA_x000D_
Desde: 19/07/2021</t>
  </si>
  <si>
    <t>13/08/2021: Distribuído para a área responsável
GGMED - GERÊNCIA-GERAL DE MEDICAMENTOS E PRODUTOS BIOLÓGICOS_x000D_
Desde: 16/07/2021</t>
  </si>
  <si>
    <t>Distribuído para a área responsável
Encontra-se na GESEF Desde: 09/08/2021</t>
  </si>
  <si>
    <t>Distribuído para a área responsável
Encontra-se na GGMED Desde: 10/08/2021</t>
  </si>
  <si>
    <t>55</t>
  </si>
  <si>
    <r>
      <rPr>
        <u/>
        <sz val="10"/>
        <rFont val="Calibri"/>
        <family val="2"/>
        <scheme val="minor"/>
      </rPr>
      <t>29/05/2020</t>
    </r>
    <r>
      <rPr>
        <sz val="10"/>
        <rFont val="Calibri"/>
        <family val="2"/>
        <scheme val="minor"/>
      </rPr>
      <t xml:space="preserve">: Situação atual
Não anuído.Encontra-se na
GGMED - Desde: 07/01/2020
13/08/2021  Igual a anterior
</t>
    </r>
  </si>
  <si>
    <r>
      <rPr>
        <u/>
        <sz val="10"/>
        <rFont val="Calibri"/>
        <family val="2"/>
        <scheme val="minor"/>
      </rPr>
      <t>29/05/2020</t>
    </r>
    <r>
      <rPr>
        <sz val="10"/>
        <rFont val="Calibri"/>
        <family val="2"/>
        <scheme val="minor"/>
      </rPr>
      <t xml:space="preserve">: Situação atual
Aguardando análise de eficácia e segurança. Encontra-se na
CETER - Desde: 16/04/2020
13/08/2021: Igual a anterior
</t>
    </r>
  </si>
  <si>
    <t>25351.089986/2021-32</t>
  </si>
  <si>
    <t>3213459/21-2</t>
  </si>
  <si>
    <t>3109565/21-8</t>
  </si>
  <si>
    <t>3115522/21-7</t>
  </si>
  <si>
    <t>3132003/21-1</t>
  </si>
  <si>
    <t>3114838/21-7</t>
  </si>
  <si>
    <t xml:space="preserve">Desistencia a pedido em 23/02/2021 - Foi realizada a desistência da petição 10482 - ENSAIOS CLÍNICOS - Anuência em Processo de Pesquisa Clínica -Medicamentos Sintéticos por orientação da Resposta ao ANVISA ATENDE de protocolo: 2020297444, devido ao protocolo da petição 10818 - ENSAIOS CLÍNICOS - Modificação de DDCM - Inclusão de protocolo de ensaio
clínico não previsto no plano inicial de desenvolvimento
Expediente: 
16/08/2021: Recebida Exigência sob expediente 1641059/20-9. </t>
  </si>
  <si>
    <t xml:space="preserve">1_Protocolado em 10/08/2021 sob expediente 3126809219 aditamento do Plano de Gerenciamento de Risco/ Plano de minimização de risco - Outros Medicamentos </t>
  </si>
  <si>
    <t>Inovadores - Priorizados (RDC 204/2017)</t>
  </si>
  <si>
    <t>20/08/2024</t>
  </si>
  <si>
    <t>20/08/2021: Expedienten 1: Distribuído para a área responsável
CBRES - COORDENAÇÃO DE BULA, ROTULAGEM, REGISTRO SIMPLIFICADO E NOME COMERCIAL_x000D_
Desde: 30/03/2021
 Expediente 2: Situação atual: Aguardando análise do medicamento matriz
 Encontra-se na: CRMEC.D - COORDENAÇÃO DE REGISTRO DE MEDICAMENTOS DE MENOR COMPLEXIDADE, BULA E ROTULAGEM_x000D_
 Enc.: 15/07/2019</t>
  </si>
  <si>
    <t>20/08/2021: Expedienten 1: Situação atual: Aguardando análise do medicamento matriz
 Encontra-se na: CRMEC.D - COORDENAÇÃO DE REGISTRO DE MEDICAMENTOS DE MENOR COMPLEXIDADE, BULA E ROTULAGEM_x000D_
 Enc.: 14/01/2020
 Expediente 2: Situação atual: Em exigência
 Encontra-se na: GQMED - GERÊNCIA DE AVALIAÇÃO DA QUALIDADE DE MEDICAMENTOS SINTÉTICOS_x000D_
Desde: 23/06/2021</t>
  </si>
  <si>
    <t>20/08/2021: Expedienten 1: Distribuído para a área responsável
CBRES - COORDENAÇÃO DE BULA, ROTULAGEM, REGISTRO SIMPLIFICADO E NOME COMERCIAL_x000D_
Desde: 23/02/2021
 Expediente 2: Situação atual: Desistência a pedido
 Encontra-se na: CBRES - COORDENAÇÃO DE BULA, ROTULAGEM, REGISTRO SIMPLIFICADO E NOME COMERCIAL_x000D_
Desde: 31/05/2021</t>
  </si>
  <si>
    <t>20/08/2021: Situação atual: Em análise
 Encontra-se na: ARQVO - ARQUIVO - GERÊNCIA DE GESTÃO DOCUMENTAL_x000D_
Desde: 23/07/2021</t>
  </si>
  <si>
    <t>20/08/2021: Aguardando análise do insumo farmacêutico ativo
GQMED - GERÊNCIA DE AVALIAÇÃO DA QUALIDADE DE MEDICAMENTOS SINTÉTICOS_x000D_
Desde: 23/07/2021</t>
  </si>
  <si>
    <t>20/08/2021: Em exigência
COIFA - COORDENAÇÃO DE REGISTRO DE INSUMOS FARMACÊUTICOS ATIVOS_x000D_
Desde: 23/07/2020</t>
  </si>
  <si>
    <t>20/08/2021: Concluída análise
CETER - COORDENAÇÃO DE EQUIVALÊNCIA TERAPÊUTICA_x000D_
Desde: 13/10/2020</t>
  </si>
  <si>
    <t>20/08/2021: Petição encerrada
CRMEC.D - COORDENAÇÃO DE REGISTRO DE MEDICAMENTOS DE MENOR COMPLEXIDADE, BULA E ROTULAGEM_x000D_
Desde: 18/12/2019</t>
  </si>
  <si>
    <t>20/08/2021: Concluída análise
COINC - COORDENAÇÃO DE INOVAÇÃO INCREMENTAL_x000D_
Desde: 07/12/2020</t>
  </si>
  <si>
    <t>20/08/2021: Expedienten 1: Situação atual: Desistência a pedido
 Encontra-se na: CBRES - COORDENAÇÃO DE BULA, ROTULAGEM, REGISTRO SIMPLIFICADO E NOME COMERCIAL_x000D_
Desde: 31/05/2021
 Expediente 2: Distribuído para a área responsável
CBRES - COORDENAÇÃO DE BULA, ROTULAGEM, REGISTRO SIMPLIFICADO E NOME COMERCIAL_x000D_
Desde: 31/03/2021</t>
  </si>
  <si>
    <t>20/08/2021: Expedienten 1: Distribuído para a área responsável
GEPRE.D - GERÊNCIA DE AVALIAÇÃO DE TECNOLOGIA DE PÓS-REGISTRO DE MEDICAMENTOS SINTÉTICOS_x000D_
Desde: 20/01/2020
 Expediente 2: Em exigência
GQMED - GERÊNCIA DE AVALIAÇÃO DA QUALIDADE DE MEDICAMENTOS SINTÉTICOS_x000D_
Desde: 17/05/2021</t>
  </si>
  <si>
    <t>20/08/2021: Situação atual: Em análise
 Encontra-se na: ARQVO - ARQUIVO - GERÊNCIA DE GESTÃO DOCUMENTAL_x000D_
Desde: 22/04/2021</t>
  </si>
  <si>
    <t>20/08/2021: Em exigência
COIFA - COORDENAÇÃO DE REGISTRO DE INSUMOS FARMACÊUTICOS ATIVOS_x000D_
Desde: 15/06/2021</t>
  </si>
  <si>
    <t>20/08/2021: Em exigência
COIFA - COORDENAÇÃO DE REGISTRO DE INSUMOS FARMACÊUTICOS ATIVOS_x000D_
Desde: 14/06/2021</t>
  </si>
  <si>
    <t>20/08/2021: Não anuído
GQMED - GERÊNCIA DE AVALIAÇÃO DA QUALIDADE DE MEDICAMENTOS SINTÉTICOS_x000D_
Desde: 20/04/2020</t>
  </si>
  <si>
    <t>20/08/2021: Concluída análise
COINC - COORDENAÇÃO DE INOVAÇÃO INCREMENTAL_x000D_
Desde: 05/02/2021</t>
  </si>
  <si>
    <t>20/08/2021: Concluída análise
CETER - COORDENAÇÃO DE EQUIVALÊNCIA TERAPÊUTICA_x000D_
Desde: 17/07/2020</t>
  </si>
  <si>
    <t>20/08/2021: Petição encerrada
COINC - COORDENAÇÃO DE INOVAÇÃO INCREMENTAL_x000D_
Desde: 06/05/2020</t>
  </si>
  <si>
    <t>20/08/2021: Distribuído para a área responsável
CRMEC.D - COORDENAÇÃO DE REGISTRO DE MEDICAMENTOS DE MENOR COMPLEXIDADE, BULA E ROTULAGEM_x000D_
Desde: 29/01/2020</t>
  </si>
  <si>
    <t>20/08/2021: Situação atual: Em exigência
 Encontra-se na: ARQVO - ARQUIVO - GERÊNCIA DE GESTÃO DOCUMENTAL_x000D_
Desde: 23/04/2021</t>
  </si>
  <si>
    <t>20/08/2021: Em exigência
COIFA - COORDENAÇÃO DE REGISTRO DE INSUMOS FARMACÊUTICOS ATIVOS_x000D_
Desde: 21/07/2021</t>
  </si>
  <si>
    <t>20/08/2021: Concluída análise
COINC - COORDENAÇÃO DE INOVAÇÃO INCREMENTAL_x000D_
Desde: 03/02/2021</t>
  </si>
  <si>
    <t>20/08/2021: Concluída análise
CETER - COORDENAÇÃO DE EQUIVALÊNCIA TERAPÊUTICA_x000D_
Desde: 20/05/2020</t>
  </si>
  <si>
    <t>20/08/2021: Anuído
CBRES - COORDENAÇÃO DE BULA, ROTULAGEM, REGISTRO SIMPLIFICADO E NOME COMERCIAL_x000D_
Desde: 04/05/2021</t>
  </si>
  <si>
    <t>20/08/2021: Expedienten 1: Situação atual: Aguardando análise do medicamento matriz
 Encontra-se na: CBRES - COORDENAÇÃO DE BULA, ROTULAGEM, REGISTRO SIMPLIFICADO E NOME COMERCIAL_x000D_
Desde: 20/05/2020
 Expediente 2: Situação atual: Em análise
 Encontra-se na: ARQVO - ARQUIVO - GERÊNCIA DE GESTÃO DOCUMENTAL_x000D_
Desde: 22/04/2021</t>
  </si>
  <si>
    <t>20/08/2021: Situação atual: Em análise do cumprimento de exigência
 Encontra-se na: ARQVO - ARQUIVO - GERÊNCIA DE GESTÃO DOCUMENTAL_x000D_
Desde: 09/09/2020</t>
  </si>
  <si>
    <t>20/08/2021: Em exigência
COIFA - COORDENAÇÃO DE REGISTRO DE INSUMOS FARMACÊUTICOS ATIVOS_x000D_
Desde: 26/10/2020</t>
  </si>
  <si>
    <t>20/08/2021: Em exigência
COIFA - COORDENAÇÃO DE REGISTRO DE INSUMOS FARMACÊUTICOS ATIVOS_x000D_
Desde: 21/10/2020</t>
  </si>
  <si>
    <t>20/08/2021: Distribuído para a área responsável
GQMED - GERÊNCIA DE AVALIAÇÃO DA QUALIDADE DE MEDICAMENTOS SINTÉTICOS_x000D_
Desde: 23/09/2020</t>
  </si>
  <si>
    <t>20/08/2021: Distribuído para a área responsável
CBRES - COORDENAÇÃO DE BULA, ROTULAGEM, REGISTRO SIMPLIFICADO E NOME COMERCIAL_x000D_
Desde: 11/09/2020</t>
  </si>
  <si>
    <t>20/08/2021: Concluída análise
CETER - COORDENAÇÃO DE EQUIVALÊNCIA TERAPÊUTICA_x000D_
Desde: 13/07/2021</t>
  </si>
  <si>
    <t xml:space="preserve">20/08/2021: Expedienten 1: Distribuído para a área responsável
GEPRE.D - GERÊNCIA DE AVALIAÇÃO DE TECNOLOGIA DE PÓS-REGISTRO DE MEDICAMENTOS SINTÉTICOS_x000D_
Desde: 21/01/2020
 Expediente 2: Em exigência
GQMED - GERÊNCIA DE AVALIAÇÃO DA QUALIDADE DE MEDICAMENTOS SINTÉTICOS
Desde: 17/05/2021 </t>
  </si>
  <si>
    <t>20/08/2021: Expedienten 1: Aguardando análise do medicamento matriz
 Encontra-se na: CBRES - 
 Enc.: 07/12/2020 
 Expediente 2: Situação atual: Em análise do cumprimento de exigência
 Encontra-se na: ARQVO - ARQUIVO - GERÊNCIA DE GESTÃO DOCUMENTAL_x000D_
Desde: 09/09/2020</t>
  </si>
  <si>
    <t>20/08/2021: Situação atual: Aguardando análise do cumprimento de exigência
 Encontra-se na: ARQVO - ARQUIVO - GERÊNCIA DE GESTÃO DOCUMENTAL_x000D_
Desde: 10/11/2020</t>
  </si>
  <si>
    <t>20/08/2021: Concluída análise
COIFA - COORDENAÇÃO DE REGISTRO DE INSUMOS FARMACÊUTICOS ATIVOS_x000D_
Desde: 11/08/2021</t>
  </si>
  <si>
    <t>20/08/2021: Concluída análise
CETER - COORDENAÇÃO DE EQUIVALÊNCIA TERAPÊUTICA_x000D_
Desde: 24/12/2020</t>
  </si>
  <si>
    <t>20/08/2021: Distribuído para a área responsável
GQMED - GERÊNCIA DE AVALIAÇÃO DA QUALIDADE DE MEDICAMENTOS SINTÉTICOS_x000D_
Desde: 03/11/2020</t>
  </si>
  <si>
    <t>20/08/2021: Anuído
CBRES - COORDENAÇÃO DE BULA, ROTULAGEM, REGISTRO SIMPLIFICADO E NOME COMERCIAL_x000D_
Desde: 04/08/2021</t>
  </si>
  <si>
    <t>20/08/2021: Expedienten 1: Situação atual: Aguardando análise do medicamento matriz
 Encontra-se na: CBRES - COORDENAÇÃO DE BULA, ROTULAGEM, REGISTRO SIMPLIFICADO E NOME COMERCIAL_x000D_
Desde: 22/12/2020
 Expediente 2: Situação atual: Aguardando análise do cumprimento de exigência
 Encontra-se na: ARQVO - ARQUIVO - GERÊNCIA DE GESTÃO DOCUMENTAL_x000D_
Desde: 10/11/2020</t>
  </si>
  <si>
    <t>20/08/2021: Situação atual: Em análise
 Encontra-se na: ARQVO - ARQUIVO - GERÊNCIA DE GESTÃO DOCUMENTAL_x000D_
Desde: 18/11/2020</t>
  </si>
  <si>
    <t>20/08/2021: Distribuído para a área responsável
CBRES - COORDENAÇÃO DE BULA, ROTULAGEM, REGISTRO SIMPLIFICADO E NOME COMERCIAL_x000D_
Desde: 19/11/2020</t>
  </si>
  <si>
    <t>20/08/2021: Concluída análise
CETER - COORDENAÇÃO DE EQUIVALÊNCIA TERAPÊUTICA_x000D_
Desde: 25/11/2020</t>
  </si>
  <si>
    <t>20/08/2021: Em análise
GQMED - GERÊNCIA DE AVALIAÇÃO DA QUALIDADE DE MEDICAMENTOS SINTÉTICOS_x000D_
Desde: 02/12/2020</t>
  </si>
  <si>
    <t>20/08/2021: Situação atual: Em análise
 Encontra-se na: ARQVO - ARQUIVO - GERÊNCIA DE GESTÃO DOCUMENTAL_x000D_
Desde: 03/12/2020</t>
  </si>
  <si>
    <t>20/08/2021: Distribuído para a área responsável
GQMED - GERÊNCIA DE AVALIAÇÃO DA QUALIDADE DE MEDICAMENTOS SINTÉTICOS_x000D_
Desde: 11/12/2020</t>
  </si>
  <si>
    <t>20/08/2021: Distribuído para a área responsável
CBRES - COORDENAÇÃO DE BULA, ROTULAGEM, REGISTRO SIMPLIFICADO E NOME COMERCIAL_x000D_
Desde: 09/12/2020</t>
  </si>
  <si>
    <t>20/08/2021: Concluída análise
CETER - COORDENAÇÃO DE EQUIVALÊNCIA TERAPÊUTICA_x000D_
Desde: 07/04/2021</t>
  </si>
  <si>
    <t>20/08/2021: Situação atual: Em análise do cumprimento de exigência
 Encontra-se na: ARQVO - ARQUIVO - GERÊNCIA DE GESTÃO DOCUMENTAL_x000D_
Desde: 08/12/2020</t>
  </si>
  <si>
    <t>20/08/2021: Distribuído para a área responsável
GQMED - GERÊNCIA DE AVALIAÇÃO DA QUALIDADE DE MEDICAMENTOS SINTÉTICOS_x000D_
Desde: 01/06/2021</t>
  </si>
  <si>
    <t>20/08/2021: Em exigência
CETER - COORDENAÇÃO DE EQUIVALÊNCIA TERAPÊUTICA_x000D_
Desde: 03/08/2021</t>
  </si>
  <si>
    <t>20/08/2021: Petição encerrada
COIFA - COORDENAÇÃO DE REGISTRO DE INSUMOS FARMACÊUTICOS ATIVOS_x000D_
Desde: 14/01/2021</t>
  </si>
  <si>
    <t>20/08/2021: Aguardando análise do cumprimento de exigência
CBRES - COORDENAÇÃO DE BULA, ROTULAGEM, REGISTRO SIMPLIFICADO E NOME COMERCIAL_x000D_
Desde: 12/07/2021</t>
  </si>
  <si>
    <t>20/08/2021: Anuído
GQMED - GERÊNCIA DE AVALIAÇÃO DA QUALIDADE DE MEDICAMENTOS SINTÉTICOS_x000D_
Desde: 11/01/2021</t>
  </si>
  <si>
    <t>20/08/2021: Distribuído para a área responsável
GQMED - GERÊNCIA DE AVALIAÇÃO DA QUALIDADE DE MEDICAMENTOS SINTÉTICOS_x000D_
Desde: 08/12/2020</t>
  </si>
  <si>
    <t>20/08/2021: Expedienten 1: Situação atual: Aguardando análise do medicamento matriz
 Encontra-se na: CBRES - COORDENAÇÃO DE BULA, ROTULAGEM, REGISTRO SIMPLIFICADO E NOME COMERCIAL_x000D_
Desde: 23/03/2021
 Expediente 2: Situação atual: Em análise
 Encontra-se na: ARQVO - ARQUIVO - GERÊNCIA DE GESTÃO DOCUMENTAL_x000D_
Desde: 03/12/2020</t>
  </si>
  <si>
    <t>20/08/2021: Situação atual: Em análise
 Encontra-se na: ARQVO - ARQUIVO - GERÊNCIA DE GESTÃO DOCUMENTAL_x000D_
Desde: 16/12/2020</t>
  </si>
  <si>
    <t>20/08/2021: Distribuído para a área responsável
GQMED - GERÊNCIA DE AVALIAÇÃO DA QUALIDADE DE MEDICAMENTOS SINTÉTICOS_x000D_
Desde: 16/12/2020</t>
  </si>
  <si>
    <t>20/08/2021: Distribuído para a área responsável
CBRES - COORDENAÇÃO DE BULA, ROTULAGEM, REGISTRO SIMPLIFICADO E NOME COMERCIAL_x000D_
Desde: 16/12/2020</t>
  </si>
  <si>
    <t>20/08/2021: Concluída análise
CETER - COORDENAÇÃO DE EQUIVALÊNCIA TERAPÊUTICA_x000D_
Desde: 06/05/2021</t>
  </si>
  <si>
    <t>20/08/2021: Situação atual: Em análise
 Encontra-se na: ARQVO - ARQUIVO - GERÊNCIA DE GESTÃO DOCUMENTAL_x000D_
Desde: 18/12/2020</t>
  </si>
  <si>
    <t>20/08/2021: Distribuído para a área responsável
CBRES - COORDENAÇÃO DE BULA, ROTULAGEM, REGISTRO SIMPLIFICADO E NOME COMERCIAL_x000D_
Desde: 18/12/2020</t>
  </si>
  <si>
    <t>20/08/2021: Concluída análise
CETER - COORDENAÇÃO DE EQUIVALÊNCIA TERAPÊUTICA_x000D_
Desde: 10/05/2021</t>
  </si>
  <si>
    <t>20/08/2021: Distribuído para a área responsável
GQMED - GERÊNCIA DE AVALIAÇÃO DA QUALIDADE DE MEDICAMENTOS SINTÉTICOS_x000D_
Desde: 18/12/2020</t>
  </si>
  <si>
    <t>20/08/2021: Expedienten 1: Situação atual: Aguardando análise do medicamento matriz
 Encontra-se na: CBRES - COORDENAÇÃO DE BULA, ROTULAGEM, REGISTRO SIMPLIFICADO E NOME COMERCIAL_x000D_
 Enc.: 23/03/2021
 Expediente 2: Situação atual: Em análise
 Encontra-se na: ARQVO - ARQUIVO - GERÊNCIA DE GESTÃO DOCUMENTAL_x000D_
Desde: 18/11/2020</t>
  </si>
  <si>
    <t>20/08/2021: Situação atual: Em análise
 Encontra-se na: ARQVO - ARQUIVO - GERÊNCIA DE GESTÃO DOCUMENTAL_x000D_
Desde: 22/12/2020</t>
  </si>
  <si>
    <t>20/08/2021: Distribuído para a área responsável
CBRES - COORDENAÇÃO DE BULA, ROTULAGEM, REGISTRO SIMPLIFICADO E NOME COMERCIAL_x000D_
Desde: 05/01/2021</t>
  </si>
  <si>
    <t>20/08/2021: Distribuído para a área responsável
GQMED - GERÊNCIA DE AVALIAÇÃO DA QUALIDADE DE MEDICAMENTOS SINTÉTICOS_x000D_
Desde: 04/01/2021</t>
  </si>
  <si>
    <t>20/08/2021: Concluída análise
CETER - COORDENAÇÃO DE EQUIVALÊNCIA TERAPÊUTICA_x000D_
Desde: 29/03/2021</t>
  </si>
  <si>
    <t>20/08/2021: Expedienten 1: Situação atual: Aguardando análise do medicamento matriz
 Encontra-se na: CBRES - COORDENAÇÃO DE BULA, ROTULAGEM, REGISTRO SIMPLIFICADO E NOME COMERCIAL_x000D_
Desde: 27/01/2021
 Expediente 2: Situação atual: Em análise
 Encontra-se na: ARQVO - ARQUIVO - GERÊNCIA DE GESTÃO DOCUMENTAL_x000D_
Desde: 16/12/2020</t>
  </si>
  <si>
    <t>20/08/2021: Expedienten 1: Situação atual: Aguardando análise do medicamento matriz
 Encontra-se na: CBRES - COORDENAÇÃO DE BULA, ROTULAGEM, REGISTRO SIMPLIFICADO E NOME COMERCIAL_x000D_
 Enc.: 25/03/2021
 Expediente 2: Situação atual: Em análise
 Encontra-se na: ARQVO - ARQUIVO - GERÊNCIA DE GESTÃO DOCUMENTAL_x000D_
Desde: 22/12/2020</t>
  </si>
  <si>
    <t>20/08/2021: Expedienten 1: Situação atual: Aguardando análise do medicamento matriz
 Encontra-se na: CBRES - COORDENAÇÃO DE BULA, ROTULAGEM, REGISTRO SIMPLIFICADO E NOME COMERCIAL_x000D_
Desde: 18/02/2021
 Expediente 2: Situação atual: Em análise
 Encontra-se na: ARQVO - ARQUIVO - GERÊNCIA DE GESTÃO DOCUMENTAL_x000D_
Desde: 18/12/2020</t>
  </si>
  <si>
    <t>20/08/2021: Distribuído para a área responsável
GEDOC - GERÊNCIA DE GESTÃO DOCUMENTAL E MEMÓRIA CORPORATIVA_x000D_
Desde: 25/03/2021</t>
  </si>
  <si>
    <t>20/08/2021: Distribuído para a área responsável
CETER - COORDENAÇÃO DE EQUIVALÊNCIA TERAPÊUTICA_x000D_
 Enc.: 25/03/2021</t>
  </si>
  <si>
    <t>20/08/2021: Distribuído para a área responsável
CBRES - COORDENAÇÃO DE BULA, ROTULAGEM, REGISTRO SIMPLIFICADO E NOME COMERCIAL_x000D_
Desde: 01/02/2021</t>
  </si>
  <si>
    <t>20/08/2021: Distribuído para a área responsável
GQMED - GERÊNCIA DE AVALIAÇÃO DA QUALIDADE DE MEDICAMENTOS SINTÉTICOS_x000D_
Desde: 27/01/2021</t>
  </si>
  <si>
    <t>20/08/2021: Expedienten 1: Situação atual: Aguardando análise do medicamento matriz
 Encontra-se na: CBRES - COORDENAÇÃO DE BULA, ROTULAGEM, REGISTRO SIMPLIFICADO E NOME COMERCIAL_x000D_
Desde: 28/01/2021
 Expediente 2: Situação atual: Aguardando análise do cumprimento de exigência
 Encontra-se na: ARQVO - ARQUIVO - GERÊNCIA DE GESTÃO DOCUMENTAL_x000D_
Desde: 04/08/2021</t>
  </si>
  <si>
    <t>20/08/2021: Concluída análise
COIFA - COORDENAÇÃO DE REGISTRO DE INSUMOS FARMACÊUTICOS ATIVOS_x000D_
Desde: 07/06/2021</t>
  </si>
  <si>
    <t>20/08/2021: Distribuído para a área responsável
GESEF - GERÊNCIA DE AVALIAÇÃO DE SEGURANÇA E EFICÁCIA _x000D_
 Enc.: 05/05/2021</t>
  </si>
  <si>
    <t>20/08/2021: Distribuído para a área responsável
GQMED - GERÊNCIA DE AVALIAÇÃO DA QUALIDADE DE MEDICAMENTOS SINTÉTICOS_x000D_
Desde: 09/04/2021</t>
  </si>
  <si>
    <t>20/08/2021: Distribuído para a área responsável
CBRES - COORDENAÇÃO DE BULA, ROTULAGEM, REGISTRO SIMPLIFICADO E NOME COMERCIAL_x000D_
Desde: 09/04/2021</t>
  </si>
  <si>
    <t>20/08/2021: Situação atual: Em exigência
 Encontra-se na: CBRES - COORDENAÇÃO DE BULA, ROTULAGEM, REGISTRO SIMPLIFICADO E NOME COMERCIAL_x000D_
Desde: 26/05/2021</t>
  </si>
  <si>
    <t>20/08/2021: Distribuído para a área responsável
CBRES - COORDENAÇÃO DE BULA, ROTULAGEM, REGISTRO SIMPLIFICADO E NOME COMERCIAL_x000D_
Desde: 08/07/2021</t>
  </si>
  <si>
    <t>20/08/2021: Distribuído para a área responsável
CETER - COORDENAÇÃO DE EQUIVALÊNCIA TERAPÊUTICA_x000D_
Desde: 05/07/2021</t>
  </si>
  <si>
    <t>20/08/2021: Distribuído para a área responsável
GQMED - GERÊNCIA DE AVALIAÇÃO DA QUALIDADE DE MEDICAMENTOS SINTÉTICOS_x000D_
Desde: 02/07/2021</t>
  </si>
  <si>
    <t>20/08/2021: Distribuído para a área responsável
CBRES - COORDENAÇÃO DE BULA, ROTULAGEM, REGISTRO SIMPLIFICADO E NOME COMERCIAL_x000D_
Desde: 20/07/2021</t>
  </si>
  <si>
    <t>20/08/2021: Distribuído para a área responsável
CETER - COORDENAÇÃO DE EQUIVALÊNCIA TERAPÊUTICA_x000D_
Desde: 19/07/2021</t>
  </si>
  <si>
    <t>20/08/2021: Distribuído para a área responsável
GGMED - GERÊNCIA-GERAL DE MEDICAMENTOS E PRODUTOS BIOLÓGICOS_x000D_
Desde: 16/07/2021</t>
  </si>
  <si>
    <t>20/08/2021: Situação atual: Petição priorizada e aguardando análise técnica
 Encontra-se na: ARQVO - ARQUIVO - GERÊNCIA DE GESTÃO DOCUMENTAL_x000D_
Desde: 03/08/2021</t>
  </si>
  <si>
    <t xml:space="preserve">Situação atual
Petição priorizada e aguardando análise técnica
Encontra-se na ARQVO Desde: 03/08/2021
</t>
  </si>
  <si>
    <t>38.1</t>
  </si>
  <si>
    <t>38.2</t>
  </si>
  <si>
    <t>38.3</t>
  </si>
  <si>
    <t>40.1</t>
  </si>
  <si>
    <t>40.2</t>
  </si>
  <si>
    <t>40.3</t>
  </si>
  <si>
    <t xml:space="preserve">41.2 </t>
  </si>
  <si>
    <r>
      <rPr>
        <strike/>
        <u/>
        <sz val="10"/>
        <rFont val="Calibri"/>
        <family val="2"/>
        <scheme val="minor"/>
      </rPr>
      <t>07/02/2020</t>
    </r>
    <r>
      <rPr>
        <strike/>
        <sz val="10"/>
        <rFont val="Calibri"/>
        <family val="2"/>
        <scheme val="minor"/>
      </rPr>
      <t>: Aguardando análise de equivalência terapêutica
Encontra-se na COPEM.D - Desde: 10/06/2014
06/08/2021: Igual anterior</t>
    </r>
    <r>
      <rPr>
        <sz val="10"/>
        <rFont val="Calibri"/>
        <family val="2"/>
        <scheme val="minor"/>
      </rPr>
      <t xml:space="preserve">
20/08/2021: Situação atual: Aguardando análise de equivalência terapêutica
 Encontra-se na: ARQVO - ARQUIVO - GERÊNCIA DE GESTÃO DOCUMENTAL
Desde: 27/07/2021
</t>
    </r>
  </si>
  <si>
    <r>
      <rPr>
        <strike/>
        <u/>
        <sz val="10"/>
        <rFont val="Calibri"/>
        <family val="2"/>
        <scheme val="minor"/>
      </rPr>
      <t>29/05/2020</t>
    </r>
    <r>
      <rPr>
        <strike/>
        <sz val="10"/>
        <rFont val="Calibri"/>
        <family val="2"/>
        <scheme val="minor"/>
      </rPr>
      <t xml:space="preserve">: Situação atual
Distribuído para a área responsável 
Encontra-se na
COPEC - Enc.: 25/05/2020
</t>
    </r>
    <r>
      <rPr>
        <strike/>
        <u/>
        <sz val="10"/>
        <rFont val="Calibri"/>
        <family val="2"/>
        <scheme val="minor"/>
      </rPr>
      <t xml:space="preserve">19/06/2020: </t>
    </r>
    <r>
      <rPr>
        <strike/>
        <sz val="10"/>
        <rFont val="Calibri"/>
        <family val="2"/>
        <scheme val="minor"/>
      </rPr>
      <t xml:space="preserve">Igual ao anterior
</t>
    </r>
    <r>
      <rPr>
        <strike/>
        <u/>
        <sz val="10"/>
        <rFont val="Calibri"/>
        <family val="2"/>
        <scheme val="minor"/>
      </rPr>
      <t>26/06/2020:</t>
    </r>
    <r>
      <rPr>
        <strike/>
        <sz val="10"/>
        <rFont val="Calibri"/>
        <family val="2"/>
        <scheme val="minor"/>
      </rPr>
      <t xml:space="preserve">  Situação atual
Distribuído para a área responsável 
Encontra-se na
COPEC -Desde: 25/06/2020
</t>
    </r>
    <r>
      <rPr>
        <strike/>
        <u/>
        <sz val="10"/>
        <rFont val="Calibri"/>
        <family val="2"/>
        <scheme val="minor"/>
      </rPr>
      <t xml:space="preserve">12/03/2021: </t>
    </r>
    <r>
      <rPr>
        <strike/>
        <sz val="10"/>
        <rFont val="Calibri"/>
        <family val="2"/>
        <scheme val="minor"/>
      </rPr>
      <t xml:space="preserve"> Situação atual:  Em análise 
Encontra-se na
COPEC Desde: 22/02/2021
23/04/2021:  Situação atual: Em exigência
Encontra-se na COPEC  22/02/2021</t>
    </r>
    <r>
      <rPr>
        <sz val="10"/>
        <rFont val="Calibri"/>
        <family val="2"/>
        <scheme val="minor"/>
      </rPr>
      <t xml:space="preserve">
</t>
    </r>
    <r>
      <rPr>
        <strike/>
        <sz val="10"/>
        <rFont val="Calibri"/>
        <family val="2"/>
        <scheme val="minor"/>
      </rPr>
      <t>14/05/2021 Aguardando análise do cumprimento de exigência
Encontra-se na COPEC  22/02/2021</t>
    </r>
    <r>
      <rPr>
        <sz val="10"/>
        <rFont val="Calibri"/>
        <family val="2"/>
        <scheme val="minor"/>
      </rPr>
      <t xml:space="preserve">
13/08/2021:  Em análise do cumprimento de exigência
 Encontra-se na: COPEC - COORDENAÇÃO DE PESQUISA CLÍNICA EM MEDICAMENTOS E PRODUTOS BIOLÓGICOS
Desde: 13/08/2021
20/08/2021: Situação atual: Em exigência
 Encontra-se na: COPEC - COORDENAÇÃO DE PESQUISA CLÍNICA EM MEDICAMENTOS E PRODUTOS BIOLÓGICOS
Desde: 13/08/2021</t>
    </r>
  </si>
  <si>
    <r>
      <rPr>
        <strike/>
        <sz val="10"/>
        <rFont val="Calibri"/>
        <family val="2"/>
        <scheme val="minor"/>
      </rPr>
      <t>Situação atual
Distribuído para a área responsável
Encontra-se na
COPEC Enc.: 18/08/2020</t>
    </r>
    <r>
      <rPr>
        <sz val="10"/>
        <rFont val="Calibri"/>
        <family val="2"/>
        <scheme val="minor"/>
      </rPr>
      <t xml:space="preserve">
23/04/2021: Em análise
 Encontra-se na
COPEC Desde: 22/02/2021
20/08/2021: Igual ao anterior</t>
    </r>
  </si>
  <si>
    <r>
      <rPr>
        <strike/>
        <sz val="10"/>
        <rFont val="Calibri"/>
        <family val="2"/>
        <scheme val="minor"/>
      </rPr>
      <t xml:space="preserve">06/11/2020: Situação atual
Distribuído para a área responsável
Encontra-se na
COPEC Desde: 03/11/2020 </t>
    </r>
    <r>
      <rPr>
        <sz val="10"/>
        <rFont val="Calibri"/>
        <family val="2"/>
        <scheme val="minor"/>
      </rPr>
      <t xml:space="preserve">
30/07/2021: Aguarda análise do cumprimento de exigência
 Encontra-se na
COPEC Desde: 18/06/2021
20/08/2021: Igual o anterior 
</t>
    </r>
  </si>
  <si>
    <t xml:space="preserve">20/08/2021: Situação atual
Distribuído para a área responsável
Encontra-se na
COPEC Desde: 21/06/2021 
</t>
  </si>
  <si>
    <t xml:space="preserve">30/07/2021: Situação atual
Aguardando análise
Encontra-se na
GQMED Desde: 02/07/2021
20/08/2021: Igual o anterior </t>
  </si>
  <si>
    <t xml:space="preserve">30/07/2021 Situação atual
Distribuído para a área responsável 
Encontra-se na
CETER Desde: 19/07/2021
20/08/2021: Igual o anterior </t>
  </si>
  <si>
    <r>
      <rPr>
        <u/>
        <sz val="10"/>
        <rFont val="Calibri"/>
        <family val="2"/>
        <scheme val="minor"/>
      </rPr>
      <t>29/05/2020</t>
    </r>
    <r>
      <rPr>
        <sz val="10"/>
        <rFont val="Calibri"/>
        <family val="2"/>
        <scheme val="minor"/>
      </rPr>
      <t>: Situação atual
Aguardando análise de eficácia e segurança. Encontra-se na CETER
Desde: 23/03/2020
20/08/2021 Igual a anterior</t>
    </r>
  </si>
  <si>
    <r>
      <rPr>
        <u/>
        <sz val="10"/>
        <rFont val="Calibri"/>
        <family val="2"/>
        <scheme val="minor"/>
      </rPr>
      <t>29/05/2020</t>
    </r>
    <r>
      <rPr>
        <sz val="10"/>
        <rFont val="Calibri"/>
        <family val="2"/>
        <scheme val="minor"/>
      </rPr>
      <t>: Situação atual
Não anuído. Encontra-se na
GESEF - Desde: 13/06/2018
20/08/2021</t>
    </r>
    <r>
      <rPr>
        <u/>
        <sz val="10"/>
        <rFont val="Calibri"/>
        <family val="2"/>
        <scheme val="minor"/>
      </rPr>
      <t xml:space="preserve">  </t>
    </r>
    <r>
      <rPr>
        <sz val="10"/>
        <rFont val="Calibri"/>
        <family val="2"/>
        <scheme val="minor"/>
      </rPr>
      <t xml:space="preserve">Igual a anterior
</t>
    </r>
  </si>
  <si>
    <r>
      <rPr>
        <u/>
        <sz val="10"/>
        <rFont val="Calibri"/>
        <family val="2"/>
        <scheme val="minor"/>
      </rPr>
      <t>29/05/2020</t>
    </r>
    <r>
      <rPr>
        <sz val="10"/>
        <rFont val="Calibri"/>
        <family val="2"/>
        <scheme val="minor"/>
      </rPr>
      <t xml:space="preserve">: Situação atual
Não anuído. Encontra-se na
GGMED - Desde: 04/12/2020
20/08/2021 igual o anterior </t>
    </r>
  </si>
  <si>
    <r>
      <rPr>
        <u/>
        <sz val="10"/>
        <rFont val="Calibri"/>
        <family val="2"/>
        <scheme val="minor"/>
      </rPr>
      <t>29/05/2020</t>
    </r>
    <r>
      <rPr>
        <sz val="10"/>
        <rFont val="Calibri"/>
        <family val="2"/>
        <scheme val="minor"/>
      </rPr>
      <t xml:space="preserve">: Situação atual
Não anuído. Encontra-se na
GGMED - Desde: 04/12/2020
20/08/2021 Igual a anterior
</t>
    </r>
  </si>
  <si>
    <r>
      <rPr>
        <u/>
        <sz val="10"/>
        <rFont val="Calibri"/>
        <family val="2"/>
        <scheme val="minor"/>
      </rPr>
      <t>18/09/2020</t>
    </r>
    <r>
      <rPr>
        <sz val="10"/>
        <rFont val="Calibri"/>
        <family val="2"/>
        <scheme val="minor"/>
      </rPr>
      <t xml:space="preserve">: Situação atual
Concluída Análise . Encontra-se na
CETER - Desde: 15/09/2020
20/08/2021 Igual anterior
</t>
    </r>
  </si>
  <si>
    <r>
      <rPr>
        <u/>
        <sz val="10"/>
        <rFont val="Calibri"/>
        <family val="2"/>
        <scheme val="minor"/>
      </rPr>
      <t>29/05/2020</t>
    </r>
    <r>
      <rPr>
        <sz val="10"/>
        <rFont val="Calibri"/>
        <family val="2"/>
        <scheme val="minor"/>
      </rPr>
      <t xml:space="preserve">: Situação atual
Concluída análise. Encontra-se na
CETER - Desde: 18/03/2020
20/08/2021  Igual a anterior
</t>
    </r>
  </si>
  <si>
    <t xml:space="preserve">30/07/2021: Situação atual
Em análise 
Encontra-se na CETER Desde: 22/06/2021
20/08/2021: Igual a anterior
</t>
  </si>
  <si>
    <t>30/07/2021 Situação atual
Distribuído para a área responsável
Encontra-se na
CETER: Desde: 05/05/2021
20/08/2021: Igual a anterior</t>
  </si>
  <si>
    <t>20/08/2021: 
Situação atual
Distribuído para a área responsável
Encontra-se na
COIME Desde: 23/02/2021</t>
  </si>
  <si>
    <t>20/08/2021:
Situação atual
Concluída análise
Encontra-se na
COIME Desde: 23/07/2021</t>
  </si>
  <si>
    <t>20/08/2021:
Situação atual
Aguardando análise do cumprimento de exigência Encontra-se na
COINS Enc.: 07/07/2021</t>
  </si>
  <si>
    <t>20/08/2021:  Expedienten 1: Situação atual: Em exigência
 Encontra-se na: CBRES - COORDENAÇÃO DE BULA, ROTULAGEM, REGISTRO SIMPLIFICADO E NOME COMERCIAL
Desde: 28/05/2021
Situação atual: Publicado deferimento
 Encontra-se na: GGMED - GERÊNCIA-GERAL DE MEDICAMENTOS E PRODUTOS BIOLÓGICOS_x000D_
Desde: 03/08/2021</t>
  </si>
  <si>
    <t>06/08/2021</t>
  </si>
  <si>
    <t>13/08/2021</t>
  </si>
  <si>
    <t>Petição priorizada. Parceria com empresa Tecnimede.
1_Realizado aditamento em 08/09/2020 sob o expediente: 3047112205, sobre Estudo de biodisponibilidade relativa
3_Aditamento à solicitação de registro com o Formulário de Informações relativas à Documentação de Registro (FIDR) protocolado em 14/09/2020 sob o expediente 3122316208.
4_ Ofício nº 3218372201, recebida em 23/09/2020, assunto: solicitação de priorização de análise teve seu conteúdo avaliado e anuído. 
5_ Prorrogado por até 20 dias do prazo original, no caso de petições prioritárias, pela RESOLUÇÃO-RE Nº 3.895/2020 em DOU de 28/09/2020
6_Aditamento realizado em 20/10/2020. de autorização para os terceiros, fabricantes dos IFAs, protocolarem a parte fechada do DMF na ANVISA
7_Exigência Nº 3691048/20-1 recebdia em 26/10/2020. Assunto: 11302 - Aditamento - análise de Dossiê de Insumo Farmacêutico Ativo (DIFA)
8_Aditamento por Terceiro (Certificação e Fiscalização) realizado em 10/11/2020, sob o expediente 3940062201
9_Exigência Nº: 3749192/20-0 recebida em 13/11/2020, assunto: análise de Dossiê de Insumo Farmacêutico Ativo (DIFA)
10_Exigência Nº: 3996062/20-5 recebida em 23/11/2020, assunto: registro de medicamento
11_Protocolado em 18/12/2020, Arquivamento temporário. Prazo estendido para cumprimento da exigência: 21/07/2021, sob expediente: 4486531207 -assunto: registro de medicamento
12_Arquivamento temporário anuído em 22/12/2020, sob expediente: 4486531207
13_Protocolado em 25/01/2021 Arquivamento Temporário para Cumprimento da exigência da análise do DMF da donepezila. Prazo estendido para cumprimento da exigência: 23/06/2021. Sob expediente: 0318863219
14_Protocolado em 24/02/2021 Arquivamento temporário para cumprimento de exigência da análise do DMF da Memantina. Prazo estendido para cumprimento de exigência 11/07/2021. Sob expediente 0734855/21-0
15_ Cumprida exigência em 24/05/2021 sob expediente 1967242/21-6. Cumprimento de exigência referente a petição 11302 - Aditamento - análise de Dossiê de Insumo Farmacêutico Ativo (DIFA) Cloridrato de Memantina
16_Cumprida Exigência em 23/06/2021 sob expediente 2437430/21-1. Cumprimento de exigência referente a petição 11302 - Aditamento - análise de Dossiê de Insumo Farmacêutico Ativo (DIFA)
cloridrato de donepezila
17_Exigência recebida em 25/06/2021, assunto: Análise de dossiê de insumo farmacêutico ativo (DIFA) referente a memantina, sob expediente nº 2367370/21-2
18_Exigência recebida em 20/07/2021,  assunto: Aditamento - análise de Dossiê de Insumo Farmacêutico Ativo (DIFA) Donepezila. Sob expediente nº3654531/20-7.
19_Cumprida exigência em 21/07/2021 sob expediente: 2847125/27-3 - Assunto: registro de medicamento
20_Exigência Recebida em 23/08/2021 sob expediente: 3044713/20-5. Reiteração da exigência "Assunto: Regustro do medicamento".</t>
  </si>
  <si>
    <t xml:space="preserve">Aditamento será realizado conforme RDC 415/2020
1_Protocolado em 08/12/2020, Formulário de informações relativas à documentação de registro (FIDR) ou Parecer de Análise Técnica da Empresa (PATE)
2_ Aditamento realizado em 10/12/2020, sob expediente: 4366940209,  Assunto: 11159 – Aditamento – petição relacionada a COVID-19
3_ Aditamento realizado em 10/12/2020, sob expediente: 4367018201 , Assunto: 11363 – ADITAMENTO – Termo de Compromisso. 
4_Protocolado em 10/12/2020 sob expediente: 4368256201 documentação para análise de bula, dizeres de rotulagem e nome comercial
5_Protocolado aditamento sob expediente: 0281444217, referente ao envio das documentações relacionadas a atualização do CQ de embalagem e CQ do produto terminado, conforme cronograma apresentado em 10/12/2020.
6_Protocolado em 16/03/2021 Aditamento - Cumprimento de Termo de Compromisso sob expediente 1023255/21-9. Aditamento referente ao envio das documentações relacionadas a Validação de Processo e Relatório Final de BQV, conforme cronograma apresentado em 10/12/2020. (Aditamento 2/5).
7_Protocolado em 16/03/2021 sob expediente: 1023849/21-2  Estudo de biodisponibilidade relativa. Assunto: 11630 - GENÉRICO - Estudo de biodisponibilidade relativa
8_Recebida a exigência nº 1253166/21-9, sob expediente 4324102/20-6, em 07/04/2021
9_ Cumprida a Exigência em 07/05/2021 sob expediente: 1764182219
10_Aditamento em 31/05/2021 sob expediente nº 2111515210  referente a confirmação de envio das documentações apresentadas em cumprimento de exigência, conforme cronograma apresentado em 10/12/2020.
11_Aditamento em 31/05/2021 sob expediente nº 2111410212 referente ao envio do FIDR atualizado, conforme cronograma apresentado em 10/12/2020.
12_Recebida exigência nº 2706781/21-5 em 12/07/2021. Assunto:11212 - GENÉRICO/SIMILAR - Documentação para análise de bula, dizeres derotulagem e nome comercial
13_Recebida exigência nº 3074291/21-9 em 10/08/2021,  referente ao Estudo de Biodisponibilidade Relativa.
14_ Cumprimento de exigência nº 3074291/21-9 referente a petição 11630 – GENÉRICO – Estudo de Biodisponibilidade Relativa, em 24/08/2021, sob expediente 3336922216. 
</t>
  </si>
  <si>
    <r>
      <t xml:space="preserve">1 _Entrou na fila na posição 23 em 02/08/2019
2 _Aditamento de Plano de Farmacovigilância / Plano Minimização de Risco protocolado em 08/08/2019 sob o expediente 1948559190.
3_Aditamento para CRMEC de rotulagem e nome comercial protocolado em 08/08/2019 sob expediente 1948639191.
4_Aditamento de estudo de biodisponibilidade
relativa ou Bioisenção protocolado em 12/08/2019 sob expediente 1964116/19-8.
5_Aditamento de estudo de qualificação de
impurezas e produtos de degradação protocolodo em 12/08/2019 sob expediente 1964799/19-9.
6_Aditamento à solicitação de registro com o Formulário de Informações relativas à Documentação de Registro (FIDR) protocolado em 13/08/2019 sob o expediente 1974824198.
7_Aditamento para avaliação de segurança e eficácia referente a petição 1456 protocolado em 15/08/2019 sob o número 1988691/19-8. 
8_ aditamento para comunicar o encerramento do pedido relativo ao expediente de nº 1988691/19-8
datado do dia 09/08/2019 (ofício 2338069191)
10_Aditamento para CRMEC de rotulagem e nome comercial realizado em 18/12/2019 sob o expediente 3500112197
11_Aditamento à solicitação de registro  protocolada em 20/12/2019 sob o expediente 3520998194 (alteração nome comercial).
12_Exigência nº 0318097/20-2 relacionada ao aditamento de segurança e eficácia recebida em 03/02/2020.
13_Exigência nº 0319425/20-6 relacionada ao aditamento de BDR recebida em 05/02/2020.
14_ Cumprimento da exigência nº 0319425/20-6 relacionada ao aditamento de BDR protocolado em 24/03/2020, pelo expediente nº 0885346203.
15_Aditamento de estudo de biodisponibilidade relativa ou Bioisenção realizado em 31/03/2020, expediente nº 0979731/20-9, para cumprimento da Exigência nº 0318097/20-2 relacionada ao aditamento de segurança e eficácia,
16_Exigência nº 1236848/20-2 relacionada ao aditamento de estudo de
biodisponibilidade relativa ou Bioisenção recebida em 23/04/2020
17_Cumprimento de exigência, protocolado em 23/04/2020, nº expediente 1252681208, nº do Expediente da Exigência: 0318097202
18_Para o clone, o nome LESDIP não foi aceito, provavelmente a marca comercial deste será Coledue R
19_Aditamento à solicitação de registro protocolada 07/05/2020, sob o expeidente: 1422932203 (alteração de nome comercial para Coledue R). 
20_Cumprimento de exigência, protocolado em 29/06/2020 sob o expediente 2079972201. Assunto: Cumprimento de exigência referente a petição 557 - MEDICAMENTO NOVO - Aditamento de estudo de biodisponibilidade relativa ou Bioisenção
21_Exigência nº2094771/20-2 relacionada ao estudo de segurança e eficácia recebida em 01/07/2020 .Sob expediente 1988691/19-8.
22_Cumprimento de exigencia 2094771202, em 20/08/2020, sob o expediente: 2795944201, assunto: Documentação para avaliação de segurança e eficácia - ezetimiba + rosuvastatina cálcica
</t>
    </r>
    <r>
      <rPr>
        <b/>
        <sz val="10"/>
        <rFont val="Calibri"/>
        <family val="2"/>
        <scheme val="minor"/>
      </rPr>
      <t>23_Exigência Nº: 3342613/20-9, recebida em 05/10/2020, assunto: Registro de Forma Farmacêutica Nova no País</t>
    </r>
    <r>
      <rPr>
        <sz val="10"/>
        <rFont val="Calibri"/>
        <family val="2"/>
        <scheme val="minor"/>
      </rPr>
      <t xml:space="preserve">
24_Exigência nº 3764713/20-0, recebida em 13/11/2020, assunto: análise de Dossiê de Insumo Farmacêutico Ativo (DIFA)
25_Exigência Nº: 3951629/20-6, recebida em 13/11/2020, assunto: análise de Dossiê de Insumo Farmacêutico Ativo (DIFA)
26_Cumprimento de exigência Nº: 3342613/20-9 em 01/02/2021, sob expediente: 0418483213 Assunto: 1456 - MEDICAMENTO NOVO - Registro de Forma Farmacêutica Nova no País
27_Reiteração de exigência de analise do IFA rosuvastatina, Nº 3159594/21-4, recebida em 19/08/2021
28_Reiteração de exigência de análise do IFA ezetimiba, Nº 3250701/21-1, recebida em 19/08/2021
27_Protocolado arquivamento temporario em 09/03/2021 sob expediente: 0919337215 (Rosuvastatina). Arquivamento temporário para elaboração de cronograma de Cumprimento da exigência de registro do medicamento. Prazo estendido para cumprimento da exigência: 11/07/2021.
28_Protocolado arquivamento temporário em 09/03/2021 sob expediente: 0918949211 (Ezetimiba). Parceria com empresa Tecnimede.
Arquivamento temporário para elaboração de cronograma de Cumprimento da exigência de registro do medicamento. Prazo estendido para cumprimento da exigência: 11/07/2021
29_Cumprimento de exigência referente a petição 11302 - Aditamento - análise de Dossiê de Insumo Farmacêutico Ativo (DIFA) para o IFA rosuvastatina cálcica, realizada em 27/05/2021, sob expediente 2052321217.
30_Exigência nº2118199/21-3 recebida em 07/06/2021 - Assunto: Documentação para análise de bula, dizeres e rotulagem e nome comercial. 
31_Cumprimento de exigência em 12/07/2021  referente a petição 11302 - Aditamento - análise de Dossiê de Insumo Farmacêutico Ativo (DIFA) para o IFA ezetimiba, realizado em 10/07/2021 sob expediente 2685553215
32_Cumprida exigência referente a Bula e Rotulagem, realizado em 14/07/2021 sob expediente  2737436214 
33_Exigência nº 3159594/21-4 recebida em 19/08/2021 Assunto: Aditamento - Analise de Dossiê do Insumo Farmaceutico Ativo (DIFA).(Reiteração)
34_Exigência nº 3250701/21-1 recebida em 19/08/2021 Assunto: Aditamento - Analise de Dossiê do Insumo Farmaceutico Ativo (DIFA).(Reiteração)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</si>
</sst>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quot;R$&quot;\ * #,##0.00_-;\-&quot;R$&quot;\ * #,##0.00_-;_-&quot;R$&quot;\ * &quot;-&quot;??_-;_-@_-"/>
    <numFmt numFmtId="43" formatCode="_-* #,##0.00_-;\-* #,##0.00_-;_-* &quot;-&quot;??_-;_-@_-"/>
    <numFmt numFmtId="164" formatCode="_(* #,##0.00_);_(* \(#,##0.00\);_(* &quot;-&quot;??_);_(@_)"/>
    <numFmt numFmtId="165" formatCode="_(* #,##0_);_(* \(#,##0\);_(* &quot;-&quot;??_);_(@_)"/>
    <numFmt numFmtId="166" formatCode="mmmm\-yy;@"/>
    <numFmt numFmtId="167" formatCode="00000"/>
    <numFmt numFmtId="168" formatCode="dd/mm/yy;@"/>
  </numFmts>
  <fonts count="87"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11"/>
      <color theme="1"/>
      <name val="Calibri"/>
      <family val="2"/>
      <scheme val="minor"/>
    </font>
    <font>
      <sz val="10"/>
      <color theme="1"/>
      <name val="Arial"/>
      <family val="2"/>
    </font>
    <font>
      <sz val="10"/>
      <name val="Arial"/>
      <family val="2"/>
    </font>
    <font>
      <sz val="10"/>
      <name val="Arial"/>
      <family val="2"/>
    </font>
    <font>
      <sz val="10"/>
      <color rgb="FFFF0000"/>
      <name val="Arial"/>
      <family val="2"/>
    </font>
    <font>
      <sz val="10"/>
      <color indexed="10"/>
      <name val="Arial"/>
      <family val="2"/>
    </font>
    <font>
      <u/>
      <sz val="8.8000000000000007"/>
      <color theme="10"/>
      <name val="Calibri"/>
      <family val="2"/>
    </font>
    <font>
      <sz val="10"/>
      <name val="Arial"/>
      <family val="2"/>
    </font>
    <font>
      <sz val="10"/>
      <name val="Arial"/>
      <family val="2"/>
    </font>
    <font>
      <sz val="10"/>
      <name val="Arial"/>
      <family val="2"/>
    </font>
    <font>
      <b/>
      <sz val="10"/>
      <name val="Calibri"/>
      <family val="2"/>
      <scheme val="minor"/>
    </font>
    <font>
      <sz val="10"/>
      <name val="Calibri"/>
      <family val="2"/>
      <scheme val="minor"/>
    </font>
    <font>
      <b/>
      <i/>
      <sz val="10"/>
      <name val="Calibri"/>
      <family val="2"/>
      <scheme val="minor"/>
    </font>
    <font>
      <sz val="10"/>
      <color rgb="FF000000"/>
      <name val="Calibri"/>
      <family val="2"/>
      <scheme val="minor"/>
    </font>
    <font>
      <b/>
      <u/>
      <sz val="10"/>
      <name val="Calibri"/>
      <family val="2"/>
      <scheme val="minor"/>
    </font>
    <font>
      <sz val="10"/>
      <color rgb="FFFF0000"/>
      <name val="Calibri"/>
      <family val="2"/>
      <scheme val="minor"/>
    </font>
    <font>
      <b/>
      <sz val="10"/>
      <color rgb="FFFF0000"/>
      <name val="Calibri"/>
      <family val="2"/>
      <scheme val="minor"/>
    </font>
    <font>
      <sz val="10"/>
      <color theme="1"/>
      <name val="Calibri"/>
      <family val="2"/>
      <scheme val="minor"/>
    </font>
    <font>
      <b/>
      <u/>
      <sz val="10"/>
      <color rgb="FFFF0000"/>
      <name val="Calibri"/>
      <family val="2"/>
      <scheme val="minor"/>
    </font>
    <font>
      <sz val="9"/>
      <name val="Arial"/>
      <family val="2"/>
    </font>
    <font>
      <sz val="9"/>
      <color theme="1"/>
      <name val="Arial"/>
      <family val="2"/>
    </font>
    <font>
      <b/>
      <sz val="9"/>
      <name val="Arial"/>
      <family val="2"/>
    </font>
    <font>
      <sz val="9"/>
      <name val="Calibri"/>
      <family val="2"/>
      <scheme val="minor"/>
    </font>
    <font>
      <sz val="10"/>
      <name val="Arial"/>
      <family val="2"/>
    </font>
    <font>
      <i/>
      <sz val="10"/>
      <name val="Calibri"/>
      <family val="2"/>
      <scheme val="minor"/>
    </font>
    <font>
      <b/>
      <sz val="10"/>
      <color theme="1"/>
      <name val="Calibri"/>
      <family val="2"/>
      <scheme val="minor"/>
    </font>
    <font>
      <sz val="10"/>
      <color indexed="10"/>
      <name val="Calibri"/>
      <family val="2"/>
      <scheme val="minor"/>
    </font>
    <font>
      <sz val="10"/>
      <color indexed="8"/>
      <name val="Calibri"/>
      <family val="2"/>
      <scheme val="minor"/>
    </font>
    <font>
      <b/>
      <sz val="10"/>
      <color indexed="8"/>
      <name val="Calibri"/>
      <family val="2"/>
      <scheme val="minor"/>
    </font>
    <font>
      <sz val="10"/>
      <color theme="3" tint="0.39997558519241921"/>
      <name val="Calibri"/>
      <family val="2"/>
      <scheme val="minor"/>
    </font>
    <font>
      <i/>
      <sz val="10"/>
      <color rgb="FFFF0000"/>
      <name val="Calibri"/>
      <family val="2"/>
      <scheme val="minor"/>
    </font>
    <font>
      <i/>
      <sz val="10"/>
      <color theme="1"/>
      <name val="Calibri"/>
      <family val="2"/>
      <scheme val="minor"/>
    </font>
    <font>
      <b/>
      <sz val="9"/>
      <color theme="1"/>
      <name val="Arial"/>
      <family val="2"/>
    </font>
    <font>
      <i/>
      <u/>
      <sz val="10"/>
      <color rgb="FFFF0000"/>
      <name val="Calibri"/>
      <family val="2"/>
      <scheme val="minor"/>
    </font>
    <font>
      <strike/>
      <sz val="10"/>
      <name val="Calibri"/>
      <family val="2"/>
      <scheme val="minor"/>
    </font>
    <font>
      <u/>
      <sz val="10"/>
      <name val="Calibri"/>
      <family val="2"/>
      <scheme val="minor"/>
    </font>
    <font>
      <b/>
      <sz val="10"/>
      <color theme="0"/>
      <name val="Arial"/>
      <family val="2"/>
    </font>
    <font>
      <b/>
      <sz val="11"/>
      <name val="Calibri"/>
      <family val="2"/>
    </font>
    <font>
      <sz val="11"/>
      <name val="Calibri"/>
      <family val="2"/>
    </font>
    <font>
      <b/>
      <sz val="10"/>
      <color theme="0"/>
      <name val="Calibri"/>
      <family val="2"/>
      <scheme val="minor"/>
    </font>
    <font>
      <sz val="10"/>
      <name val="Calibri"/>
      <family val="2"/>
      <scheme val="minor"/>
    </font>
    <font>
      <sz val="10"/>
      <name val="Calibri"/>
      <family val="2"/>
      <scheme val="minor"/>
    </font>
    <font>
      <sz val="10"/>
      <name val="Calibri"/>
      <family val="2"/>
      <scheme val="minor"/>
    </font>
    <font>
      <b/>
      <sz val="10"/>
      <name val="Calibri"/>
      <family val="2"/>
      <scheme val="minor"/>
    </font>
    <font>
      <sz val="10"/>
      <name val="Calibri"/>
      <family val="2"/>
      <scheme val="minor"/>
    </font>
    <font>
      <strike/>
      <sz val="10"/>
      <name val="Calibri"/>
      <family val="2"/>
      <scheme val="minor"/>
    </font>
    <font>
      <sz val="10"/>
      <name val="Calibri"/>
      <family val="2"/>
      <scheme val="minor"/>
    </font>
    <font>
      <b/>
      <sz val="10"/>
      <name val="Calibri"/>
      <family val="2"/>
      <scheme val="minor"/>
    </font>
    <font>
      <sz val="10"/>
      <name val="Calibri"/>
      <family val="2"/>
      <scheme val="minor"/>
    </font>
    <font>
      <sz val="10"/>
      <name val="Calibri"/>
      <family val="2"/>
      <scheme val="minor"/>
    </font>
    <font>
      <b/>
      <sz val="2"/>
      <color rgb="FF002060"/>
      <name val="Calibri"/>
      <family val="2"/>
      <scheme val="minor"/>
    </font>
    <font>
      <sz val="10"/>
      <name val="Calibri"/>
      <family val="2"/>
      <scheme val="minor"/>
    </font>
    <font>
      <sz val="10"/>
      <name val="Calibri"/>
      <family val="2"/>
      <scheme val="minor"/>
    </font>
    <font>
      <strike/>
      <sz val="10"/>
      <name val="Calibri"/>
      <family val="2"/>
      <scheme val="minor"/>
    </font>
    <font>
      <b/>
      <sz val="10"/>
      <name val="Calibri"/>
      <family val="2"/>
      <scheme val="minor"/>
    </font>
    <font>
      <sz val="10"/>
      <name val="Calibri"/>
      <family val="2"/>
      <scheme val="minor"/>
    </font>
    <font>
      <sz val="10"/>
      <color rgb="FFFF0000"/>
      <name val="Arial"/>
      <family val="2"/>
    </font>
    <font>
      <b/>
      <strike/>
      <sz val="10"/>
      <name val="Calibri"/>
      <family val="2"/>
      <scheme val="minor"/>
    </font>
    <font>
      <sz val="10"/>
      <name val="Calibri"/>
      <family val="2"/>
      <scheme val="minor"/>
    </font>
    <font>
      <sz val="10"/>
      <name val="Calibri"/>
      <family val="2"/>
      <scheme val="minor"/>
    </font>
    <font>
      <sz val="10"/>
      <name val="Calibri"/>
      <family val="2"/>
      <scheme val="minor"/>
    </font>
    <font>
      <strike/>
      <sz val="10"/>
      <color theme="1"/>
      <name val="Arial"/>
      <family val="2"/>
    </font>
    <font>
      <b/>
      <sz val="10"/>
      <color rgb="FFFFFF00"/>
      <name val="Calibri"/>
      <family val="2"/>
      <scheme val="minor"/>
    </font>
    <font>
      <sz val="10"/>
      <color rgb="FFFFFF00"/>
      <name val="Calibri"/>
      <family val="2"/>
      <scheme val="minor"/>
    </font>
    <font>
      <b/>
      <sz val="10"/>
      <color rgb="FFFFFF00"/>
      <name val="Arial"/>
      <family val="2"/>
    </font>
    <font>
      <strike/>
      <sz val="10"/>
      <color rgb="FFFF0000"/>
      <name val="Arial"/>
      <family val="2"/>
    </font>
    <font>
      <strike/>
      <sz val="10"/>
      <name val="Arial"/>
      <family val="2"/>
    </font>
    <font>
      <u/>
      <sz val="10"/>
      <color theme="1"/>
      <name val="Calibri"/>
      <family val="2"/>
      <scheme val="minor"/>
    </font>
    <font>
      <sz val="10"/>
      <name val="Calibri"/>
      <family val="2"/>
      <scheme val="minor"/>
    </font>
    <font>
      <u/>
      <sz val="10"/>
      <name val="Arial"/>
      <family val="2"/>
    </font>
    <font>
      <sz val="10"/>
      <name val="Calibri"/>
      <family val="2"/>
      <scheme val="minor"/>
    </font>
    <font>
      <sz val="10"/>
      <name val="Calibri"/>
      <family val="2"/>
      <scheme val="minor"/>
    </font>
    <font>
      <sz val="10"/>
      <name val="Calibri"/>
      <family val="2"/>
      <scheme val="minor"/>
    </font>
    <font>
      <strike/>
      <u/>
      <sz val="10"/>
      <name val="Calibri"/>
      <family val="2"/>
      <scheme val="minor"/>
    </font>
    <font>
      <strike/>
      <sz val="11"/>
      <name val="Calibri"/>
      <family val="2"/>
    </font>
    <font>
      <sz val="10"/>
      <name val="Calibri"/>
      <family val="2"/>
      <scheme val="minor"/>
    </font>
    <font>
      <sz val="10"/>
      <name val="Calibri"/>
      <family val="2"/>
      <scheme val="minor"/>
    </font>
    <font>
      <sz val="9"/>
      <color indexed="81"/>
      <name val="Segoe UI"/>
      <family val="2"/>
    </font>
    <font>
      <b/>
      <sz val="9"/>
      <color indexed="81"/>
      <name val="Segoe UI"/>
      <family val="2"/>
    </font>
    <font>
      <sz val="10"/>
      <name val="Calibri"/>
      <family val="2"/>
      <scheme val="minor"/>
    </font>
    <font>
      <sz val="10"/>
      <color rgb="FFFF0000"/>
      <name val="Arial"/>
      <family val="2"/>
    </font>
  </fonts>
  <fills count="25">
    <fill>
      <patternFill patternType="none"/>
    </fill>
    <fill>
      <patternFill patternType="gray125"/>
    </fill>
    <fill>
      <patternFill patternType="solid">
        <fgColor theme="0"/>
        <bgColor indexed="64"/>
      </patternFill>
    </fill>
    <fill>
      <patternFill patternType="solid">
        <fgColor theme="8" tint="0.39997558519241921"/>
        <bgColor indexed="31"/>
      </patternFill>
    </fill>
    <fill>
      <patternFill patternType="solid">
        <fgColor theme="0"/>
        <bgColor indexed="31"/>
      </patternFill>
    </fill>
    <fill>
      <patternFill patternType="solid">
        <fgColor indexed="22"/>
        <bgColor indexed="31"/>
      </patternFill>
    </fill>
    <fill>
      <patternFill patternType="solid">
        <fgColor indexed="43"/>
        <bgColor indexed="64"/>
      </patternFill>
    </fill>
    <fill>
      <patternFill patternType="solid">
        <fgColor rgb="FFFFFFCC"/>
        <bgColor indexed="64"/>
      </patternFill>
    </fill>
    <fill>
      <patternFill patternType="solid">
        <fgColor theme="6" tint="0.79998168889431442"/>
        <bgColor indexed="64"/>
      </patternFill>
    </fill>
    <fill>
      <patternFill patternType="solid">
        <fgColor rgb="FFFFFF00"/>
        <bgColor indexed="64"/>
      </patternFill>
    </fill>
    <fill>
      <patternFill patternType="solid">
        <fgColor theme="0"/>
        <bgColor indexed="26"/>
      </patternFill>
    </fill>
    <fill>
      <patternFill patternType="solid">
        <fgColor theme="0" tint="-0.14999847407452621"/>
        <bgColor indexed="64"/>
      </patternFill>
    </fill>
    <fill>
      <patternFill patternType="solid">
        <fgColor theme="5" tint="0.39997558519241921"/>
        <bgColor indexed="31"/>
      </patternFill>
    </fill>
    <fill>
      <patternFill patternType="solid">
        <fgColor theme="7" tint="0.39997558519241921"/>
        <bgColor indexed="31"/>
      </patternFill>
    </fill>
    <fill>
      <patternFill patternType="solid">
        <fgColor theme="3" tint="0.79998168889431442"/>
        <bgColor indexed="31"/>
      </patternFill>
    </fill>
    <fill>
      <patternFill patternType="solid">
        <fgColor rgb="FFFF0000"/>
        <bgColor indexed="64"/>
      </patternFill>
    </fill>
    <fill>
      <patternFill patternType="solid">
        <fgColor theme="8"/>
        <bgColor indexed="64"/>
      </patternFill>
    </fill>
    <fill>
      <patternFill patternType="solid">
        <fgColor theme="4" tint="-0.499984740745262"/>
        <bgColor indexed="31"/>
      </patternFill>
    </fill>
    <fill>
      <patternFill patternType="solid">
        <fgColor theme="9"/>
        <bgColor indexed="31"/>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3" tint="-0.249977111117893"/>
        <bgColor indexed="31"/>
      </patternFill>
    </fill>
    <fill>
      <patternFill patternType="solid">
        <fgColor theme="3" tint="-0.249977111117893"/>
        <bgColor indexed="64"/>
      </patternFill>
    </fill>
    <fill>
      <patternFill patternType="solid">
        <fgColor theme="5" tint="0.39997558519241921"/>
        <bgColor indexed="64"/>
      </patternFill>
    </fill>
    <fill>
      <patternFill patternType="solid">
        <fgColor rgb="FFFFFF00"/>
        <bgColor indexed="31"/>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s>
  <cellStyleXfs count="27">
    <xf numFmtId="0" fontId="0" fillId="0" borderId="0"/>
    <xf numFmtId="0" fontId="4" fillId="0" borderId="0"/>
    <xf numFmtId="0" fontId="6" fillId="0" borderId="0"/>
    <xf numFmtId="9" fontId="4" fillId="0" borderId="0" applyFont="0" applyFill="0" applyBorder="0" applyAlignment="0" applyProtection="0"/>
    <xf numFmtId="164" fontId="4" fillId="0" borderId="0" applyFont="0" applyFill="0" applyBorder="0" applyAlignment="0" applyProtection="0"/>
    <xf numFmtId="9" fontId="8" fillId="0" borderId="0" applyFont="0" applyFill="0" applyBorder="0" applyAlignment="0" applyProtection="0"/>
    <xf numFmtId="43" fontId="9" fillId="0" borderId="0" applyFont="0" applyFill="0" applyBorder="0" applyAlignment="0" applyProtection="0"/>
    <xf numFmtId="0" fontId="3" fillId="0" borderId="0"/>
    <xf numFmtId="0" fontId="12" fillId="0" borderId="0" applyNumberFormat="0" applyFill="0" applyBorder="0" applyAlignment="0" applyProtection="0">
      <alignment vertical="top"/>
      <protection locked="0"/>
    </xf>
    <xf numFmtId="0" fontId="13" fillId="0" borderId="0"/>
    <xf numFmtId="0" fontId="14" fillId="0" borderId="0"/>
    <xf numFmtId="0" fontId="15" fillId="0" borderId="0"/>
    <xf numFmtId="0" fontId="29" fillId="0" borderId="0"/>
    <xf numFmtId="0" fontId="2" fillId="0" borderId="0"/>
    <xf numFmtId="0" fontId="3" fillId="0" borderId="0"/>
    <xf numFmtId="0" fontId="3" fillId="0" borderId="0"/>
    <xf numFmtId="0" fontId="2" fillId="0" borderId="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1" fillId="0" borderId="0"/>
  </cellStyleXfs>
  <cellXfs count="934">
    <xf numFmtId="0" fontId="0" fillId="0" borderId="0" xfId="0"/>
    <xf numFmtId="0" fontId="3" fillId="0" borderId="0" xfId="0" applyFont="1" applyAlignment="1">
      <alignment horizontal="center" vertical="center" wrapText="1"/>
    </xf>
    <xf numFmtId="0" fontId="3" fillId="0" borderId="0" xfId="0" applyFont="1" applyAlignment="1">
      <alignment wrapText="1"/>
    </xf>
    <xf numFmtId="0" fontId="3" fillId="0" borderId="0" xfId="0" applyFont="1" applyBorder="1" applyAlignment="1">
      <alignment horizontal="center" vertical="center" wrapText="1"/>
    </xf>
    <xf numFmtId="0" fontId="11" fillId="2" borderId="0" xfId="0" applyFont="1" applyFill="1" applyBorder="1" applyAlignment="1">
      <alignment horizontal="center" vertical="center" wrapText="1"/>
    </xf>
    <xf numFmtId="0" fontId="3" fillId="0" borderId="10" xfId="0" applyFont="1" applyBorder="1" applyAlignment="1">
      <alignment horizontal="center" vertical="center" wrapText="1"/>
    </xf>
    <xf numFmtId="0" fontId="3" fillId="0" borderId="10"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3" fillId="0" borderId="10" xfId="0" applyFont="1" applyBorder="1" applyAlignment="1">
      <alignment horizontal="center" vertical="center"/>
    </xf>
    <xf numFmtId="0" fontId="3" fillId="2" borderId="0" xfId="1" applyFont="1" applyFill="1" applyBorder="1" applyAlignment="1">
      <alignment horizontal="center" vertical="center" wrapText="1"/>
    </xf>
    <xf numFmtId="0" fontId="0" fillId="0" borderId="0" xfId="0" applyAlignment="1">
      <alignment horizontal="center" vertical="center"/>
    </xf>
    <xf numFmtId="0" fontId="7" fillId="2" borderId="0" xfId="0" applyFont="1" applyFill="1" applyBorder="1" applyAlignment="1">
      <alignment horizontal="center" wrapText="1"/>
    </xf>
    <xf numFmtId="0" fontId="3" fillId="2" borderId="0" xfId="0" applyFont="1" applyFill="1" applyBorder="1" applyAlignment="1">
      <alignment wrapText="1"/>
    </xf>
    <xf numFmtId="0" fontId="3" fillId="2" borderId="0" xfId="0" applyFont="1" applyFill="1" applyAlignment="1">
      <alignment horizontal="center" wrapText="1"/>
    </xf>
    <xf numFmtId="0" fontId="3" fillId="9" borderId="0" xfId="0" applyFont="1" applyFill="1" applyBorder="1" applyAlignment="1">
      <alignment horizontal="center" vertical="center" wrapText="1"/>
    </xf>
    <xf numFmtId="0" fontId="3" fillId="2" borderId="0" xfId="0" applyFont="1" applyFill="1" applyBorder="1" applyAlignment="1">
      <alignment horizontal="center" wrapText="1"/>
    </xf>
    <xf numFmtId="0" fontId="3" fillId="2" borderId="0" xfId="0" applyFont="1" applyFill="1" applyAlignment="1">
      <alignment wrapText="1"/>
    </xf>
    <xf numFmtId="0" fontId="3" fillId="2" borderId="0" xfId="0" applyFont="1" applyFill="1" applyAlignment="1">
      <alignment horizontal="center" vertical="center" wrapText="1"/>
    </xf>
    <xf numFmtId="0" fontId="3" fillId="0" borderId="0" xfId="0" applyFont="1" applyFill="1" applyAlignment="1">
      <alignment horizontal="center" vertical="center" wrapText="1"/>
    </xf>
    <xf numFmtId="0" fontId="11" fillId="0" borderId="0" xfId="0" applyFont="1" applyFill="1" applyAlignment="1">
      <alignment horizontal="center" vertical="center" wrapText="1"/>
    </xf>
    <xf numFmtId="0" fontId="11" fillId="2" borderId="0" xfId="0" applyFont="1" applyFill="1" applyAlignment="1">
      <alignment horizontal="center" vertical="center" wrapText="1"/>
    </xf>
    <xf numFmtId="0" fontId="3" fillId="0" borderId="0" xfId="0" applyFont="1" applyAlignment="1">
      <alignment horizontal="center" wrapText="1"/>
    </xf>
    <xf numFmtId="0" fontId="3" fillId="0" borderId="0" xfId="0" applyFont="1" applyFill="1" applyBorder="1" applyAlignment="1">
      <alignment horizontal="center" vertical="center" wrapText="1"/>
    </xf>
    <xf numFmtId="0" fontId="0" fillId="0" borderId="10" xfId="0" applyBorder="1"/>
    <xf numFmtId="0" fontId="16" fillId="3" borderId="14" xfId="0" applyNumberFormat="1" applyFont="1" applyFill="1" applyBorder="1" applyAlignment="1">
      <alignment horizontal="center" vertical="center" wrapText="1"/>
    </xf>
    <xf numFmtId="0" fontId="16" fillId="3" borderId="5" xfId="0" applyNumberFormat="1" applyFont="1" applyFill="1" applyBorder="1" applyAlignment="1">
      <alignment horizontal="center" vertical="center" wrapText="1"/>
    </xf>
    <xf numFmtId="168" fontId="16" fillId="3"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0" fontId="17" fillId="0" borderId="1" xfId="0" applyFont="1" applyBorder="1" applyAlignment="1">
      <alignment horizontal="center" vertical="center" wrapText="1"/>
    </xf>
    <xf numFmtId="0" fontId="17" fillId="2" borderId="10" xfId="0" applyFont="1" applyFill="1" applyBorder="1" applyAlignment="1">
      <alignment horizontal="center" vertical="center" wrapText="1"/>
    </xf>
    <xf numFmtId="0" fontId="17" fillId="0" borderId="10" xfId="0" applyFont="1" applyBorder="1" applyAlignment="1">
      <alignment horizontal="center" vertical="center" wrapText="1"/>
    </xf>
    <xf numFmtId="168" fontId="17" fillId="0" borderId="10"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168" fontId="17" fillId="0" borderId="1" xfId="0" applyNumberFormat="1" applyFont="1" applyBorder="1" applyAlignment="1">
      <alignment horizontal="center" vertical="center" wrapText="1"/>
    </xf>
    <xf numFmtId="49" fontId="17" fillId="0" borderId="1" xfId="0" applyNumberFormat="1" applyFont="1" applyBorder="1" applyAlignment="1">
      <alignment horizontal="center" vertical="center" wrapText="1"/>
    </xf>
    <xf numFmtId="0" fontId="0" fillId="0" borderId="10" xfId="0" applyBorder="1" applyAlignment="1">
      <alignment horizontal="center" vertical="center" wrapText="1"/>
    </xf>
    <xf numFmtId="0" fontId="17" fillId="0" borderId="1" xfId="0" applyFont="1" applyFill="1" applyBorder="1" applyAlignment="1">
      <alignment horizontal="center" vertical="center" wrapText="1"/>
    </xf>
    <xf numFmtId="0" fontId="0" fillId="0" borderId="0" xfId="0" applyBorder="1" applyAlignment="1">
      <alignment horizontal="center" vertical="center"/>
    </xf>
    <xf numFmtId="0" fontId="17" fillId="2" borderId="10" xfId="0" applyNumberFormat="1" applyFont="1" applyFill="1" applyBorder="1" applyAlignment="1">
      <alignment horizontal="center" vertical="center" wrapText="1"/>
    </xf>
    <xf numFmtId="0" fontId="17" fillId="2" borderId="1" xfId="0" applyNumberFormat="1" applyFont="1" applyFill="1" applyBorder="1" applyAlignment="1">
      <alignment horizontal="center" vertical="center" wrapText="1"/>
    </xf>
    <xf numFmtId="0" fontId="17" fillId="0" borderId="1" xfId="0" applyFont="1" applyBorder="1" applyAlignment="1">
      <alignment horizontal="center" vertical="center"/>
    </xf>
    <xf numFmtId="0" fontId="17" fillId="0" borderId="10" xfId="0" applyFont="1" applyBorder="1" applyAlignment="1">
      <alignment horizontal="center" vertical="center"/>
    </xf>
    <xf numFmtId="0" fontId="17" fillId="0" borderId="1" xfId="0" applyFont="1" applyFill="1" applyBorder="1" applyAlignment="1">
      <alignment horizontal="center" vertical="center"/>
    </xf>
    <xf numFmtId="0" fontId="23" fillId="2" borderId="10" xfId="0" applyFont="1" applyFill="1" applyBorder="1" applyAlignment="1">
      <alignment horizontal="center" vertical="center" wrapText="1"/>
    </xf>
    <xf numFmtId="0" fontId="17" fillId="2" borderId="1" xfId="0" applyNumberFormat="1" applyFont="1" applyFill="1" applyBorder="1" applyAlignment="1" applyProtection="1">
      <alignment horizontal="center" vertical="center" wrapText="1"/>
      <protection locked="0"/>
    </xf>
    <xf numFmtId="0" fontId="17" fillId="2" borderId="1" xfId="0" applyFont="1" applyFill="1" applyBorder="1" applyAlignment="1">
      <alignment horizontal="center" vertical="center" wrapText="1"/>
    </xf>
    <xf numFmtId="0" fontId="25" fillId="2" borderId="10" xfId="0" applyFont="1" applyFill="1" applyBorder="1" applyAlignment="1">
      <alignment horizontal="center" vertical="center" wrapText="1"/>
    </xf>
    <xf numFmtId="49" fontId="25" fillId="2" borderId="10" xfId="0" applyNumberFormat="1" applyFont="1" applyFill="1" applyBorder="1" applyAlignment="1">
      <alignment horizontal="center" vertical="center" wrapText="1"/>
    </xf>
    <xf numFmtId="0" fontId="25" fillId="2" borderId="1" xfId="0" applyFont="1" applyFill="1" applyBorder="1" applyAlignment="1">
      <alignment horizontal="center" vertical="center" wrapText="1"/>
    </xf>
    <xf numFmtId="0" fontId="25" fillId="2" borderId="10" xfId="0" applyNumberFormat="1" applyFont="1" applyFill="1" applyBorder="1" applyAlignment="1" applyProtection="1">
      <alignment horizontal="center" vertical="center" wrapText="1"/>
      <protection locked="0"/>
    </xf>
    <xf numFmtId="0" fontId="25" fillId="2" borderId="10" xfId="0" applyNumberFormat="1" applyFont="1" applyFill="1" applyBorder="1" applyAlignment="1">
      <alignment horizontal="center" vertical="center" wrapText="1"/>
    </xf>
    <xf numFmtId="14" fontId="25" fillId="2" borderId="10" xfId="0" applyNumberFormat="1" applyFont="1" applyFill="1" applyBorder="1" applyAlignment="1">
      <alignment horizontal="center" vertical="center" wrapText="1"/>
    </xf>
    <xf numFmtId="0" fontId="25" fillId="0" borderId="0" xfId="0" applyFont="1"/>
    <xf numFmtId="0" fontId="25" fillId="2" borderId="10" xfId="0" applyFont="1" applyFill="1" applyBorder="1" applyAlignment="1">
      <alignment horizontal="center" vertical="center"/>
    </xf>
    <xf numFmtId="0" fontId="26" fillId="2" borderId="10" xfId="0" applyFont="1" applyFill="1" applyBorder="1" applyAlignment="1">
      <alignment horizontal="center" vertical="center" wrapText="1"/>
    </xf>
    <xf numFmtId="168" fontId="26" fillId="2" borderId="10" xfId="0" applyNumberFormat="1" applyFont="1" applyFill="1" applyBorder="1" applyAlignment="1">
      <alignment horizontal="center" vertical="center" wrapText="1"/>
    </xf>
    <xf numFmtId="168" fontId="25" fillId="2" borderId="10" xfId="0" applyNumberFormat="1" applyFont="1" applyFill="1" applyBorder="1" applyAlignment="1">
      <alignment horizontal="center" vertical="center" wrapText="1"/>
    </xf>
    <xf numFmtId="0" fontId="26" fillId="10" borderId="10" xfId="0" applyFont="1" applyFill="1" applyBorder="1" applyAlignment="1">
      <alignment horizontal="center" vertical="center" wrapText="1"/>
    </xf>
    <xf numFmtId="168" fontId="25" fillId="2" borderId="10" xfId="0" applyNumberFormat="1" applyFont="1" applyFill="1" applyBorder="1" applyAlignment="1">
      <alignment horizontal="center" vertical="center"/>
    </xf>
    <xf numFmtId="49" fontId="25" fillId="2" borderId="10" xfId="0" applyNumberFormat="1" applyFont="1" applyFill="1" applyBorder="1" applyAlignment="1">
      <alignment horizontal="center" vertical="center"/>
    </xf>
    <xf numFmtId="0" fontId="28" fillId="0" borderId="0" xfId="0" applyFont="1"/>
    <xf numFmtId="0" fontId="28" fillId="0" borderId="0" xfId="0" applyFont="1" applyAlignment="1">
      <alignment horizontal="center" vertical="center"/>
    </xf>
    <xf numFmtId="0" fontId="28" fillId="2" borderId="0" xfId="0" applyFont="1" applyFill="1" applyAlignment="1">
      <alignment horizontal="center" vertical="center"/>
    </xf>
    <xf numFmtId="0" fontId="28" fillId="2" borderId="0" xfId="0" applyFont="1" applyFill="1"/>
    <xf numFmtId="0" fontId="25" fillId="0" borderId="0" xfId="0" applyFont="1" applyBorder="1" applyAlignment="1">
      <alignment horizontal="center" vertical="center"/>
    </xf>
    <xf numFmtId="0" fontId="25" fillId="2" borderId="10" xfId="2" applyNumberFormat="1" applyFont="1" applyFill="1" applyBorder="1" applyAlignment="1" applyProtection="1">
      <alignment horizontal="center" vertical="center" wrapText="1"/>
      <protection locked="0"/>
    </xf>
    <xf numFmtId="0" fontId="16" fillId="3" borderId="10" xfId="0" applyNumberFormat="1" applyFont="1" applyFill="1" applyBorder="1" applyAlignment="1">
      <alignment horizontal="center" vertical="center" wrapText="1"/>
    </xf>
    <xf numFmtId="0" fontId="17" fillId="0" borderId="0" xfId="0" applyFont="1"/>
    <xf numFmtId="0" fontId="17" fillId="2" borderId="10" xfId="0" applyNumberFormat="1" applyFont="1" applyFill="1" applyBorder="1" applyAlignment="1" applyProtection="1">
      <alignment horizontal="center" vertical="center" wrapText="1"/>
      <protection locked="0"/>
    </xf>
    <xf numFmtId="49" fontId="17" fillId="2" borderId="10" xfId="0" applyNumberFormat="1" applyFont="1" applyFill="1" applyBorder="1" applyAlignment="1">
      <alignment horizontal="center" vertical="center" wrapText="1"/>
    </xf>
    <xf numFmtId="14" fontId="17" fillId="0" borderId="10" xfId="0" applyNumberFormat="1" applyFont="1" applyBorder="1" applyAlignment="1">
      <alignment horizontal="center" vertical="center"/>
    </xf>
    <xf numFmtId="0" fontId="17" fillId="0" borderId="10" xfId="0" applyFont="1" applyFill="1" applyBorder="1" applyAlignment="1">
      <alignment horizontal="center" vertical="center"/>
    </xf>
    <xf numFmtId="0" fontId="17" fillId="0" borderId="10" xfId="0" applyFont="1" applyFill="1" applyBorder="1" applyAlignment="1">
      <alignment horizontal="center" vertical="center" wrapText="1"/>
    </xf>
    <xf numFmtId="14" fontId="17" fillId="0" borderId="10" xfId="0" applyNumberFormat="1" applyFont="1" applyBorder="1" applyAlignment="1">
      <alignment horizontal="center" vertical="center" wrapText="1"/>
    </xf>
    <xf numFmtId="14" fontId="17" fillId="2" borderId="10" xfId="0" applyNumberFormat="1" applyFont="1" applyFill="1" applyBorder="1" applyAlignment="1">
      <alignment horizontal="center" vertical="center" wrapText="1"/>
    </xf>
    <xf numFmtId="0" fontId="23" fillId="0" borderId="10" xfId="0" applyFont="1" applyBorder="1" applyAlignment="1">
      <alignment horizontal="center" vertical="center" wrapText="1"/>
    </xf>
    <xf numFmtId="14" fontId="23" fillId="2" borderId="10" xfId="0" applyNumberFormat="1" applyFont="1" applyFill="1" applyBorder="1" applyAlignment="1">
      <alignment horizontal="center" vertical="center" wrapText="1"/>
    </xf>
    <xf numFmtId="14" fontId="23" fillId="0" borderId="10" xfId="0" applyNumberFormat="1" applyFont="1" applyBorder="1" applyAlignment="1">
      <alignment horizontal="center" vertical="center"/>
    </xf>
    <xf numFmtId="0" fontId="23" fillId="0" borderId="10" xfId="0" applyFont="1" applyFill="1" applyBorder="1" applyAlignment="1">
      <alignment horizontal="center" vertical="center"/>
    </xf>
    <xf numFmtId="14" fontId="17" fillId="2" borderId="1" xfId="0" applyNumberFormat="1" applyFont="1" applyFill="1" applyBorder="1" applyAlignment="1" applyProtection="1">
      <alignment horizontal="center" vertical="center" wrapText="1"/>
      <protection locked="0"/>
    </xf>
    <xf numFmtId="14" fontId="17" fillId="2" borderId="1" xfId="0" applyNumberFormat="1" applyFont="1" applyFill="1" applyBorder="1" applyAlignment="1">
      <alignment horizontal="center" vertical="center" wrapText="1"/>
    </xf>
    <xf numFmtId="49" fontId="17" fillId="0" borderId="10" xfId="0" applyNumberFormat="1" applyFont="1" applyFill="1" applyBorder="1" applyAlignment="1">
      <alignment horizontal="center" vertical="center" wrapText="1"/>
    </xf>
    <xf numFmtId="0" fontId="17" fillId="0" borderId="11" xfId="0" applyFont="1" applyBorder="1" applyAlignment="1">
      <alignment horizontal="center" vertical="center" wrapText="1"/>
    </xf>
    <xf numFmtId="0" fontId="17" fillId="0" borderId="10" xfId="0" applyFont="1" applyBorder="1"/>
    <xf numFmtId="0" fontId="17" fillId="0" borderId="10" xfId="0" applyFont="1" applyBorder="1" applyAlignment="1">
      <alignment vertical="center"/>
    </xf>
    <xf numFmtId="0" fontId="17" fillId="0" borderId="12" xfId="0" applyFont="1" applyBorder="1" applyAlignment="1">
      <alignment vertical="center"/>
    </xf>
    <xf numFmtId="0" fontId="17" fillId="0" borderId="12" xfId="0" applyFont="1" applyBorder="1" applyAlignment="1">
      <alignment horizontal="center" vertical="center"/>
    </xf>
    <xf numFmtId="0" fontId="17" fillId="0" borderId="12" xfId="0" applyFont="1" applyBorder="1" applyAlignment="1">
      <alignment horizontal="center" vertical="center" wrapText="1"/>
    </xf>
    <xf numFmtId="14" fontId="17" fillId="0" borderId="12" xfId="0" applyNumberFormat="1" applyFont="1" applyBorder="1" applyAlignment="1">
      <alignment horizontal="center" vertical="center"/>
    </xf>
    <xf numFmtId="0" fontId="17" fillId="0" borderId="12" xfId="0" applyFont="1" applyFill="1" applyBorder="1" applyAlignment="1">
      <alignment horizontal="center" vertical="center" wrapText="1"/>
    </xf>
    <xf numFmtId="14" fontId="17" fillId="0" borderId="1" xfId="0" applyNumberFormat="1" applyFont="1" applyBorder="1" applyAlignment="1">
      <alignment horizontal="center" vertical="center" wrapText="1"/>
    </xf>
    <xf numFmtId="0" fontId="17" fillId="0" borderId="1" xfId="10" applyFont="1" applyBorder="1" applyAlignment="1">
      <alignment horizontal="center" vertical="center" wrapText="1"/>
    </xf>
    <xf numFmtId="0" fontId="17" fillId="0" borderId="1" xfId="0" applyFont="1" applyBorder="1" applyAlignment="1">
      <alignment vertical="center"/>
    </xf>
    <xf numFmtId="14" fontId="17" fillId="0" borderId="1" xfId="0" applyNumberFormat="1" applyFont="1" applyBorder="1" applyAlignment="1">
      <alignment horizontal="center" vertical="center"/>
    </xf>
    <xf numFmtId="0" fontId="23" fillId="0" borderId="1" xfId="0" applyFont="1" applyBorder="1" applyAlignment="1">
      <alignment horizontal="center" vertical="center"/>
    </xf>
    <xf numFmtId="0" fontId="17" fillId="0" borderId="0" xfId="0" applyFont="1" applyAlignment="1">
      <alignment horizontal="center" vertical="center"/>
    </xf>
    <xf numFmtId="0" fontId="23" fillId="0" borderId="1" xfId="0" applyFont="1" applyBorder="1" applyAlignment="1">
      <alignment horizontal="center" vertical="center" wrapText="1"/>
    </xf>
    <xf numFmtId="0" fontId="17" fillId="0" borderId="0" xfId="0" applyFont="1" applyAlignment="1">
      <alignment wrapText="1"/>
    </xf>
    <xf numFmtId="0" fontId="25" fillId="0" borderId="0" xfId="0" applyFont="1" applyBorder="1"/>
    <xf numFmtId="0" fontId="25" fillId="2" borderId="0" xfId="0" applyFont="1" applyFill="1" applyBorder="1"/>
    <xf numFmtId="0" fontId="25" fillId="2" borderId="0" xfId="0" applyFont="1" applyFill="1"/>
    <xf numFmtId="0" fontId="25" fillId="0" borderId="0" xfId="0" applyFont="1" applyAlignment="1">
      <alignment horizontal="center" vertical="center"/>
    </xf>
    <xf numFmtId="0" fontId="25" fillId="0" borderId="0" xfId="0" applyFont="1" applyAlignment="1">
      <alignment wrapText="1"/>
    </xf>
    <xf numFmtId="0" fontId="17" fillId="0" borderId="1" xfId="0" applyFont="1" applyBorder="1" applyAlignment="1">
      <alignment vertical="top" wrapText="1"/>
    </xf>
    <xf numFmtId="0" fontId="16" fillId="2" borderId="10" xfId="0" applyFont="1" applyFill="1" applyBorder="1" applyAlignment="1">
      <alignment horizontal="center" vertical="center" wrapText="1"/>
    </xf>
    <xf numFmtId="168" fontId="17" fillId="0" borderId="10" xfId="0" applyNumberFormat="1" applyFont="1" applyBorder="1" applyAlignment="1">
      <alignment horizontal="center" vertical="center"/>
    </xf>
    <xf numFmtId="49" fontId="17" fillId="0" borderId="10" xfId="0" applyNumberFormat="1" applyFont="1" applyBorder="1" applyAlignment="1">
      <alignment horizontal="center" vertical="center"/>
    </xf>
    <xf numFmtId="0" fontId="17" fillId="2" borderId="10" xfId="0" applyFont="1" applyFill="1" applyBorder="1" applyAlignment="1">
      <alignment horizontal="center" vertical="center"/>
    </xf>
    <xf numFmtId="0" fontId="23" fillId="10" borderId="10" xfId="0" applyFont="1" applyFill="1" applyBorder="1" applyAlignment="1">
      <alignment horizontal="center" vertical="center" wrapText="1"/>
    </xf>
    <xf numFmtId="168" fontId="17" fillId="0" borderId="1" xfId="0" applyNumberFormat="1" applyFont="1" applyBorder="1" applyAlignment="1">
      <alignment horizontal="center" vertical="center"/>
    </xf>
    <xf numFmtId="0" fontId="3" fillId="0" borderId="0" xfId="15" applyFont="1" applyBorder="1" applyAlignment="1">
      <alignment horizontal="center" vertical="center" wrapText="1"/>
    </xf>
    <xf numFmtId="0" fontId="3" fillId="0" borderId="0" xfId="15" applyFont="1" applyFill="1" applyBorder="1" applyAlignment="1">
      <alignment horizontal="center" vertical="center" wrapText="1"/>
    </xf>
    <xf numFmtId="49" fontId="17" fillId="0" borderId="10" xfId="15" applyNumberFormat="1" applyFont="1" applyFill="1" applyBorder="1" applyAlignment="1">
      <alignment horizontal="center" vertical="center" wrapText="1"/>
    </xf>
    <xf numFmtId="0" fontId="3" fillId="0" borderId="10" xfId="15" applyFont="1" applyFill="1" applyBorder="1" applyAlignment="1">
      <alignment horizontal="center" vertical="center" wrapText="1"/>
    </xf>
    <xf numFmtId="0" fontId="17" fillId="0" borderId="10" xfId="15" applyFont="1" applyBorder="1" applyAlignment="1">
      <alignment horizontal="center" vertical="center" wrapText="1"/>
    </xf>
    <xf numFmtId="14" fontId="17" fillId="0" borderId="10" xfId="15" applyNumberFormat="1" applyFont="1" applyFill="1" applyBorder="1" applyAlignment="1">
      <alignment horizontal="center" vertical="center" wrapText="1"/>
    </xf>
    <xf numFmtId="0" fontId="17" fillId="0" borderId="10" xfId="15" applyNumberFormat="1" applyFont="1" applyFill="1" applyBorder="1" applyAlignment="1">
      <alignment horizontal="center" vertical="center" wrapText="1"/>
    </xf>
    <xf numFmtId="49" fontId="17" fillId="0" borderId="10" xfId="15" applyNumberFormat="1" applyFont="1" applyBorder="1" applyAlignment="1">
      <alignment horizontal="center" vertical="center" wrapText="1"/>
    </xf>
    <xf numFmtId="0" fontId="17" fillId="0" borderId="10" xfId="15" applyFont="1" applyBorder="1" applyAlignment="1">
      <alignment horizontal="center" vertical="center"/>
    </xf>
    <xf numFmtId="0" fontId="17" fillId="2" borderId="10" xfId="15" applyFont="1" applyFill="1" applyBorder="1" applyAlignment="1">
      <alignment horizontal="center" vertical="center" wrapText="1"/>
    </xf>
    <xf numFmtId="49" fontId="17" fillId="0" borderId="10" xfId="15" applyNumberFormat="1" applyFont="1" applyBorder="1" applyAlignment="1">
      <alignment horizontal="center" vertical="center"/>
    </xf>
    <xf numFmtId="168" fontId="17" fillId="0" borderId="10" xfId="15" applyNumberFormat="1" applyFont="1" applyBorder="1" applyAlignment="1">
      <alignment horizontal="center" vertical="center"/>
    </xf>
    <xf numFmtId="0" fontId="17" fillId="0" borderId="10" xfId="15" applyFont="1" applyFill="1" applyBorder="1" applyAlignment="1">
      <alignment horizontal="center" vertical="center" wrapText="1"/>
    </xf>
    <xf numFmtId="0" fontId="16" fillId="0" borderId="10" xfId="15" applyFont="1" applyBorder="1" applyAlignment="1">
      <alignment horizontal="center" vertical="center" wrapText="1"/>
    </xf>
    <xf numFmtId="49" fontId="17" fillId="2" borderId="10" xfId="15" applyNumberFormat="1" applyFont="1" applyFill="1" applyBorder="1" applyAlignment="1">
      <alignment horizontal="center" vertical="center" wrapText="1"/>
    </xf>
    <xf numFmtId="0" fontId="17" fillId="0" borderId="12" xfId="15" applyFont="1" applyBorder="1" applyAlignment="1">
      <alignment horizontal="center" vertical="center" wrapText="1"/>
    </xf>
    <xf numFmtId="0" fontId="23" fillId="0" borderId="10" xfId="15" applyFont="1" applyBorder="1" applyAlignment="1">
      <alignment horizontal="center" vertical="center" wrapText="1"/>
    </xf>
    <xf numFmtId="0" fontId="17" fillId="2" borderId="10" xfId="15" applyFont="1" applyFill="1" applyBorder="1" applyAlignment="1">
      <alignment horizontal="center" vertical="center"/>
    </xf>
    <xf numFmtId="0" fontId="17" fillId="0" borderId="12" xfId="15" applyFont="1" applyBorder="1" applyAlignment="1">
      <alignment horizontal="center" vertical="center"/>
    </xf>
    <xf numFmtId="0" fontId="17" fillId="0" borderId="10" xfId="15" applyFont="1" applyFill="1" applyBorder="1" applyAlignment="1">
      <alignment horizontal="center" vertical="center"/>
    </xf>
    <xf numFmtId="0" fontId="17" fillId="2" borderId="12" xfId="15" applyFont="1" applyFill="1" applyBorder="1" applyAlignment="1">
      <alignment horizontal="center" vertical="center" wrapText="1"/>
    </xf>
    <xf numFmtId="168" fontId="17" fillId="0" borderId="12" xfId="15" applyNumberFormat="1" applyFont="1" applyBorder="1" applyAlignment="1">
      <alignment horizontal="center" vertical="center"/>
    </xf>
    <xf numFmtId="0" fontId="16" fillId="0" borderId="12" xfId="15" applyFont="1" applyBorder="1" applyAlignment="1">
      <alignment horizontal="center" vertical="center" wrapText="1"/>
    </xf>
    <xf numFmtId="0" fontId="17" fillId="2" borderId="13" xfId="15" applyFont="1" applyFill="1" applyBorder="1" applyAlignment="1">
      <alignment horizontal="center" vertical="center" wrapText="1"/>
    </xf>
    <xf numFmtId="168" fontId="17" fillId="2" borderId="10" xfId="15" applyNumberFormat="1" applyFont="1" applyFill="1" applyBorder="1" applyAlignment="1">
      <alignment horizontal="center" vertical="center" wrapText="1"/>
    </xf>
    <xf numFmtId="0" fontId="16" fillId="2" borderId="10" xfId="15" applyFont="1" applyFill="1" applyBorder="1" applyAlignment="1">
      <alignment horizontal="center" vertical="center" wrapText="1"/>
    </xf>
    <xf numFmtId="49" fontId="17" fillId="2" borderId="12" xfId="15" applyNumberFormat="1" applyFont="1" applyFill="1" applyBorder="1" applyAlignment="1">
      <alignment horizontal="center" vertical="center" wrapText="1"/>
    </xf>
    <xf numFmtId="49" fontId="17" fillId="0" borderId="12" xfId="15" applyNumberFormat="1" applyFont="1" applyBorder="1" applyAlignment="1">
      <alignment horizontal="center" vertical="center"/>
    </xf>
    <xf numFmtId="0" fontId="17" fillId="0" borderId="12" xfId="15" applyFont="1" applyBorder="1" applyAlignment="1">
      <alignment horizontal="center" vertical="top" wrapText="1"/>
    </xf>
    <xf numFmtId="49" fontId="17" fillId="2" borderId="10" xfId="15" applyNumberFormat="1" applyFont="1" applyFill="1" applyBorder="1" applyAlignment="1">
      <alignment horizontal="center" vertical="center"/>
    </xf>
    <xf numFmtId="168" fontId="17" fillId="2" borderId="10" xfId="15" applyNumberFormat="1" applyFont="1" applyFill="1" applyBorder="1" applyAlignment="1">
      <alignment horizontal="center" vertical="center"/>
    </xf>
    <xf numFmtId="0" fontId="16" fillId="0" borderId="12" xfId="15" applyFont="1" applyBorder="1" applyAlignment="1">
      <alignment horizontal="center" vertical="center"/>
    </xf>
    <xf numFmtId="0" fontId="17" fillId="2" borderId="10" xfId="15" applyNumberFormat="1" applyFont="1" applyFill="1" applyBorder="1" applyAlignment="1">
      <alignment horizontal="center" vertical="center" wrapText="1"/>
    </xf>
    <xf numFmtId="0" fontId="17" fillId="2" borderId="11" xfId="15" applyNumberFormat="1" applyFont="1" applyFill="1" applyBorder="1" applyAlignment="1" applyProtection="1">
      <alignment horizontal="center" vertical="center" wrapText="1"/>
      <protection locked="0"/>
    </xf>
    <xf numFmtId="0" fontId="16" fillId="13" borderId="5" xfId="15" applyNumberFormat="1" applyFont="1" applyFill="1" applyBorder="1" applyAlignment="1">
      <alignment horizontal="center" vertical="center" wrapText="1"/>
    </xf>
    <xf numFmtId="0" fontId="16" fillId="14" borderId="5" xfId="15" applyNumberFormat="1" applyFont="1" applyFill="1" applyBorder="1" applyAlignment="1">
      <alignment horizontal="center" vertical="center" wrapText="1"/>
    </xf>
    <xf numFmtId="0" fontId="16" fillId="13" borderId="14" xfId="15" applyNumberFormat="1" applyFont="1" applyFill="1" applyBorder="1" applyAlignment="1">
      <alignment horizontal="center" vertical="center" wrapText="1"/>
    </xf>
    <xf numFmtId="14" fontId="17" fillId="2" borderId="11" xfId="0" applyNumberFormat="1" applyFont="1" applyFill="1" applyBorder="1" applyAlignment="1">
      <alignment horizontal="center" vertical="center" wrapText="1"/>
    </xf>
    <xf numFmtId="0" fontId="17" fillId="2" borderId="10" xfId="0" applyFont="1" applyFill="1" applyBorder="1" applyAlignment="1">
      <alignment horizontal="center" wrapText="1"/>
    </xf>
    <xf numFmtId="0" fontId="17" fillId="2" borderId="0" xfId="0" applyFont="1" applyFill="1" applyBorder="1" applyAlignment="1">
      <alignment horizontal="center" wrapText="1"/>
    </xf>
    <xf numFmtId="0" fontId="17" fillId="2" borderId="11" xfId="0" applyFont="1" applyFill="1" applyBorder="1" applyAlignment="1">
      <alignment horizontal="center" vertical="center" wrapText="1"/>
    </xf>
    <xf numFmtId="0" fontId="17" fillId="2" borderId="10" xfId="1" applyFont="1" applyFill="1" applyBorder="1" applyAlignment="1">
      <alignment horizontal="center" vertical="center" wrapText="1"/>
    </xf>
    <xf numFmtId="0" fontId="23" fillId="2" borderId="10" xfId="0" applyFont="1" applyFill="1" applyBorder="1" applyAlignment="1">
      <alignment horizontal="center" wrapText="1"/>
    </xf>
    <xf numFmtId="0" fontId="16" fillId="2" borderId="13" xfId="0" applyNumberFormat="1" applyFont="1" applyFill="1" applyBorder="1" applyAlignment="1">
      <alignment horizontal="center" wrapText="1"/>
    </xf>
    <xf numFmtId="49" fontId="17" fillId="2" borderId="20" xfId="0" applyNumberFormat="1" applyFont="1" applyFill="1" applyBorder="1" applyAlignment="1">
      <alignment horizontal="center" vertical="center" wrapText="1"/>
    </xf>
    <xf numFmtId="0" fontId="17" fillId="2" borderId="0" xfId="0" applyFont="1" applyFill="1" applyBorder="1" applyAlignment="1">
      <alignment horizontal="center" vertical="center" wrapText="1"/>
    </xf>
    <xf numFmtId="0" fontId="17" fillId="2" borderId="0" xfId="0" applyFont="1" applyFill="1" applyBorder="1" applyAlignment="1">
      <alignment wrapText="1"/>
    </xf>
    <xf numFmtId="0" fontId="32" fillId="2" borderId="10" xfId="0" applyFont="1" applyFill="1" applyBorder="1" applyAlignment="1">
      <alignment horizontal="center" vertical="center" wrapText="1"/>
    </xf>
    <xf numFmtId="0" fontId="17" fillId="2" borderId="18" xfId="0" applyFont="1" applyFill="1" applyBorder="1" applyAlignment="1">
      <alignment horizontal="center" vertical="center" wrapText="1"/>
    </xf>
    <xf numFmtId="0" fontId="17" fillId="2" borderId="10" xfId="0" applyFont="1" applyFill="1" applyBorder="1" applyAlignment="1">
      <alignment wrapText="1"/>
    </xf>
    <xf numFmtId="167" fontId="17" fillId="2" borderId="10" xfId="0" applyNumberFormat="1" applyFont="1" applyFill="1" applyBorder="1" applyAlignment="1">
      <alignment horizontal="center" vertical="center" wrapText="1"/>
    </xf>
    <xf numFmtId="0" fontId="16" fillId="2" borderId="1" xfId="0" applyFont="1" applyFill="1" applyBorder="1" applyAlignment="1">
      <alignment horizontal="center" vertical="center" wrapText="1"/>
    </xf>
    <xf numFmtId="49" fontId="17" fillId="2" borderId="1" xfId="0" applyNumberFormat="1" applyFont="1" applyFill="1" applyBorder="1" applyAlignment="1">
      <alignment horizontal="center" vertical="center" wrapText="1"/>
    </xf>
    <xf numFmtId="49" fontId="17" fillId="2" borderId="11" xfId="0" applyNumberFormat="1" applyFont="1" applyFill="1" applyBorder="1" applyAlignment="1">
      <alignment horizontal="center" vertical="center" wrapText="1"/>
    </xf>
    <xf numFmtId="49" fontId="17" fillId="2" borderId="13" xfId="0" applyNumberFormat="1" applyFont="1" applyFill="1" applyBorder="1" applyAlignment="1">
      <alignment horizontal="center" vertical="center" wrapText="1"/>
    </xf>
    <xf numFmtId="0" fontId="21" fillId="2" borderId="10" xfId="0" applyFont="1" applyFill="1" applyBorder="1" applyAlignment="1">
      <alignment horizontal="center" vertical="center" wrapText="1"/>
    </xf>
    <xf numFmtId="0" fontId="17" fillId="0" borderId="13" xfId="0" applyFont="1" applyBorder="1" applyAlignment="1">
      <alignment horizontal="center" vertical="center" wrapText="1"/>
    </xf>
    <xf numFmtId="0" fontId="17" fillId="0" borderId="10" xfId="0" applyFont="1" applyBorder="1" applyAlignment="1">
      <alignment wrapText="1"/>
    </xf>
    <xf numFmtId="0" fontId="16" fillId="0" borderId="1" xfId="0" applyFont="1" applyBorder="1" applyAlignment="1">
      <alignment horizontal="center" vertical="center" wrapText="1"/>
    </xf>
    <xf numFmtId="0" fontId="17" fillId="0" borderId="0" xfId="0" applyFont="1" applyFill="1" applyAlignment="1">
      <alignment horizontal="center" vertical="center" wrapText="1"/>
    </xf>
    <xf numFmtId="0" fontId="32" fillId="0" borderId="0" xfId="0" applyFont="1" applyFill="1" applyBorder="1" applyAlignment="1">
      <alignment horizontal="center" vertical="center" wrapText="1"/>
    </xf>
    <xf numFmtId="0" fontId="21" fillId="0" borderId="0" xfId="0" applyFont="1" applyBorder="1" applyAlignment="1">
      <alignment horizontal="center" vertical="center" wrapText="1"/>
    </xf>
    <xf numFmtId="165" fontId="17" fillId="2" borderId="0" xfId="6" applyNumberFormat="1" applyFont="1" applyFill="1" applyBorder="1" applyAlignment="1">
      <alignment horizontal="center" vertical="center" wrapText="1"/>
    </xf>
    <xf numFmtId="0" fontId="17" fillId="2" borderId="0" xfId="0" applyFont="1" applyFill="1" applyAlignment="1">
      <alignment horizontal="center" vertical="center" wrapText="1"/>
    </xf>
    <xf numFmtId="0" fontId="17" fillId="0" borderId="0" xfId="0" applyFont="1" applyBorder="1" applyAlignment="1">
      <alignment horizontal="center" vertical="center" wrapText="1"/>
    </xf>
    <xf numFmtId="0" fontId="17" fillId="0" borderId="0" xfId="0" applyFont="1" applyFill="1" applyBorder="1" applyAlignment="1">
      <alignment horizontal="center" vertical="center" wrapText="1"/>
    </xf>
    <xf numFmtId="165" fontId="17" fillId="6" borderId="0" xfId="6" applyNumberFormat="1" applyFont="1" applyFill="1" applyBorder="1" applyAlignment="1">
      <alignment horizontal="center" vertical="center" wrapText="1"/>
    </xf>
    <xf numFmtId="0" fontId="17" fillId="0" borderId="0" xfId="0" applyFont="1" applyAlignment="1">
      <alignment horizontal="center" vertical="center" wrapText="1"/>
    </xf>
    <xf numFmtId="0" fontId="21" fillId="0" borderId="1" xfId="0" applyFont="1" applyBorder="1" applyAlignment="1">
      <alignment horizontal="center" vertical="center" wrapText="1"/>
    </xf>
    <xf numFmtId="0" fontId="17" fillId="0" borderId="13" xfId="0" applyFont="1" applyFill="1" applyBorder="1" applyAlignment="1">
      <alignment horizontal="center" vertical="center" wrapText="1"/>
    </xf>
    <xf numFmtId="0" fontId="16" fillId="0" borderId="1" xfId="0" applyNumberFormat="1" applyFont="1" applyBorder="1" applyAlignment="1">
      <alignment horizontal="center" vertical="center" wrapText="1"/>
    </xf>
    <xf numFmtId="0" fontId="17" fillId="0" borderId="1" xfId="0" applyNumberFormat="1" applyFont="1" applyBorder="1" applyAlignment="1">
      <alignment horizontal="center" vertical="center" wrapText="1"/>
    </xf>
    <xf numFmtId="0" fontId="17" fillId="2" borderId="1" xfId="1" applyFont="1" applyFill="1" applyBorder="1" applyAlignment="1">
      <alignment horizontal="center" vertical="center" wrapText="1"/>
    </xf>
    <xf numFmtId="14" fontId="17" fillId="0" borderId="1" xfId="0" applyNumberFormat="1" applyFont="1" applyFill="1" applyBorder="1" applyAlignment="1">
      <alignment horizontal="center" vertical="center" wrapText="1"/>
    </xf>
    <xf numFmtId="14" fontId="16" fillId="2" borderId="1" xfId="0" applyNumberFormat="1" applyFont="1" applyFill="1" applyBorder="1" applyAlignment="1">
      <alignment horizontal="center" vertical="center" wrapText="1"/>
    </xf>
    <xf numFmtId="0" fontId="17" fillId="2" borderId="11" xfId="1" applyFont="1" applyFill="1" applyBorder="1" applyAlignment="1">
      <alignment horizontal="center" vertical="center" wrapText="1"/>
    </xf>
    <xf numFmtId="0" fontId="16" fillId="2" borderId="1" xfId="1" applyFont="1" applyFill="1" applyBorder="1" applyAlignment="1">
      <alignment horizontal="center" vertical="center" wrapText="1"/>
    </xf>
    <xf numFmtId="14" fontId="17" fillId="2" borderId="1" xfId="1" applyNumberFormat="1" applyFont="1" applyFill="1" applyBorder="1" applyAlignment="1">
      <alignment horizontal="center" vertical="center" wrapText="1"/>
    </xf>
    <xf numFmtId="0" fontId="17" fillId="0" borderId="10" xfId="0" applyNumberFormat="1" applyFont="1" applyBorder="1" applyAlignment="1">
      <alignment horizontal="center" vertical="center" wrapText="1"/>
    </xf>
    <xf numFmtId="0" fontId="16" fillId="0" borderId="10" xfId="0" applyNumberFormat="1" applyFont="1" applyBorder="1" applyAlignment="1">
      <alignment horizontal="center" vertical="center" wrapText="1"/>
    </xf>
    <xf numFmtId="49" fontId="17" fillId="2" borderId="0" xfId="0" applyNumberFormat="1" applyFont="1" applyFill="1" applyBorder="1" applyAlignment="1">
      <alignment horizontal="center" vertical="center" wrapText="1"/>
    </xf>
    <xf numFmtId="10" fontId="17" fillId="0" borderId="0" xfId="5" applyNumberFormat="1" applyFont="1" applyBorder="1" applyAlignment="1">
      <alignment horizontal="center" vertical="center" wrapText="1"/>
    </xf>
    <xf numFmtId="0" fontId="23" fillId="2" borderId="1" xfId="0" applyFont="1" applyFill="1" applyBorder="1" applyAlignment="1">
      <alignment horizontal="center" vertical="center" wrapText="1"/>
    </xf>
    <xf numFmtId="0" fontId="17" fillId="0" borderId="3" xfId="0" applyFont="1" applyBorder="1" applyAlignment="1">
      <alignment horizontal="center" vertical="center" wrapText="1"/>
    </xf>
    <xf numFmtId="0" fontId="17" fillId="2" borderId="11" xfId="0" applyNumberFormat="1" applyFont="1" applyFill="1" applyBorder="1" applyAlignment="1" applyProtection="1">
      <alignment horizontal="center" vertical="center" wrapText="1"/>
      <protection locked="0"/>
    </xf>
    <xf numFmtId="0" fontId="16" fillId="2" borderId="1" xfId="0" applyNumberFormat="1" applyFont="1" applyFill="1" applyBorder="1" applyAlignment="1" applyProtection="1">
      <alignment horizontal="center" vertical="center" wrapText="1"/>
      <protection locked="0"/>
    </xf>
    <xf numFmtId="0" fontId="16" fillId="0" borderId="10" xfId="0" applyFont="1" applyBorder="1" applyAlignment="1">
      <alignment horizontal="center" vertical="center" wrapText="1"/>
    </xf>
    <xf numFmtId="0" fontId="21" fillId="0" borderId="10" xfId="0" applyFont="1" applyFill="1" applyBorder="1" applyAlignment="1">
      <alignment horizontal="center" vertical="center" wrapText="1"/>
    </xf>
    <xf numFmtId="14" fontId="16" fillId="2" borderId="10" xfId="0" applyNumberFormat="1" applyFont="1" applyFill="1" applyBorder="1" applyAlignment="1">
      <alignment horizontal="center" vertical="center" wrapText="1"/>
    </xf>
    <xf numFmtId="0" fontId="16" fillId="0" borderId="12" xfId="0" applyFont="1" applyBorder="1" applyAlignment="1">
      <alignment horizontal="center" vertical="center" wrapText="1"/>
    </xf>
    <xf numFmtId="0" fontId="17" fillId="2" borderId="12" xfId="0" applyFont="1" applyFill="1" applyBorder="1" applyAlignment="1">
      <alignment horizontal="center" vertical="center" wrapText="1"/>
    </xf>
    <xf numFmtId="0" fontId="16" fillId="2" borderId="10" xfId="0" applyNumberFormat="1" applyFont="1" applyFill="1" applyBorder="1" applyAlignment="1">
      <alignment horizontal="center" vertical="center" wrapText="1"/>
    </xf>
    <xf numFmtId="49" fontId="17" fillId="0" borderId="12" xfId="0" applyNumberFormat="1" applyFont="1" applyBorder="1" applyAlignment="1">
      <alignment horizontal="center" vertical="center" wrapText="1"/>
    </xf>
    <xf numFmtId="0" fontId="31" fillId="2" borderId="10" xfId="0" applyFont="1" applyFill="1" applyBorder="1" applyAlignment="1">
      <alignment horizontal="center" vertical="center" wrapText="1"/>
    </xf>
    <xf numFmtId="168" fontId="17" fillId="2" borderId="10" xfId="0" applyNumberFormat="1" applyFont="1" applyFill="1" applyBorder="1" applyAlignment="1">
      <alignment horizontal="center" vertical="center" wrapText="1"/>
    </xf>
    <xf numFmtId="0" fontId="17" fillId="2" borderId="7" xfId="0" applyFont="1" applyFill="1" applyBorder="1" applyAlignment="1">
      <alignment horizontal="center" vertical="center" wrapText="1"/>
    </xf>
    <xf numFmtId="0" fontId="17" fillId="2" borderId="1" xfId="0" applyFont="1" applyFill="1" applyBorder="1" applyAlignment="1">
      <alignment horizontal="center" vertical="center"/>
    </xf>
    <xf numFmtId="49" fontId="17" fillId="2" borderId="1" xfId="0" applyNumberFormat="1" applyFont="1" applyFill="1" applyBorder="1" applyAlignment="1">
      <alignment horizontal="center" vertical="center"/>
    </xf>
    <xf numFmtId="49" fontId="17" fillId="0" borderId="1" xfId="0" applyNumberFormat="1" applyFont="1" applyBorder="1" applyAlignment="1">
      <alignment horizontal="center" vertical="center"/>
    </xf>
    <xf numFmtId="0" fontId="23" fillId="0" borderId="10" xfId="0" applyFont="1" applyBorder="1" applyAlignment="1">
      <alignment horizontal="center" vertical="center"/>
    </xf>
    <xf numFmtId="0" fontId="17" fillId="0" borderId="3" xfId="0" applyFont="1" applyBorder="1" applyAlignment="1">
      <alignment wrapText="1"/>
    </xf>
    <xf numFmtId="0" fontId="17" fillId="0" borderId="4" xfId="0" applyFont="1" applyBorder="1" applyAlignment="1">
      <alignment horizontal="center" vertical="center" wrapText="1"/>
    </xf>
    <xf numFmtId="0" fontId="17" fillId="0" borderId="1" xfId="0" applyFont="1" applyBorder="1" applyAlignment="1">
      <alignment wrapText="1"/>
    </xf>
    <xf numFmtId="0" fontId="19" fillId="2" borderId="1" xfId="0" applyFont="1" applyFill="1" applyBorder="1" applyAlignment="1">
      <alignment horizontal="center" vertical="center" wrapText="1"/>
    </xf>
    <xf numFmtId="168" fontId="23" fillId="2" borderId="10" xfId="0" applyNumberFormat="1" applyFont="1" applyFill="1" applyBorder="1" applyAlignment="1">
      <alignment horizontal="center" vertical="center" wrapText="1"/>
    </xf>
    <xf numFmtId="0" fontId="17" fillId="2" borderId="12" xfId="0" applyFont="1" applyFill="1" applyBorder="1" applyAlignment="1">
      <alignment horizontal="center" vertical="center"/>
    </xf>
    <xf numFmtId="168" fontId="17" fillId="0" borderId="12" xfId="0" applyNumberFormat="1" applyFont="1" applyBorder="1" applyAlignment="1">
      <alignment horizontal="center" vertical="center"/>
    </xf>
    <xf numFmtId="49" fontId="17" fillId="0" borderId="12" xfId="0" applyNumberFormat="1" applyFont="1" applyBorder="1" applyAlignment="1">
      <alignment horizontal="center" vertical="center"/>
    </xf>
    <xf numFmtId="0" fontId="17" fillId="0" borderId="6" xfId="0" applyFont="1" applyBorder="1" applyAlignment="1">
      <alignment horizontal="center" vertical="center" wrapText="1"/>
    </xf>
    <xf numFmtId="0" fontId="16" fillId="0" borderId="1" xfId="0" applyFont="1" applyBorder="1" applyAlignment="1">
      <alignment horizontal="center" vertical="center"/>
    </xf>
    <xf numFmtId="0" fontId="17" fillId="0" borderId="1" xfId="0" applyFont="1" applyBorder="1" applyAlignment="1">
      <alignment horizontal="center" vertical="top" wrapText="1"/>
    </xf>
    <xf numFmtId="0" fontId="17" fillId="0" borderId="12" xfId="0" applyFont="1" applyBorder="1" applyAlignment="1">
      <alignment horizontal="center" wrapText="1"/>
    </xf>
    <xf numFmtId="0" fontId="17" fillId="0" borderId="3" xfId="0" applyFont="1" applyBorder="1" applyAlignment="1">
      <alignment horizontal="center" wrapText="1"/>
    </xf>
    <xf numFmtId="49" fontId="17" fillId="0" borderId="1" xfId="0" applyNumberFormat="1" applyFont="1" applyBorder="1" applyAlignment="1">
      <alignment horizontal="center" vertical="top" wrapText="1"/>
    </xf>
    <xf numFmtId="0" fontId="17" fillId="0" borderId="3" xfId="0" applyFont="1" applyBorder="1" applyAlignment="1">
      <alignment vertical="center" wrapText="1"/>
    </xf>
    <xf numFmtId="0" fontId="17" fillId="0" borderId="22" xfId="0" applyFont="1" applyBorder="1" applyAlignment="1">
      <alignment wrapText="1"/>
    </xf>
    <xf numFmtId="168" fontId="17" fillId="2" borderId="10" xfId="0" applyNumberFormat="1" applyFont="1" applyFill="1" applyBorder="1" applyAlignment="1">
      <alignment horizontal="center" vertical="center"/>
    </xf>
    <xf numFmtId="0" fontId="17" fillId="2" borderId="4" xfId="0" applyFont="1" applyFill="1" applyBorder="1" applyAlignment="1">
      <alignment horizontal="center" vertical="center" wrapText="1"/>
    </xf>
    <xf numFmtId="49" fontId="17" fillId="2" borderId="10" xfId="0" applyNumberFormat="1" applyFont="1" applyFill="1" applyBorder="1" applyAlignment="1">
      <alignment horizontal="center" vertical="center"/>
    </xf>
    <xf numFmtId="0" fontId="31" fillId="0" borderId="1" xfId="0" applyFont="1" applyBorder="1" applyAlignment="1">
      <alignment horizontal="center" vertical="center"/>
    </xf>
    <xf numFmtId="0" fontId="16" fillId="0" borderId="0" xfId="0" applyFont="1" applyAlignment="1">
      <alignment horizontal="center" vertical="center" wrapText="1"/>
    </xf>
    <xf numFmtId="0" fontId="17" fillId="2" borderId="7" xfId="0" applyNumberFormat="1" applyFont="1" applyFill="1" applyBorder="1" applyAlignment="1" applyProtection="1">
      <alignment horizontal="center" vertical="center" wrapText="1"/>
      <protection locked="0"/>
    </xf>
    <xf numFmtId="49" fontId="27" fillId="2" borderId="10" xfId="0" applyNumberFormat="1" applyFont="1" applyFill="1" applyBorder="1" applyAlignment="1" applyProtection="1">
      <alignment horizontal="center" vertical="center" wrapText="1"/>
      <protection locked="0"/>
    </xf>
    <xf numFmtId="0" fontId="27" fillId="2" borderId="10" xfId="0" applyFont="1" applyFill="1" applyBorder="1" applyAlignment="1">
      <alignment horizontal="center" vertical="center" wrapText="1"/>
    </xf>
    <xf numFmtId="14" fontId="27" fillId="2" borderId="10" xfId="0" applyNumberFormat="1" applyFont="1" applyFill="1" applyBorder="1" applyAlignment="1">
      <alignment horizontal="center" vertical="center" wrapText="1"/>
    </xf>
    <xf numFmtId="49" fontId="27" fillId="2" borderId="10" xfId="0" applyNumberFormat="1" applyFont="1" applyFill="1" applyBorder="1" applyAlignment="1">
      <alignment horizontal="center" vertical="center" wrapText="1"/>
    </xf>
    <xf numFmtId="0" fontId="27" fillId="2" borderId="10" xfId="0" applyNumberFormat="1" applyFont="1" applyFill="1" applyBorder="1" applyAlignment="1">
      <alignment horizontal="center" vertical="center" wrapText="1"/>
    </xf>
    <xf numFmtId="0" fontId="27" fillId="2" borderId="10" xfId="0" applyFont="1" applyFill="1" applyBorder="1" applyAlignment="1">
      <alignment horizontal="center" vertical="center"/>
    </xf>
    <xf numFmtId="0" fontId="38" fillId="10" borderId="10" xfId="0" applyFont="1" applyFill="1" applyBorder="1" applyAlignment="1">
      <alignment horizontal="center" vertical="center" wrapText="1"/>
    </xf>
    <xf numFmtId="0" fontId="16" fillId="5" borderId="1" xfId="1" applyFont="1" applyFill="1" applyBorder="1" applyAlignment="1">
      <alignment horizontal="center" vertical="center" wrapText="1"/>
    </xf>
    <xf numFmtId="49" fontId="16" fillId="5" borderId="1" xfId="1" applyNumberFormat="1" applyFont="1" applyFill="1" applyBorder="1" applyAlignment="1">
      <alignment horizontal="center" vertical="center" wrapText="1"/>
    </xf>
    <xf numFmtId="49" fontId="17" fillId="2" borderId="1" xfId="1" applyNumberFormat="1" applyFont="1" applyFill="1" applyBorder="1" applyAlignment="1">
      <alignment horizontal="center" vertical="center" wrapText="1"/>
    </xf>
    <xf numFmtId="166" fontId="33" fillId="2" borderId="8" xfId="1" applyNumberFormat="1" applyFont="1" applyFill="1" applyBorder="1" applyAlignment="1">
      <alignment horizontal="center" vertical="top" wrapText="1"/>
    </xf>
    <xf numFmtId="0" fontId="17" fillId="2" borderId="1" xfId="1" applyFont="1" applyFill="1" applyBorder="1" applyAlignment="1">
      <alignment horizontal="center" vertical="center"/>
    </xf>
    <xf numFmtId="0" fontId="17" fillId="0" borderId="1" xfId="1" applyFont="1" applyBorder="1" applyAlignment="1">
      <alignment horizontal="center" vertical="center" wrapText="1"/>
    </xf>
    <xf numFmtId="0" fontId="16" fillId="4" borderId="10" xfId="0" applyFont="1" applyFill="1" applyBorder="1" applyAlignment="1">
      <alignment horizontal="center" vertical="center" wrapText="1"/>
    </xf>
    <xf numFmtId="49" fontId="17" fillId="2" borderId="7" xfId="0" applyNumberFormat="1" applyFont="1" applyFill="1" applyBorder="1" applyAlignment="1">
      <alignment horizontal="center" vertical="center" wrapText="1"/>
    </xf>
    <xf numFmtId="49" fontId="16" fillId="2" borderId="10" xfId="0" applyNumberFormat="1" applyFont="1" applyFill="1" applyBorder="1" applyAlignment="1">
      <alignment horizontal="center" vertical="center" wrapText="1"/>
    </xf>
    <xf numFmtId="49" fontId="23" fillId="2" borderId="5" xfId="0" applyNumberFormat="1" applyFont="1" applyFill="1" applyBorder="1" applyAlignment="1">
      <alignment horizontal="center" vertical="center" wrapText="1"/>
    </xf>
    <xf numFmtId="0" fontId="16" fillId="2" borderId="10" xfId="1" applyFont="1" applyFill="1" applyBorder="1" applyAlignment="1">
      <alignment horizontal="center" vertical="center" wrapText="1"/>
    </xf>
    <xf numFmtId="14" fontId="17" fillId="2" borderId="10" xfId="1" applyNumberFormat="1" applyFont="1" applyFill="1" applyBorder="1" applyAlignment="1">
      <alignment horizontal="center" vertical="center" wrapText="1"/>
    </xf>
    <xf numFmtId="0" fontId="17" fillId="0" borderId="7" xfId="0" applyFont="1" applyBorder="1" applyAlignment="1">
      <alignment horizontal="center" vertical="center" wrapText="1"/>
    </xf>
    <xf numFmtId="49" fontId="16" fillId="0" borderId="10" xfId="0" applyNumberFormat="1" applyFont="1" applyFill="1" applyBorder="1" applyAlignment="1">
      <alignment horizontal="center" vertical="center" wrapText="1"/>
    </xf>
    <xf numFmtId="0" fontId="19" fillId="0" borderId="10" xfId="0" applyFont="1" applyBorder="1" applyAlignment="1">
      <alignment horizontal="center" vertical="center" wrapText="1"/>
    </xf>
    <xf numFmtId="168" fontId="17" fillId="2" borderId="1" xfId="0" applyNumberFormat="1" applyFont="1" applyFill="1" applyBorder="1" applyAlignment="1">
      <alignment horizontal="center" vertical="center"/>
    </xf>
    <xf numFmtId="0" fontId="33" fillId="2" borderId="10" xfId="0" applyFont="1" applyFill="1" applyBorder="1" applyAlignment="1">
      <alignment horizontal="center" vertical="center" wrapText="1"/>
    </xf>
    <xf numFmtId="0" fontId="16" fillId="0" borderId="10" xfId="0" applyFont="1" applyBorder="1" applyAlignment="1">
      <alignment horizontal="center" vertical="center"/>
    </xf>
    <xf numFmtId="168" fontId="17" fillId="2" borderId="10" xfId="1" applyNumberFormat="1" applyFont="1" applyFill="1" applyBorder="1" applyAlignment="1">
      <alignment horizontal="center" vertical="center" wrapText="1"/>
    </xf>
    <xf numFmtId="14" fontId="17" fillId="2" borderId="12" xfId="0" applyNumberFormat="1" applyFont="1" applyFill="1" applyBorder="1" applyAlignment="1">
      <alignment horizontal="center" vertical="center" wrapText="1"/>
    </xf>
    <xf numFmtId="0" fontId="30" fillId="0" borderId="10" xfId="0" applyFont="1" applyBorder="1" applyAlignment="1">
      <alignment horizontal="center" vertical="center"/>
    </xf>
    <xf numFmtId="49" fontId="17" fillId="0" borderId="6" xfId="0" applyNumberFormat="1" applyFont="1" applyBorder="1" applyAlignment="1">
      <alignment horizontal="center" vertical="center"/>
    </xf>
    <xf numFmtId="49" fontId="23" fillId="2" borderId="17" xfId="0" applyNumberFormat="1" applyFont="1" applyFill="1" applyBorder="1" applyAlignment="1">
      <alignment horizontal="center" vertical="center" wrapText="1"/>
    </xf>
    <xf numFmtId="0" fontId="17" fillId="0" borderId="1" xfId="0" applyFont="1" applyBorder="1"/>
    <xf numFmtId="0" fontId="17" fillId="0" borderId="13" xfId="0" applyFont="1" applyBorder="1" applyAlignment="1">
      <alignment horizontal="center" vertical="center"/>
    </xf>
    <xf numFmtId="0" fontId="16" fillId="0" borderId="1" xfId="0" applyFont="1" applyFill="1" applyBorder="1" applyAlignment="1">
      <alignment horizontal="center" vertical="center" wrapText="1"/>
    </xf>
    <xf numFmtId="49" fontId="17" fillId="2" borderId="13" xfId="0" applyNumberFormat="1" applyFont="1" applyFill="1" applyBorder="1" applyAlignment="1">
      <alignment horizontal="center" vertical="center"/>
    </xf>
    <xf numFmtId="168" fontId="17" fillId="2" borderId="1" xfId="0" applyNumberFormat="1" applyFont="1" applyFill="1" applyBorder="1" applyAlignment="1">
      <alignment horizontal="center" vertical="center" wrapText="1"/>
    </xf>
    <xf numFmtId="0" fontId="31" fillId="10" borderId="10" xfId="0"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2" borderId="1" xfId="0" applyNumberFormat="1" applyFont="1" applyFill="1" applyBorder="1" applyAlignment="1">
      <alignment horizontal="center" vertical="center" wrapText="1"/>
    </xf>
    <xf numFmtId="0" fontId="23" fillId="0" borderId="1" xfId="0" applyNumberFormat="1" applyFont="1" applyFill="1" applyBorder="1" applyAlignment="1">
      <alignment horizontal="center" vertical="center" wrapText="1"/>
    </xf>
    <xf numFmtId="14" fontId="31" fillId="2" borderId="10" xfId="0" applyNumberFormat="1" applyFont="1" applyFill="1" applyBorder="1" applyAlignment="1">
      <alignment horizontal="center" vertical="center" wrapText="1"/>
    </xf>
    <xf numFmtId="0" fontId="3" fillId="2" borderId="10" xfId="0" applyFont="1" applyFill="1" applyBorder="1" applyAlignment="1">
      <alignment horizontal="justify" vertical="center" wrapText="1"/>
    </xf>
    <xf numFmtId="0" fontId="17" fillId="2" borderId="12" xfId="15" applyNumberFormat="1" applyFont="1" applyFill="1" applyBorder="1" applyAlignment="1">
      <alignment horizontal="center" vertical="center" wrapText="1"/>
    </xf>
    <xf numFmtId="168" fontId="17" fillId="2" borderId="12" xfId="15" applyNumberFormat="1" applyFont="1" applyFill="1" applyBorder="1" applyAlignment="1">
      <alignment horizontal="center" vertical="center" wrapText="1"/>
    </xf>
    <xf numFmtId="0" fontId="17" fillId="0" borderId="1" xfId="15" applyFont="1" applyBorder="1" applyAlignment="1">
      <alignment horizontal="center" vertical="center"/>
    </xf>
    <xf numFmtId="0" fontId="17" fillId="0" borderId="1" xfId="15" applyFont="1" applyBorder="1" applyAlignment="1">
      <alignment horizontal="center" vertical="center" wrapText="1"/>
    </xf>
    <xf numFmtId="49" fontId="17" fillId="0" borderId="1" xfId="15" applyNumberFormat="1" applyFont="1" applyBorder="1" applyAlignment="1">
      <alignment horizontal="center" vertical="center" wrapText="1"/>
    </xf>
    <xf numFmtId="14" fontId="16" fillId="3" borderId="14" xfId="0" applyNumberFormat="1" applyFont="1" applyFill="1" applyBorder="1" applyAlignment="1">
      <alignment horizontal="center" vertical="center" wrapText="1"/>
    </xf>
    <xf numFmtId="0" fontId="3" fillId="0" borderId="10" xfId="0" applyNumberFormat="1" applyFont="1" applyFill="1" applyBorder="1" applyAlignment="1">
      <alignment horizontal="center" vertical="center" wrapText="1"/>
    </xf>
    <xf numFmtId="0" fontId="17" fillId="0" borderId="10" xfId="0" applyNumberFormat="1" applyFont="1" applyFill="1" applyBorder="1" applyAlignment="1">
      <alignment horizontal="center" vertical="center" wrapText="1"/>
    </xf>
    <xf numFmtId="14" fontId="17" fillId="0" borderId="10" xfId="0" applyNumberFormat="1" applyFont="1" applyFill="1" applyBorder="1" applyAlignment="1">
      <alignment horizontal="center" vertical="center" wrapText="1"/>
    </xf>
    <xf numFmtId="0" fontId="17" fillId="0" borderId="10" xfId="0" applyNumberFormat="1" applyFont="1" applyFill="1" applyBorder="1" applyAlignment="1" applyProtection="1">
      <alignment horizontal="center" vertical="center" wrapText="1"/>
      <protection locked="0"/>
    </xf>
    <xf numFmtId="3" fontId="17" fillId="0" borderId="10" xfId="0" applyNumberFormat="1" applyFont="1" applyBorder="1" applyAlignment="1">
      <alignment horizontal="center" vertical="center" wrapText="1"/>
    </xf>
    <xf numFmtId="0" fontId="16" fillId="0" borderId="1" xfId="15" applyFont="1" applyBorder="1" applyAlignment="1">
      <alignment horizontal="center" vertical="center" wrapText="1"/>
    </xf>
    <xf numFmtId="0" fontId="17" fillId="0" borderId="1" xfId="15" applyFont="1" applyFill="1" applyBorder="1" applyAlignment="1">
      <alignment horizontal="center" vertical="center" wrapText="1"/>
    </xf>
    <xf numFmtId="14" fontId="16" fillId="0" borderId="10" xfId="0" applyNumberFormat="1" applyFont="1" applyFill="1" applyBorder="1" applyAlignment="1">
      <alignment horizontal="center" vertical="center" wrapText="1"/>
    </xf>
    <xf numFmtId="0" fontId="16" fillId="0" borderId="10" xfId="0" applyNumberFormat="1" applyFont="1" applyFill="1" applyBorder="1" applyAlignment="1">
      <alignment horizontal="center" vertical="center" wrapText="1"/>
    </xf>
    <xf numFmtId="0" fontId="16" fillId="0" borderId="10" xfId="0" applyFont="1" applyFill="1" applyBorder="1" applyAlignment="1">
      <alignment horizontal="center" vertical="center" wrapText="1"/>
    </xf>
    <xf numFmtId="0" fontId="16" fillId="0" borderId="10" xfId="8" applyFont="1" applyFill="1" applyBorder="1" applyAlignment="1" applyProtection="1">
      <alignment horizontal="center" vertical="center" wrapText="1"/>
    </xf>
    <xf numFmtId="1" fontId="17" fillId="0" borderId="10" xfId="15" applyNumberFormat="1" applyFont="1" applyFill="1" applyBorder="1" applyAlignment="1">
      <alignment horizontal="center" vertical="center" wrapText="1"/>
    </xf>
    <xf numFmtId="0" fontId="16" fillId="0" borderId="10" xfId="15" applyFont="1" applyFill="1" applyBorder="1" applyAlignment="1">
      <alignment horizontal="center" vertical="center" wrapText="1"/>
    </xf>
    <xf numFmtId="0" fontId="17" fillId="0" borderId="12" xfId="15" applyFont="1" applyFill="1" applyBorder="1" applyAlignment="1">
      <alignment horizontal="center" vertical="center"/>
    </xf>
    <xf numFmtId="168" fontId="17" fillId="0" borderId="10" xfId="15" applyNumberFormat="1" applyFont="1" applyFill="1" applyBorder="1" applyAlignment="1">
      <alignment horizontal="center" vertical="center"/>
    </xf>
    <xf numFmtId="0" fontId="25" fillId="0" borderId="0" xfId="0" applyFont="1" applyFill="1"/>
    <xf numFmtId="0" fontId="23" fillId="0" borderId="10" xfId="15" applyFont="1" applyFill="1" applyBorder="1" applyAlignment="1">
      <alignment horizontal="center" vertical="center" wrapText="1"/>
    </xf>
    <xf numFmtId="168" fontId="17" fillId="0" borderId="10" xfId="15" applyNumberFormat="1" applyFont="1" applyFill="1" applyBorder="1" applyAlignment="1">
      <alignment horizontal="center" vertical="center" wrapText="1"/>
    </xf>
    <xf numFmtId="0" fontId="17" fillId="0" borderId="12" xfId="15" applyFont="1" applyFill="1" applyBorder="1" applyAlignment="1">
      <alignment horizontal="center" vertical="center" wrapText="1"/>
    </xf>
    <xf numFmtId="0" fontId="3" fillId="0" borderId="10" xfId="0" applyFont="1" applyBorder="1" applyAlignment="1">
      <alignment wrapText="1"/>
    </xf>
    <xf numFmtId="0" fontId="17" fillId="0" borderId="1" xfId="0" applyFont="1" applyBorder="1" applyAlignment="1">
      <alignment horizontal="center" wrapText="1"/>
    </xf>
    <xf numFmtId="0" fontId="17" fillId="2" borderId="1" xfId="0" applyFont="1" applyFill="1" applyBorder="1" applyAlignment="1">
      <alignment horizontal="center" vertical="top" wrapText="1"/>
    </xf>
    <xf numFmtId="0" fontId="17" fillId="0" borderId="0" xfId="0" applyFont="1" applyBorder="1"/>
    <xf numFmtId="0" fontId="25" fillId="0" borderId="10" xfId="0" applyFont="1" applyBorder="1"/>
    <xf numFmtId="49" fontId="17" fillId="0" borderId="1" xfId="0" applyNumberFormat="1" applyFont="1" applyFill="1" applyBorder="1" applyAlignment="1">
      <alignment horizontal="center" vertical="center" wrapText="1"/>
    </xf>
    <xf numFmtId="0" fontId="17" fillId="0" borderId="0" xfId="15" applyFont="1" applyFill="1" applyBorder="1" applyAlignment="1">
      <alignment horizontal="center" vertical="center"/>
    </xf>
    <xf numFmtId="0" fontId="17" fillId="0" borderId="0" xfId="15" applyFont="1" applyFill="1" applyBorder="1" applyAlignment="1">
      <alignment horizontal="center" vertical="center" wrapText="1"/>
    </xf>
    <xf numFmtId="14" fontId="17" fillId="0" borderId="10" xfId="15" applyNumberFormat="1" applyFont="1" applyBorder="1" applyAlignment="1">
      <alignment horizontal="center" vertical="center"/>
    </xf>
    <xf numFmtId="0" fontId="17" fillId="0" borderId="12" xfId="15" applyNumberFormat="1" applyFont="1" applyFill="1" applyBorder="1" applyAlignment="1">
      <alignment horizontal="center" vertical="center" wrapText="1"/>
    </xf>
    <xf numFmtId="49" fontId="17" fillId="0" borderId="10" xfId="15" applyNumberFormat="1" applyFont="1" applyFill="1" applyBorder="1" applyAlignment="1">
      <alignment horizontal="center" vertical="center"/>
    </xf>
    <xf numFmtId="168" fontId="16" fillId="12" borderId="10" xfId="15" applyNumberFormat="1" applyFont="1" applyFill="1" applyBorder="1" applyAlignment="1">
      <alignment horizontal="center" vertical="center" wrapText="1"/>
    </xf>
    <xf numFmtId="0" fontId="17" fillId="2" borderId="11" xfId="15" applyFont="1" applyFill="1" applyBorder="1" applyAlignment="1">
      <alignment horizontal="center" vertical="center" wrapText="1"/>
    </xf>
    <xf numFmtId="2" fontId="17" fillId="2" borderId="10" xfId="15" applyNumberFormat="1" applyFont="1" applyFill="1" applyBorder="1" applyAlignment="1">
      <alignment horizontal="center" vertical="center" wrapText="1"/>
    </xf>
    <xf numFmtId="0" fontId="23" fillId="2" borderId="10" xfId="15" applyFont="1" applyFill="1" applyBorder="1" applyAlignment="1">
      <alignment horizontal="center" vertical="center" wrapText="1"/>
    </xf>
    <xf numFmtId="14" fontId="17" fillId="2" borderId="10" xfId="15" applyNumberFormat="1" applyFont="1" applyFill="1" applyBorder="1" applyAlignment="1">
      <alignment horizontal="center" vertical="center"/>
    </xf>
    <xf numFmtId="0" fontId="16" fillId="0" borderId="12" xfId="15" applyFont="1" applyFill="1" applyBorder="1" applyAlignment="1">
      <alignment horizontal="center" vertical="center" wrapText="1"/>
    </xf>
    <xf numFmtId="168" fontId="17" fillId="0" borderId="12" xfId="15" applyNumberFormat="1" applyFont="1" applyFill="1" applyBorder="1" applyAlignment="1">
      <alignment horizontal="center" vertical="center"/>
    </xf>
    <xf numFmtId="49" fontId="17" fillId="0" borderId="12" xfId="15" applyNumberFormat="1" applyFont="1" applyFill="1" applyBorder="1" applyAlignment="1">
      <alignment horizontal="center" vertical="center"/>
    </xf>
    <xf numFmtId="0" fontId="17" fillId="0" borderId="0" xfId="0" applyFont="1" applyFill="1" applyAlignment="1">
      <alignment wrapText="1"/>
    </xf>
    <xf numFmtId="0" fontId="3" fillId="0" borderId="0" xfId="0" applyFont="1" applyFill="1" applyAlignment="1">
      <alignment wrapText="1"/>
    </xf>
    <xf numFmtId="0" fontId="17" fillId="0" borderId="1" xfId="0" quotePrefix="1" applyFont="1" applyBorder="1" applyAlignment="1">
      <alignment horizontal="center" vertical="center" wrapText="1"/>
    </xf>
    <xf numFmtId="0" fontId="17" fillId="0" borderId="11" xfId="15" applyNumberFormat="1" applyFont="1" applyFill="1" applyBorder="1" applyAlignment="1" applyProtection="1">
      <alignment horizontal="center" vertical="center" wrapText="1"/>
      <protection locked="0"/>
    </xf>
    <xf numFmtId="49" fontId="17" fillId="0" borderId="12" xfId="15" applyNumberFormat="1" applyFont="1" applyFill="1" applyBorder="1" applyAlignment="1">
      <alignment horizontal="center" vertical="center" wrapText="1"/>
    </xf>
    <xf numFmtId="0" fontId="31" fillId="0" borderId="10" xfId="15" applyFont="1" applyFill="1" applyBorder="1" applyAlignment="1">
      <alignment horizontal="center" vertical="center"/>
    </xf>
    <xf numFmtId="0" fontId="23" fillId="0" borderId="10" xfId="15" applyFont="1" applyFill="1" applyBorder="1" applyAlignment="1">
      <alignment horizontal="center" vertical="center"/>
    </xf>
    <xf numFmtId="167" fontId="17" fillId="0" borderId="10" xfId="15" applyNumberFormat="1" applyFont="1" applyFill="1" applyBorder="1" applyAlignment="1">
      <alignment horizontal="center" vertical="center" wrapText="1"/>
    </xf>
    <xf numFmtId="14" fontId="17" fillId="0" borderId="10" xfId="15" applyNumberFormat="1" applyFont="1" applyFill="1" applyBorder="1" applyAlignment="1">
      <alignment horizontal="center" vertical="center"/>
    </xf>
    <xf numFmtId="0" fontId="3" fillId="0" borderId="10" xfId="15" applyFont="1" applyFill="1" applyBorder="1" applyAlignment="1">
      <alignment horizontal="center" vertical="center"/>
    </xf>
    <xf numFmtId="0" fontId="17" fillId="0" borderId="21" xfId="15" applyFont="1" applyFill="1" applyBorder="1" applyAlignment="1">
      <alignment horizontal="center" vertical="center"/>
    </xf>
    <xf numFmtId="0" fontId="17" fillId="0" borderId="21" xfId="15" applyFont="1" applyFill="1" applyBorder="1" applyAlignment="1">
      <alignment horizontal="center" vertical="center" wrapText="1"/>
    </xf>
    <xf numFmtId="0" fontId="17" fillId="0" borderId="11" xfId="0" applyFont="1" applyFill="1" applyBorder="1" applyAlignment="1">
      <alignment horizontal="center" vertical="center" wrapText="1"/>
    </xf>
    <xf numFmtId="0" fontId="0" fillId="0" borderId="5" xfId="0" applyBorder="1" applyAlignment="1">
      <alignment horizontal="center" vertical="center" wrapText="1"/>
    </xf>
    <xf numFmtId="49" fontId="17" fillId="2" borderId="5" xfId="15" applyNumberFormat="1" applyFont="1" applyFill="1" applyBorder="1" applyAlignment="1">
      <alignment horizontal="center" vertical="center" wrapText="1"/>
    </xf>
    <xf numFmtId="0" fontId="0" fillId="0" borderId="2" xfId="0" applyBorder="1" applyAlignment="1">
      <alignment horizontal="center" vertical="center" wrapText="1"/>
    </xf>
    <xf numFmtId="0" fontId="17" fillId="2" borderId="2" xfId="15" applyFont="1" applyFill="1" applyBorder="1" applyAlignment="1">
      <alignment horizontal="center" vertical="center" wrapText="1"/>
    </xf>
    <xf numFmtId="49" fontId="26" fillId="2" borderId="10" xfId="0" applyNumberFormat="1" applyFont="1" applyFill="1" applyBorder="1" applyAlignment="1">
      <alignment horizontal="center" vertical="center" wrapText="1"/>
    </xf>
    <xf numFmtId="0" fontId="26" fillId="2" borderId="10" xfId="0" applyFont="1" applyFill="1" applyBorder="1" applyAlignment="1">
      <alignment horizontal="center" vertical="center"/>
    </xf>
    <xf numFmtId="0" fontId="25" fillId="0" borderId="10" xfId="0" applyFont="1" applyBorder="1" applyAlignment="1">
      <alignment horizontal="center" vertical="center" wrapText="1"/>
    </xf>
    <xf numFmtId="0" fontId="31" fillId="10" borderId="12" xfId="0" applyFont="1" applyFill="1" applyBorder="1" applyAlignment="1">
      <alignment horizontal="center" vertical="center" wrapText="1"/>
    </xf>
    <xf numFmtId="2" fontId="17" fillId="2" borderId="2" xfId="15" applyNumberFormat="1" applyFont="1" applyFill="1" applyBorder="1" applyAlignment="1">
      <alignment horizontal="center" vertical="center" wrapText="1"/>
    </xf>
    <xf numFmtId="0" fontId="23" fillId="0" borderId="12" xfId="15" applyFont="1" applyFill="1" applyBorder="1" applyAlignment="1">
      <alignment horizontal="center" vertical="center" wrapText="1"/>
    </xf>
    <xf numFmtId="0" fontId="17" fillId="2" borderId="23" xfId="15" applyNumberFormat="1" applyFont="1" applyFill="1" applyBorder="1" applyAlignment="1" applyProtection="1">
      <alignment horizontal="center" vertical="center" wrapText="1"/>
      <protection locked="0"/>
    </xf>
    <xf numFmtId="0" fontId="0" fillId="0" borderId="0" xfId="0" applyBorder="1"/>
    <xf numFmtId="0" fontId="17" fillId="2" borderId="10" xfId="15" applyNumberFormat="1" applyFont="1" applyFill="1" applyBorder="1" applyAlignment="1" applyProtection="1">
      <alignment horizontal="center" vertical="center" wrapText="1"/>
      <protection locked="0"/>
    </xf>
    <xf numFmtId="0" fontId="0" fillId="0" borderId="13" xfId="0" applyBorder="1" applyAlignment="1">
      <alignment horizontal="center" vertical="center"/>
    </xf>
    <xf numFmtId="0" fontId="3" fillId="0" borderId="23" xfId="0" applyFont="1" applyFill="1" applyBorder="1" applyAlignment="1">
      <alignment wrapText="1"/>
    </xf>
    <xf numFmtId="0" fontId="16" fillId="5" borderId="10" xfId="1" applyFont="1" applyFill="1" applyBorder="1" applyAlignment="1">
      <alignment horizontal="center" vertical="center" wrapText="1"/>
    </xf>
    <xf numFmtId="166" fontId="33" fillId="2" borderId="0" xfId="1" applyNumberFormat="1" applyFont="1" applyFill="1" applyBorder="1" applyAlignment="1">
      <alignment horizontal="center" vertical="top" wrapText="1"/>
    </xf>
    <xf numFmtId="0" fontId="17" fillId="0" borderId="10" xfId="1" applyFont="1" applyBorder="1" applyAlignment="1">
      <alignment horizontal="center" vertical="center" wrapText="1"/>
    </xf>
    <xf numFmtId="0" fontId="25" fillId="0" borderId="11" xfId="0" applyFont="1" applyBorder="1"/>
    <xf numFmtId="49" fontId="16" fillId="5" borderId="10" xfId="1" applyNumberFormat="1" applyFont="1" applyFill="1" applyBorder="1" applyAlignment="1">
      <alignment horizontal="center" vertical="center" wrapText="1"/>
    </xf>
    <xf numFmtId="0" fontId="17" fillId="0" borderId="12" xfId="0" applyFont="1" applyBorder="1" applyAlignment="1">
      <alignment wrapText="1"/>
    </xf>
    <xf numFmtId="168" fontId="16" fillId="3" borderId="0" xfId="0" applyNumberFormat="1" applyFont="1" applyFill="1" applyBorder="1" applyAlignment="1">
      <alignment horizontal="center" vertical="center" wrapText="1"/>
    </xf>
    <xf numFmtId="168" fontId="17" fillId="0" borderId="10" xfId="15" quotePrefix="1"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17" fillId="0" borderId="10" xfId="0" quotePrefix="1" applyFont="1" applyFill="1" applyBorder="1" applyAlignment="1">
      <alignment horizontal="center" vertical="center" wrapText="1"/>
    </xf>
    <xf numFmtId="0" fontId="44" fillId="0" borderId="10" xfId="0" applyFont="1" applyBorder="1" applyAlignment="1">
      <alignment vertical="center"/>
    </xf>
    <xf numFmtId="0" fontId="43" fillId="0" borderId="10" xfId="0" applyFont="1" applyBorder="1" applyAlignment="1">
      <alignment vertical="center"/>
    </xf>
    <xf numFmtId="0" fontId="16" fillId="5" borderId="11" xfId="1" applyFont="1" applyFill="1" applyBorder="1" applyAlignment="1">
      <alignment horizontal="center" vertical="center" wrapText="1"/>
    </xf>
    <xf numFmtId="0" fontId="16" fillId="5" borderId="13" xfId="1" applyFont="1" applyFill="1" applyBorder="1" applyAlignment="1">
      <alignment horizontal="center" vertical="center" wrapText="1"/>
    </xf>
    <xf numFmtId="14" fontId="17" fillId="0" borderId="10" xfId="0" applyNumberFormat="1" applyFont="1" applyFill="1" applyBorder="1" applyAlignment="1">
      <alignment horizontal="center" vertical="center"/>
    </xf>
    <xf numFmtId="49" fontId="17" fillId="0" borderId="10" xfId="0" applyNumberFormat="1" applyFont="1" applyFill="1" applyBorder="1" applyAlignment="1">
      <alignment horizontal="center" vertical="center"/>
    </xf>
    <xf numFmtId="0" fontId="17" fillId="0" borderId="12" xfId="0" applyFont="1" applyFill="1" applyBorder="1" applyAlignment="1">
      <alignment horizontal="center" vertical="center"/>
    </xf>
    <xf numFmtId="0" fontId="3" fillId="0" borderId="10" xfId="0" applyFont="1" applyBorder="1" applyAlignment="1">
      <alignment horizontal="center" vertical="center" wrapText="1"/>
    </xf>
    <xf numFmtId="0" fontId="3" fillId="0" borderId="10" xfId="0" applyFont="1" applyBorder="1" applyAlignment="1">
      <alignment horizontal="center" vertical="center" wrapText="1"/>
    </xf>
    <xf numFmtId="0" fontId="17" fillId="0" borderId="10" xfId="15" quotePrefix="1" applyFont="1" applyBorder="1" applyAlignment="1">
      <alignment horizontal="center" vertical="center" wrapText="1"/>
    </xf>
    <xf numFmtId="0" fontId="46" fillId="0" borderId="12" xfId="0" applyFont="1" applyFill="1" applyBorder="1" applyAlignment="1">
      <alignment horizontal="center" vertical="center"/>
    </xf>
    <xf numFmtId="0" fontId="46" fillId="0" borderId="12" xfId="0" applyFont="1" applyFill="1" applyBorder="1" applyAlignment="1">
      <alignment horizontal="center" vertical="center" wrapText="1"/>
    </xf>
    <xf numFmtId="0" fontId="40" fillId="19" borderId="10" xfId="0" applyFont="1" applyFill="1" applyBorder="1" applyAlignment="1">
      <alignment horizontal="center" vertical="center"/>
    </xf>
    <xf numFmtId="0" fontId="40" fillId="19" borderId="10" xfId="0" applyFont="1" applyFill="1" applyBorder="1" applyAlignment="1">
      <alignment horizontal="center" vertical="center" wrapText="1"/>
    </xf>
    <xf numFmtId="14" fontId="40" fillId="19" borderId="10" xfId="0" applyNumberFormat="1" applyFont="1" applyFill="1" applyBorder="1" applyAlignment="1">
      <alignment horizontal="center" vertical="center"/>
    </xf>
    <xf numFmtId="49" fontId="40" fillId="19" borderId="10" xfId="0" applyNumberFormat="1" applyFont="1" applyFill="1" applyBorder="1" applyAlignment="1">
      <alignment horizontal="center" vertical="center"/>
    </xf>
    <xf numFmtId="49" fontId="40" fillId="19" borderId="10" xfId="0" applyNumberFormat="1" applyFont="1" applyFill="1" applyBorder="1" applyAlignment="1">
      <alignment horizontal="center" vertical="center" wrapText="1"/>
    </xf>
    <xf numFmtId="0" fontId="17" fillId="19" borderId="10" xfId="0" applyFont="1" applyFill="1" applyBorder="1" applyAlignment="1">
      <alignment horizontal="center" vertical="center" wrapText="1"/>
    </xf>
    <xf numFmtId="0" fontId="40" fillId="19" borderId="11" xfId="0" applyFont="1" applyFill="1" applyBorder="1" applyAlignment="1">
      <alignment horizontal="center" vertical="center"/>
    </xf>
    <xf numFmtId="0" fontId="40" fillId="19" borderId="10" xfId="0" applyNumberFormat="1" applyFont="1" applyFill="1" applyBorder="1" applyAlignment="1">
      <alignment horizontal="center" vertical="center"/>
    </xf>
    <xf numFmtId="0" fontId="40" fillId="19" borderId="10" xfId="0" quotePrefix="1" applyNumberFormat="1" applyFont="1" applyFill="1" applyBorder="1" applyAlignment="1">
      <alignment horizontal="center" vertical="center"/>
    </xf>
    <xf numFmtId="0" fontId="40" fillId="19" borderId="13" xfId="0" applyFont="1" applyFill="1" applyBorder="1" applyAlignment="1">
      <alignment horizontal="center" vertical="center" wrapText="1"/>
    </xf>
    <xf numFmtId="0" fontId="40" fillId="19" borderId="10" xfId="0" quotePrefix="1" applyFont="1" applyFill="1" applyBorder="1" applyAlignment="1">
      <alignment horizontal="center" vertical="center"/>
    </xf>
    <xf numFmtId="14" fontId="40" fillId="19" borderId="12" xfId="0" applyNumberFormat="1" applyFont="1" applyFill="1" applyBorder="1" applyAlignment="1">
      <alignment horizontal="center" vertical="center"/>
    </xf>
    <xf numFmtId="0" fontId="40" fillId="19" borderId="12" xfId="0" applyFont="1" applyFill="1" applyBorder="1" applyAlignment="1">
      <alignment horizontal="center" vertical="center" wrapText="1"/>
    </xf>
    <xf numFmtId="0" fontId="40" fillId="19" borderId="12" xfId="0" applyFont="1" applyFill="1" applyBorder="1" applyAlignment="1">
      <alignment horizontal="center" vertical="center"/>
    </xf>
    <xf numFmtId="0" fontId="40" fillId="19" borderId="15" xfId="0" applyFont="1" applyFill="1" applyBorder="1" applyAlignment="1">
      <alignment horizontal="center" vertical="center"/>
    </xf>
    <xf numFmtId="0" fontId="17" fillId="20" borderId="11" xfId="0" applyFont="1" applyFill="1" applyBorder="1" applyAlignment="1">
      <alignment horizontal="center" vertical="center"/>
    </xf>
    <xf numFmtId="0" fontId="17" fillId="20" borderId="10" xfId="0" applyFont="1" applyFill="1" applyBorder="1" applyAlignment="1">
      <alignment horizontal="center" vertical="center"/>
    </xf>
    <xf numFmtId="0" fontId="17" fillId="20" borderId="10" xfId="0" applyFont="1" applyFill="1" applyBorder="1" applyAlignment="1">
      <alignment horizontal="center" vertical="center" wrapText="1"/>
    </xf>
    <xf numFmtId="14" fontId="17" fillId="20" borderId="10" xfId="0" applyNumberFormat="1" applyFont="1" applyFill="1" applyBorder="1" applyAlignment="1">
      <alignment horizontal="center" vertical="center"/>
    </xf>
    <xf numFmtId="49" fontId="23" fillId="20" borderId="10" xfId="0" applyNumberFormat="1" applyFont="1" applyFill="1" applyBorder="1" applyAlignment="1">
      <alignment horizontal="center" vertical="center"/>
    </xf>
    <xf numFmtId="49" fontId="23" fillId="20" borderId="10" xfId="0" applyNumberFormat="1" applyFont="1" applyFill="1" applyBorder="1" applyAlignment="1">
      <alignment horizontal="center" vertical="center" wrapText="1"/>
    </xf>
    <xf numFmtId="49" fontId="17" fillId="20" borderId="10" xfId="0" applyNumberFormat="1" applyFont="1" applyFill="1" applyBorder="1" applyAlignment="1">
      <alignment horizontal="center" vertical="center" wrapText="1"/>
    </xf>
    <xf numFmtId="0" fontId="17" fillId="20" borderId="13" xfId="0" applyFont="1" applyFill="1" applyBorder="1" applyAlignment="1">
      <alignment horizontal="center" vertical="center" wrapText="1"/>
    </xf>
    <xf numFmtId="49" fontId="17" fillId="20" borderId="10" xfId="0" applyNumberFormat="1" applyFont="1" applyFill="1" applyBorder="1" applyAlignment="1">
      <alignment horizontal="center" vertical="center"/>
    </xf>
    <xf numFmtId="49" fontId="17" fillId="20" borderId="13" xfId="0" applyNumberFormat="1" applyFont="1" applyFill="1" applyBorder="1" applyAlignment="1">
      <alignment horizontal="center" vertical="center" wrapText="1"/>
    </xf>
    <xf numFmtId="49" fontId="46" fillId="20" borderId="10" xfId="0" applyNumberFormat="1" applyFont="1" applyFill="1" applyBorder="1" applyAlignment="1">
      <alignment horizontal="center" vertical="center" wrapText="1"/>
    </xf>
    <xf numFmtId="49" fontId="17" fillId="20" borderId="12" xfId="0" applyNumberFormat="1" applyFont="1" applyFill="1" applyBorder="1" applyAlignment="1">
      <alignment horizontal="center" vertical="center" wrapText="1"/>
    </xf>
    <xf numFmtId="0" fontId="17" fillId="20" borderId="12" xfId="0" applyFont="1" applyFill="1" applyBorder="1" applyAlignment="1">
      <alignment horizontal="center" vertical="center" wrapText="1"/>
    </xf>
    <xf numFmtId="0" fontId="17" fillId="20" borderId="15" xfId="0" applyFont="1" applyFill="1" applyBorder="1" applyAlignment="1">
      <alignment horizontal="center" vertical="center"/>
    </xf>
    <xf numFmtId="0" fontId="17" fillId="20" borderId="12" xfId="0" applyFont="1" applyFill="1" applyBorder="1" applyAlignment="1">
      <alignment horizontal="center" vertical="center"/>
    </xf>
    <xf numFmtId="14" fontId="17" fillId="20" borderId="12" xfId="0" applyNumberFormat="1" applyFont="1" applyFill="1" applyBorder="1" applyAlignment="1">
      <alignment horizontal="center" vertical="center"/>
    </xf>
    <xf numFmtId="49" fontId="17" fillId="20" borderId="12" xfId="0" applyNumberFormat="1" applyFont="1" applyFill="1" applyBorder="1" applyAlignment="1">
      <alignment horizontal="center" vertical="center"/>
    </xf>
    <xf numFmtId="0" fontId="46" fillId="20" borderId="11" xfId="0" applyFont="1" applyFill="1" applyBorder="1" applyAlignment="1">
      <alignment horizontal="center" vertical="center"/>
    </xf>
    <xf numFmtId="0" fontId="46" fillId="20" borderId="10" xfId="0" applyFont="1" applyFill="1" applyBorder="1" applyAlignment="1">
      <alignment horizontal="center" vertical="center"/>
    </xf>
    <xf numFmtId="0" fontId="46" fillId="20" borderId="10" xfId="0" applyFont="1" applyFill="1" applyBorder="1" applyAlignment="1">
      <alignment horizontal="center" vertical="center" wrapText="1"/>
    </xf>
    <xf numFmtId="14" fontId="46" fillId="20" borderId="10" xfId="0" applyNumberFormat="1" applyFont="1" applyFill="1" applyBorder="1" applyAlignment="1">
      <alignment horizontal="center" vertical="center"/>
    </xf>
    <xf numFmtId="0" fontId="46" fillId="20" borderId="10" xfId="0" applyNumberFormat="1" applyFont="1" applyFill="1" applyBorder="1" applyAlignment="1">
      <alignment horizontal="center" vertical="center"/>
    </xf>
    <xf numFmtId="0" fontId="17" fillId="20" borderId="10" xfId="0" applyNumberFormat="1" applyFont="1" applyFill="1" applyBorder="1" applyAlignment="1">
      <alignment horizontal="center" vertical="center"/>
    </xf>
    <xf numFmtId="0" fontId="17" fillId="20" borderId="21" xfId="0" applyFont="1" applyFill="1" applyBorder="1" applyAlignment="1">
      <alignment horizontal="center" vertical="center" wrapText="1"/>
    </xf>
    <xf numFmtId="49" fontId="46" fillId="20" borderId="10" xfId="0" applyNumberFormat="1" applyFont="1" applyFill="1" applyBorder="1" applyAlignment="1">
      <alignment horizontal="center" vertical="center"/>
    </xf>
    <xf numFmtId="0" fontId="17" fillId="20" borderId="10" xfId="15" applyFont="1" applyFill="1" applyBorder="1" applyAlignment="1">
      <alignment horizontal="center" vertical="center" wrapText="1"/>
    </xf>
    <xf numFmtId="0" fontId="46" fillId="20" borderId="13" xfId="0" applyFont="1" applyFill="1" applyBorder="1" applyAlignment="1">
      <alignment horizontal="center" vertical="center" wrapText="1"/>
    </xf>
    <xf numFmtId="0" fontId="46" fillId="20" borderId="10" xfId="0" quotePrefix="1" applyNumberFormat="1" applyFont="1" applyFill="1" applyBorder="1" applyAlignment="1">
      <alignment horizontal="center" vertical="center"/>
    </xf>
    <xf numFmtId="0" fontId="46" fillId="20" borderId="15" xfId="0" applyFont="1" applyFill="1" applyBorder="1" applyAlignment="1">
      <alignment horizontal="center" vertical="center"/>
    </xf>
    <xf numFmtId="0" fontId="46" fillId="20" borderId="12" xfId="0" quotePrefix="1" applyNumberFormat="1" applyFont="1" applyFill="1" applyBorder="1" applyAlignment="1">
      <alignment horizontal="center" vertical="center"/>
    </xf>
    <xf numFmtId="0" fontId="46" fillId="20" borderId="12" xfId="0" applyFont="1" applyFill="1" applyBorder="1" applyAlignment="1">
      <alignment horizontal="center" vertical="center"/>
    </xf>
    <xf numFmtId="0" fontId="46" fillId="20" borderId="12" xfId="0" applyFont="1" applyFill="1" applyBorder="1" applyAlignment="1">
      <alignment horizontal="center" vertical="center" wrapText="1"/>
    </xf>
    <xf numFmtId="14" fontId="46" fillId="20" borderId="12" xfId="0" applyNumberFormat="1" applyFont="1" applyFill="1" applyBorder="1" applyAlignment="1">
      <alignment horizontal="center" vertical="center"/>
    </xf>
    <xf numFmtId="49" fontId="46" fillId="20" borderId="12" xfId="0" applyNumberFormat="1" applyFont="1" applyFill="1" applyBorder="1" applyAlignment="1">
      <alignment horizontal="center" vertical="center"/>
    </xf>
    <xf numFmtId="0" fontId="17" fillId="20" borderId="12" xfId="0" quotePrefix="1" applyFont="1" applyFill="1" applyBorder="1" applyAlignment="1">
      <alignment horizontal="center" vertical="center"/>
    </xf>
    <xf numFmtId="0" fontId="31" fillId="0" borderId="1" xfId="0" applyFont="1" applyFill="1" applyBorder="1" applyAlignment="1">
      <alignment horizontal="center" vertical="center" wrapText="1"/>
    </xf>
    <xf numFmtId="168" fontId="17" fillId="0" borderId="10" xfId="0" applyNumberFormat="1" applyFont="1" applyFill="1" applyBorder="1" applyAlignment="1">
      <alignment horizontal="center" vertical="center"/>
    </xf>
    <xf numFmtId="168" fontId="17" fillId="0" borderId="5" xfId="0" applyNumberFormat="1" applyFont="1" applyFill="1" applyBorder="1" applyAlignment="1">
      <alignment horizontal="center" vertical="center" wrapText="1"/>
    </xf>
    <xf numFmtId="0" fontId="17" fillId="0" borderId="10" xfId="0" applyFont="1" applyFill="1" applyBorder="1" applyAlignment="1">
      <alignment horizontal="center" vertical="top" wrapText="1"/>
    </xf>
    <xf numFmtId="0" fontId="23" fillId="0" borderId="7"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23" fillId="0" borderId="10" xfId="0" applyFont="1" applyFill="1" applyBorder="1" applyAlignment="1">
      <alignment horizontal="center" vertical="center" wrapText="1"/>
    </xf>
    <xf numFmtId="168" fontId="23" fillId="0" borderId="10" xfId="0" applyNumberFormat="1" applyFont="1" applyFill="1" applyBorder="1" applyAlignment="1">
      <alignment horizontal="center" vertical="center" wrapText="1"/>
    </xf>
    <xf numFmtId="168" fontId="23" fillId="0" borderId="5" xfId="0" applyNumberFormat="1" applyFont="1" applyFill="1" applyBorder="1" applyAlignment="1">
      <alignment horizontal="center" vertical="center" wrapText="1"/>
    </xf>
    <xf numFmtId="49" fontId="23" fillId="0" borderId="5" xfId="0" applyNumberFormat="1" applyFont="1" applyFill="1" applyBorder="1" applyAlignment="1">
      <alignment horizontal="center" vertical="center" wrapText="1"/>
    </xf>
    <xf numFmtId="0" fontId="23"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xf>
    <xf numFmtId="0" fontId="17" fillId="0" borderId="12" xfId="0" quotePrefix="1" applyFont="1" applyFill="1" applyBorder="1" applyAlignment="1">
      <alignment horizontal="center" vertical="center" wrapText="1"/>
    </xf>
    <xf numFmtId="0" fontId="40" fillId="0" borderId="12" xfId="0" applyFont="1" applyFill="1" applyBorder="1" applyAlignment="1">
      <alignment horizontal="center" vertical="center" wrapText="1"/>
    </xf>
    <xf numFmtId="0" fontId="28" fillId="0" borderId="0" xfId="0" applyFont="1" applyAlignment="1">
      <alignment horizontal="center" vertical="center" wrapText="1"/>
    </xf>
    <xf numFmtId="0" fontId="3" fillId="0" borderId="10" xfId="15" applyFont="1" applyBorder="1" applyAlignment="1">
      <alignment horizontal="center" vertical="center"/>
    </xf>
    <xf numFmtId="0" fontId="3" fillId="0" borderId="10" xfId="15" applyFont="1" applyBorder="1" applyAlignment="1">
      <alignment horizontal="center" vertical="center" wrapText="1"/>
    </xf>
    <xf numFmtId="168" fontId="3" fillId="0" borderId="10" xfId="15" applyNumberFormat="1" applyFont="1" applyBorder="1" applyAlignment="1">
      <alignment horizontal="center" vertical="center"/>
    </xf>
    <xf numFmtId="0" fontId="5" fillId="0" borderId="10" xfId="15" applyFont="1" applyBorder="1" applyAlignment="1">
      <alignment horizontal="center" vertical="center" wrapText="1"/>
    </xf>
    <xf numFmtId="0" fontId="17" fillId="20" borderId="12" xfId="0" quotePrefix="1" applyNumberFormat="1" applyFont="1" applyFill="1" applyBorder="1" applyAlignment="1">
      <alignment horizontal="center" vertical="center"/>
    </xf>
    <xf numFmtId="168" fontId="17" fillId="0" borderId="10" xfId="0" applyNumberFormat="1" applyFont="1" applyFill="1" applyBorder="1" applyAlignment="1">
      <alignment horizontal="center" vertical="center" wrapText="1"/>
    </xf>
    <xf numFmtId="168" fontId="17" fillId="0" borderId="1" xfId="0" applyNumberFormat="1" applyFont="1" applyFill="1" applyBorder="1" applyAlignment="1">
      <alignment horizontal="center" vertical="center" wrapText="1"/>
    </xf>
    <xf numFmtId="0" fontId="17" fillId="0" borderId="0" xfId="0" applyFont="1" applyFill="1"/>
    <xf numFmtId="14" fontId="17" fillId="0" borderId="1" xfId="0" applyNumberFormat="1" applyFont="1" applyFill="1" applyBorder="1" applyAlignment="1">
      <alignment horizontal="center" vertical="center"/>
    </xf>
    <xf numFmtId="0" fontId="17" fillId="0" borderId="10" xfId="0" applyFont="1" applyFill="1" applyBorder="1"/>
    <xf numFmtId="0" fontId="17" fillId="0" borderId="0" xfId="0" applyFont="1" applyFill="1" applyAlignment="1">
      <alignment horizontal="center" vertical="center"/>
    </xf>
    <xf numFmtId="0" fontId="17" fillId="0" borderId="21" xfId="0" applyFont="1" applyFill="1" applyBorder="1" applyAlignment="1">
      <alignment horizontal="center" vertical="center" wrapText="1"/>
    </xf>
    <xf numFmtId="0" fontId="3" fillId="0" borderId="10" xfId="0" applyFont="1" applyBorder="1" applyAlignment="1">
      <alignment horizontal="center" vertical="center" wrapText="1"/>
    </xf>
    <xf numFmtId="0" fontId="17" fillId="0" borderId="10" xfId="0" applyFont="1" applyFill="1" applyBorder="1" applyAlignment="1">
      <alignment wrapText="1"/>
    </xf>
    <xf numFmtId="14" fontId="17" fillId="0" borderId="12" xfId="0" applyNumberFormat="1" applyFont="1" applyFill="1" applyBorder="1" applyAlignment="1">
      <alignment horizontal="center" vertical="center" wrapText="1"/>
    </xf>
    <xf numFmtId="0" fontId="41" fillId="0" borderId="12" xfId="0" applyFont="1" applyFill="1" applyBorder="1" applyAlignment="1">
      <alignment horizontal="center" vertical="center" wrapText="1"/>
    </xf>
    <xf numFmtId="0" fontId="16" fillId="3" borderId="24" xfId="0" applyNumberFormat="1" applyFont="1" applyFill="1" applyBorder="1" applyAlignment="1">
      <alignment horizontal="center" vertical="center" wrapText="1"/>
    </xf>
    <xf numFmtId="0" fontId="17" fillId="0" borderId="13" xfId="0" applyFont="1" applyFill="1" applyBorder="1" applyAlignment="1">
      <alignment horizontal="center" vertical="top" wrapText="1"/>
    </xf>
    <xf numFmtId="14" fontId="17" fillId="0" borderId="13" xfId="0" applyNumberFormat="1" applyFont="1" applyBorder="1" applyAlignment="1">
      <alignment horizontal="center" vertical="center" wrapText="1"/>
    </xf>
    <xf numFmtId="0" fontId="17" fillId="0" borderId="21" xfId="0" applyFont="1" applyBorder="1" applyAlignment="1">
      <alignment wrapText="1"/>
    </xf>
    <xf numFmtId="0" fontId="17" fillId="0" borderId="13" xfId="0" applyFont="1" applyBorder="1" applyAlignment="1">
      <alignment wrapText="1"/>
    </xf>
    <xf numFmtId="14" fontId="16" fillId="3" borderId="24" xfId="0" applyNumberFormat="1" applyFont="1" applyFill="1" applyBorder="1" applyAlignment="1">
      <alignment horizontal="center" vertical="center" wrapText="1"/>
    </xf>
    <xf numFmtId="0" fontId="17" fillId="0" borderId="13" xfId="0" quotePrefix="1" applyFont="1" applyFill="1" applyBorder="1" applyAlignment="1">
      <alignment horizontal="center" vertical="center" wrapText="1"/>
    </xf>
    <xf numFmtId="0" fontId="17" fillId="0" borderId="21" xfId="0" quotePrefix="1" applyFont="1" applyFill="1" applyBorder="1" applyAlignment="1">
      <alignment horizontal="center" vertical="center" wrapText="1"/>
    </xf>
    <xf numFmtId="14" fontId="17" fillId="2" borderId="10" xfId="15" applyNumberFormat="1" applyFont="1" applyFill="1" applyBorder="1" applyAlignment="1">
      <alignment horizontal="center" vertical="center" wrapText="1"/>
    </xf>
    <xf numFmtId="0" fontId="3" fillId="0" borderId="10" xfId="0" applyFont="1" applyBorder="1" applyAlignment="1">
      <alignment horizontal="center" vertical="center" wrapText="1"/>
    </xf>
    <xf numFmtId="16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xf>
    <xf numFmtId="14" fontId="17" fillId="0" borderId="10" xfId="0" quotePrefix="1" applyNumberFormat="1" applyFont="1" applyFill="1" applyBorder="1" applyAlignment="1">
      <alignment horizontal="center" vertical="center" wrapText="1"/>
    </xf>
    <xf numFmtId="0" fontId="41" fillId="0" borderId="10" xfId="0" applyFont="1" applyFill="1" applyBorder="1" applyAlignment="1">
      <alignment horizontal="center" vertical="center" wrapText="1"/>
    </xf>
    <xf numFmtId="49" fontId="47" fillId="20" borderId="12" xfId="0" applyNumberFormat="1" applyFont="1" applyFill="1" applyBorder="1" applyAlignment="1">
      <alignment horizontal="center" vertical="center" wrapText="1"/>
    </xf>
    <xf numFmtId="0" fontId="47" fillId="20" borderId="12" xfId="0" applyFont="1" applyFill="1" applyBorder="1" applyAlignment="1">
      <alignment horizontal="center" vertical="center"/>
    </xf>
    <xf numFmtId="0" fontId="47" fillId="20" borderId="12" xfId="0" applyFont="1" applyFill="1" applyBorder="1" applyAlignment="1">
      <alignment horizontal="center" vertical="center" wrapText="1"/>
    </xf>
    <xf numFmtId="0" fontId="40" fillId="20" borderId="12" xfId="0" applyFont="1" applyFill="1" applyBorder="1" applyAlignment="1">
      <alignment horizontal="center" vertical="center" wrapText="1"/>
    </xf>
    <xf numFmtId="0" fontId="48" fillId="0" borderId="10" xfId="0" applyFont="1" applyBorder="1" applyAlignment="1">
      <alignment horizontal="center" vertical="center"/>
    </xf>
    <xf numFmtId="0" fontId="48" fillId="0" borderId="10" xfId="0" applyFont="1" applyBorder="1" applyAlignment="1">
      <alignment horizontal="center" vertical="center" wrapText="1"/>
    </xf>
    <xf numFmtId="0" fontId="49" fillId="0" borderId="10" xfId="0" applyFont="1" applyBorder="1" applyAlignment="1">
      <alignment horizontal="center" vertical="center" wrapText="1"/>
    </xf>
    <xf numFmtId="14" fontId="48" fillId="0" borderId="10" xfId="0" applyNumberFormat="1" applyFont="1" applyBorder="1" applyAlignment="1">
      <alignment horizontal="center" vertical="center"/>
    </xf>
    <xf numFmtId="49" fontId="48" fillId="0" borderId="10" xfId="0" applyNumberFormat="1" applyFont="1" applyBorder="1" applyAlignment="1">
      <alignment horizontal="center" vertical="center"/>
    </xf>
    <xf numFmtId="49" fontId="48" fillId="0" borderId="10" xfId="0" applyNumberFormat="1" applyFont="1" applyBorder="1" applyAlignment="1">
      <alignment horizontal="center" vertical="center" wrapText="1"/>
    </xf>
    <xf numFmtId="0" fontId="48" fillId="0" borderId="10" xfId="0" applyFont="1" applyBorder="1" applyAlignment="1">
      <alignment wrapText="1"/>
    </xf>
    <xf numFmtId="0" fontId="48" fillId="0" borderId="10" xfId="0" applyFont="1" applyFill="1" applyBorder="1" applyAlignment="1">
      <alignment horizontal="center" vertical="center" wrapText="1"/>
    </xf>
    <xf numFmtId="0" fontId="48" fillId="0" borderId="13" xfId="0" applyFont="1" applyBorder="1" applyAlignment="1">
      <alignment wrapText="1"/>
    </xf>
    <xf numFmtId="14" fontId="21" fillId="0" borderId="10" xfId="0" applyNumberFormat="1" applyFont="1" applyFill="1" applyBorder="1" applyAlignment="1">
      <alignment horizontal="center" vertical="center" wrapText="1"/>
    </xf>
    <xf numFmtId="0" fontId="0" fillId="0" borderId="10" xfId="15" applyFont="1" applyFill="1" applyBorder="1" applyAlignment="1">
      <alignment horizontal="center" vertical="center"/>
    </xf>
    <xf numFmtId="0" fontId="0" fillId="0" borderId="10" xfId="15" applyFont="1" applyFill="1" applyBorder="1" applyAlignment="1">
      <alignment horizontal="center" vertical="center" wrapText="1"/>
    </xf>
    <xf numFmtId="0" fontId="50" fillId="0" borderId="10" xfId="0" applyFont="1" applyFill="1" applyBorder="1" applyAlignment="1">
      <alignment horizontal="center" vertical="center" wrapText="1"/>
    </xf>
    <xf numFmtId="0" fontId="50" fillId="0" borderId="12" xfId="0" applyFont="1" applyFill="1" applyBorder="1" applyAlignment="1">
      <alignment horizontal="center" vertical="center" wrapText="1"/>
    </xf>
    <xf numFmtId="0" fontId="51" fillId="0" borderId="12" xfId="0" applyFont="1" applyFill="1" applyBorder="1" applyAlignment="1">
      <alignment horizontal="center" vertical="center" wrapText="1"/>
    </xf>
    <xf numFmtId="0" fontId="50" fillId="0" borderId="13" xfId="0" applyFont="1" applyFill="1" applyBorder="1" applyAlignment="1">
      <alignment horizontal="center" vertical="center" wrapText="1"/>
    </xf>
    <xf numFmtId="0" fontId="50" fillId="0" borderId="11" xfId="0"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horizontal="center" vertical="center" wrapText="1"/>
    </xf>
    <xf numFmtId="14" fontId="50" fillId="0" borderId="10" xfId="0" applyNumberFormat="1" applyFont="1" applyBorder="1" applyAlignment="1">
      <alignment horizontal="center" vertical="center"/>
    </xf>
    <xf numFmtId="49" fontId="50" fillId="0" borderId="10" xfId="0" applyNumberFormat="1" applyFont="1" applyBorder="1" applyAlignment="1">
      <alignment horizontal="center" vertical="center"/>
    </xf>
    <xf numFmtId="49" fontId="50" fillId="0" borderId="10" xfId="0" applyNumberFormat="1" applyFont="1" applyBorder="1" applyAlignment="1">
      <alignment horizontal="center" vertical="center" wrapText="1"/>
    </xf>
    <xf numFmtId="0" fontId="50" fillId="0" borderId="1" xfId="0" applyFont="1" applyBorder="1" applyAlignment="1">
      <alignment horizontal="center" vertical="center" wrapText="1"/>
    </xf>
    <xf numFmtId="14" fontId="50" fillId="0" borderId="1" xfId="0" applyNumberFormat="1" applyFont="1" applyBorder="1" applyAlignment="1">
      <alignment horizontal="center" vertical="center"/>
    </xf>
    <xf numFmtId="49" fontId="50" fillId="0" borderId="1" xfId="0" applyNumberFormat="1" applyFont="1" applyBorder="1" applyAlignment="1">
      <alignment horizontal="center" vertical="center"/>
    </xf>
    <xf numFmtId="49" fontId="50" fillId="0" borderId="1" xfId="0" applyNumberFormat="1" applyFont="1" applyBorder="1" applyAlignment="1">
      <alignment horizontal="center" vertical="center" wrapText="1"/>
    </xf>
    <xf numFmtId="0" fontId="50" fillId="0" borderId="3" xfId="0" applyFont="1" applyBorder="1" applyAlignment="1">
      <alignment horizontal="center" vertical="center" wrapText="1"/>
    </xf>
    <xf numFmtId="0" fontId="50" fillId="0" borderId="3" xfId="0" applyFont="1" applyBorder="1" applyAlignment="1">
      <alignment wrapText="1"/>
    </xf>
    <xf numFmtId="0" fontId="50" fillId="0" borderId="3" xfId="0" applyFont="1" applyFill="1" applyBorder="1" applyAlignment="1">
      <alignment horizontal="center" vertical="center" wrapText="1"/>
    </xf>
    <xf numFmtId="14" fontId="50" fillId="0" borderId="12" xfId="0" applyNumberFormat="1" applyFont="1" applyFill="1" applyBorder="1" applyAlignment="1">
      <alignment horizontal="center" vertical="center" wrapText="1"/>
    </xf>
    <xf numFmtId="0" fontId="17" fillId="0" borderId="6" xfId="0" quotePrefix="1" applyFont="1" applyFill="1" applyBorder="1" applyAlignment="1">
      <alignment horizontal="center" vertical="center" wrapText="1"/>
    </xf>
    <xf numFmtId="2" fontId="21" fillId="0" borderId="10" xfId="15" applyNumberFormat="1" applyFont="1" applyFill="1" applyBorder="1" applyAlignment="1">
      <alignment horizontal="center" vertical="center" wrapText="1"/>
    </xf>
    <xf numFmtId="0" fontId="10" fillId="0" borderId="0" xfId="0" applyFont="1" applyAlignment="1">
      <alignment wrapText="1"/>
    </xf>
    <xf numFmtId="14" fontId="3" fillId="0" borderId="0" xfId="15" applyNumberFormat="1" applyFont="1" applyFill="1" applyBorder="1" applyAlignment="1">
      <alignment horizontal="center" vertical="center" wrapText="1"/>
    </xf>
    <xf numFmtId="0" fontId="17" fillId="0" borderId="10" xfId="0" applyNumberFormat="1" applyFont="1" applyBorder="1" applyAlignment="1">
      <alignment horizontal="center" vertical="center"/>
    </xf>
    <xf numFmtId="14" fontId="3" fillId="0" borderId="10" xfId="15" applyNumberFormat="1" applyFont="1" applyBorder="1" applyAlignment="1">
      <alignment horizontal="center" vertical="center" wrapText="1"/>
    </xf>
    <xf numFmtId="0" fontId="52" fillId="0" borderId="12" xfId="0" applyFont="1" applyFill="1" applyBorder="1" applyAlignment="1">
      <alignment horizontal="center" vertical="center" wrapText="1"/>
    </xf>
    <xf numFmtId="14" fontId="52" fillId="0" borderId="12" xfId="0" applyNumberFormat="1" applyFont="1" applyFill="1" applyBorder="1" applyAlignment="1">
      <alignment horizontal="center" vertical="center" wrapText="1"/>
    </xf>
    <xf numFmtId="0" fontId="17" fillId="0" borderId="3" xfId="0" applyFont="1" applyFill="1" applyBorder="1" applyAlignment="1">
      <alignment horizontal="center" vertical="center" wrapText="1"/>
    </xf>
    <xf numFmtId="0" fontId="52" fillId="0" borderId="3" xfId="0" applyFont="1" applyFill="1" applyBorder="1" applyAlignment="1">
      <alignment horizontal="center" vertical="center" wrapText="1"/>
    </xf>
    <xf numFmtId="14" fontId="52" fillId="0" borderId="3" xfId="0" applyNumberFormat="1" applyFont="1" applyFill="1" applyBorder="1" applyAlignment="1">
      <alignment horizontal="center" vertical="center" wrapText="1"/>
    </xf>
    <xf numFmtId="14" fontId="17" fillId="0" borderId="3" xfId="0" applyNumberFormat="1" applyFont="1" applyFill="1" applyBorder="1" applyAlignment="1">
      <alignment horizontal="center" vertical="center" wrapText="1"/>
    </xf>
    <xf numFmtId="0" fontId="52" fillId="0" borderId="10" xfId="0" applyFont="1" applyBorder="1" applyAlignment="1">
      <alignment horizontal="center" vertical="center"/>
    </xf>
    <xf numFmtId="0" fontId="53" fillId="0" borderId="10" xfId="0" applyFont="1" applyBorder="1" applyAlignment="1">
      <alignment horizontal="center" vertical="center" wrapText="1"/>
    </xf>
    <xf numFmtId="14" fontId="52" fillId="0" borderId="10" xfId="0" applyNumberFormat="1" applyFont="1" applyBorder="1" applyAlignment="1">
      <alignment horizontal="center" vertical="center"/>
    </xf>
    <xf numFmtId="49" fontId="52" fillId="0" borderId="10" xfId="0" applyNumberFormat="1" applyFont="1" applyBorder="1" applyAlignment="1">
      <alignment horizontal="center" vertical="center" wrapText="1"/>
    </xf>
    <xf numFmtId="0" fontId="52" fillId="0" borderId="12" xfId="0" applyFont="1" applyBorder="1" applyAlignment="1">
      <alignment horizontal="center" vertical="center" wrapText="1"/>
    </xf>
    <xf numFmtId="0" fontId="52" fillId="0" borderId="12" xfId="0" applyFont="1" applyBorder="1" applyAlignment="1">
      <alignment wrapText="1"/>
    </xf>
    <xf numFmtId="0" fontId="52" fillId="0" borderId="15" xfId="0" applyFont="1" applyBorder="1" applyAlignment="1">
      <alignment wrapText="1"/>
    </xf>
    <xf numFmtId="49" fontId="16" fillId="3" borderId="0" xfId="0" applyNumberFormat="1" applyFont="1" applyFill="1" applyBorder="1" applyAlignment="1">
      <alignment horizontal="center" vertical="center" wrapText="1"/>
    </xf>
    <xf numFmtId="49" fontId="17" fillId="0" borderId="12" xfId="0" applyNumberFormat="1" applyFont="1" applyFill="1" applyBorder="1" applyAlignment="1">
      <alignment horizontal="center" vertical="center" wrapText="1"/>
    </xf>
    <xf numFmtId="0" fontId="54" fillId="0" borderId="10" xfId="0" applyFont="1" applyBorder="1" applyAlignment="1">
      <alignment horizontal="center" vertical="center"/>
    </xf>
    <xf numFmtId="0" fontId="54" fillId="0" borderId="10" xfId="0" applyFont="1" applyBorder="1" applyAlignment="1">
      <alignment horizontal="center" vertical="center" wrapText="1"/>
    </xf>
    <xf numFmtId="14" fontId="54" fillId="0" borderId="10" xfId="0" applyNumberFormat="1" applyFont="1" applyBorder="1" applyAlignment="1">
      <alignment horizontal="center" vertical="center"/>
    </xf>
    <xf numFmtId="0" fontId="54" fillId="0" borderId="12" xfId="0" applyFont="1" applyBorder="1" applyAlignment="1">
      <alignment horizontal="center" vertical="center" wrapText="1"/>
    </xf>
    <xf numFmtId="0" fontId="54" fillId="0" borderId="12" xfId="0" applyFont="1" applyBorder="1" applyAlignment="1">
      <alignment wrapText="1"/>
    </xf>
    <xf numFmtId="0" fontId="54" fillId="0" borderId="12" xfId="0" applyFont="1" applyFill="1" applyBorder="1" applyAlignment="1">
      <alignment horizontal="center" vertical="center" wrapText="1"/>
    </xf>
    <xf numFmtId="0" fontId="54" fillId="0" borderId="15" xfId="0" applyFont="1" applyBorder="1" applyAlignment="1">
      <alignment wrapText="1"/>
    </xf>
    <xf numFmtId="9" fontId="54" fillId="0" borderId="10" xfId="0" applyNumberFormat="1" applyFont="1" applyBorder="1" applyAlignment="1">
      <alignment horizontal="center" vertical="center" wrapText="1"/>
    </xf>
    <xf numFmtId="0" fontId="55" fillId="0" borderId="10" xfId="0" applyFont="1" applyBorder="1" applyAlignment="1">
      <alignment horizontal="center" vertical="center"/>
    </xf>
    <xf numFmtId="0" fontId="55" fillId="0" borderId="10" xfId="0" applyFont="1" applyBorder="1" applyAlignment="1">
      <alignment horizontal="center" vertical="center" wrapText="1"/>
    </xf>
    <xf numFmtId="14" fontId="55" fillId="0" borderId="10" xfId="0" applyNumberFormat="1" applyFont="1" applyBorder="1" applyAlignment="1">
      <alignment horizontal="center" vertical="center"/>
    </xf>
    <xf numFmtId="49" fontId="55" fillId="0" borderId="10" xfId="0" applyNumberFormat="1" applyFont="1" applyBorder="1" applyAlignment="1">
      <alignment horizontal="center" vertical="center"/>
    </xf>
    <xf numFmtId="0" fontId="55" fillId="0" borderId="12" xfId="0" applyFont="1" applyBorder="1" applyAlignment="1">
      <alignment horizontal="center" vertical="center" wrapText="1"/>
    </xf>
    <xf numFmtId="0" fontId="55" fillId="0" borderId="12" xfId="0" applyFont="1" applyBorder="1" applyAlignment="1">
      <alignment wrapText="1"/>
    </xf>
    <xf numFmtId="0" fontId="55" fillId="0" borderId="12" xfId="0" applyFont="1" applyFill="1" applyBorder="1" applyAlignment="1">
      <alignment horizontal="center" vertical="center" wrapText="1"/>
    </xf>
    <xf numFmtId="0" fontId="55" fillId="0" borderId="21" xfId="0" applyFont="1" applyFill="1" applyBorder="1" applyAlignment="1">
      <alignment horizontal="center" vertical="center" wrapText="1"/>
    </xf>
    <xf numFmtId="0" fontId="55" fillId="0" borderId="15" xfId="0" applyFont="1" applyBorder="1" applyAlignment="1">
      <alignment wrapText="1"/>
    </xf>
    <xf numFmtId="14" fontId="45" fillId="17" borderId="10" xfId="15" applyNumberFormat="1" applyFont="1" applyFill="1" applyBorder="1" applyAlignment="1">
      <alignment horizontal="center" vertical="center" wrapText="1"/>
    </xf>
    <xf numFmtId="49" fontId="55" fillId="0" borderId="13" xfId="0" applyNumberFormat="1" applyFont="1" applyBorder="1" applyAlignment="1">
      <alignment horizontal="center" vertical="center" wrapText="1"/>
    </xf>
    <xf numFmtId="0" fontId="50" fillId="0" borderId="13" xfId="0" applyFont="1" applyBorder="1" applyAlignment="1">
      <alignment wrapText="1"/>
    </xf>
    <xf numFmtId="0" fontId="52" fillId="0" borderId="13" xfId="0" applyFont="1" applyBorder="1" applyAlignment="1">
      <alignment wrapText="1"/>
    </xf>
    <xf numFmtId="0" fontId="54" fillId="0" borderId="13" xfId="0" applyFont="1" applyBorder="1" applyAlignment="1">
      <alignment wrapText="1"/>
    </xf>
    <xf numFmtId="0" fontId="55" fillId="0" borderId="13" xfId="0" applyFont="1" applyBorder="1" applyAlignment="1">
      <alignment wrapText="1"/>
    </xf>
    <xf numFmtId="0" fontId="28" fillId="2" borderId="10" xfId="0" applyFont="1" applyFill="1" applyBorder="1"/>
    <xf numFmtId="0" fontId="28" fillId="0" borderId="10" xfId="0" applyFont="1" applyBorder="1" applyAlignment="1">
      <alignment horizontal="center" vertical="center"/>
    </xf>
    <xf numFmtId="0" fontId="28" fillId="2" borderId="10" xfId="0" applyFont="1" applyFill="1" applyBorder="1" applyAlignment="1">
      <alignment horizontal="center" vertical="center"/>
    </xf>
    <xf numFmtId="0" fontId="28" fillId="0" borderId="10" xfId="0" applyNumberFormat="1" applyFont="1" applyBorder="1" applyAlignment="1">
      <alignment horizontal="center" vertical="center"/>
    </xf>
    <xf numFmtId="0" fontId="28" fillId="0" borderId="10" xfId="0" applyFont="1" applyBorder="1"/>
    <xf numFmtId="0" fontId="28" fillId="0" borderId="10" xfId="0" applyFont="1" applyBorder="1" applyAlignment="1">
      <alignment horizontal="center" vertical="center" wrapText="1"/>
    </xf>
    <xf numFmtId="0" fontId="0" fillId="0" borderId="0" xfId="0" applyAlignment="1">
      <alignment wrapText="1"/>
    </xf>
    <xf numFmtId="0" fontId="45" fillId="17" borderId="10" xfId="1" applyFont="1" applyFill="1" applyBorder="1" applyAlignment="1">
      <alignment horizontal="center" vertical="center" wrapText="1"/>
    </xf>
    <xf numFmtId="0" fontId="17" fillId="0" borderId="12" xfId="0" applyFont="1" applyFill="1" applyBorder="1" applyAlignment="1">
      <alignment horizontal="center" wrapText="1"/>
    </xf>
    <xf numFmtId="0" fontId="57" fillId="0" borderId="12" xfId="0" applyFont="1" applyBorder="1" applyAlignment="1">
      <alignment horizontal="center" vertical="center"/>
    </xf>
    <xf numFmtId="0" fontId="57" fillId="0" borderId="12" xfId="0" applyFont="1" applyBorder="1" applyAlignment="1">
      <alignment horizontal="center" vertical="center" wrapText="1"/>
    </xf>
    <xf numFmtId="14" fontId="57" fillId="0" borderId="12" xfId="0" applyNumberFormat="1" applyFont="1" applyBorder="1" applyAlignment="1">
      <alignment horizontal="center" vertical="center"/>
    </xf>
    <xf numFmtId="49" fontId="57" fillId="0" borderId="12" xfId="0" applyNumberFormat="1" applyFont="1" applyBorder="1" applyAlignment="1">
      <alignment horizontal="center" vertical="center" wrapText="1"/>
    </xf>
    <xf numFmtId="0" fontId="57" fillId="0" borderId="12" xfId="0" applyFont="1" applyBorder="1" applyAlignment="1">
      <alignment wrapText="1"/>
    </xf>
    <xf numFmtId="0" fontId="57" fillId="0" borderId="12" xfId="0" applyFont="1" applyFill="1" applyBorder="1" applyAlignment="1">
      <alignment horizontal="center" vertical="center" wrapText="1"/>
    </xf>
    <xf numFmtId="0" fontId="57" fillId="0" borderId="21" xfId="0" applyFont="1" applyBorder="1" applyAlignment="1">
      <alignment wrapText="1"/>
    </xf>
    <xf numFmtId="0" fontId="17" fillId="0" borderId="0" xfId="15" applyFont="1" applyBorder="1" applyAlignment="1">
      <alignment horizontal="center" vertical="center" wrapText="1"/>
    </xf>
    <xf numFmtId="0" fontId="17" fillId="2" borderId="0" xfId="15" applyFont="1" applyFill="1" applyBorder="1" applyAlignment="1">
      <alignment horizontal="center" vertical="center" wrapText="1"/>
    </xf>
    <xf numFmtId="14" fontId="17" fillId="0" borderId="0" xfId="15" applyNumberFormat="1" applyFont="1" applyFill="1" applyBorder="1" applyAlignment="1">
      <alignment horizontal="center" vertical="center" wrapText="1"/>
    </xf>
    <xf numFmtId="49" fontId="17" fillId="0" borderId="0" xfId="15" applyNumberFormat="1" applyFont="1" applyFill="1" applyBorder="1" applyAlignment="1">
      <alignment horizontal="center" vertical="center" wrapText="1"/>
    </xf>
    <xf numFmtId="0" fontId="17" fillId="0" borderId="0" xfId="0" applyFont="1" applyBorder="1" applyAlignment="1">
      <alignment wrapText="1"/>
    </xf>
    <xf numFmtId="0" fontId="17" fillId="2" borderId="0" xfId="15" applyNumberFormat="1" applyFont="1" applyFill="1" applyBorder="1" applyAlignment="1">
      <alignment horizontal="center" vertical="center" wrapText="1"/>
    </xf>
    <xf numFmtId="0" fontId="17" fillId="0" borderId="0" xfId="15" applyNumberFormat="1" applyFont="1" applyFill="1" applyBorder="1" applyAlignment="1">
      <alignment horizontal="center" vertical="center" wrapText="1"/>
    </xf>
    <xf numFmtId="14" fontId="17" fillId="0" borderId="0" xfId="15" quotePrefix="1" applyNumberFormat="1" applyFont="1" applyFill="1" applyBorder="1" applyAlignment="1">
      <alignment horizontal="center" vertical="center" wrapText="1"/>
    </xf>
    <xf numFmtId="0" fontId="3" fillId="0" borderId="0" xfId="0" applyFont="1" applyBorder="1" applyAlignment="1">
      <alignment wrapText="1"/>
    </xf>
    <xf numFmtId="0" fontId="58" fillId="0" borderId="10" xfId="0" applyFont="1" applyBorder="1" applyAlignment="1">
      <alignment horizontal="center" vertical="center"/>
    </xf>
    <xf numFmtId="0" fontId="58" fillId="0" borderId="10" xfId="0" applyFont="1" applyBorder="1" applyAlignment="1">
      <alignment horizontal="center" vertical="center" wrapText="1"/>
    </xf>
    <xf numFmtId="0" fontId="58" fillId="0" borderId="10" xfId="0" applyFont="1" applyFill="1" applyBorder="1" applyAlignment="1">
      <alignment horizontal="center" vertical="center" wrapText="1"/>
    </xf>
    <xf numFmtId="0" fontId="58" fillId="0" borderId="12" xfId="0" applyFont="1" applyFill="1" applyBorder="1" applyAlignment="1">
      <alignment horizontal="center" vertical="center" wrapText="1"/>
    </xf>
    <xf numFmtId="0" fontId="59" fillId="0" borderId="12" xfId="0" applyFont="1" applyFill="1" applyBorder="1" applyAlignment="1">
      <alignment horizontal="center" vertical="center" wrapText="1"/>
    </xf>
    <xf numFmtId="0" fontId="17" fillId="20" borderId="15" xfId="0" applyFont="1" applyFill="1" applyBorder="1" applyAlignment="1">
      <alignment horizontal="center" vertical="center" wrapText="1"/>
    </xf>
    <xf numFmtId="0" fontId="58" fillId="0" borderId="12" xfId="0" applyFont="1" applyBorder="1" applyAlignment="1">
      <alignment horizontal="center" vertical="center" wrapText="1"/>
    </xf>
    <xf numFmtId="0" fontId="58" fillId="0" borderId="12" xfId="0" applyFont="1" applyBorder="1" applyAlignment="1">
      <alignment wrapText="1"/>
    </xf>
    <xf numFmtId="0" fontId="58" fillId="0" borderId="1" xfId="0" applyFont="1" applyBorder="1" applyAlignment="1">
      <alignment horizontal="center" vertical="center"/>
    </xf>
    <xf numFmtId="0" fontId="58" fillId="0" borderId="1" xfId="0" applyFont="1" applyBorder="1" applyAlignment="1">
      <alignment horizontal="center" vertical="center" wrapText="1"/>
    </xf>
    <xf numFmtId="0" fontId="60" fillId="0" borderId="1" xfId="0" applyFont="1" applyBorder="1" applyAlignment="1">
      <alignment horizontal="center" vertical="center" wrapText="1"/>
    </xf>
    <xf numFmtId="14" fontId="58" fillId="0" borderId="1" xfId="0" applyNumberFormat="1" applyFont="1" applyBorder="1" applyAlignment="1">
      <alignment horizontal="center" vertical="center"/>
    </xf>
    <xf numFmtId="0" fontId="58" fillId="0" borderId="1" xfId="0" applyFont="1" applyBorder="1" applyAlignment="1">
      <alignment wrapText="1"/>
    </xf>
    <xf numFmtId="0" fontId="58" fillId="0" borderId="3" xfId="0" applyFont="1" applyBorder="1" applyAlignment="1">
      <alignment horizontal="center" vertical="center" wrapText="1"/>
    </xf>
    <xf numFmtId="0" fontId="58" fillId="0" borderId="3" xfId="0" applyFont="1" applyBorder="1" applyAlignment="1">
      <alignment wrapText="1"/>
    </xf>
    <xf numFmtId="0" fontId="58" fillId="0" borderId="3" xfId="0" applyFont="1" applyFill="1" applyBorder="1" applyAlignment="1">
      <alignment horizontal="center" vertical="center" wrapText="1"/>
    </xf>
    <xf numFmtId="0" fontId="58" fillId="0" borderId="26" xfId="0" applyFont="1" applyBorder="1" applyAlignment="1">
      <alignment wrapText="1"/>
    </xf>
    <xf numFmtId="0" fontId="28" fillId="0" borderId="1" xfId="0" applyFont="1" applyBorder="1"/>
    <xf numFmtId="0" fontId="58" fillId="0" borderId="1" xfId="0" applyFont="1" applyBorder="1" applyAlignment="1">
      <alignment horizontal="center" vertical="top" wrapText="1"/>
    </xf>
    <xf numFmtId="14" fontId="58" fillId="0" borderId="10" xfId="0" applyNumberFormat="1" applyFont="1" applyBorder="1" applyAlignment="1">
      <alignment horizontal="center" vertical="center"/>
    </xf>
    <xf numFmtId="49" fontId="58" fillId="0" borderId="10" xfId="0" applyNumberFormat="1" applyFont="1" applyBorder="1" applyAlignment="1">
      <alignment horizontal="center" vertical="center" wrapText="1"/>
    </xf>
    <xf numFmtId="0" fontId="58" fillId="0" borderId="10" xfId="0" applyFont="1" applyBorder="1" applyAlignment="1">
      <alignment wrapText="1"/>
    </xf>
    <xf numFmtId="0" fontId="3" fillId="0" borderId="0" xfId="0" applyFont="1" applyBorder="1" applyAlignment="1">
      <alignment horizontal="center" vertical="center" wrapText="1"/>
    </xf>
    <xf numFmtId="0" fontId="17" fillId="2" borderId="12" xfId="0" applyFont="1" applyFill="1" applyBorder="1" applyAlignment="1">
      <alignment wrapText="1"/>
    </xf>
    <xf numFmtId="0" fontId="17" fillId="0" borderId="5" xfId="0" applyFont="1" applyBorder="1" applyAlignment="1">
      <alignment wrapText="1"/>
    </xf>
    <xf numFmtId="0" fontId="16" fillId="2" borderId="0" xfId="0" applyFont="1" applyFill="1" applyBorder="1" applyAlignment="1">
      <alignment horizontal="center" vertical="center" wrapText="1"/>
    </xf>
    <xf numFmtId="0" fontId="17" fillId="2" borderId="0" xfId="0" applyNumberFormat="1" applyFont="1" applyFill="1" applyBorder="1" applyAlignment="1">
      <alignment horizontal="center" vertical="center" wrapText="1"/>
    </xf>
    <xf numFmtId="0" fontId="21" fillId="2" borderId="0" xfId="0" applyFont="1" applyFill="1" applyBorder="1" applyAlignment="1">
      <alignment horizontal="center" vertical="center" wrapText="1"/>
    </xf>
    <xf numFmtId="2" fontId="21" fillId="2" borderId="0" xfId="0" applyNumberFormat="1" applyFont="1" applyFill="1" applyBorder="1" applyAlignment="1">
      <alignment horizontal="center" vertical="center" wrapText="1"/>
    </xf>
    <xf numFmtId="165" fontId="17" fillId="0" borderId="0" xfId="6"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0" fontId="17" fillId="0" borderId="0" xfId="0" applyFont="1" applyBorder="1" applyAlignment="1">
      <alignment horizontal="center" wrapText="1"/>
    </xf>
    <xf numFmtId="0" fontId="3" fillId="0" borderId="0" xfId="0" applyFont="1" applyBorder="1" applyAlignment="1">
      <alignment horizontal="center" wrapText="1"/>
    </xf>
    <xf numFmtId="0" fontId="21" fillId="0" borderId="0" xfId="0" applyFont="1" applyBorder="1" applyAlignment="1">
      <alignment horizontal="center" wrapText="1"/>
    </xf>
    <xf numFmtId="0" fontId="23" fillId="0" borderId="0" xfId="0" applyFont="1" applyBorder="1" applyAlignment="1">
      <alignment horizontal="center" vertical="center" wrapText="1"/>
    </xf>
    <xf numFmtId="0" fontId="17" fillId="0" borderId="0"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2" fontId="17" fillId="2" borderId="0" xfId="0" applyNumberFormat="1" applyFont="1" applyFill="1" applyBorder="1" applyAlignment="1">
      <alignment horizontal="center" vertical="center" wrapText="1"/>
    </xf>
    <xf numFmtId="0" fontId="21" fillId="8" borderId="0" xfId="0" applyFont="1" applyFill="1" applyBorder="1" applyAlignment="1">
      <alignment horizontal="center" vertical="center" wrapText="1"/>
    </xf>
    <xf numFmtId="0" fontId="17" fillId="7" borderId="0" xfId="0" applyFont="1" applyFill="1" applyBorder="1" applyAlignment="1">
      <alignment horizontal="center" vertical="center" wrapText="1"/>
    </xf>
    <xf numFmtId="0" fontId="21" fillId="7" borderId="0" xfId="0" applyFont="1" applyFill="1" applyBorder="1" applyAlignment="1">
      <alignment horizontal="center" vertical="center" wrapText="1"/>
    </xf>
    <xf numFmtId="49" fontId="35" fillId="2" borderId="0" xfId="0" applyNumberFormat="1" applyFont="1" applyFill="1" applyBorder="1" applyAlignment="1">
      <alignment horizontal="center" vertical="center" wrapText="1"/>
    </xf>
    <xf numFmtId="2" fontId="21" fillId="11" borderId="10" xfId="15" applyNumberFormat="1" applyFont="1" applyFill="1" applyBorder="1" applyAlignment="1">
      <alignment horizontal="center" vertical="center" wrapText="1"/>
    </xf>
    <xf numFmtId="2" fontId="21" fillId="11" borderId="2" xfId="15" applyNumberFormat="1" applyFont="1" applyFill="1" applyBorder="1" applyAlignment="1">
      <alignment horizontal="center" vertical="center" wrapText="1"/>
    </xf>
    <xf numFmtId="168" fontId="16" fillId="12" borderId="13" xfId="15" applyNumberFormat="1" applyFont="1" applyFill="1" applyBorder="1" applyAlignment="1">
      <alignment horizontal="center" vertical="center" wrapText="1"/>
    </xf>
    <xf numFmtId="0" fontId="17" fillId="0" borderId="10" xfId="0" applyFont="1" applyBorder="1" applyAlignment="1">
      <alignment horizontal="left" vertical="center" wrapText="1"/>
    </xf>
    <xf numFmtId="14" fontId="0" fillId="0" borderId="10" xfId="15" applyNumberFormat="1" applyFont="1" applyFill="1" applyBorder="1" applyAlignment="1">
      <alignment horizontal="center" vertical="center" wrapText="1"/>
    </xf>
    <xf numFmtId="0" fontId="5" fillId="0" borderId="10" xfId="15" applyFont="1" applyFill="1" applyBorder="1" applyAlignment="1">
      <alignment horizontal="center" vertical="center" wrapText="1"/>
    </xf>
    <xf numFmtId="17" fontId="3" fillId="0" borderId="10" xfId="15" quotePrefix="1" applyNumberFormat="1" applyFont="1" applyFill="1" applyBorder="1" applyAlignment="1">
      <alignment horizontal="center" vertical="center" wrapText="1"/>
    </xf>
    <xf numFmtId="49" fontId="3" fillId="0" borderId="10" xfId="15" applyNumberFormat="1" applyFont="1" applyFill="1" applyBorder="1" applyAlignment="1">
      <alignment horizontal="center" vertical="center" wrapText="1"/>
    </xf>
    <xf numFmtId="49" fontId="3" fillId="0" borderId="10" xfId="15" applyNumberFormat="1" applyFont="1" applyFill="1" applyBorder="1" applyAlignment="1">
      <alignment horizontal="center" vertical="center"/>
    </xf>
    <xf numFmtId="14" fontId="3" fillId="0" borderId="10" xfId="15" applyNumberFormat="1" applyFont="1" applyFill="1" applyBorder="1" applyAlignment="1">
      <alignment horizontal="center" vertical="center" wrapText="1"/>
    </xf>
    <xf numFmtId="0" fontId="3" fillId="0" borderId="10" xfId="0" applyFont="1" applyFill="1" applyBorder="1" applyAlignment="1">
      <alignment horizontal="center" vertical="center"/>
    </xf>
    <xf numFmtId="0" fontId="61" fillId="0" borderId="10" xfId="0" applyFont="1" applyBorder="1" applyAlignment="1">
      <alignment horizontal="center" vertical="center" wrapText="1"/>
    </xf>
    <xf numFmtId="14" fontId="61" fillId="0" borderId="10" xfId="0" applyNumberFormat="1" applyFont="1" applyBorder="1" applyAlignment="1">
      <alignment horizontal="center" vertical="center"/>
    </xf>
    <xf numFmtId="0" fontId="61" fillId="0" borderId="10" xfId="0" applyFont="1" applyBorder="1" applyAlignment="1">
      <alignment wrapText="1"/>
    </xf>
    <xf numFmtId="0" fontId="61" fillId="0" borderId="12" xfId="0" applyFont="1" applyBorder="1" applyAlignment="1">
      <alignment horizontal="center" vertical="center" wrapText="1"/>
    </xf>
    <xf numFmtId="0" fontId="61" fillId="0" borderId="12" xfId="0" applyFont="1" applyBorder="1" applyAlignment="1">
      <alignment wrapText="1"/>
    </xf>
    <xf numFmtId="0" fontId="61" fillId="0" borderId="12" xfId="0" applyFont="1" applyFill="1" applyBorder="1" applyAlignment="1">
      <alignment horizontal="center" vertical="center" wrapText="1"/>
    </xf>
    <xf numFmtId="0" fontId="61" fillId="0" borderId="26" xfId="0" applyFont="1" applyBorder="1" applyAlignment="1">
      <alignment wrapText="1"/>
    </xf>
    <xf numFmtId="0" fontId="61" fillId="0" borderId="10" xfId="15" applyFont="1" applyFill="1" applyBorder="1" applyAlignment="1">
      <alignment horizontal="center" vertical="center" wrapText="1"/>
    </xf>
    <xf numFmtId="0" fontId="28" fillId="0" borderId="10" xfId="0" applyFont="1" applyBorder="1" applyAlignment="1">
      <alignment vertical="center"/>
    </xf>
    <xf numFmtId="0" fontId="64" fillId="0" borderId="10" xfId="0" applyFont="1" applyBorder="1" applyAlignment="1">
      <alignment horizontal="center" vertical="center" wrapText="1"/>
    </xf>
    <xf numFmtId="14" fontId="64" fillId="0" borderId="10" xfId="0" applyNumberFormat="1" applyFont="1" applyBorder="1" applyAlignment="1">
      <alignment horizontal="center" vertical="center"/>
    </xf>
    <xf numFmtId="49" fontId="64" fillId="0" borderId="10" xfId="0" applyNumberFormat="1" applyFont="1" applyBorder="1" applyAlignment="1">
      <alignment horizontal="center" vertical="center" wrapText="1"/>
    </xf>
    <xf numFmtId="0" fontId="64" fillId="0" borderId="10" xfId="0" applyFont="1" applyBorder="1" applyAlignment="1">
      <alignment wrapText="1"/>
    </xf>
    <xf numFmtId="0" fontId="64" fillId="0" borderId="12" xfId="0" applyFont="1" applyBorder="1" applyAlignment="1">
      <alignment horizontal="center" vertical="center" wrapText="1"/>
    </xf>
    <xf numFmtId="0" fontId="64" fillId="0" borderId="12" xfId="0" applyFont="1" applyBorder="1" applyAlignment="1">
      <alignment wrapText="1"/>
    </xf>
    <xf numFmtId="0" fontId="64" fillId="0" borderId="12" xfId="0" applyFont="1" applyFill="1" applyBorder="1" applyAlignment="1">
      <alignment horizontal="center" vertical="center" wrapText="1"/>
    </xf>
    <xf numFmtId="0" fontId="64" fillId="0" borderId="26" xfId="0" applyFont="1" applyBorder="1" applyAlignment="1">
      <alignment wrapText="1"/>
    </xf>
    <xf numFmtId="49" fontId="17" fillId="0" borderId="13" xfId="15" applyNumberFormat="1" applyFont="1" applyFill="1" applyBorder="1" applyAlignment="1">
      <alignment horizontal="center" vertical="center" wrapText="1"/>
    </xf>
    <xf numFmtId="168" fontId="17" fillId="0" borderId="10" xfId="15" applyNumberFormat="1" applyFont="1" applyBorder="1" applyAlignment="1">
      <alignment horizontal="center" vertical="center" wrapText="1"/>
    </xf>
    <xf numFmtId="0" fontId="5" fillId="0" borderId="10" xfId="0" applyNumberFormat="1" applyFont="1" applyFill="1" applyBorder="1" applyAlignment="1">
      <alignment horizontal="center" vertical="center" wrapText="1"/>
    </xf>
    <xf numFmtId="0" fontId="65" fillId="0" borderId="10" xfId="0" applyNumberFormat="1" applyFont="1" applyBorder="1" applyAlignment="1">
      <alignment horizontal="left" vertical="center" wrapText="1"/>
    </xf>
    <xf numFmtId="14" fontId="65" fillId="0" borderId="10" xfId="0" applyNumberFormat="1" applyFont="1" applyBorder="1" applyAlignment="1">
      <alignment horizontal="left" vertical="center"/>
    </xf>
    <xf numFmtId="0" fontId="65" fillId="0" borderId="10" xfId="0" applyNumberFormat="1" applyFont="1" applyBorder="1" applyAlignment="1">
      <alignment horizontal="left" vertical="center"/>
    </xf>
    <xf numFmtId="0" fontId="65" fillId="0" borderId="10" xfId="0" applyFont="1" applyBorder="1" applyAlignment="1">
      <alignment horizontal="left" vertical="center" wrapText="1"/>
    </xf>
    <xf numFmtId="168" fontId="0" fillId="0" borderId="10" xfId="15" applyNumberFormat="1" applyFont="1" applyFill="1" applyBorder="1" applyAlignment="1">
      <alignment horizontal="center" vertical="center" wrapText="1"/>
    </xf>
    <xf numFmtId="14" fontId="3" fillId="0" borderId="0" xfId="15" applyNumberFormat="1" applyFont="1" applyBorder="1" applyAlignment="1">
      <alignment horizontal="center" vertical="center" wrapText="1"/>
    </xf>
    <xf numFmtId="1" fontId="3" fillId="0" borderId="10" xfId="15" applyNumberFormat="1" applyFont="1" applyBorder="1" applyAlignment="1">
      <alignment horizontal="center" vertical="center" wrapText="1"/>
    </xf>
    <xf numFmtId="0" fontId="17" fillId="0" borderId="25" xfId="0" applyFont="1" applyBorder="1" applyAlignment="1">
      <alignment horizontal="center" vertical="center" wrapText="1"/>
    </xf>
    <xf numFmtId="1" fontId="16" fillId="3" borderId="5" xfId="0" applyNumberFormat="1" applyFont="1" applyFill="1" applyBorder="1" applyAlignment="1">
      <alignment horizontal="center" vertical="center" wrapText="1"/>
    </xf>
    <xf numFmtId="1" fontId="17" fillId="0" borderId="10" xfId="0" applyNumberFormat="1" applyFont="1" applyBorder="1" applyAlignment="1">
      <alignment horizontal="center" vertical="center" wrapText="1"/>
    </xf>
    <xf numFmtId="1" fontId="17" fillId="0" borderId="10" xfId="15" applyNumberFormat="1" applyFont="1" applyBorder="1" applyAlignment="1">
      <alignment horizontal="center" vertical="center"/>
    </xf>
    <xf numFmtId="1" fontId="17" fillId="0" borderId="10" xfId="15" applyNumberFormat="1" applyFont="1" applyFill="1" applyBorder="1" applyAlignment="1">
      <alignment horizontal="center" vertical="center"/>
    </xf>
    <xf numFmtId="1" fontId="17" fillId="0" borderId="10" xfId="0" applyNumberFormat="1" applyFont="1" applyFill="1" applyBorder="1" applyAlignment="1">
      <alignment horizontal="center" vertical="center" wrapText="1"/>
    </xf>
    <xf numFmtId="0" fontId="17" fillId="0" borderId="11" xfId="0" applyFont="1" applyBorder="1" applyAlignment="1">
      <alignment horizontal="left" vertical="center" wrapText="1"/>
    </xf>
    <xf numFmtId="0" fontId="16" fillId="18" borderId="4" xfId="15" applyNumberFormat="1" applyFont="1" applyFill="1" applyBorder="1" applyAlignment="1">
      <alignment horizontal="center" vertical="center" wrapText="1"/>
    </xf>
    <xf numFmtId="0" fontId="16" fillId="18" borderId="2" xfId="15" applyNumberFormat="1" applyFont="1" applyFill="1" applyBorder="1" applyAlignment="1">
      <alignment horizontal="center" vertical="center" wrapText="1"/>
    </xf>
    <xf numFmtId="0" fontId="16" fillId="18" borderId="12" xfId="15" applyNumberFormat="1" applyFont="1" applyFill="1" applyBorder="1" applyAlignment="1">
      <alignment horizontal="center" vertical="center" wrapText="1"/>
    </xf>
    <xf numFmtId="14" fontId="16" fillId="18" borderId="12" xfId="15" applyNumberFormat="1" applyFont="1" applyFill="1" applyBorder="1" applyAlignment="1">
      <alignment horizontal="center" vertical="center" wrapText="1"/>
    </xf>
    <xf numFmtId="0" fontId="45" fillId="17" borderId="2" xfId="15" applyNumberFormat="1" applyFont="1" applyFill="1" applyBorder="1" applyAlignment="1">
      <alignment horizontal="center" vertical="center" wrapText="1"/>
    </xf>
    <xf numFmtId="0" fontId="45" fillId="17" borderId="12" xfId="1" applyFont="1" applyFill="1" applyBorder="1" applyAlignment="1">
      <alignment horizontal="center" vertical="center" wrapText="1"/>
    </xf>
    <xf numFmtId="0" fontId="16" fillId="0" borderId="10" xfId="0" applyNumberFormat="1" applyFont="1" applyBorder="1" applyAlignment="1">
      <alignment horizontal="left" vertical="center" wrapText="1"/>
    </xf>
    <xf numFmtId="0" fontId="17" fillId="0" borderId="10" xfId="0" applyNumberFormat="1" applyFont="1" applyBorder="1" applyAlignment="1">
      <alignment horizontal="left" vertical="center" wrapText="1"/>
    </xf>
    <xf numFmtId="49" fontId="17" fillId="0" borderId="10" xfId="0" applyNumberFormat="1" applyFont="1" applyBorder="1" applyAlignment="1">
      <alignment horizontal="left" vertical="center"/>
    </xf>
    <xf numFmtId="0" fontId="17" fillId="0" borderId="10" xfId="0" applyNumberFormat="1" applyFont="1" applyBorder="1" applyAlignment="1">
      <alignment horizontal="left" vertical="center"/>
    </xf>
    <xf numFmtId="1" fontId="17" fillId="0" borderId="10" xfId="15" quotePrefix="1" applyNumberFormat="1" applyFont="1" applyFill="1" applyBorder="1" applyAlignment="1">
      <alignment horizontal="center" vertical="center" wrapText="1"/>
    </xf>
    <xf numFmtId="14" fontId="61" fillId="0" borderId="10" xfId="15" applyNumberFormat="1" applyFont="1" applyFill="1" applyBorder="1" applyAlignment="1">
      <alignment horizontal="center" vertical="center" wrapText="1"/>
    </xf>
    <xf numFmtId="0" fontId="62" fillId="0" borderId="10" xfId="15" applyFont="1" applyFill="1" applyBorder="1" applyAlignment="1">
      <alignment horizontal="center" vertical="center" wrapText="1"/>
    </xf>
    <xf numFmtId="14" fontId="3" fillId="0" borderId="10" xfId="15" quotePrefix="1" applyNumberFormat="1" applyFont="1" applyFill="1" applyBorder="1" applyAlignment="1">
      <alignment horizontal="center" vertical="center" wrapText="1"/>
    </xf>
    <xf numFmtId="0" fontId="3" fillId="0" borderId="10" xfId="15" quotePrefix="1" applyFont="1" applyFill="1" applyBorder="1" applyAlignment="1">
      <alignment horizontal="center" vertical="center" wrapText="1"/>
    </xf>
    <xf numFmtId="14" fontId="66" fillId="0" borderId="10" xfId="15" applyNumberFormat="1" applyFont="1" applyFill="1" applyBorder="1" applyAlignment="1">
      <alignment horizontal="center" vertical="center" wrapText="1"/>
    </xf>
    <xf numFmtId="168" fontId="17" fillId="0" borderId="0" xfId="15" applyNumberFormat="1" applyFont="1" applyBorder="1" applyAlignment="1">
      <alignment horizontal="center" vertical="center" wrapText="1"/>
    </xf>
    <xf numFmtId="49" fontId="17" fillId="0" borderId="0" xfId="15" applyNumberFormat="1" applyFont="1" applyBorder="1" applyAlignment="1">
      <alignment horizontal="center" vertical="center" wrapText="1"/>
    </xf>
    <xf numFmtId="0" fontId="3" fillId="0" borderId="9" xfId="15" applyFont="1" applyBorder="1" applyAlignment="1">
      <alignment horizontal="center" vertical="center" wrapText="1"/>
    </xf>
    <xf numFmtId="168" fontId="3" fillId="0" borderId="0" xfId="15" applyNumberFormat="1" applyFont="1" applyBorder="1" applyAlignment="1">
      <alignment horizontal="center" vertical="center" wrapText="1"/>
    </xf>
    <xf numFmtId="49" fontId="3" fillId="0" borderId="0" xfId="15" applyNumberFormat="1" applyFont="1" applyBorder="1" applyAlignment="1">
      <alignment horizontal="center" vertical="center" wrapText="1"/>
    </xf>
    <xf numFmtId="14" fontId="17" fillId="0" borderId="0" xfId="15" applyNumberFormat="1" applyFont="1" applyBorder="1" applyAlignment="1">
      <alignment horizontal="center" vertical="center" wrapText="1"/>
    </xf>
    <xf numFmtId="0" fontId="45" fillId="21" borderId="10" xfId="15" applyNumberFormat="1" applyFont="1" applyFill="1" applyBorder="1" applyAlignment="1">
      <alignment horizontal="center" vertical="center" wrapText="1"/>
    </xf>
    <xf numFmtId="0" fontId="22" fillId="21" borderId="10" xfId="15" applyNumberFormat="1" applyFont="1" applyFill="1" applyBorder="1" applyAlignment="1">
      <alignment horizontal="center" vertical="center" wrapText="1"/>
    </xf>
    <xf numFmtId="0" fontId="68" fillId="21" borderId="10" xfId="15" applyNumberFormat="1" applyFont="1" applyFill="1" applyBorder="1" applyAlignment="1">
      <alignment horizontal="center" vertical="center" wrapText="1"/>
    </xf>
    <xf numFmtId="0" fontId="70" fillId="21" borderId="10" xfId="15" applyNumberFormat="1" applyFont="1" applyFill="1" applyBorder="1" applyAlignment="1">
      <alignment horizontal="center" vertical="center" wrapText="1"/>
    </xf>
    <xf numFmtId="168" fontId="22" fillId="21" borderId="10" xfId="15" applyNumberFormat="1" applyFont="1" applyFill="1" applyBorder="1" applyAlignment="1">
      <alignment horizontal="center" vertical="center" wrapText="1"/>
    </xf>
    <xf numFmtId="49" fontId="45" fillId="21" borderId="10" xfId="15" applyNumberFormat="1" applyFont="1" applyFill="1" applyBorder="1" applyAlignment="1">
      <alignment horizontal="center" vertical="center" wrapText="1"/>
    </xf>
    <xf numFmtId="14" fontId="70" fillId="22" borderId="10" xfId="15" applyNumberFormat="1" applyFont="1" applyFill="1" applyBorder="1" applyAlignment="1">
      <alignment horizontal="center" vertical="center" wrapText="1"/>
    </xf>
    <xf numFmtId="0" fontId="70" fillId="22" borderId="10" xfId="15" applyFont="1" applyFill="1" applyBorder="1" applyAlignment="1">
      <alignment horizontal="center" vertical="center" wrapText="1"/>
    </xf>
    <xf numFmtId="14" fontId="45" fillId="21" borderId="10" xfId="15" applyNumberFormat="1" applyFont="1" applyFill="1" applyBorder="1" applyAlignment="1">
      <alignment horizontal="center" vertical="center" wrapText="1"/>
    </xf>
    <xf numFmtId="168" fontId="68" fillId="21" borderId="10" xfId="15" applyNumberFormat="1" applyFont="1" applyFill="1" applyBorder="1" applyAlignment="1">
      <alignment horizontal="center" vertical="center" wrapText="1"/>
    </xf>
    <xf numFmtId="0" fontId="10" fillId="0" borderId="10" xfId="15" applyFont="1" applyFill="1" applyBorder="1" applyAlignment="1">
      <alignment horizontal="center" vertical="center" wrapText="1"/>
    </xf>
    <xf numFmtId="0" fontId="7" fillId="0" borderId="10" xfId="15" applyFont="1" applyFill="1" applyBorder="1" applyAlignment="1">
      <alignment horizontal="center" vertical="center" wrapText="1"/>
    </xf>
    <xf numFmtId="14" fontId="22" fillId="21" borderId="10" xfId="15" applyNumberFormat="1" applyFont="1" applyFill="1" applyBorder="1" applyAlignment="1">
      <alignment horizontal="center" vertical="center" wrapText="1"/>
    </xf>
    <xf numFmtId="17" fontId="3" fillId="0" borderId="10" xfId="15" applyNumberFormat="1" applyFont="1" applyFill="1" applyBorder="1" applyAlignment="1">
      <alignment horizontal="center" vertical="center" wrapText="1"/>
    </xf>
    <xf numFmtId="0" fontId="31" fillId="0" borderId="1" xfId="0" applyFont="1" applyBorder="1" applyAlignment="1">
      <alignment horizontal="center" vertical="center" wrapText="1"/>
    </xf>
    <xf numFmtId="14" fontId="23" fillId="0" borderId="1" xfId="0" applyNumberFormat="1" applyFont="1" applyBorder="1" applyAlignment="1">
      <alignment horizontal="center" vertical="center"/>
    </xf>
    <xf numFmtId="49" fontId="23" fillId="0" borderId="1" xfId="0" applyNumberFormat="1" applyFont="1" applyBorder="1" applyAlignment="1">
      <alignment horizontal="center" vertical="center"/>
    </xf>
    <xf numFmtId="49" fontId="23" fillId="0" borderId="10" xfId="0" applyNumberFormat="1" applyFont="1" applyBorder="1" applyAlignment="1">
      <alignment horizontal="center" vertical="center" wrapText="1"/>
    </xf>
    <xf numFmtId="0" fontId="3" fillId="0" borderId="10" xfId="0" applyFont="1" applyBorder="1" applyAlignment="1">
      <alignment horizontal="center" vertical="center" wrapText="1"/>
    </xf>
    <xf numFmtId="49" fontId="17" fillId="0" borderId="11" xfId="15" applyNumberFormat="1" applyFont="1" applyFill="1" applyBorder="1" applyAlignment="1">
      <alignment horizontal="center" vertical="center"/>
    </xf>
    <xf numFmtId="0" fontId="3" fillId="2" borderId="10" xfId="0" applyFont="1" applyFill="1" applyBorder="1" applyAlignment="1">
      <alignment horizontal="center" wrapText="1"/>
    </xf>
    <xf numFmtId="0" fontId="3" fillId="2" borderId="10" xfId="1" applyFont="1" applyFill="1" applyBorder="1" applyAlignment="1">
      <alignment horizontal="center" vertical="center" wrapText="1"/>
    </xf>
    <xf numFmtId="0" fontId="7" fillId="2" borderId="10" xfId="0" applyFont="1" applyFill="1" applyBorder="1" applyAlignment="1">
      <alignment horizontal="center" wrapText="1"/>
    </xf>
    <xf numFmtId="0" fontId="3" fillId="2" borderId="10"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3" fillId="2" borderId="10" xfId="0" applyFont="1" applyFill="1" applyBorder="1" applyAlignment="1">
      <alignment wrapText="1"/>
    </xf>
    <xf numFmtId="0" fontId="11" fillId="0" borderId="10" xfId="0" applyFont="1" applyFill="1" applyBorder="1" applyAlignment="1">
      <alignment horizontal="center" vertical="center" wrapText="1"/>
    </xf>
    <xf numFmtId="0" fontId="3" fillId="0" borderId="10" xfId="0" applyFont="1" applyBorder="1" applyAlignment="1">
      <alignment horizontal="center" wrapText="1"/>
    </xf>
    <xf numFmtId="49" fontId="21" fillId="2" borderId="10" xfId="0" applyNumberFormat="1" applyFont="1" applyFill="1" applyBorder="1" applyAlignment="1">
      <alignment horizontal="center" vertical="center" wrapText="1"/>
    </xf>
    <xf numFmtId="0" fontId="21" fillId="2" borderId="10" xfId="0" applyNumberFormat="1" applyFont="1" applyFill="1" applyBorder="1" applyAlignment="1" applyProtection="1">
      <alignment horizontal="center" vertical="center" wrapText="1"/>
      <protection locked="0"/>
    </xf>
    <xf numFmtId="0" fontId="21" fillId="2" borderId="10" xfId="0" applyNumberFormat="1" applyFont="1" applyFill="1" applyBorder="1" applyAlignment="1">
      <alignment horizontal="center" vertical="center" wrapText="1"/>
    </xf>
    <xf numFmtId="0" fontId="3" fillId="9" borderId="10" xfId="0" applyFont="1" applyFill="1" applyBorder="1" applyAlignment="1">
      <alignment horizontal="center" vertical="center" wrapText="1"/>
    </xf>
    <xf numFmtId="0" fontId="3" fillId="0" borderId="10" xfId="0" applyFont="1" applyFill="1" applyBorder="1" applyAlignment="1">
      <alignment wrapText="1"/>
    </xf>
    <xf numFmtId="0" fontId="17" fillId="2" borderId="25" xfId="0" applyFont="1" applyFill="1" applyBorder="1" applyAlignment="1">
      <alignment horizontal="center" vertical="center" wrapText="1"/>
    </xf>
    <xf numFmtId="0" fontId="17" fillId="2" borderId="25" xfId="0" applyNumberFormat="1" applyFont="1" applyFill="1" applyBorder="1" applyAlignment="1">
      <alignment horizontal="center" vertical="center" wrapText="1"/>
    </xf>
    <xf numFmtId="11" fontId="17" fillId="2" borderId="25" xfId="0" applyNumberFormat="1" applyFont="1" applyFill="1" applyBorder="1" applyAlignment="1">
      <alignment horizontal="center" vertical="center" wrapText="1"/>
    </xf>
    <xf numFmtId="49" fontId="17" fillId="2" borderId="25" xfId="9" applyNumberFormat="1" applyFont="1" applyFill="1" applyBorder="1" applyAlignment="1">
      <alignment horizontal="center" vertical="center" wrapText="1"/>
    </xf>
    <xf numFmtId="0" fontId="16" fillId="2" borderId="25" xfId="0" applyNumberFormat="1" applyFont="1" applyFill="1" applyBorder="1" applyAlignment="1">
      <alignment horizontal="center" wrapText="1"/>
    </xf>
    <xf numFmtId="0" fontId="32" fillId="2" borderId="25" xfId="0" applyFont="1" applyFill="1" applyBorder="1" applyAlignment="1">
      <alignment horizontal="center" vertical="center" wrapText="1"/>
    </xf>
    <xf numFmtId="0" fontId="17" fillId="2" borderId="25" xfId="0" applyFont="1" applyFill="1" applyBorder="1" applyAlignment="1">
      <alignment wrapText="1"/>
    </xf>
    <xf numFmtId="0" fontId="16" fillId="2" borderId="20" xfId="0" applyFont="1" applyFill="1" applyBorder="1" applyAlignment="1">
      <alignment horizontal="center" vertical="center" wrapText="1"/>
    </xf>
    <xf numFmtId="0" fontId="17" fillId="0" borderId="26" xfId="0" applyFont="1" applyBorder="1" applyAlignment="1">
      <alignment horizontal="center" vertical="center" wrapText="1"/>
    </xf>
    <xf numFmtId="49" fontId="17" fillId="0" borderId="11" xfId="15" applyNumberFormat="1" applyFont="1" applyBorder="1" applyAlignment="1">
      <alignment horizontal="center" vertical="center"/>
    </xf>
    <xf numFmtId="49" fontId="17" fillId="0" borderId="26" xfId="15" applyNumberFormat="1" applyFont="1" applyFill="1" applyBorder="1" applyAlignment="1">
      <alignment horizontal="center" vertical="center"/>
    </xf>
    <xf numFmtId="49" fontId="17" fillId="0" borderId="11" xfId="15" applyNumberFormat="1" applyFont="1" applyFill="1" applyBorder="1" applyAlignment="1">
      <alignment horizontal="center" vertical="center" wrapText="1"/>
    </xf>
    <xf numFmtId="1" fontId="17" fillId="2" borderId="10" xfId="0" applyNumberFormat="1" applyFont="1" applyFill="1" applyBorder="1" applyAlignment="1">
      <alignment horizontal="center" vertical="center" wrapText="1"/>
    </xf>
    <xf numFmtId="3" fontId="17" fillId="2" borderId="10" xfId="0" applyNumberFormat="1" applyFont="1" applyFill="1" applyBorder="1" applyAlignment="1">
      <alignment horizontal="center" vertical="center" wrapText="1"/>
    </xf>
    <xf numFmtId="0" fontId="22" fillId="2" borderId="10" xfId="0" applyFont="1" applyFill="1" applyBorder="1" applyAlignment="1">
      <alignment horizontal="center" vertical="center" wrapText="1"/>
    </xf>
    <xf numFmtId="14" fontId="21" fillId="2" borderId="10" xfId="0" applyNumberFormat="1" applyFont="1" applyFill="1" applyBorder="1" applyAlignment="1">
      <alignment horizontal="center" vertical="center" wrapText="1"/>
    </xf>
    <xf numFmtId="14" fontId="17" fillId="2" borderId="10" xfId="6" applyNumberFormat="1" applyFont="1" applyFill="1" applyBorder="1" applyAlignment="1">
      <alignment horizontal="center" vertical="center" wrapText="1"/>
    </xf>
    <xf numFmtId="0" fontId="17" fillId="2" borderId="10" xfId="7" applyFont="1" applyFill="1" applyBorder="1" applyAlignment="1">
      <alignment horizontal="center" vertical="center" wrapText="1"/>
    </xf>
    <xf numFmtId="0" fontId="34" fillId="2" borderId="10" xfId="0" applyFont="1" applyFill="1" applyBorder="1" applyAlignment="1">
      <alignment horizontal="center" vertical="center" wrapText="1"/>
    </xf>
    <xf numFmtId="14" fontId="33" fillId="2" borderId="10" xfId="0" applyNumberFormat="1" applyFont="1" applyFill="1" applyBorder="1" applyAlignment="1">
      <alignment horizontal="center" vertical="center" wrapText="1"/>
    </xf>
    <xf numFmtId="49" fontId="33" fillId="2" borderId="10" xfId="0" applyNumberFormat="1" applyFont="1" applyFill="1" applyBorder="1" applyAlignment="1">
      <alignment horizontal="center" vertical="center" wrapText="1"/>
    </xf>
    <xf numFmtId="0" fontId="21" fillId="0" borderId="10" xfId="0" applyFont="1" applyBorder="1" applyAlignment="1">
      <alignment horizontal="center" vertical="center" wrapText="1"/>
    </xf>
    <xf numFmtId="14" fontId="21" fillId="2" borderId="10" xfId="6" applyNumberFormat="1" applyFont="1" applyFill="1" applyBorder="1" applyAlignment="1">
      <alignment horizontal="center" vertical="center" wrapText="1"/>
    </xf>
    <xf numFmtId="1" fontId="3" fillId="2" borderId="10" xfId="0" applyNumberFormat="1" applyFont="1" applyFill="1" applyBorder="1" applyAlignment="1">
      <alignment horizontal="center" wrapText="1"/>
    </xf>
    <xf numFmtId="1" fontId="21" fillId="2" borderId="10" xfId="0" applyNumberFormat="1" applyFont="1" applyFill="1" applyBorder="1" applyAlignment="1">
      <alignment horizontal="center" vertical="center" wrapText="1"/>
    </xf>
    <xf numFmtId="1" fontId="3" fillId="0" borderId="10" xfId="0" applyNumberFormat="1" applyFont="1" applyBorder="1" applyAlignment="1">
      <alignment horizontal="center" wrapText="1"/>
    </xf>
    <xf numFmtId="1" fontId="17" fillId="6" borderId="10" xfId="6" applyNumberFormat="1" applyFont="1" applyFill="1" applyBorder="1" applyAlignment="1">
      <alignment horizontal="center" vertical="center" wrapText="1"/>
    </xf>
    <xf numFmtId="14" fontId="23" fillId="2" borderId="10" xfId="6" applyNumberFormat="1" applyFont="1" applyFill="1" applyBorder="1" applyAlignment="1">
      <alignment horizontal="center" vertical="center" wrapText="1"/>
    </xf>
    <xf numFmtId="1" fontId="23" fillId="0" borderId="10" xfId="0" applyNumberFormat="1" applyFont="1" applyBorder="1" applyAlignment="1">
      <alignment horizontal="center" vertical="center" wrapText="1"/>
    </xf>
    <xf numFmtId="0" fontId="22" fillId="4" borderId="10" xfId="0" applyFont="1" applyFill="1" applyBorder="1" applyAlignment="1">
      <alignment horizontal="center" vertical="center" wrapText="1"/>
    </xf>
    <xf numFmtId="0" fontId="21" fillId="0" borderId="10" xfId="0" applyNumberFormat="1" applyFont="1" applyBorder="1" applyAlignment="1">
      <alignment horizontal="center" vertical="center" wrapText="1"/>
    </xf>
    <xf numFmtId="14" fontId="21" fillId="0" borderId="10" xfId="0" applyNumberFormat="1" applyFont="1" applyBorder="1" applyAlignment="1">
      <alignment horizontal="center" vertical="center" wrapText="1"/>
    </xf>
    <xf numFmtId="1" fontId="17" fillId="0" borderId="10" xfId="5" applyNumberFormat="1" applyFont="1" applyBorder="1" applyAlignment="1">
      <alignment horizontal="center" vertical="center" wrapText="1"/>
    </xf>
    <xf numFmtId="1" fontId="21" fillId="0" borderId="10" xfId="0" applyNumberFormat="1" applyFont="1" applyBorder="1" applyAlignment="1">
      <alignment horizontal="center" vertical="center" wrapText="1"/>
    </xf>
    <xf numFmtId="1" fontId="21" fillId="8" borderId="10" xfId="0" applyNumberFormat="1" applyFont="1" applyFill="1" applyBorder="1" applyAlignment="1">
      <alignment horizontal="center" vertical="center" wrapText="1"/>
    </xf>
    <xf numFmtId="0" fontId="23" fillId="0" borderId="10" xfId="2" applyFont="1" applyBorder="1" applyAlignment="1">
      <alignment horizontal="center" vertical="center" wrapText="1"/>
    </xf>
    <xf numFmtId="49" fontId="16" fillId="2" borderId="10" xfId="2" applyNumberFormat="1" applyFont="1" applyFill="1" applyBorder="1" applyAlignment="1" applyProtection="1">
      <alignment horizontal="center" vertical="center" wrapText="1"/>
      <protection locked="0"/>
    </xf>
    <xf numFmtId="0" fontId="17" fillId="2" borderId="10" xfId="2" applyNumberFormat="1" applyFont="1" applyFill="1" applyBorder="1" applyAlignment="1" applyProtection="1">
      <alignment horizontal="center" vertical="center" wrapText="1"/>
      <protection locked="0"/>
    </xf>
    <xf numFmtId="1" fontId="17" fillId="7" borderId="10" xfId="0" applyNumberFormat="1" applyFont="1" applyFill="1" applyBorder="1" applyAlignment="1">
      <alignment horizontal="center" vertical="center" wrapText="1"/>
    </xf>
    <xf numFmtId="49" fontId="23" fillId="2" borderId="10" xfId="0" applyNumberFormat="1" applyFont="1" applyFill="1" applyBorder="1" applyAlignment="1">
      <alignment horizontal="center" vertical="center" wrapText="1"/>
    </xf>
    <xf numFmtId="10" fontId="17" fillId="2" borderId="10" xfId="0" applyNumberFormat="1" applyFont="1" applyFill="1" applyBorder="1" applyAlignment="1">
      <alignment horizontal="center" vertical="center" wrapText="1"/>
    </xf>
    <xf numFmtId="0" fontId="30" fillId="2" borderId="10" xfId="0" applyFont="1" applyFill="1" applyBorder="1" applyAlignment="1">
      <alignment horizontal="center" vertical="center" wrapText="1"/>
    </xf>
    <xf numFmtId="0" fontId="16" fillId="2" borderId="10" xfId="0" applyNumberFormat="1" applyFont="1" applyFill="1" applyBorder="1" applyAlignment="1" applyProtection="1">
      <alignment horizontal="center" vertical="center" wrapText="1"/>
      <protection locked="0"/>
    </xf>
    <xf numFmtId="0" fontId="22" fillId="0" borderId="10" xfId="0" applyFont="1" applyBorder="1" applyAlignment="1">
      <alignment horizontal="center" vertical="center" wrapText="1"/>
    </xf>
    <xf numFmtId="49" fontId="21" fillId="0" borderId="10" xfId="0" applyNumberFormat="1" applyFont="1" applyBorder="1" applyAlignment="1">
      <alignment horizontal="center" vertical="center" wrapText="1"/>
    </xf>
    <xf numFmtId="0" fontId="22" fillId="2" borderId="10" xfId="0" applyNumberFormat="1" applyFont="1" applyFill="1" applyBorder="1" applyAlignment="1">
      <alignment horizontal="center" vertical="center" wrapText="1"/>
    </xf>
    <xf numFmtId="14" fontId="23" fillId="0" borderId="10" xfId="0" applyNumberFormat="1" applyFont="1" applyBorder="1" applyAlignment="1">
      <alignment horizontal="center" vertical="center" wrapText="1"/>
    </xf>
    <xf numFmtId="1" fontId="35" fillId="2" borderId="10" xfId="0" applyNumberFormat="1" applyFont="1" applyFill="1" applyBorder="1" applyAlignment="1">
      <alignment horizontal="center" vertical="center" wrapText="1"/>
    </xf>
    <xf numFmtId="14" fontId="22" fillId="2" borderId="10" xfId="0" applyNumberFormat="1" applyFont="1" applyFill="1" applyBorder="1" applyAlignment="1">
      <alignment horizontal="center" vertical="center" wrapText="1"/>
    </xf>
    <xf numFmtId="0" fontId="19" fillId="2" borderId="10" xfId="0" applyFont="1" applyFill="1" applyBorder="1" applyAlignment="1">
      <alignment horizontal="center" vertical="center" wrapText="1"/>
    </xf>
    <xf numFmtId="3" fontId="21" fillId="0" borderId="10" xfId="0" applyNumberFormat="1" applyFont="1" applyBorder="1" applyAlignment="1">
      <alignment horizontal="center" vertical="center" wrapText="1"/>
    </xf>
    <xf numFmtId="0" fontId="36" fillId="0" borderId="10" xfId="0" applyFont="1" applyBorder="1" applyAlignment="1">
      <alignment horizontal="center" vertical="center" wrapText="1"/>
    </xf>
    <xf numFmtId="0" fontId="22" fillId="0" borderId="10" xfId="0" applyNumberFormat="1" applyFont="1" applyBorder="1" applyAlignment="1">
      <alignment horizontal="center" vertical="center" wrapText="1"/>
    </xf>
    <xf numFmtId="14" fontId="17" fillId="2" borderId="10" xfId="0" applyNumberFormat="1" applyFont="1" applyFill="1" applyBorder="1" applyAlignment="1">
      <alignment horizontal="center" vertical="center"/>
    </xf>
    <xf numFmtId="0" fontId="16" fillId="10" borderId="10" xfId="0" applyFont="1" applyFill="1" applyBorder="1" applyAlignment="1">
      <alignment horizontal="center" vertical="center" wrapText="1"/>
    </xf>
    <xf numFmtId="0" fontId="17" fillId="10" borderId="10" xfId="0" applyFont="1" applyFill="1" applyBorder="1" applyAlignment="1">
      <alignment horizontal="center" vertical="center" wrapText="1"/>
    </xf>
    <xf numFmtId="0" fontId="31" fillId="0" borderId="10" xfId="0" applyFont="1" applyBorder="1" applyAlignment="1">
      <alignment horizontal="center" vertical="center"/>
    </xf>
    <xf numFmtId="168" fontId="3" fillId="0" borderId="10" xfId="15" applyNumberFormat="1" applyFont="1" applyFill="1" applyBorder="1" applyAlignment="1">
      <alignment horizontal="center" vertical="center" wrapText="1"/>
    </xf>
    <xf numFmtId="168" fontId="0" fillId="0" borderId="10" xfId="15" applyNumberFormat="1" applyFont="1" applyFill="1" applyBorder="1" applyAlignment="1">
      <alignment horizontal="center" vertical="center"/>
    </xf>
    <xf numFmtId="0" fontId="17" fillId="0" borderId="10" xfId="0" applyFont="1" applyBorder="1" applyAlignment="1">
      <alignment horizontal="center" wrapText="1"/>
    </xf>
    <xf numFmtId="0" fontId="17" fillId="0" borderId="10" xfId="0" applyFont="1" applyBorder="1" applyAlignment="1">
      <alignment vertical="top" wrapText="1"/>
    </xf>
    <xf numFmtId="0" fontId="17" fillId="0" borderId="10" xfId="0" applyFont="1" applyBorder="1" applyAlignment="1">
      <alignment horizontal="center" vertical="top" wrapText="1"/>
    </xf>
    <xf numFmtId="49" fontId="17" fillId="0" borderId="10" xfId="0" applyNumberFormat="1" applyFont="1" applyBorder="1" applyAlignment="1">
      <alignment horizontal="center" vertical="top" wrapText="1"/>
    </xf>
    <xf numFmtId="0" fontId="17" fillId="0" borderId="12" xfId="0" applyFont="1" applyBorder="1" applyAlignment="1">
      <alignment vertical="center" wrapText="1"/>
    </xf>
    <xf numFmtId="0" fontId="17" fillId="0" borderId="25" xfId="0" applyFont="1" applyBorder="1" applyAlignment="1">
      <alignment wrapText="1"/>
    </xf>
    <xf numFmtId="0" fontId="3" fillId="0" borderId="12" xfId="15" applyFont="1" applyFill="1" applyBorder="1" applyAlignment="1">
      <alignment horizontal="center" vertical="center" wrapText="1"/>
    </xf>
    <xf numFmtId="49" fontId="3" fillId="0" borderId="12" xfId="15" applyNumberFormat="1" applyFont="1" applyFill="1" applyBorder="1" applyAlignment="1">
      <alignment horizontal="center" vertical="center" wrapText="1"/>
    </xf>
    <xf numFmtId="14" fontId="3" fillId="0" borderId="12" xfId="15" applyNumberFormat="1" applyFont="1" applyFill="1" applyBorder="1" applyAlignment="1">
      <alignment horizontal="center" vertical="center" wrapText="1"/>
    </xf>
    <xf numFmtId="14" fontId="17" fillId="0" borderId="12" xfId="15" applyNumberFormat="1" applyFont="1" applyFill="1" applyBorder="1" applyAlignment="1">
      <alignment horizontal="center" vertical="center" wrapText="1"/>
    </xf>
    <xf numFmtId="0" fontId="5" fillId="0" borderId="12" xfId="15" applyFont="1" applyFill="1" applyBorder="1" applyAlignment="1">
      <alignment horizontal="center" vertical="center" wrapText="1"/>
    </xf>
    <xf numFmtId="0" fontId="17" fillId="2" borderId="10" xfId="0" applyFont="1" applyFill="1" applyBorder="1" applyAlignment="1">
      <alignment horizontal="justify" vertical="center" wrapText="1"/>
    </xf>
    <xf numFmtId="0" fontId="3" fillId="0" borderId="16" xfId="15" quotePrefix="1" applyFont="1" applyFill="1" applyBorder="1" applyAlignment="1">
      <alignment horizontal="center" vertical="center" wrapText="1"/>
    </xf>
    <xf numFmtId="14" fontId="45" fillId="21" borderId="2" xfId="15" applyNumberFormat="1" applyFont="1" applyFill="1" applyBorder="1" applyAlignment="1">
      <alignment horizontal="center" vertical="center" wrapText="1"/>
    </xf>
    <xf numFmtId="1" fontId="17" fillId="0" borderId="10" xfId="0" quotePrefix="1" applyNumberFormat="1" applyFont="1" applyFill="1" applyBorder="1" applyAlignment="1">
      <alignment horizontal="center" vertical="center" wrapText="1"/>
    </xf>
    <xf numFmtId="0" fontId="0" fillId="0" borderId="10" xfId="0" applyFont="1" applyFill="1" applyBorder="1" applyAlignment="1">
      <alignment horizontal="center" vertical="center" wrapText="1"/>
    </xf>
    <xf numFmtId="168" fontId="0" fillId="0" borderId="10" xfId="0" applyNumberFormat="1" applyFont="1" applyFill="1" applyBorder="1" applyAlignment="1">
      <alignment horizontal="center" vertical="center" wrapText="1"/>
    </xf>
    <xf numFmtId="49" fontId="3" fillId="0" borderId="10" xfId="0" applyNumberFormat="1" applyFont="1" applyFill="1" applyBorder="1" applyAlignment="1">
      <alignment horizontal="center" vertical="center" wrapText="1"/>
    </xf>
    <xf numFmtId="14" fontId="0" fillId="0" borderId="10" xfId="0" applyNumberFormat="1" applyFont="1" applyFill="1" applyBorder="1" applyAlignment="1">
      <alignment horizontal="center" vertical="center" wrapText="1"/>
    </xf>
    <xf numFmtId="14" fontId="3" fillId="0" borderId="10" xfId="0" quotePrefix="1" applyNumberFormat="1" applyFont="1" applyFill="1" applyBorder="1" applyAlignment="1">
      <alignment horizontal="center" vertical="center" wrapText="1"/>
    </xf>
    <xf numFmtId="14" fontId="3" fillId="0" borderId="10" xfId="0" applyNumberFormat="1" applyFont="1" applyFill="1" applyBorder="1" applyAlignment="1">
      <alignment horizontal="center" vertical="center" wrapText="1"/>
    </xf>
    <xf numFmtId="0" fontId="0" fillId="0" borderId="12" xfId="15" applyFont="1" applyFill="1" applyBorder="1" applyAlignment="1">
      <alignment horizontal="center" vertical="center" wrapText="1"/>
    </xf>
    <xf numFmtId="168" fontId="0" fillId="0" borderId="12" xfId="15" applyNumberFormat="1" applyFont="1" applyFill="1" applyBorder="1" applyAlignment="1">
      <alignment horizontal="center" vertical="center" wrapText="1"/>
    </xf>
    <xf numFmtId="14" fontId="0" fillId="0" borderId="12" xfId="15" applyNumberFormat="1" applyFont="1" applyFill="1" applyBorder="1" applyAlignment="1">
      <alignment horizontal="center" vertical="center" wrapText="1"/>
    </xf>
    <xf numFmtId="0" fontId="17" fillId="0" borderId="0" xfId="0" applyFont="1" applyAlignment="1">
      <alignment vertical="center" wrapText="1"/>
    </xf>
    <xf numFmtId="14" fontId="17" fillId="0" borderId="0" xfId="0" applyNumberFormat="1" applyFont="1" applyAlignment="1">
      <alignment vertical="center" wrapText="1"/>
    </xf>
    <xf numFmtId="0" fontId="3" fillId="0" borderId="12" xfId="15" quotePrefix="1" applyFont="1" applyFill="1" applyBorder="1" applyAlignment="1">
      <alignment horizontal="center" vertical="center" wrapText="1"/>
    </xf>
    <xf numFmtId="168" fontId="3" fillId="0" borderId="12" xfId="15" applyNumberFormat="1" applyFont="1" applyFill="1" applyBorder="1" applyAlignment="1">
      <alignment horizontal="center" vertical="center" wrapText="1"/>
    </xf>
    <xf numFmtId="14" fontId="17" fillId="0" borderId="12" xfId="15" quotePrefix="1" applyNumberFormat="1" applyFont="1" applyFill="1" applyBorder="1" applyAlignment="1">
      <alignment horizontal="center" vertical="center" wrapText="1"/>
    </xf>
    <xf numFmtId="17" fontId="3" fillId="0" borderId="12" xfId="15" quotePrefix="1" applyNumberFormat="1" applyFont="1" applyFill="1" applyBorder="1" applyAlignment="1">
      <alignment horizontal="center" vertical="center" wrapText="1"/>
    </xf>
    <xf numFmtId="0" fontId="3" fillId="0" borderId="12" xfId="15" applyFont="1" applyFill="1" applyBorder="1" applyAlignment="1">
      <alignment horizontal="left" vertical="center" wrapText="1"/>
    </xf>
    <xf numFmtId="0" fontId="77" fillId="0" borderId="10" xfId="0" applyFont="1" applyFill="1" applyBorder="1" applyAlignment="1">
      <alignment horizontal="center" vertical="center" wrapText="1"/>
    </xf>
    <xf numFmtId="14" fontId="77" fillId="0" borderId="10" xfId="0" applyNumberFormat="1" applyFont="1" applyFill="1" applyBorder="1" applyAlignment="1">
      <alignment horizontal="center" vertical="center" wrapText="1"/>
    </xf>
    <xf numFmtId="0" fontId="77" fillId="0" borderId="20" xfId="0" applyFont="1" applyFill="1" applyBorder="1" applyAlignment="1">
      <alignment horizontal="center" vertical="center" wrapText="1"/>
    </xf>
    <xf numFmtId="0" fontId="17" fillId="0" borderId="10" xfId="0" quotePrefix="1" applyFont="1" applyFill="1" applyBorder="1" applyAlignment="1">
      <alignment horizontal="center" vertical="center"/>
    </xf>
    <xf numFmtId="0" fontId="5" fillId="0" borderId="10" xfId="0" applyFont="1" applyFill="1" applyBorder="1" applyAlignment="1">
      <alignment horizontal="center" vertical="center" wrapText="1"/>
    </xf>
    <xf numFmtId="0" fontId="3" fillId="0" borderId="10" xfId="0" applyFont="1" applyBorder="1" applyAlignment="1">
      <alignment horizontal="center" vertical="center" wrapText="1"/>
    </xf>
    <xf numFmtId="0" fontId="77" fillId="0" borderId="12" xfId="0" applyFont="1" applyFill="1" applyBorder="1" applyAlignment="1">
      <alignment horizontal="center" vertical="center" wrapText="1"/>
    </xf>
    <xf numFmtId="14" fontId="77" fillId="0" borderId="12" xfId="0" applyNumberFormat="1" applyFont="1" applyFill="1" applyBorder="1" applyAlignment="1">
      <alignment horizontal="center" vertical="center" wrapText="1"/>
    </xf>
    <xf numFmtId="0" fontId="17" fillId="0" borderId="12" xfId="0" quotePrefix="1" applyFont="1" applyFill="1" applyBorder="1" applyAlignment="1">
      <alignment horizontal="center" vertical="center"/>
    </xf>
    <xf numFmtId="0" fontId="17" fillId="0" borderId="10" xfId="0" applyFont="1" applyFill="1" applyBorder="1" applyAlignment="1">
      <alignment horizontal="center" wrapText="1"/>
    </xf>
    <xf numFmtId="0" fontId="3" fillId="0" borderId="10" xfId="0" applyFont="1" applyBorder="1" applyAlignment="1">
      <alignment horizontal="center" vertical="center" wrapText="1"/>
    </xf>
    <xf numFmtId="49" fontId="0" fillId="0" borderId="10" xfId="0" applyNumberFormat="1" applyFont="1" applyFill="1" applyBorder="1" applyAlignment="1">
      <alignment horizontal="center" vertical="center" wrapText="1"/>
    </xf>
    <xf numFmtId="0" fontId="0" fillId="0" borderId="10" xfId="0" applyFont="1" applyFill="1" applyBorder="1" applyAlignment="1">
      <alignment horizontal="left" vertical="center" wrapText="1"/>
    </xf>
    <xf numFmtId="0" fontId="17" fillId="9" borderId="0" xfId="15" applyFont="1" applyFill="1" applyBorder="1" applyAlignment="1">
      <alignment horizontal="center" vertical="center" wrapText="1"/>
    </xf>
    <xf numFmtId="0" fontId="3" fillId="0" borderId="10" xfId="0" applyFont="1" applyBorder="1" applyAlignment="1">
      <alignment horizontal="center" vertical="center" wrapText="1"/>
    </xf>
    <xf numFmtId="49" fontId="17" fillId="2" borderId="2" xfId="15" applyNumberFormat="1" applyFont="1" applyFill="1" applyBorder="1" applyAlignment="1">
      <alignment horizontal="center" vertical="center" wrapText="1"/>
    </xf>
    <xf numFmtId="0" fontId="3" fillId="0" borderId="10" xfId="0" applyFont="1" applyBorder="1" applyAlignment="1">
      <alignment horizontal="center" vertical="center" wrapText="1"/>
    </xf>
    <xf numFmtId="0" fontId="3" fillId="0" borderId="10" xfId="0" applyFont="1" applyFill="1" applyBorder="1" applyAlignment="1">
      <alignment horizontal="justify" vertical="center" wrapText="1"/>
    </xf>
    <xf numFmtId="14" fontId="17" fillId="0" borderId="0" xfId="0" applyNumberFormat="1" applyFont="1" applyAlignment="1">
      <alignment horizontal="center" vertical="center" wrapText="1"/>
    </xf>
    <xf numFmtId="17" fontId="3" fillId="0" borderId="10" xfId="0" applyNumberFormat="1" applyFont="1" applyFill="1" applyBorder="1" applyAlignment="1">
      <alignment horizontal="center" vertical="center" wrapText="1"/>
    </xf>
    <xf numFmtId="14" fontId="17" fillId="0" borderId="12" xfId="0" applyNumberFormat="1" applyFont="1" applyBorder="1" applyAlignment="1">
      <alignment horizontal="center" vertical="center" wrapText="1"/>
    </xf>
    <xf numFmtId="14" fontId="3" fillId="0" borderId="12" xfId="0" quotePrefix="1" applyNumberFormat="1" applyFont="1" applyFill="1" applyBorder="1" applyAlignment="1">
      <alignment horizontal="center" vertical="center" wrapText="1"/>
    </xf>
    <xf numFmtId="14" fontId="3" fillId="0" borderId="12" xfId="0" applyNumberFormat="1" applyFont="1" applyFill="1" applyBorder="1" applyAlignment="1">
      <alignment horizontal="center" vertical="center" wrapText="1"/>
    </xf>
    <xf numFmtId="0" fontId="3" fillId="0" borderId="10" xfId="0" applyFont="1" applyBorder="1" applyAlignment="1">
      <alignment horizontal="center" vertical="center" wrapText="1"/>
    </xf>
    <xf numFmtId="0" fontId="17" fillId="0" borderId="12" xfId="0" applyNumberFormat="1" applyFont="1" applyBorder="1" applyAlignment="1">
      <alignment horizontal="left" vertical="center" wrapText="1"/>
    </xf>
    <xf numFmtId="0" fontId="17" fillId="0" borderId="12" xfId="0" applyNumberFormat="1" applyFont="1" applyBorder="1" applyAlignment="1">
      <alignment horizontal="left" vertical="center"/>
    </xf>
    <xf numFmtId="0" fontId="3" fillId="0" borderId="12"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44" fillId="0" borderId="10" xfId="0" applyFont="1" applyFill="1" applyBorder="1" applyAlignment="1">
      <alignment horizontal="center" vertical="center"/>
    </xf>
    <xf numFmtId="49" fontId="3" fillId="0" borderId="12" xfId="0" applyNumberFormat="1" applyFont="1" applyFill="1" applyBorder="1" applyAlignment="1">
      <alignment horizontal="center" vertical="center" wrapText="1"/>
    </xf>
    <xf numFmtId="0" fontId="3" fillId="0" borderId="12" xfId="0" applyFont="1" applyFill="1" applyBorder="1" applyAlignment="1">
      <alignment horizontal="left" vertical="center" wrapText="1"/>
    </xf>
    <xf numFmtId="0" fontId="3" fillId="0" borderId="10" xfId="0" applyFont="1" applyBorder="1" applyAlignment="1">
      <alignment horizontal="center" vertical="center" wrapText="1"/>
    </xf>
    <xf numFmtId="14" fontId="0" fillId="23" borderId="12" xfId="15" applyNumberFormat="1" applyFont="1" applyFill="1" applyBorder="1" applyAlignment="1">
      <alignment horizontal="center" vertical="center" wrapText="1"/>
    </xf>
    <xf numFmtId="168" fontId="0" fillId="23" borderId="10" xfId="15" applyNumberFormat="1" applyFont="1" applyFill="1" applyBorder="1" applyAlignment="1">
      <alignment horizontal="center" vertical="center" wrapText="1"/>
    </xf>
    <xf numFmtId="14" fontId="74" fillId="23" borderId="12" xfId="15" applyNumberFormat="1" applyFont="1" applyFill="1" applyBorder="1" applyAlignment="1">
      <alignment horizontal="center" vertical="center" wrapText="1"/>
    </xf>
    <xf numFmtId="14" fontId="17" fillId="23" borderId="12" xfId="15" quotePrefix="1" applyNumberFormat="1" applyFont="1" applyFill="1" applyBorder="1" applyAlignment="1">
      <alignment horizontal="center" vertical="center" wrapText="1"/>
    </xf>
    <xf numFmtId="14" fontId="3" fillId="23" borderId="10" xfId="15" applyNumberFormat="1" applyFont="1" applyFill="1" applyBorder="1" applyAlignment="1">
      <alignment horizontal="center" vertical="center" wrapText="1"/>
    </xf>
    <xf numFmtId="14" fontId="17" fillId="0" borderId="0" xfId="0" applyNumberFormat="1" applyFont="1" applyFill="1" applyAlignment="1">
      <alignment horizontal="center" vertical="center" wrapText="1"/>
    </xf>
    <xf numFmtId="0" fontId="43" fillId="0" borderId="10" xfId="0" applyFont="1" applyFill="1" applyBorder="1" applyAlignment="1">
      <alignment horizontal="center" vertical="center"/>
    </xf>
    <xf numFmtId="1" fontId="17" fillId="0" borderId="12" xfId="15" quotePrefix="1" applyNumberFormat="1" applyFont="1" applyFill="1" applyBorder="1" applyAlignment="1">
      <alignment horizontal="center" vertical="center" wrapText="1"/>
    </xf>
    <xf numFmtId="0" fontId="16" fillId="0" borderId="12" xfId="0" applyFont="1" applyFill="1" applyBorder="1" applyAlignment="1">
      <alignment horizontal="center" vertical="center" wrapText="1"/>
    </xf>
    <xf numFmtId="0" fontId="3" fillId="0" borderId="12" xfId="0" applyFont="1" applyFill="1" applyBorder="1" applyAlignment="1">
      <alignment horizontal="justify" vertical="center" wrapText="1"/>
    </xf>
    <xf numFmtId="14" fontId="61" fillId="0" borderId="12" xfId="15" applyNumberFormat="1" applyFont="1" applyFill="1" applyBorder="1" applyAlignment="1">
      <alignment horizontal="center" vertical="center" wrapText="1"/>
    </xf>
    <xf numFmtId="14" fontId="74" fillId="0" borderId="10" xfId="15" applyNumberFormat="1" applyFont="1" applyFill="1" applyBorder="1" applyAlignment="1">
      <alignment horizontal="center" vertical="center" wrapText="1"/>
    </xf>
    <xf numFmtId="14" fontId="17" fillId="0" borderId="10" xfId="15" quotePrefix="1" applyNumberFormat="1" applyFont="1" applyFill="1" applyBorder="1" applyAlignment="1">
      <alignment horizontal="center" vertical="center" wrapText="1"/>
    </xf>
    <xf numFmtId="0" fontId="76" fillId="0" borderId="10" xfId="0" applyFont="1" applyFill="1" applyBorder="1" applyAlignment="1">
      <alignment horizontal="center" vertical="center" wrapText="1"/>
    </xf>
    <xf numFmtId="0" fontId="3" fillId="0" borderId="10" xfId="0" applyFont="1" applyFill="1" applyBorder="1" applyAlignment="1">
      <alignment horizontal="left" vertical="center" wrapText="1"/>
    </xf>
    <xf numFmtId="14" fontId="76" fillId="0" borderId="10" xfId="15" applyNumberFormat="1" applyFont="1" applyFill="1" applyBorder="1" applyAlignment="1">
      <alignment horizontal="center" vertical="center" wrapText="1"/>
    </xf>
    <xf numFmtId="0" fontId="44" fillId="23" borderId="1" xfId="0" applyFont="1" applyFill="1" applyBorder="1" applyAlignment="1">
      <alignment horizontal="center" vertical="center" wrapText="1"/>
    </xf>
    <xf numFmtId="0" fontId="3" fillId="0" borderId="10" xfId="0" applyFont="1" applyBorder="1" applyAlignment="1">
      <alignment horizontal="center" vertical="center" wrapText="1"/>
    </xf>
    <xf numFmtId="0" fontId="3" fillId="23" borderId="12" xfId="15" applyFont="1" applyFill="1" applyBorder="1" applyAlignment="1">
      <alignment horizontal="center" vertical="center" wrapText="1"/>
    </xf>
    <xf numFmtId="0" fontId="0" fillId="23" borderId="12" xfId="15" applyFont="1" applyFill="1" applyBorder="1" applyAlignment="1">
      <alignment horizontal="center" vertical="center" wrapText="1"/>
    </xf>
    <xf numFmtId="0" fontId="17" fillId="23" borderId="12" xfId="15" applyFont="1" applyFill="1" applyBorder="1" applyAlignment="1">
      <alignment horizontal="center" vertical="center" wrapText="1"/>
    </xf>
    <xf numFmtId="168" fontId="3" fillId="23" borderId="12" xfId="15" applyNumberFormat="1" applyFont="1" applyFill="1" applyBorder="1" applyAlignment="1">
      <alignment horizontal="center" vertical="center" wrapText="1"/>
    </xf>
    <xf numFmtId="49" fontId="3" fillId="23" borderId="12" xfId="15" quotePrefix="1" applyNumberFormat="1" applyFont="1" applyFill="1" applyBorder="1" applyAlignment="1">
      <alignment horizontal="center" vertical="center" wrapText="1"/>
    </xf>
    <xf numFmtId="49" fontId="3" fillId="23" borderId="12" xfId="15" applyNumberFormat="1" applyFont="1" applyFill="1" applyBorder="1" applyAlignment="1">
      <alignment horizontal="center" vertical="center" wrapText="1"/>
    </xf>
    <xf numFmtId="14" fontId="3" fillId="23" borderId="12" xfId="15" applyNumberFormat="1" applyFont="1" applyFill="1" applyBorder="1" applyAlignment="1">
      <alignment horizontal="center" vertical="center" wrapText="1"/>
    </xf>
    <xf numFmtId="0" fontId="78" fillId="23" borderId="12" xfId="15" applyFont="1" applyFill="1" applyBorder="1" applyAlignment="1">
      <alignment horizontal="center" vertical="center" wrapText="1"/>
    </xf>
    <xf numFmtId="14" fontId="17" fillId="23" borderId="12" xfId="15" applyNumberFormat="1" applyFont="1" applyFill="1" applyBorder="1" applyAlignment="1">
      <alignment horizontal="center" vertical="center" wrapText="1"/>
    </xf>
    <xf numFmtId="17" fontId="3" fillId="23" borderId="12" xfId="15" quotePrefix="1" applyNumberFormat="1" applyFont="1" applyFill="1" applyBorder="1" applyAlignment="1">
      <alignment horizontal="center" vertical="center" wrapText="1"/>
    </xf>
    <xf numFmtId="0" fontId="3" fillId="0" borderId="10" xfId="0" applyFont="1" applyBorder="1" applyAlignment="1">
      <alignment horizontal="center" vertical="center" wrapText="1"/>
    </xf>
    <xf numFmtId="0" fontId="16" fillId="0" borderId="0" xfId="0" applyFont="1" applyFill="1" applyBorder="1" applyAlignment="1">
      <alignment horizontal="center" vertical="center" wrapText="1"/>
    </xf>
    <xf numFmtId="0" fontId="17" fillId="0" borderId="10" xfId="0" applyFont="1" applyFill="1" applyBorder="1" applyAlignment="1">
      <alignment horizontal="left" vertical="center" wrapText="1"/>
    </xf>
    <xf numFmtId="0" fontId="17" fillId="0" borderId="12" xfId="15" applyNumberFormat="1" applyFont="1" applyFill="1" applyBorder="1" applyAlignment="1">
      <alignment horizontal="left" vertical="center"/>
    </xf>
    <xf numFmtId="49" fontId="17" fillId="0" borderId="12" xfId="0" applyNumberFormat="1" applyFont="1" applyBorder="1" applyAlignment="1">
      <alignment horizontal="left" vertical="center"/>
    </xf>
    <xf numFmtId="14" fontId="17" fillId="0" borderId="12" xfId="0" applyNumberFormat="1" applyFont="1" applyBorder="1" applyAlignment="1">
      <alignment horizontal="left" vertical="center"/>
    </xf>
    <xf numFmtId="14" fontId="17" fillId="0" borderId="10" xfId="0" applyNumberFormat="1" applyFont="1" applyBorder="1" applyAlignment="1">
      <alignment horizontal="left" vertical="center" wrapText="1"/>
    </xf>
    <xf numFmtId="0" fontId="3" fillId="0" borderId="10" xfId="0" applyFont="1" applyBorder="1" applyAlignment="1">
      <alignment horizontal="center" vertical="center" wrapText="1"/>
    </xf>
    <xf numFmtId="14" fontId="17" fillId="0" borderId="0" xfId="0" applyNumberFormat="1" applyFont="1" applyFill="1" applyAlignment="1">
      <alignment horizontal="center" wrapText="1"/>
    </xf>
    <xf numFmtId="0" fontId="17" fillId="0" borderId="0" xfId="0" applyFont="1" applyFill="1" applyAlignment="1">
      <alignment horizontal="center" wrapText="1"/>
    </xf>
    <xf numFmtId="0" fontId="3" fillId="0" borderId="10"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16" xfId="0" quotePrefix="1" applyFont="1" applyFill="1" applyBorder="1" applyAlignment="1">
      <alignment horizontal="center" vertical="center" wrapText="1"/>
    </xf>
    <xf numFmtId="14" fontId="3" fillId="0" borderId="12" xfId="15" quotePrefix="1" applyNumberFormat="1" applyFont="1" applyFill="1" applyBorder="1" applyAlignment="1">
      <alignment horizontal="center" vertical="center" wrapText="1"/>
    </xf>
    <xf numFmtId="0" fontId="3" fillId="0" borderId="10" xfId="0" applyFont="1" applyBorder="1" applyAlignment="1">
      <alignment horizontal="center" vertical="center" wrapText="1"/>
    </xf>
    <xf numFmtId="0" fontId="17" fillId="0" borderId="10" xfId="15" applyNumberFormat="1" applyFont="1" applyFill="1" applyBorder="1" applyAlignment="1">
      <alignment horizontal="left" vertical="center"/>
    </xf>
    <xf numFmtId="0" fontId="81" fillId="0" borderId="10" xfId="15" applyFont="1" applyFill="1" applyBorder="1" applyAlignment="1">
      <alignment horizontal="center" vertical="center" wrapText="1"/>
    </xf>
    <xf numFmtId="14" fontId="81" fillId="0" borderId="10" xfId="15" applyNumberFormat="1" applyFont="1" applyFill="1" applyBorder="1" applyAlignment="1">
      <alignment horizontal="center" vertical="center" wrapText="1"/>
    </xf>
    <xf numFmtId="0" fontId="82" fillId="0" borderId="12" xfId="15" applyFont="1" applyFill="1" applyBorder="1" applyAlignment="1">
      <alignment horizontal="center" vertical="center" wrapText="1"/>
    </xf>
    <xf numFmtId="14" fontId="82" fillId="0" borderId="12" xfId="15" applyNumberFormat="1" applyFont="1" applyFill="1" applyBorder="1" applyAlignment="1">
      <alignment horizontal="center" vertical="center" wrapText="1"/>
    </xf>
    <xf numFmtId="0" fontId="3" fillId="0" borderId="10" xfId="0" applyFont="1" applyBorder="1" applyAlignment="1">
      <alignment horizontal="center" vertical="center" wrapText="1"/>
    </xf>
    <xf numFmtId="0" fontId="3" fillId="23" borderId="12" xfId="15" quotePrefix="1" applyFont="1" applyFill="1" applyBorder="1" applyAlignment="1">
      <alignment horizontal="center" vertical="center" wrapText="1"/>
    </xf>
    <xf numFmtId="0" fontId="3" fillId="0" borderId="10" xfId="0" applyFont="1" applyBorder="1" applyAlignment="1">
      <alignment horizontal="center" vertical="center" wrapText="1"/>
    </xf>
    <xf numFmtId="0" fontId="17" fillId="0" borderId="2" xfId="15" applyFont="1" applyFill="1" applyBorder="1" applyAlignment="1">
      <alignment horizontal="center" vertical="center" wrapText="1"/>
    </xf>
    <xf numFmtId="0" fontId="0" fillId="0" borderId="10" xfId="1" applyFont="1" applyFill="1" applyBorder="1" applyAlignment="1">
      <alignment horizontal="center" vertical="center" wrapText="1"/>
    </xf>
    <xf numFmtId="0" fontId="3" fillId="0" borderId="10" xfId="1" applyFont="1" applyFill="1" applyBorder="1" applyAlignment="1">
      <alignment horizontal="center" vertical="center" wrapText="1"/>
    </xf>
    <xf numFmtId="0" fontId="16" fillId="0" borderId="10" xfId="1" applyFont="1" applyFill="1" applyBorder="1" applyAlignment="1">
      <alignment horizontal="center" vertical="center" wrapText="1"/>
    </xf>
    <xf numFmtId="0" fontId="17" fillId="0" borderId="10" xfId="1" applyFont="1" applyFill="1" applyBorder="1" applyAlignment="1">
      <alignment horizontal="center" vertical="center" wrapText="1"/>
    </xf>
    <xf numFmtId="0" fontId="61" fillId="9" borderId="10" xfId="15" applyFont="1" applyFill="1" applyBorder="1" applyAlignment="1">
      <alignment horizontal="center" vertical="center" wrapText="1"/>
    </xf>
    <xf numFmtId="0" fontId="10" fillId="0" borderId="10" xfId="15" quotePrefix="1" applyFont="1" applyFill="1" applyBorder="1" applyAlignment="1">
      <alignment horizontal="center" vertical="center" wrapText="1"/>
    </xf>
    <xf numFmtId="0" fontId="10" fillId="0" borderId="12" xfId="15" applyFont="1" applyFill="1" applyBorder="1" applyAlignment="1">
      <alignment horizontal="center" vertical="center" wrapText="1"/>
    </xf>
    <xf numFmtId="0" fontId="17" fillId="0" borderId="12" xfId="0" applyFont="1" applyBorder="1" applyAlignment="1">
      <alignment horizontal="left" vertical="center" wrapText="1"/>
    </xf>
    <xf numFmtId="0" fontId="0" fillId="0" borderId="10" xfId="0" applyFill="1" applyBorder="1" applyAlignment="1">
      <alignment horizontal="center" vertical="center" wrapText="1"/>
    </xf>
    <xf numFmtId="0" fontId="0" fillId="0" borderId="0" xfId="0" applyFill="1" applyAlignment="1">
      <alignment horizontal="center" vertical="center" wrapText="1"/>
    </xf>
    <xf numFmtId="0" fontId="3" fillId="0" borderId="26" xfId="15" applyFont="1" applyFill="1" applyBorder="1" applyAlignment="1">
      <alignment horizontal="center" vertical="center" wrapText="1"/>
    </xf>
    <xf numFmtId="0" fontId="85" fillId="0" borderId="12" xfId="15" applyFont="1" applyFill="1" applyBorder="1" applyAlignment="1">
      <alignment horizontal="center" vertical="center" wrapText="1"/>
    </xf>
    <xf numFmtId="0" fontId="0" fillId="0" borderId="26" xfId="15" applyFont="1" applyFill="1" applyBorder="1" applyAlignment="1">
      <alignment horizontal="center" vertical="center" wrapText="1"/>
    </xf>
    <xf numFmtId="14" fontId="85" fillId="0" borderId="12" xfId="15" applyNumberFormat="1" applyFont="1" applyFill="1" applyBorder="1" applyAlignment="1">
      <alignment horizontal="center" vertical="center" wrapText="1"/>
    </xf>
    <xf numFmtId="0" fontId="86" fillId="0" borderId="12" xfId="15" applyFont="1" applyFill="1" applyBorder="1" applyAlignment="1">
      <alignment horizontal="center" vertical="center" wrapText="1"/>
    </xf>
    <xf numFmtId="14" fontId="45" fillId="21" borderId="1" xfId="15" applyNumberFormat="1" applyFont="1" applyFill="1" applyBorder="1" applyAlignment="1">
      <alignment horizontal="center" vertical="center" wrapText="1"/>
    </xf>
    <xf numFmtId="0" fontId="61" fillId="0" borderId="1" xfId="15" applyFont="1" applyFill="1" applyBorder="1" applyAlignment="1">
      <alignment horizontal="center" vertical="center" wrapText="1"/>
    </xf>
    <xf numFmtId="0" fontId="3" fillId="0" borderId="1" xfId="0" applyFont="1" applyFill="1" applyBorder="1" applyAlignment="1">
      <alignment horizontal="center" vertical="center" wrapText="1"/>
    </xf>
    <xf numFmtId="0" fontId="17" fillId="0" borderId="1" xfId="15"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17" fillId="2" borderId="1" xfId="15" applyNumberFormat="1" applyFont="1" applyFill="1" applyBorder="1" applyAlignment="1">
      <alignment horizontal="center" vertical="center" wrapText="1"/>
    </xf>
    <xf numFmtId="0" fontId="17" fillId="9" borderId="10" xfId="15" applyFont="1" applyFill="1" applyBorder="1" applyAlignment="1">
      <alignment horizontal="center" vertical="center" wrapText="1"/>
    </xf>
    <xf numFmtId="0" fontId="0" fillId="0" borderId="11" xfId="15" applyFont="1" applyFill="1" applyBorder="1" applyAlignment="1">
      <alignment horizontal="center" vertical="center" wrapText="1"/>
    </xf>
    <xf numFmtId="0" fontId="85" fillId="0" borderId="10" xfId="15" applyFont="1" applyFill="1" applyBorder="1" applyAlignment="1">
      <alignment horizontal="center" vertical="center" wrapText="1"/>
    </xf>
    <xf numFmtId="14" fontId="85" fillId="0" borderId="10" xfId="15" applyNumberFormat="1" applyFont="1" applyFill="1" applyBorder="1" applyAlignment="1">
      <alignment horizontal="center" vertical="center" wrapText="1"/>
    </xf>
    <xf numFmtId="0" fontId="86" fillId="0" borderId="10" xfId="15" applyFont="1" applyFill="1" applyBorder="1" applyAlignment="1">
      <alignment horizontal="center" vertical="center" wrapText="1"/>
    </xf>
    <xf numFmtId="14" fontId="78" fillId="0" borderId="10" xfId="15" applyNumberFormat="1" applyFont="1" applyFill="1" applyBorder="1" applyAlignment="1">
      <alignment horizontal="center" vertical="center" wrapText="1"/>
    </xf>
    <xf numFmtId="0" fontId="45" fillId="24" borderId="10" xfId="15" applyNumberFormat="1" applyFont="1" applyFill="1" applyBorder="1" applyAlignment="1">
      <alignment horizontal="center" vertical="center" wrapText="1"/>
    </xf>
    <xf numFmtId="0" fontId="22" fillId="24" borderId="10" xfId="15" applyNumberFormat="1" applyFont="1" applyFill="1" applyBorder="1" applyAlignment="1">
      <alignment horizontal="center" vertical="center" wrapText="1"/>
    </xf>
    <xf numFmtId="0" fontId="16" fillId="24" borderId="10" xfId="15" applyNumberFormat="1" applyFont="1" applyFill="1" applyBorder="1" applyAlignment="1">
      <alignment horizontal="center" vertical="center" wrapText="1"/>
    </xf>
    <xf numFmtId="0" fontId="0" fillId="9" borderId="10" xfId="0" applyFill="1" applyBorder="1" applyAlignment="1">
      <alignment horizontal="center" vertical="center"/>
    </xf>
    <xf numFmtId="0" fontId="3" fillId="0" borderId="21"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0"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7" xfId="0" applyFont="1" applyBorder="1" applyAlignment="1">
      <alignment horizontal="center" vertical="center" wrapText="1"/>
    </xf>
    <xf numFmtId="0" fontId="3" fillId="0" borderId="18" xfId="0" applyFont="1" applyBorder="1" applyAlignment="1">
      <alignment horizontal="center" vertical="center" wrapText="1"/>
    </xf>
    <xf numFmtId="0" fontId="3" fillId="0" borderId="16" xfId="0" applyFont="1" applyBorder="1" applyAlignment="1">
      <alignment horizontal="center" vertical="center" wrapText="1"/>
    </xf>
    <xf numFmtId="0" fontId="43" fillId="16" borderId="10" xfId="0" applyFont="1" applyFill="1" applyBorder="1" applyAlignment="1">
      <alignment horizontal="center" vertical="center"/>
    </xf>
    <xf numFmtId="0" fontId="42" fillId="15" borderId="10" xfId="0" applyFont="1" applyFill="1" applyBorder="1" applyAlignment="1">
      <alignment horizontal="center" vertical="center"/>
    </xf>
    <xf numFmtId="0" fontId="3" fillId="0" borderId="10" xfId="0" applyFont="1" applyBorder="1" applyAlignment="1">
      <alignment horizontal="center" vertical="center" wrapText="1"/>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23" xfId="0" applyBorder="1" applyAlignment="1">
      <alignment horizontal="center" vertical="center"/>
    </xf>
    <xf numFmtId="0" fontId="0" fillId="0" borderId="11" xfId="0" applyBorder="1" applyAlignment="1">
      <alignment horizontal="center" vertical="center"/>
    </xf>
    <xf numFmtId="0" fontId="45" fillId="17" borderId="17" xfId="15" applyNumberFormat="1" applyFont="1" applyFill="1" applyBorder="1" applyAlignment="1">
      <alignment horizontal="center" vertical="center" wrapText="1"/>
    </xf>
    <xf numFmtId="0" fontId="45" fillId="17" borderId="18" xfId="15" applyNumberFormat="1" applyFont="1" applyFill="1" applyBorder="1" applyAlignment="1">
      <alignment horizontal="center" vertical="center" wrapText="1"/>
    </xf>
    <xf numFmtId="0" fontId="45" fillId="17" borderId="19" xfId="15" applyNumberFormat="1" applyFont="1" applyFill="1" applyBorder="1" applyAlignment="1">
      <alignment horizontal="center" vertical="center" wrapText="1"/>
    </xf>
    <xf numFmtId="0" fontId="45" fillId="17" borderId="0" xfId="15" applyNumberFormat="1" applyFont="1" applyFill="1" applyBorder="1" applyAlignment="1">
      <alignment horizontal="center" vertical="center" wrapText="1"/>
    </xf>
  </cellXfs>
  <cellStyles count="27">
    <cellStyle name="Hiperlink" xfId="8" builtinId="8"/>
    <cellStyle name="Moeda 2" xfId="25"/>
    <cellStyle name="Normal" xfId="0" builtinId="0"/>
    <cellStyle name="Normal 2" xfId="1"/>
    <cellStyle name="Normal 2 2" xfId="15"/>
    <cellStyle name="Normal 3" xfId="2"/>
    <cellStyle name="Normal 3 2" xfId="16"/>
    <cellStyle name="Normal 3 3" xfId="26"/>
    <cellStyle name="Normal 4" xfId="9"/>
    <cellStyle name="Normal 4 2" xfId="21"/>
    <cellStyle name="Normal 5" xfId="10"/>
    <cellStyle name="Normal 5 2" xfId="22"/>
    <cellStyle name="Normal 6" xfId="11"/>
    <cellStyle name="Normal 6 2" xfId="23"/>
    <cellStyle name="Normal 7" xfId="12"/>
    <cellStyle name="Normal 7 2" xfId="24"/>
    <cellStyle name="Normal 8" xfId="14"/>
    <cellStyle name="Normal 9" xfId="13"/>
    <cellStyle name="Normal_Plan1" xfId="7"/>
    <cellStyle name="Porcentagem" xfId="5" builtinId="5"/>
    <cellStyle name="Porcentagem 2" xfId="3"/>
    <cellStyle name="Porcentagem 2 2" xfId="17"/>
    <cellStyle name="Porcentagem 3" xfId="19"/>
    <cellStyle name="Separador de milhares 2" xfId="4"/>
    <cellStyle name="Separador de milhares 2 2" xfId="18"/>
    <cellStyle name="Vírgula" xfId="6" builtinId="3"/>
    <cellStyle name="Vírgula 2" xfId="20"/>
  </cellStyles>
  <dxfs count="2016">
    <dxf>
      <fill>
        <patternFill patternType="solid">
          <fgColor indexed="26"/>
          <bgColor indexed="43"/>
        </patternFill>
      </fill>
    </dxf>
    <dxf>
      <fill>
        <patternFill patternType="solid">
          <fgColor indexed="26"/>
          <bgColor indexed="43"/>
        </patternFill>
      </fill>
    </dxf>
    <dxf>
      <font>
        <strike val="0"/>
        <outline val="0"/>
        <shadow val="0"/>
        <u val="none"/>
        <vertAlign val="baseline"/>
        <sz val="10"/>
        <color auto="1"/>
        <name val="Calibri"/>
        <scheme val="minor"/>
      </font>
      <alignment horizontal="left"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0"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9" formatCode="dd/mm/yyyy"/>
      <alignment horizontal="left" vertical="center" textRotation="0" wrapText="0"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30" formatCode="@"/>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auto="1"/>
        </left>
        <right style="thin">
          <color auto="1"/>
        </right>
        <top style="thin">
          <color indexed="64"/>
        </top>
        <bottom style="thin">
          <color indexed="64"/>
        </bottom>
      </border>
    </dxf>
    <dxf>
      <font>
        <strike val="0"/>
        <outline val="0"/>
        <shadow val="0"/>
        <u val="none"/>
        <vertAlign val="baseline"/>
        <sz val="10"/>
        <color auto="1"/>
        <name val="Calibri"/>
        <scheme val="minor"/>
      </font>
      <alignment horizontal="left" vertical="center" textRotation="0" indent="0" justifyLastLine="0" shrinkToFit="0" readingOrder="0"/>
    </dxf>
    <dxf>
      <border outline="0">
        <bottom style="thin">
          <color indexed="64"/>
        </bottom>
      </border>
    </dxf>
    <dxf>
      <font>
        <b/>
        <i val="0"/>
        <strike val="0"/>
        <condense val="0"/>
        <extend val="0"/>
        <outline val="0"/>
        <shadow val="0"/>
        <u val="none"/>
        <vertAlign val="baseline"/>
        <sz val="10"/>
        <color auto="1"/>
        <name val="Calibri"/>
        <scheme val="minor"/>
      </font>
      <numFmt numFmtId="0" formatCode="General"/>
      <fill>
        <patternFill patternType="solid">
          <fgColor indexed="31"/>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bottom style="thin">
          <color auto="1"/>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ill>
        <patternFill>
          <bgColor rgb="FF92D050"/>
        </patternFill>
      </fill>
    </dxf>
    <dxf>
      <fill>
        <patternFill>
          <bgColor theme="5"/>
        </patternFill>
      </fill>
    </dxf>
    <dxf>
      <fill>
        <patternFill>
          <bgColor theme="0" tint="-0.34998626667073579"/>
        </patternFill>
      </fill>
    </dxf>
    <dxf>
      <fill>
        <patternFill>
          <bgColor rgb="FF92D050"/>
        </patternFill>
      </fill>
    </dxf>
    <dxf>
      <fill>
        <patternFill>
          <bgColor theme="5"/>
        </patternFill>
      </fill>
    </dxf>
    <dxf>
      <fill>
        <patternFill>
          <bgColor theme="0" tint="-0.34998626667073579"/>
        </patternFill>
      </fill>
    </dxf>
    <dxf>
      <fill>
        <patternFill>
          <bgColor rgb="FF92D050"/>
        </patternFill>
      </fill>
    </dxf>
    <dxf>
      <fill>
        <patternFill>
          <bgColor theme="5"/>
        </patternFill>
      </fill>
    </dxf>
    <dxf>
      <fill>
        <patternFill>
          <bgColor theme="0" tint="-0.34998626667073579"/>
        </patternFill>
      </fill>
    </dxf>
    <dxf>
      <fill>
        <patternFill>
          <bgColor rgb="FF92D050"/>
        </patternFill>
      </fill>
    </dxf>
    <dxf>
      <fill>
        <patternFill>
          <bgColor theme="5"/>
        </patternFill>
      </fill>
    </dxf>
    <dxf>
      <fill>
        <patternFill>
          <bgColor theme="0" tint="-0.34998626667073579"/>
        </patternFill>
      </fill>
    </dxf>
    <dxf>
      <fill>
        <patternFill>
          <bgColor rgb="FF92D050"/>
        </patternFill>
      </fill>
    </dxf>
    <dxf>
      <fill>
        <patternFill>
          <bgColor theme="5"/>
        </patternFill>
      </fill>
    </dxf>
    <dxf>
      <fill>
        <patternFill>
          <bgColor theme="0" tint="-0.34998626667073579"/>
        </patternFill>
      </fill>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30" formatCode="@"/>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30" formatCode="@"/>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19" formatCode="dd/m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right style="thin">
          <color auto="1"/>
        </right>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auto="1"/>
        <name val="Calibri"/>
        <scheme val="minor"/>
      </font>
      <numFmt numFmtId="19" formatCode="dd/mm/yyyy"/>
      <fill>
        <patternFill patternType="solid">
          <fgColor indexed="31"/>
          <bgColor theme="8" tint="0.39997558519241921"/>
        </patternFill>
      </fill>
      <alignment horizontal="center" vertical="center" textRotation="0" wrapText="1" indent="0" justifyLastLine="0" shrinkToFit="0" readingOrder="0"/>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ill>
        <patternFill>
          <bgColor rgb="FF92D050"/>
        </patternFill>
      </fill>
    </dxf>
    <dxf>
      <fill>
        <patternFill>
          <bgColor theme="0" tint="-0.14996795556505021"/>
        </patternFill>
      </fill>
    </dxf>
    <dxf>
      <fill>
        <patternFill>
          <bgColor theme="5" tint="0.59996337778862885"/>
        </patternFill>
      </fill>
    </dxf>
    <dxf>
      <fill>
        <patternFill>
          <bgColor rgb="FF92D050"/>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30" formatCode="@"/>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30" formatCode="@"/>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30" formatCode="@"/>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30" formatCode="@"/>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numFmt numFmtId="19" formatCode="dd/m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auto="1"/>
        <name val="Calibri"/>
        <scheme val="minor"/>
      </font>
      <numFmt numFmtId="30" formatCode="@"/>
      <fill>
        <patternFill patternType="solid">
          <fgColor indexed="31"/>
          <bgColor indexed="22"/>
        </patternFill>
      </fill>
      <alignment horizontal="center" vertical="center" textRotation="0" wrapText="1" indent="0" justifyLastLine="0" shrinkToFit="0" readingOrder="0"/>
      <border diagonalUp="0" diagonalDown="0" outline="0">
        <left style="thin">
          <color auto="1"/>
        </left>
        <right style="thin">
          <color auto="1"/>
        </right>
        <top/>
        <bottom/>
      </border>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auto="1"/>
      </font>
      <fill>
        <patternFill>
          <bgColor theme="0" tint="-0.24994659260841701"/>
        </patternFill>
      </fill>
    </dxf>
    <dxf>
      <font>
        <color auto="1"/>
      </font>
      <fill>
        <patternFill>
          <bgColor theme="0" tint="-0.24994659260841701"/>
        </patternFill>
      </fill>
    </dxf>
    <dxf>
      <font>
        <color auto="1"/>
      </font>
      <fill>
        <patternFill>
          <bgColor theme="0" tint="-0.24994659260841701"/>
        </patternFill>
      </fill>
    </dxf>
    <dxf>
      <font>
        <color auto="1"/>
      </font>
      <fill>
        <patternFill>
          <bgColor theme="0" tint="-0.24994659260841701"/>
        </patternFill>
      </fill>
    </dxf>
    <dxf>
      <font>
        <color auto="1"/>
      </font>
      <fill>
        <patternFill>
          <bgColor theme="0" tint="-0.24994659260841701"/>
        </patternFill>
      </fill>
    </dxf>
    <dxf>
      <font>
        <color auto="1"/>
      </font>
      <fill>
        <patternFill>
          <bgColor theme="0" tint="-0.24994659260841701"/>
        </patternFill>
      </fill>
    </dxf>
    <dxf>
      <font>
        <color auto="1"/>
      </font>
      <fill>
        <patternFill>
          <bgColor theme="0"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auto="1"/>
      </font>
      <fill>
        <patternFill>
          <bgColor theme="0" tint="-0.2499465926084170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fgColor indexed="26"/>
          <bgColor indexed="43"/>
        </patternFill>
      </fill>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9" formatCode="dd/mm/yyyy"/>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8" formatCode="dd/mm/yy;@"/>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right style="thin">
          <color auto="1"/>
        </right>
        <bottom style="thin">
          <color indexed="64"/>
        </bottom>
      </border>
    </dxf>
    <dxf>
      <font>
        <b val="0"/>
        <i val="0"/>
        <strike val="0"/>
        <condense val="0"/>
        <extend val="0"/>
        <outline val="0"/>
        <shadow val="0"/>
        <u val="none"/>
        <vertAlign val="baseline"/>
        <sz val="10"/>
        <color auto="1"/>
        <name val="Arial"/>
        <scheme val="none"/>
      </font>
      <numFmt numFmtId="19" formatCode="dd/mm/yyyy"/>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0"/>
        <color theme="0"/>
        <name val="Calibri"/>
        <scheme val="minor"/>
      </font>
      <numFmt numFmtId="19" formatCode="dd/mm/yyyy"/>
      <fill>
        <patternFill patternType="solid">
          <fgColor indexed="31"/>
          <bgColor theme="3"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ont>
        <color theme="1"/>
      </font>
      <fill>
        <patternFill>
          <bgColor theme="0" tint="-0.14996795556505021"/>
        </patternFill>
      </fill>
    </dxf>
    <dxf>
      <font>
        <color theme="1"/>
      </font>
      <fill>
        <patternFill>
          <bgColor theme="5" tint="0.39994506668294322"/>
        </patternFill>
      </fill>
    </dxf>
    <dxf>
      <font>
        <color theme="1"/>
      </font>
      <fill>
        <patternFill>
          <bgColor theme="4" tint="0.59996337778862885"/>
        </patternFill>
      </fill>
    </dxf>
    <dxf>
      <font>
        <color theme="1"/>
      </font>
      <fill>
        <patternFill>
          <bgColor theme="9"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fgColor indexed="26"/>
          <bgColor indexed="4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1" defaultTableStyle="TableStyleMedium9" defaultPivotStyle="PivotStyleLight16">
    <tableStyle name="Estilo de Tabela 1" pivot="0" count="0"/>
  </tableStyles>
  <colors>
    <mruColors>
      <color rgb="FFFF6699"/>
      <color rgb="FFC8ACB0"/>
      <color rgb="FFFFFFCC"/>
      <color rgb="FF00FF00"/>
      <color rgb="FFF6DE88"/>
      <color rgb="FFFFE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0</xdr:rowOff>
    </xdr:from>
    <xdr:to>
      <xdr:col>1</xdr:col>
      <xdr:colOff>0</xdr:colOff>
      <xdr:row>0</xdr:row>
      <xdr:rowOff>9525</xdr:rowOff>
    </xdr:to>
    <xdr:pic>
      <xdr:nvPicPr>
        <xdr:cNvPr id="2" name="Figuras 1"/>
        <xdr:cNvPicPr>
          <a:picLocks noChangeAspect="1" noChangeArrowheads="1"/>
        </xdr:cNvPicPr>
      </xdr:nvPicPr>
      <xdr:blipFill>
        <a:blip xmlns:r="http://schemas.openxmlformats.org/officeDocument/2006/relationships" r:embed="rId1" cstate="print"/>
        <a:srcRect/>
        <a:stretch>
          <a:fillRect/>
        </a:stretch>
      </xdr:blipFill>
      <xdr:spPr bwMode="auto">
        <a:xfrm>
          <a:off x="647700" y="333375"/>
          <a:ext cx="733425" cy="9525"/>
        </a:xfrm>
        <a:prstGeom prst="rect">
          <a:avLst/>
        </a:prstGeom>
        <a:noFill/>
        <a:ln w="9525">
          <a:noFill/>
          <a:round/>
          <a:headEnd/>
          <a:tailEnd/>
        </a:ln>
      </xdr:spPr>
    </xdr:pic>
    <xdr:clientData/>
  </xdr:twoCellAnchor>
  <xdr:twoCellAnchor>
    <xdr:from>
      <xdr:col>10</xdr:col>
      <xdr:colOff>1273969</xdr:colOff>
      <xdr:row>0</xdr:row>
      <xdr:rowOff>0</xdr:rowOff>
    </xdr:from>
    <xdr:to>
      <xdr:col>11</xdr:col>
      <xdr:colOff>1262063</xdr:colOff>
      <xdr:row>0</xdr:row>
      <xdr:rowOff>3544</xdr:rowOff>
    </xdr:to>
    <xdr:pic>
      <xdr:nvPicPr>
        <xdr:cNvPr id="10" name="Imagem 2"/>
        <xdr:cNvPicPr>
          <a:picLocks noChangeAspect="1" noChangeArrowheads="1"/>
        </xdr:cNvPicPr>
      </xdr:nvPicPr>
      <xdr:blipFill>
        <a:blip xmlns:r="http://schemas.openxmlformats.org/officeDocument/2006/relationships" r:embed="rId2" cstate="print"/>
        <a:srcRect/>
        <a:stretch>
          <a:fillRect/>
        </a:stretch>
      </xdr:blipFill>
      <xdr:spPr bwMode="auto">
        <a:xfrm>
          <a:off x="5979319" y="0"/>
          <a:ext cx="1264444" cy="3544"/>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1</xdr:row>
      <xdr:rowOff>0</xdr:rowOff>
    </xdr:from>
    <xdr:to>
      <xdr:col>1</xdr:col>
      <xdr:colOff>9525</xdr:colOff>
      <xdr:row>1</xdr:row>
      <xdr:rowOff>9525</xdr:rowOff>
    </xdr:to>
    <xdr:pic>
      <xdr:nvPicPr>
        <xdr:cNvPr id="2" name="Figuras 1"/>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1000125" cy="9525"/>
        </a:xfrm>
        <a:prstGeom prst="rect">
          <a:avLst/>
        </a:prstGeom>
        <a:noFill/>
        <a:ln w="9525">
          <a:noFill/>
          <a:round/>
          <a:headEnd/>
          <a:tailEnd/>
        </a:ln>
      </xdr:spPr>
    </xdr:pic>
    <xdr:clientData/>
  </xdr:twoCellAnchor>
  <xdr:twoCellAnchor>
    <xdr:from>
      <xdr:col>0</xdr:col>
      <xdr:colOff>119060</xdr:colOff>
      <xdr:row>1</xdr:row>
      <xdr:rowOff>11906</xdr:rowOff>
    </xdr:from>
    <xdr:to>
      <xdr:col>1</xdr:col>
      <xdr:colOff>952498</xdr:colOff>
      <xdr:row>1</xdr:row>
      <xdr:rowOff>15450</xdr:rowOff>
    </xdr:to>
    <xdr:pic>
      <xdr:nvPicPr>
        <xdr:cNvPr id="3" name="Imagem 2"/>
        <xdr:cNvPicPr>
          <a:picLocks noChangeAspect="1" noChangeArrowheads="1"/>
        </xdr:cNvPicPr>
      </xdr:nvPicPr>
      <xdr:blipFill>
        <a:blip xmlns:r="http://schemas.openxmlformats.org/officeDocument/2006/relationships" r:embed="rId2" cstate="print"/>
        <a:srcRect/>
        <a:stretch>
          <a:fillRect/>
        </a:stretch>
      </xdr:blipFill>
      <xdr:spPr bwMode="auto">
        <a:xfrm>
          <a:off x="119060" y="178594"/>
          <a:ext cx="1762126" cy="3544"/>
        </a:xfrm>
        <a:prstGeom prst="rect">
          <a:avLst/>
        </a:prstGeom>
        <a:noFill/>
        <a:ln w="9525">
          <a:noFill/>
          <a:miter lim="800000"/>
          <a:headEnd/>
          <a:tailEnd/>
        </a:ln>
      </xdr:spPr>
    </xdr:pic>
    <xdr:clientData/>
  </xdr:twoCellAnchor>
  <xdr:twoCellAnchor>
    <xdr:from>
      <xdr:col>4</xdr:col>
      <xdr:colOff>335477</xdr:colOff>
      <xdr:row>1</xdr:row>
      <xdr:rowOff>0</xdr:rowOff>
    </xdr:from>
    <xdr:to>
      <xdr:col>4</xdr:col>
      <xdr:colOff>1601740</xdr:colOff>
      <xdr:row>1</xdr:row>
      <xdr:rowOff>3544</xdr:rowOff>
    </xdr:to>
    <xdr:pic>
      <xdr:nvPicPr>
        <xdr:cNvPr id="4" name="Imagem 2"/>
        <xdr:cNvPicPr>
          <a:picLocks noChangeAspect="1" noChangeArrowheads="1"/>
        </xdr:cNvPicPr>
      </xdr:nvPicPr>
      <xdr:blipFill>
        <a:blip xmlns:r="http://schemas.openxmlformats.org/officeDocument/2006/relationships" r:embed="rId2" cstate="print"/>
        <a:srcRect/>
        <a:stretch>
          <a:fillRect/>
        </a:stretch>
      </xdr:blipFill>
      <xdr:spPr bwMode="auto">
        <a:xfrm>
          <a:off x="5926652" y="0"/>
          <a:ext cx="961463" cy="354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xdr:col>
      <xdr:colOff>0</xdr:colOff>
      <xdr:row>0</xdr:row>
      <xdr:rowOff>9525</xdr:rowOff>
    </xdr:to>
    <xdr:pic>
      <xdr:nvPicPr>
        <xdr:cNvPr id="2" name="Figuras 1"/>
        <xdr:cNvPicPr>
          <a:picLocks noChangeAspect="1" noChangeArrowheads="1"/>
        </xdr:cNvPicPr>
      </xdr:nvPicPr>
      <xdr:blipFill>
        <a:blip xmlns:r="http://schemas.openxmlformats.org/officeDocument/2006/relationships" r:embed="rId1" cstate="print"/>
        <a:srcRect/>
        <a:stretch>
          <a:fillRect/>
        </a:stretch>
      </xdr:blipFill>
      <xdr:spPr bwMode="auto">
        <a:xfrm>
          <a:off x="647700" y="790575"/>
          <a:ext cx="847725" cy="9525"/>
        </a:xfrm>
        <a:prstGeom prst="rect">
          <a:avLst/>
        </a:prstGeom>
        <a:noFill/>
        <a:ln w="9525">
          <a:noFill/>
          <a:round/>
          <a:headEnd/>
          <a:tailEnd/>
        </a:ln>
      </xdr:spPr>
    </xdr:pic>
    <xdr:clientData/>
  </xdr:twoCellAnchor>
  <xdr:twoCellAnchor>
    <xdr:from>
      <xdr:col>0</xdr:col>
      <xdr:colOff>0</xdr:colOff>
      <xdr:row>0</xdr:row>
      <xdr:rowOff>11906</xdr:rowOff>
    </xdr:from>
    <xdr:to>
      <xdr:col>1</xdr:col>
      <xdr:colOff>0</xdr:colOff>
      <xdr:row>0</xdr:row>
      <xdr:rowOff>15450</xdr:rowOff>
    </xdr:to>
    <xdr:pic>
      <xdr:nvPicPr>
        <xdr:cNvPr id="3" name="Imagem 2"/>
        <xdr:cNvPicPr>
          <a:picLocks noChangeAspect="1" noChangeArrowheads="1"/>
        </xdr:cNvPicPr>
      </xdr:nvPicPr>
      <xdr:blipFill>
        <a:blip xmlns:r="http://schemas.openxmlformats.org/officeDocument/2006/relationships" r:embed="rId2" cstate="print"/>
        <a:srcRect/>
        <a:stretch>
          <a:fillRect/>
        </a:stretch>
      </xdr:blipFill>
      <xdr:spPr bwMode="auto">
        <a:xfrm>
          <a:off x="0" y="11906"/>
          <a:ext cx="1605643" cy="3544"/>
        </a:xfrm>
        <a:prstGeom prst="rect">
          <a:avLst/>
        </a:prstGeom>
        <a:noFill/>
        <a:ln w="9525">
          <a:noFill/>
          <a:miter lim="800000"/>
          <a:headEnd/>
          <a:tailEnd/>
        </a:ln>
      </xdr:spPr>
    </xdr:pic>
    <xdr:clientData/>
  </xdr:twoCellAnchor>
  <xdr:twoCellAnchor>
    <xdr:from>
      <xdr:col>3</xdr:col>
      <xdr:colOff>0</xdr:colOff>
      <xdr:row>0</xdr:row>
      <xdr:rowOff>0</xdr:rowOff>
    </xdr:from>
    <xdr:to>
      <xdr:col>3</xdr:col>
      <xdr:colOff>1404938</xdr:colOff>
      <xdr:row>0</xdr:row>
      <xdr:rowOff>3544</xdr:rowOff>
    </xdr:to>
    <xdr:pic>
      <xdr:nvPicPr>
        <xdr:cNvPr id="5" name="Imagem 2"/>
        <xdr:cNvPicPr>
          <a:picLocks noChangeAspect="1" noChangeArrowheads="1"/>
        </xdr:cNvPicPr>
      </xdr:nvPicPr>
      <xdr:blipFill>
        <a:blip xmlns:r="http://schemas.openxmlformats.org/officeDocument/2006/relationships" r:embed="rId2" cstate="print"/>
        <a:srcRect/>
        <a:stretch>
          <a:fillRect/>
        </a:stretch>
      </xdr:blipFill>
      <xdr:spPr bwMode="auto">
        <a:xfrm>
          <a:off x="8882062" y="0"/>
          <a:ext cx="1685926" cy="794119"/>
        </a:xfrm>
        <a:prstGeom prst="rect">
          <a:avLst/>
        </a:prstGeom>
        <a:noFill/>
        <a:ln w="9525">
          <a:noFill/>
          <a:miter lim="800000"/>
          <a:headEnd/>
          <a:tailEnd/>
        </a:ln>
      </xdr:spPr>
    </xdr:pic>
    <xdr:clientData/>
  </xdr:twoCellAnchor>
  <xdr:twoCellAnchor>
    <xdr:from>
      <xdr:col>5</xdr:col>
      <xdr:colOff>1273969</xdr:colOff>
      <xdr:row>0</xdr:row>
      <xdr:rowOff>0</xdr:rowOff>
    </xdr:from>
    <xdr:to>
      <xdr:col>6</xdr:col>
      <xdr:colOff>1262063</xdr:colOff>
      <xdr:row>0</xdr:row>
      <xdr:rowOff>3544</xdr:rowOff>
    </xdr:to>
    <xdr:pic>
      <xdr:nvPicPr>
        <xdr:cNvPr id="6" name="Imagem 2"/>
        <xdr:cNvPicPr>
          <a:picLocks noChangeAspect="1" noChangeArrowheads="1"/>
        </xdr:cNvPicPr>
      </xdr:nvPicPr>
      <xdr:blipFill>
        <a:blip xmlns:r="http://schemas.openxmlformats.org/officeDocument/2006/relationships" r:embed="rId2" cstate="print"/>
        <a:srcRect/>
        <a:stretch>
          <a:fillRect/>
        </a:stretch>
      </xdr:blipFill>
      <xdr:spPr bwMode="auto">
        <a:xfrm>
          <a:off x="12999244" y="0"/>
          <a:ext cx="1693069" cy="794119"/>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0</xdr:row>
      <xdr:rowOff>0</xdr:rowOff>
    </xdr:from>
    <xdr:to>
      <xdr:col>2</xdr:col>
      <xdr:colOff>9525</xdr:colOff>
      <xdr:row>0</xdr:row>
      <xdr:rowOff>9525</xdr:rowOff>
    </xdr:to>
    <xdr:pic>
      <xdr:nvPicPr>
        <xdr:cNvPr id="14" name="Figuras 1"/>
        <xdr:cNvPicPr>
          <a:picLocks noChangeAspect="1" noChangeArrowheads="1"/>
        </xdr:cNvPicPr>
      </xdr:nvPicPr>
      <xdr:blipFill>
        <a:blip xmlns:r="http://schemas.openxmlformats.org/officeDocument/2006/relationships" r:embed="rId1" cstate="print"/>
        <a:srcRect/>
        <a:stretch>
          <a:fillRect/>
        </a:stretch>
      </xdr:blipFill>
      <xdr:spPr bwMode="auto">
        <a:xfrm>
          <a:off x="876300" y="590550"/>
          <a:ext cx="1533525" cy="9525"/>
        </a:xfrm>
        <a:prstGeom prst="rect">
          <a:avLst/>
        </a:prstGeom>
        <a:noFill/>
        <a:ln w="9525">
          <a:noFill/>
          <a:round/>
          <a:headEnd/>
          <a:tailEnd/>
        </a:ln>
      </xdr:spPr>
    </xdr:pic>
    <xdr:clientData/>
  </xdr:twoCellAnchor>
  <xdr:twoCellAnchor>
    <xdr:from>
      <xdr:col>0</xdr:col>
      <xdr:colOff>19050</xdr:colOff>
      <xdr:row>0</xdr:row>
      <xdr:rowOff>0</xdr:rowOff>
    </xdr:from>
    <xdr:to>
      <xdr:col>1</xdr:col>
      <xdr:colOff>9525</xdr:colOff>
      <xdr:row>0</xdr:row>
      <xdr:rowOff>9525</xdr:rowOff>
    </xdr:to>
    <xdr:pic>
      <xdr:nvPicPr>
        <xdr:cNvPr id="15" name="Figuras 1"/>
        <xdr:cNvPicPr>
          <a:picLocks noChangeAspect="1" noChangeArrowheads="1"/>
        </xdr:cNvPicPr>
      </xdr:nvPicPr>
      <xdr:blipFill>
        <a:blip xmlns:r="http://schemas.openxmlformats.org/officeDocument/2006/relationships" r:embed="rId2" cstate="print"/>
        <a:srcRect/>
        <a:stretch>
          <a:fillRect/>
        </a:stretch>
      </xdr:blipFill>
      <xdr:spPr bwMode="auto">
        <a:xfrm>
          <a:off x="19050" y="590550"/>
          <a:ext cx="847725" cy="9525"/>
        </a:xfrm>
        <a:prstGeom prst="rect">
          <a:avLst/>
        </a:prstGeom>
        <a:noFill/>
        <a:ln w="9525">
          <a:noFill/>
          <a:round/>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mila.salles\Desktop\Planilha%20Geral%20-%20CLON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suntos%20Regulatorios\_Registro\_PROCESSOS\CLONES\Planilha%20Geral%20-%20CLON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wellington.fonseca\Desktop\protocolados\C&#243;pia%20de%20Cancelamentos%20programado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Assuntos%20Regulat&#243;rios%20Medicamentos\PLANILHAS%20DE%20CONTROLE%20REGULAT&#211;RIO\C&#243;pia%20de%20Protocolados%20-%20Grupo%20Hypera%20Pharma____.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NES GERAL"/>
      <sheetName val="DEFERIDOS"/>
      <sheetName val="CLONE DE REGISTRADO"/>
      <sheetName val="CLONE DE PROTOCOLADO"/>
      <sheetName val="Plan2"/>
    </sheetNames>
    <sheetDataSet>
      <sheetData sheetId="0"/>
      <sheetData sheetId="1"/>
      <sheetData sheetId="2"/>
      <sheetData sheetId="3"/>
      <sheetData sheetId="4">
        <row r="1">
          <cell r="A1" t="str">
            <v>biológico</v>
          </cell>
        </row>
        <row r="2">
          <cell r="A2" t="str">
            <v>específico</v>
          </cell>
        </row>
        <row r="3">
          <cell r="A3" t="str">
            <v>fitoterápico</v>
          </cell>
        </row>
        <row r="4">
          <cell r="A4" t="str">
            <v>genérico</v>
          </cell>
        </row>
        <row r="5">
          <cell r="A5" t="str">
            <v>novo</v>
          </cell>
        </row>
        <row r="6">
          <cell r="A6" t="str">
            <v>similar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ONES GERAL"/>
      <sheetName val="DEFERIDOS"/>
      <sheetName val="CLONE DE REGISTRADO"/>
      <sheetName val="CLONE DE PROTOCOLADO"/>
      <sheetName val="Plan2"/>
    </sheetNames>
    <sheetDataSet>
      <sheetData sheetId="0" refreshError="1"/>
      <sheetData sheetId="1" refreshError="1"/>
      <sheetData sheetId="2" refreshError="1"/>
      <sheetData sheetId="3" refreshError="1"/>
      <sheetData sheetId="4">
        <row r="8">
          <cell r="A8" t="str">
            <v>Brainfarma</v>
          </cell>
        </row>
        <row r="9">
          <cell r="A9" t="str">
            <v>Cosmed</v>
          </cell>
        </row>
        <row r="10">
          <cell r="A10" t="str">
            <v>Hypermarcas</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ncelamento"/>
      <sheetName val="Descontinuação"/>
      <sheetName val="Petições Ag. Análise"/>
      <sheetName val="Plan2"/>
    </sheetNames>
    <sheetDataSet>
      <sheetData sheetId="0"/>
      <sheetData sheetId="1"/>
      <sheetData sheetId="2"/>
      <sheetData sheetId="3">
        <row r="6">
          <cell r="A6" t="str">
            <v>Apresentação</v>
          </cell>
        </row>
        <row r="7">
          <cell r="A7" t="str">
            <v>Medicamento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s"/>
    </sheetNames>
    <sheetDataSet>
      <sheetData sheetId="0" refreshError="1"/>
    </sheetDataSet>
  </externalBook>
</externalLink>
</file>

<file path=xl/tables/table1.xml><?xml version="1.0" encoding="utf-8"?>
<table xmlns="http://schemas.openxmlformats.org/spreadsheetml/2006/main" id="3" name="Tabela4" displayName="Tabela4" ref="A1:EV109" totalsRowShown="0" headerRowDxfId="955" dataDxfId="954" tableBorderDxfId="953" headerRowCellStyle="Normal 2 2" dataCellStyle="Normal 2 2">
  <autoFilter ref="A1:EV109"/>
  <tableColumns count="152">
    <tableColumn id="1" name="Quantidade" dataDxfId="952" dataCellStyle="Normal 2 2"/>
    <tableColumn id="31" name="ID PROJECT" dataDxfId="951" dataCellStyle="Normal 2 2"/>
    <tableColumn id="2" name="Empresa" dataDxfId="950" dataCellStyle="Normal 2 2"/>
    <tableColumn id="3" name="Modelo de Negócio" dataDxfId="949" dataCellStyle="Normal 2 2"/>
    <tableColumn id="227" name="business unit(BU)" dataDxfId="948" dataCellStyle="Normal 2 2"/>
    <tableColumn id="4" name="Processo" dataDxfId="947" dataCellStyle="Normal 2 2"/>
    <tableColumn id="5" name="Produto" dataDxfId="946" dataCellStyle="Normal 2 2"/>
    <tableColumn id="6" name="Principio Ativo" dataDxfId="945" dataCellStyle="Normal 2 2"/>
    <tableColumn id="7" name="Fabricante do Fármaco" dataDxfId="944" dataCellStyle="Normal 2 2"/>
    <tableColumn id="8" name="Apresentação" dataDxfId="943" dataCellStyle="Normal 2 2"/>
    <tableColumn id="9" name="Concentração" dataDxfId="942" dataCellStyle="Normal 2 2"/>
    <tableColumn id="10" name="Categoria" dataDxfId="941" dataCellStyle="Normal 2 2"/>
    <tableColumn id="11" name="Forma Farmacêutica" dataDxfId="940" dataCellStyle="Normal 2 2"/>
    <tableColumn id="12" name="Tipo de Petição" dataDxfId="939" dataCellStyle="Normal 2 2"/>
    <tableColumn id="13" name="Data de submissão" dataDxfId="938" dataCellStyle="Normal 2 2"/>
    <tableColumn id="14" name="Expediente 1" dataDxfId="937" dataCellStyle="Normal 2 2"/>
    <tableColumn id="213" name="Expediente 2" dataDxfId="936" dataCellStyle="Normal 2 2"/>
    <tableColumn id="15" name="Status" dataDxfId="935" dataCellStyle="Normal 2 2"/>
    <tableColumn id="16" name="Data de entrada em análise" dataDxfId="934" dataCellStyle="Normal 2 2"/>
    <tableColumn id="17" name="FILA" dataDxfId="933" dataCellStyle="Normal 2 2"/>
    <tableColumn id="18" name="Observação" dataDxfId="932" dataCellStyle="Normal 2 2"/>
    <tableColumn id="200" name="Status de petições paralelas / aditamentos_x000a_ATUALIZADO 18/Jun/2021" dataDxfId="931" dataCellStyle="Normal 2 2"/>
    <tableColumn id="19" name="Produto matriz" dataDxfId="930" dataCellStyle="Normal 2 2"/>
    <tableColumn id="20" name="Nº do processo matriz" dataDxfId="929" dataCellStyle="Normal 2 2"/>
    <tableColumn id="21" name="Clone está no Edital nº 1 de matrizes em adequação?" dataDxfId="928" dataCellStyle="Normal 2 2"/>
    <tableColumn id="22" name="Matriz registrado?" dataDxfId="927" dataCellStyle="Normal 2 2"/>
    <tableColumn id="46" name="Data Fila Inicial" dataDxfId="926" dataCellStyle="Normal 2 2"/>
    <tableColumn id="45" name="Descrição Fila Inicial" dataDxfId="925" dataCellStyle="Normal 2 2"/>
    <tableColumn id="44" name="Data Fila Atual" dataDxfId="924" dataCellStyle="Normal 2 2"/>
    <tableColumn id="43" name="Descrição Fila Atual" dataDxfId="923" dataCellStyle="Normal 2 2"/>
    <tableColumn id="53" name="BI" dataDxfId="922" dataCellStyle="Normal 2 2"/>
    <tableColumn id="152" name="07/06/2019" dataDxfId="921" dataCellStyle="Normal 2 2"/>
    <tableColumn id="153" name="14/06/2019" dataDxfId="920" dataCellStyle="Normal 2 2"/>
    <tableColumn id="154" name="19/06/2019" dataDxfId="919" dataCellStyle="Normal 2 2"/>
    <tableColumn id="155" name="28/06/2019" dataDxfId="918" dataCellStyle="Normal 2 2"/>
    <tableColumn id="156" name="05/07/2019" dataDxfId="917" dataCellStyle="Normal 2 2"/>
    <tableColumn id="157" name="12/07/2019" dataDxfId="916" dataCellStyle="Normal 2 2"/>
    <tableColumn id="158" name="19/07/2019" dataDxfId="915" dataCellStyle="Normal 2 2"/>
    <tableColumn id="159" name="26/07/2019" dataDxfId="914" dataCellStyle="Normal 2 2"/>
    <tableColumn id="160" name="02/08/2019" dataDxfId="913" dataCellStyle="Normal 2 2"/>
    <tableColumn id="161" name="09/08/2019" dataDxfId="912" dataCellStyle="Normal 2 2"/>
    <tableColumn id="162" name="16/08/2019" dataDxfId="911" dataCellStyle="Normal 2 2"/>
    <tableColumn id="163" name="23/08/2019" dataDxfId="910" dataCellStyle="Normal 2 2"/>
    <tableColumn id="164" name="30/08/2019" dataDxfId="909" dataCellStyle="Normal 2 2"/>
    <tableColumn id="165" name="06/09/2019" dataDxfId="908" dataCellStyle="Normal 2 2"/>
    <tableColumn id="166" name="13/09/2019" dataDxfId="907" dataCellStyle="Normal 2 2"/>
    <tableColumn id="167" name="20/09/2019" dataDxfId="906" dataCellStyle="Normal 2 2"/>
    <tableColumn id="168" name="27/09/2019" dataDxfId="905" dataCellStyle="Normal 2 2"/>
    <tableColumn id="169" name="04/10/2019" dataDxfId="904" dataCellStyle="Normal 2 2"/>
    <tableColumn id="170" name="11/10/2019" dataDxfId="903" dataCellStyle="Normal 2 2"/>
    <tableColumn id="171" name="18/10/2019" dataDxfId="902" dataCellStyle="Normal 2 2"/>
    <tableColumn id="172" name="25/10/2019" dataDxfId="901" dataCellStyle="Normal 2 2"/>
    <tableColumn id="173" name="01/11/2019" dataDxfId="900" dataCellStyle="Normal 2 2"/>
    <tableColumn id="174" name="08/11/2019" dataDxfId="899" dataCellStyle="Normal 2 2"/>
    <tableColumn id="175" name="14/11/2019" dataDxfId="898" dataCellStyle="Normal 2 2"/>
    <tableColumn id="176" name="22/11/2019" dataDxfId="897" dataCellStyle="Normal 2 2"/>
    <tableColumn id="177" name="29/11/2019" dataDxfId="896" dataCellStyle="Normal 2 2"/>
    <tableColumn id="178" name="06/12/2019" dataDxfId="895" dataCellStyle="Normal 2 2"/>
    <tableColumn id="179" name="13/12/2019" dataDxfId="894" dataCellStyle="Normal 2 2"/>
    <tableColumn id="180" name="20/12/2019" dataDxfId="893" dataCellStyle="Normal 2 2"/>
    <tableColumn id="181" name="10/01/2020" dataDxfId="892" dataCellStyle="Normal 2 2"/>
    <tableColumn id="182" name="17/01/2020" dataDxfId="891" dataCellStyle="Normal 2 2"/>
    <tableColumn id="183" name="24/01/2020" dataDxfId="890" dataCellStyle="Normal 2 2"/>
    <tableColumn id="184" name="31/01/2020" dataDxfId="889" dataCellStyle="Normal 2 2"/>
    <tableColumn id="187" name="07/02/2020" dataDxfId="888" dataCellStyle="Normal 2 2"/>
    <tableColumn id="189" name="14/02/2020" dataDxfId="887" dataCellStyle="Normal 2 2"/>
    <tableColumn id="188" name="21/02/2020" dataDxfId="886" dataCellStyle="Normal 2 2"/>
    <tableColumn id="191" name="28/02/2020" dataDxfId="885" dataCellStyle="Normal 2 2"/>
    <tableColumn id="190" name="06/03/2020" dataDxfId="884" dataCellStyle="Normal 2 2"/>
    <tableColumn id="192" name="13/03/2020" dataDxfId="883" dataCellStyle="Normal 2 2"/>
    <tableColumn id="195" name="20/03/2020" dataDxfId="882" dataCellStyle="Normal 2 2"/>
    <tableColumn id="193" name="27/03/2020" dataDxfId="881" dataCellStyle="Normal 2 2"/>
    <tableColumn id="194" name="03/04/2020" dataDxfId="880" dataCellStyle="Normal 2 2"/>
    <tableColumn id="196" name="09/04/2020" dataDxfId="879" dataCellStyle="Normal 2 2"/>
    <tableColumn id="201" name="17/04/2020" dataDxfId="878" dataCellStyle="Normal 2 2"/>
    <tableColumn id="199" name="24/04/2020" dataDxfId="877" dataCellStyle="Normal 2 2"/>
    <tableColumn id="202" name="30/04/2020" dataDxfId="876" dataCellStyle="Normal 2 2"/>
    <tableColumn id="203" name="08/05/2020" dataDxfId="875" dataCellStyle="Normal 2 2"/>
    <tableColumn id="204" name="15/05/2020" dataDxfId="874" dataCellStyle="Normal 2 2"/>
    <tableColumn id="206" name="22/05/2020" dataDxfId="873" dataCellStyle="Normal 2 2"/>
    <tableColumn id="205" name="29/05/2020" dataDxfId="872" dataCellStyle="Normal 2 2"/>
    <tableColumn id="208" name="05/06/2020" dataDxfId="871" dataCellStyle="Normal 2 2"/>
    <tableColumn id="207" name="12/06/2020" dataDxfId="870" dataCellStyle="Normal 2 2"/>
    <tableColumn id="209" name="19/06/2020" dataDxfId="869" dataCellStyle="Normal 2 2"/>
    <tableColumn id="210" name="26/06/2020" dataDxfId="868" dataCellStyle="Normal 2 2"/>
    <tableColumn id="211" name="03/07/2020" dataDxfId="867" dataCellStyle="Normal 2 2"/>
    <tableColumn id="212" name="10/07/2020" dataDxfId="866" dataCellStyle="Normal 2 2"/>
    <tableColumn id="214" name="17/07/2020" dataDxfId="865" dataCellStyle="Normal 2 2"/>
    <tableColumn id="215" name="24/07/2020" dataDxfId="864" dataCellStyle="Normal 2 2"/>
    <tableColumn id="216" name="31/07/2020" dataDxfId="863" dataCellStyle="Normal 2 2"/>
    <tableColumn id="217" name="07/08/2020" dataDxfId="862" dataCellStyle="Normal 2 2"/>
    <tableColumn id="222" name="14/08/2020" dataDxfId="861" dataCellStyle="Normal 2 2"/>
    <tableColumn id="224" name="21/08/2020" dataDxfId="860" dataCellStyle="Normal 2 2"/>
    <tableColumn id="221" name="28/08/2020" dataDxfId="859" dataCellStyle="Normal 2 2"/>
    <tableColumn id="186" name="04/09/2020" dataDxfId="858" dataCellStyle="Normal 2 2"/>
    <tableColumn id="225" name="11/09/2020" dataDxfId="857" dataCellStyle="Normal 2 2"/>
    <tableColumn id="223" name="18/09/2020" dataDxfId="856" dataCellStyle="Normal 2 2"/>
    <tableColumn id="226" name="25/09/2020" dataDxfId="855" dataCellStyle="Normal 2 2"/>
    <tableColumn id="228" name="02/10/2020" dataDxfId="854" dataCellStyle="Normal 2 2"/>
    <tableColumn id="229" name="06/10/2020" dataDxfId="853" dataCellStyle="Normal 2 2"/>
    <tableColumn id="23" name="09/10/2020" dataDxfId="852" dataCellStyle="Normal 2 2"/>
    <tableColumn id="24" name="16/10/2020" dataDxfId="851" dataCellStyle="Normal 2 2"/>
    <tableColumn id="25" name="23/10/2020" dataDxfId="850" dataCellStyle="Normal 2 2"/>
    <tableColumn id="26" name="30/10/2020" dataDxfId="849" dataCellStyle="Normal 2 2"/>
    <tableColumn id="27" name="06/11/2020" dataDxfId="848" dataCellStyle="Normal 2 2"/>
    <tableColumn id="28" name="13/11/2020" dataDxfId="847" dataCellStyle="Normal 2 2"/>
    <tableColumn id="29" name="19/11/2020" dataDxfId="846" dataCellStyle="Normal 2 2"/>
    <tableColumn id="30" name="27/11/2020" dataDxfId="845" dataCellStyle="Normal 2 2"/>
    <tableColumn id="32" name="04/12/2020" dataDxfId="844" dataCellStyle="Normal 2 2"/>
    <tableColumn id="33" name="11/12/2020" dataDxfId="843" dataCellStyle="Normal 2 2"/>
    <tableColumn id="34" name="18/12/2020" dataDxfId="842" dataCellStyle="Normal 2 2"/>
    <tableColumn id="35" name="08/01/2021" dataDxfId="841" dataCellStyle="Normal 2 2"/>
    <tableColumn id="36" name="15/01/2021" dataDxfId="840" dataCellStyle="Normal 2 2"/>
    <tableColumn id="37" name="22/01/2021" dataDxfId="839" dataCellStyle="Normal 2 2"/>
    <tableColumn id="38" name="29/01/2021" dataDxfId="838" dataCellStyle="Normal 2 2"/>
    <tableColumn id="39" name="05/02/2021" dataDxfId="837" dataCellStyle="Normal 2 2"/>
    <tableColumn id="40" name="12/02/2021" dataDxfId="836" dataCellStyle="Normal 2 2"/>
    <tableColumn id="41" name="19/02/2021" dataDxfId="835" dataCellStyle="Normal 2 2"/>
    <tableColumn id="42" name="26/02/2021" dataDxfId="834" dataCellStyle="Normal 2 2"/>
    <tableColumn id="51" name="05/03/2021" dataDxfId="833" dataCellStyle="Normal 2 2"/>
    <tableColumn id="52" name="12/03/2021" dataDxfId="832" dataCellStyle="Normal 2 2"/>
    <tableColumn id="54" name="19/03/2021" dataDxfId="831" dataCellStyle="Normal 2 2"/>
    <tableColumn id="55" name="26/03/2021" dataDxfId="830" dataCellStyle="Normal 2 2"/>
    <tableColumn id="56" name="01/04/2021" dataDxfId="829" dataCellStyle="Normal 2 2"/>
    <tableColumn id="58" name="09/04/2021" dataDxfId="828" dataCellStyle="Normal 2 2"/>
    <tableColumn id="57" name="16/04/2021" dataDxfId="827" dataCellStyle="Normal 2 2"/>
    <tableColumn id="62" name="30/04/2021"/>
    <tableColumn id="59" name="07/05/2021"/>
    <tableColumn id="60" name="14/05/2021"/>
    <tableColumn id="63" name="21/05/2021"/>
    <tableColumn id="61" name="28/05/2021"/>
    <tableColumn id="65" name="02/06/2021" dataDxfId="826" dataCellStyle="Normal 2 2"/>
    <tableColumn id="66" name="11/06/2021" dataDxfId="825" dataCellStyle="Normal 2 2"/>
    <tableColumn id="67" name="18/06/2021" dataDxfId="824" dataCellStyle="Normal 2 2"/>
    <tableColumn id="68" name="25/06/2021" dataDxfId="823" dataCellStyle="Normal 2 2"/>
    <tableColumn id="69" name="02/07/2021" dataDxfId="822" dataCellStyle="Normal 2 2"/>
    <tableColumn id="70" name="08/07/2021" dataDxfId="821" dataCellStyle="Normal 2 2"/>
    <tableColumn id="64" name="16/07/2021" dataDxfId="820" dataCellStyle="Normal 2 2"/>
    <tableColumn id="71" name="23/07/2021" dataDxfId="819" dataCellStyle="Normal 2 2"/>
    <tableColumn id="72" name="30/07/2021" dataDxfId="818" dataCellStyle="Normal 2 2"/>
    <tableColumn id="74" name="06/08/2021" dataDxfId="817" dataCellStyle="Normal 2 2"/>
    <tableColumn id="73" name="13/08/2021" dataDxfId="816" dataCellStyle="Normal 2 2"/>
    <tableColumn id="75" name="20/08/2024" dataDxfId="815" dataCellStyle="Normal 2 2"/>
    <tableColumn id="197" name="Previsão com fórmula i-Helps tipo de fila" dataDxfId="814" dataCellStyle="Normal 2 2"/>
    <tableColumn id="219" name="Data de protocolo para cálculo médio" dataDxfId="813" dataCellStyle="Normal 2 2"/>
    <tableColumn id="198" name="Previsão de entrada em análise (fórmula)" dataDxfId="812" dataCellStyle="Normal 2 2">
      <calculatedColumnFormula>IF(EN2="NA","NA",Tabela4[[#This Row],[Data de protocolo para cálculo médio]]+(VLOOKUP(Tabela4[[#This Row],[Previsão com fórmula i-Helps tipo de fila]],Formulas!$H$1:$J$13,2,FALSE)*30))</calculatedColumnFormula>
    </tableColumn>
    <tableColumn id="218" name="Previsão de deferimento (fórmula)" dataDxfId="811" dataCellStyle="Normal 2 2">
      <calculatedColumnFormula>IF(EN2="NA","NA",Tabela4[[#This Row],[Data de protocolo para cálculo médio]]+(VLOOKUP(Tabela4[[#This Row],[Previsão com fórmula i-Helps tipo de fila]],Formulas!$H$1:$J$13,3,FALSE)*30))</calculatedColumnFormula>
    </tableColumn>
    <tableColumn id="47" name="Expectativa de deferimento inicial" dataDxfId="810" dataCellStyle="Normal 2 2"/>
    <tableColumn id="185" name="Previsão de Publicação - informada para PMO_x000a_ Acompanhamento direto " dataDxfId="809" dataCellStyle="Normal 2 2"/>
    <tableColumn id="48" name="Área de interesse" dataDxfId="808" dataCellStyle="Normal 2 2"/>
    <tableColumn id="49" name="FILA2" dataDxfId="807" dataCellStyle="Normal 2 2"/>
    <tableColumn id="50" name="Subfila" dataDxfId="806" dataCellStyle="Normal 2 2"/>
  </tableColumns>
  <tableStyleInfo name="Estilo de Tabela 1" showFirstColumn="0" showLastColumn="0" showRowStripes="1" showColumnStripes="0"/>
</table>
</file>

<file path=xl/tables/table2.xml><?xml version="1.0" encoding="utf-8"?>
<table xmlns="http://schemas.openxmlformats.org/spreadsheetml/2006/main" id="1" name="Tabela1" displayName="Tabela1" ref="A2:BF83" totalsRowShown="0" headerRowDxfId="253" dataDxfId="251" headerRowBorderDxfId="252" tableBorderDxfId="250" totalsRowBorderDxfId="249" headerRowCellStyle="Normal 2">
  <autoFilter ref="A2:BF83"/>
  <tableColumns count="58">
    <tableColumn id="1" name="Empresa" dataDxfId="248"/>
    <tableColumn id="2" name="Processo" dataDxfId="247"/>
    <tableColumn id="3" name="Produto" dataDxfId="246"/>
    <tableColumn id="4" name="Ativo" dataDxfId="245"/>
    <tableColumn id="5" name="Forma farmacêutica" dataDxfId="244"/>
    <tableColumn id="6" name="Categoria" dataDxfId="243"/>
    <tableColumn id="7" name="Tipo de cancelamento" dataDxfId="242"/>
    <tableColumn id="8" name="Apresentações canceladas" dataDxfId="241"/>
    <tableColumn id="9" name="Data do submissão" dataDxfId="240"/>
    <tableColumn id="10" name="Expediente do cancelamento" dataDxfId="239"/>
    <tableColumn id="11" name="Status do Cancelamento" dataDxfId="238"/>
    <tableColumn id="12" name="Fila" dataDxfId="237"/>
    <tableColumn id="13" name="Motivo do cancelamento" dataDxfId="236"/>
    <tableColumn id="14" name="Acompanhamento 29/03/2019" dataDxfId="235"/>
    <tableColumn id="15" name="Acompanhamento 05/04/2019" dataDxfId="234"/>
    <tableColumn id="16" name="Acompanhamento 12/04/2019" dataDxfId="233"/>
    <tableColumn id="17" name="Acompanhamento 18/04/2019" dataDxfId="232"/>
    <tableColumn id="18" name="Acompanhamento 26/04/2019" dataDxfId="231"/>
    <tableColumn id="19" name="Acompanhamento 03/05/2019" dataDxfId="230"/>
    <tableColumn id="20" name="Acompanhamento 10/05/2019" dataDxfId="229"/>
    <tableColumn id="21" name="Acompanhamento 17/05/2019" dataDxfId="228"/>
    <tableColumn id="22" name="Acompanhamento 24/05/2019" dataDxfId="227"/>
    <tableColumn id="23" name="Acompanhamento 31/05/2019" dataDxfId="226"/>
    <tableColumn id="24" name="Acompanhamento 07/06/2019" dataDxfId="225"/>
    <tableColumn id="25" name="Acompanhamento 16/06/2019" dataDxfId="224"/>
    <tableColumn id="26" name="Acompanhamento 19/06/2019" dataDxfId="223"/>
    <tableColumn id="27" name="Acompanhamento 28/06/2019" dataDxfId="222"/>
    <tableColumn id="28" name="Acompanhamento 05/07/2019" dataDxfId="221"/>
    <tableColumn id="29" name="Acompanhamento 12/07/2019" dataDxfId="220"/>
    <tableColumn id="30" name="Acompanhamento 19/07/2019" dataDxfId="219"/>
    <tableColumn id="31" name="Acompanhamento 26/07/2019" dataDxfId="218"/>
    <tableColumn id="32" name="Acompanhamento 02/08/2019" dataDxfId="217"/>
    <tableColumn id="33" name="Acompanhamento 09/08/2019" dataDxfId="216"/>
    <tableColumn id="34" name="Acompanhamento 16/08/2019" dataDxfId="215"/>
    <tableColumn id="35" name="Acompanhamento 23/08/2019" dataDxfId="214"/>
    <tableColumn id="38" name="Acompanhamento 30/08/2020" dataDxfId="213"/>
    <tableColumn id="39" name="Acompanhamento 06/09/2019" dataDxfId="212"/>
    <tableColumn id="40" name="Acompanhamento 13/09/2019" dataDxfId="211"/>
    <tableColumn id="41" name="Acompanhamento 20/09/2020" dataDxfId="210"/>
    <tableColumn id="42" name="Acompanhamento 27/09/2019" dataDxfId="209"/>
    <tableColumn id="43" name="Acompanhamento 04/05/2020" dataDxfId="208"/>
    <tableColumn id="44" name="Acompanhamento 11/10/2019" dataDxfId="207"/>
    <tableColumn id="45" name="Acompanhamento 18/10/2019" dataDxfId="206"/>
    <tableColumn id="46" name="Acompanhamento 25/10/2019" dataDxfId="205"/>
    <tableColumn id="47" name="Acompanhamento 01/11/2019" dataDxfId="204"/>
    <tableColumn id="48" name="Acompanhamento 08/11/2019" dataDxfId="203"/>
    <tableColumn id="49" name="Acompanhamento 14/11/2019" dataDxfId="202"/>
    <tableColumn id="50" name="Acompanhamento 22/11/2019" dataDxfId="201"/>
    <tableColumn id="51" name="Acompanhamento 29/11/2019" dataDxfId="200"/>
    <tableColumn id="52" name="Acompanhamento 06/12/2019" dataDxfId="199"/>
    <tableColumn id="53" name="Acompanhamento 13/12/2019" dataDxfId="198"/>
    <tableColumn id="54" name="Acompanhamento 20/12/2019" dataDxfId="197"/>
    <tableColumn id="55" name="Acompanhamento 10/01/2020" dataDxfId="196"/>
    <tableColumn id="57" name="Acompanhamento 17/01/2021" dataDxfId="195"/>
    <tableColumn id="58" name="Acompanhamento 24/01/2022" dataDxfId="194"/>
    <tableColumn id="60" name="HISTÓRICO" dataDxfId="193"/>
    <tableColumn id="36" name="Observações" dataDxfId="192"/>
    <tableColumn id="37" name="Status Geral" dataDxfId="191"/>
  </tableColumns>
  <tableStyleInfo showFirstColumn="0" showLastColumn="0" showRowStripes="1" showColumnStripes="0"/>
</table>
</file>

<file path=xl/tables/table3.xml><?xml version="1.0" encoding="utf-8"?>
<table xmlns="http://schemas.openxmlformats.org/spreadsheetml/2006/main" id="4" name="Tabela5" displayName="Tabela5" ref="A2:BZ45" totalsRowShown="0" headerRowDxfId="134" dataDxfId="132" headerRowBorderDxfId="133" tableBorderDxfId="131">
  <autoFilter ref="A2:BZ45">
    <filterColumn colId="9">
      <filters>
        <filter val="Aguardando análise"/>
        <filter val="Em análise"/>
        <filter val="Em exigência"/>
      </filters>
    </filterColumn>
  </autoFilter>
  <tableColumns count="78">
    <tableColumn id="1" name="Empresa" dataDxfId="130"/>
    <tableColumn id="2" name="Processo" dataDxfId="129"/>
    <tableColumn id="3" name="Produto" dataDxfId="128"/>
    <tableColumn id="4" name="Principio Ativo" dataDxfId="127"/>
    <tableColumn id="5" name="Concentração" dataDxfId="126"/>
    <tableColumn id="6" name="Forma Farmacêutica" dataDxfId="125"/>
    <tableColumn id="7" name="Data de submissão" dataDxfId="124"/>
    <tableColumn id="8" name="Petição " dataDxfId="123"/>
    <tableColumn id="9" name="Expediente" dataDxfId="122"/>
    <tableColumn id="10" name="Status" dataDxfId="121"/>
    <tableColumn id="11" name="Observações" dataDxfId="120"/>
    <tableColumn id="13" name="Acompanhamento 15/12/2017" dataDxfId="119"/>
    <tableColumn id="14" name="Acompanhamento 29/12/2017" dataDxfId="118"/>
    <tableColumn id="15" name="Acompanhamento 26/01/2018" dataDxfId="117"/>
    <tableColumn id="16" name="Acompanhamento 02/02/2018" dataDxfId="116"/>
    <tableColumn id="17" name="Acompanhamento 23/02/2018" dataDxfId="115"/>
    <tableColumn id="18" name="Acompanhamento 02/03/2018" dataDxfId="114"/>
    <tableColumn id="19" name="Acompanhamento 09/03/2018" dataDxfId="113"/>
    <tableColumn id="20" name="Acompanhamento 15/03/2018" dataDxfId="112"/>
    <tableColumn id="21" name="Acompanhamento 04/04/2018" dataDxfId="111"/>
    <tableColumn id="22" name="Acompanhamento 10/05/2018" dataDxfId="110"/>
    <tableColumn id="23" name="Acompanhamento 18/05/2018" dataDxfId="109"/>
    <tableColumn id="24" name="Acompanhamento 07/06/2018" dataDxfId="108"/>
    <tableColumn id="25" name="Acompanhamento 15/06/2018" dataDxfId="107"/>
    <tableColumn id="26" name="Acompanhamento 06/07/2018" dataDxfId="106"/>
    <tableColumn id="27" name="Acompanhamento 27/07/2018" dataDxfId="105"/>
    <tableColumn id="28" name="Acompanhamento 03/08/2018" dataDxfId="104"/>
    <tableColumn id="29" name="Acompanhamento 10/08/2018" dataDxfId="103"/>
    <tableColumn id="30" name="Acompanhamento 24/08/2018" dataDxfId="102"/>
    <tableColumn id="31" name="Acompanhamento 21/09/2018" dataDxfId="101"/>
    <tableColumn id="32" name="Acompanhamento 23/11/2018" dataDxfId="100"/>
    <tableColumn id="33" name="Acompanhamento 30/11/2018" dataDxfId="99"/>
    <tableColumn id="34" name="Acompanhamento 07/12/2018" dataDxfId="98"/>
    <tableColumn id="35" name="Acompanhamento 02/01/2019" dataDxfId="97"/>
    <tableColumn id="36" name="Acompanhamento 08/02/2019" dataDxfId="96"/>
    <tableColumn id="37" name="Acompanhamento 08/02/20192" dataDxfId="95"/>
    <tableColumn id="38" name="Acompanhamento 08/02/20193" dataDxfId="94"/>
    <tableColumn id="39" name="Acompanhamento 15/03/2019" dataDxfId="93"/>
    <tableColumn id="40" name="Acompanhamento 22/03/2019" dataDxfId="92"/>
    <tableColumn id="41" name="Acompanhamento 05/04/2019" dataDxfId="91"/>
    <tableColumn id="42" name="Acompanhamento 12/04/2019" dataDxfId="90"/>
    <tableColumn id="43" name="Acompanhamento 18/04/2019" dataDxfId="89"/>
    <tableColumn id="44" name="Acompanhamento 10/05/2019" dataDxfId="88"/>
    <tableColumn id="45" name="Acompanhamento 24/05/2019" dataDxfId="87"/>
    <tableColumn id="46" name="Acompanhamento 07/06/2019" dataDxfId="86"/>
    <tableColumn id="47" name="Acompanhamento 14/06/2019" dataDxfId="85"/>
    <tableColumn id="48" name="Acompanhamento 19/06/2019" dataDxfId="84"/>
    <tableColumn id="49" name="Acompanhamento 05/07/2019" dataDxfId="83"/>
    <tableColumn id="50" name="Acompanhamento 12/07/2019" dataDxfId="82"/>
    <tableColumn id="51" name="Acompanhamento 19/07/2019" dataDxfId="81"/>
    <tableColumn id="52" name="Acompanhamento 26/07/2019" dataDxfId="80"/>
    <tableColumn id="53" name="Acompanhamento 02/08/2019" dataDxfId="79"/>
    <tableColumn id="54" name="Acompanhamento 09/08/2019" dataDxfId="78"/>
    <tableColumn id="55" name="Acompanhamento 16/08/2019" dataDxfId="77"/>
    <tableColumn id="56" name="Acompanhamento 23/08/2019" dataDxfId="76"/>
    <tableColumn id="57" name="Acompanhamento 30/08/2019" dataDxfId="75"/>
    <tableColumn id="58" name="Acompanhamento 06/09/2019" dataDxfId="74"/>
    <tableColumn id="59" name="Acompanhamento 13/09/2019" dataDxfId="73"/>
    <tableColumn id="60" name="Acompanhamento 20/09/2019" dataDxfId="72"/>
    <tableColumn id="61" name="Acompanhamento 27/09/2019" dataDxfId="71"/>
    <tableColumn id="62" name="Acompanhamento 04/10/2019" dataDxfId="70"/>
    <tableColumn id="63" name="Acompanhamento 11/10/2019" dataDxfId="69"/>
    <tableColumn id="64" name="Acompanhamento 18/10/2019" dataDxfId="68"/>
    <tableColumn id="65" name="Acompanhamento 25/10/2019" dataDxfId="67"/>
    <tableColumn id="66" name="Acompanhamento 01/11/2019" dataDxfId="66"/>
    <tableColumn id="67" name="Acompanhamento 08/11/2019" dataDxfId="65"/>
    <tableColumn id="68" name="Acompanhamento 14/11/2019" dataDxfId="64"/>
    <tableColumn id="69" name="Acompanhamento 22/11/2019" dataDxfId="63"/>
    <tableColumn id="70" name="Acompanhamento 29/11/2019" dataDxfId="62"/>
    <tableColumn id="71" name="Acompanhamento 06/12/2019" dataDxfId="61"/>
    <tableColumn id="72" name="Acompanhamento 13/12/2019" dataDxfId="60"/>
    <tableColumn id="73" name="Acompanhamento 20/12/2019" dataDxfId="59"/>
    <tableColumn id="74" name="Acompanhamento 10/01/2020" dataDxfId="58"/>
    <tableColumn id="75" name="Acompanhamento 17/01/2020" dataDxfId="57"/>
    <tableColumn id="76" name="Acompanhamento 24/01/2020" dataDxfId="56"/>
    <tableColumn id="77" name="Acompanhamento 31/01/2020" dataDxfId="55"/>
    <tableColumn id="79" name="Acompanhamento" dataDxfId="54"/>
    <tableColumn id="78" name="Previsão para posicionamento da ANVISA" dataDxfId="53"/>
  </tableColumns>
  <tableStyleInfo name="Estilo de Tabela 1" showFirstColumn="0" showLastColumn="0" showRowStripes="1" showColumnStripes="0"/>
</table>
</file>

<file path=xl/tables/table4.xml><?xml version="1.0" encoding="utf-8"?>
<table xmlns="http://schemas.openxmlformats.org/spreadsheetml/2006/main" id="2" name="Tabela3" displayName="Tabela3" ref="A1:P40" totalsRowShown="0" dataDxfId="37" tableBorderDxfId="36">
  <autoFilter ref="A1:P40">
    <filterColumn colId="11">
      <filters>
        <filter val="AGUARDANDO PARECER"/>
      </filters>
    </filterColumn>
  </autoFilter>
  <tableColumns count="16">
    <tableColumn id="1" name="Empresa solicitante"/>
    <tableColumn id="2" name="Produto" dataDxfId="35"/>
    <tableColumn id="3" name="Principio Ativo" dataDxfId="34"/>
    <tableColumn id="4" name="Concentração" dataDxfId="33"/>
    <tableColumn id="5" name="Categoria" dataDxfId="32"/>
    <tableColumn id="6" name="Forma Farmacêutica" dataDxfId="31"/>
    <tableColumn id="7" name="Tipo de Petição" dataDxfId="30"/>
    <tableColumn id="8" name="Solicitado por / Data / Objetivo" dataDxfId="29"/>
    <tableColumn id="9" name="Data de submissão" dataDxfId="28"/>
    <tableColumn id="10" name="Processo" dataDxfId="27"/>
    <tableColumn id="11" name="Expediente" dataDxfId="26"/>
    <tableColumn id="12" name="Status" dataDxfId="25"/>
    <tableColumn id="13" name="Observações" dataDxfId="24"/>
    <tableColumn id="17" name="SATs" dataDxfId="23"/>
    <tableColumn id="15" name="Histórico do Acompanhamento (Até maio/2020)" dataDxfId="22"/>
    <tableColumn id="14" name="Acompanhamento " dataDxfId="21"/>
  </tableColumns>
  <tableStyleInfo name="Estilo de Tabela 1" showFirstColumn="0" showLastColumn="0" showRowStripes="1" showColumnStripes="0"/>
</table>
</file>

<file path=xl/tables/table5.xml><?xml version="1.0" encoding="utf-8"?>
<table xmlns="http://schemas.openxmlformats.org/spreadsheetml/2006/main" id="5" name="Tabela2" displayName="Tabela2" ref="A2:N5" totalsRowShown="0" headerRowDxfId="20" dataDxfId="18" headerRowBorderDxfId="19" tableBorderDxfId="17" totalsRowBorderDxfId="16" headerRowCellStyle="Normal 2 2">
  <autoFilter ref="A2:N5"/>
  <tableColumns count="14">
    <tableColumn id="1" name="Empresa" dataDxfId="15" dataCellStyle="Normal 2 2"/>
    <tableColumn id="2" name="Modelo de Negócio" dataDxfId="14"/>
    <tableColumn id="3" name="Processo" dataDxfId="13"/>
    <tableColumn id="4" name="Produto" dataDxfId="12"/>
    <tableColumn id="5" name="Principio Ativo" dataDxfId="11"/>
    <tableColumn id="6" name="Fabricante do Medicamento" dataDxfId="10"/>
    <tableColumn id="7" name="Tipo de Petição" dataDxfId="9"/>
    <tableColumn id="8" name="Data de submissão" dataDxfId="8"/>
    <tableColumn id="9" name="Expediente" dataDxfId="7"/>
    <tableColumn id="10" name="Status" dataDxfId="6"/>
    <tableColumn id="11" name="Data de entrada em análise" dataDxfId="5"/>
    <tableColumn id="12" name="Observação" dataDxfId="4"/>
    <tableColumn id="13" name="Situação" dataDxfId="3"/>
    <tableColumn id="14" name="Área de interesse" dataDxfId="2"/>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barbara.foreze/AppData/charlyse.silva/AppData/Roaming/Microsoft/Excel/Recursos%20Of&#237;cios/Of&#237;cio%20de%20indeferimento_Benetec_13_05_2013.pdf" TargetMode="External"/><Relationship Id="rId2" Type="http://schemas.openxmlformats.org/officeDocument/2006/relationships/hyperlink" Target="../../../barbara.foreze/AppData/charlyse.silva/AppData/Roaming/Microsoft/Excel/Recursos%20Of&#237;cios/oficio%20indeferimento%20Ysneo.pdf" TargetMode="External"/><Relationship Id="rId1" Type="http://schemas.openxmlformats.org/officeDocument/2006/relationships/hyperlink" Target="../../../barbara.foreze/AppData/charlyse.silva/AppData/Roaming/Microsoft/Excel/Recursos%20Of&#237;cios/oficio%20indeferimento%20drospirenona%203mg%20+%20etinilestradiol%200,03mg.pdf" TargetMode="Externa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hyperlink" Target="../../../barbara.foreze/AppData/_COSMED/PROCESSOS/Melhoral/2015.11%20-%20Prioriza&#231;&#227;o%20de%20an&#225;lise_Inclus&#227;o%20CSPC%20Inovation%20Pharmaceutic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L125"/>
  <sheetViews>
    <sheetView topLeftCell="A2" zoomScaleNormal="100" workbookViewId="0">
      <selection activeCell="F8" sqref="F8"/>
    </sheetView>
  </sheetViews>
  <sheetFormatPr defaultRowHeight="12.75" x14ac:dyDescent="0.2"/>
  <cols>
    <col min="1" max="1" width="11.5703125" customWidth="1"/>
    <col min="2" max="2" width="16" style="10" bestFit="1" customWidth="1"/>
    <col min="3" max="3" width="14.28515625" customWidth="1"/>
    <col min="4" max="4" width="39.28515625" customWidth="1"/>
    <col min="5" max="5" width="20.140625" customWidth="1"/>
    <col min="6" max="6" width="10.5703125" customWidth="1"/>
    <col min="7" max="7" width="12" customWidth="1"/>
    <col min="8" max="8" width="17.28515625" customWidth="1"/>
    <col min="9" max="10" width="15.140625" customWidth="1"/>
    <col min="11" max="11" width="49.42578125" customWidth="1"/>
    <col min="12" max="12" width="24" customWidth="1"/>
  </cols>
  <sheetData>
    <row r="1" spans="1:12" ht="63.75" x14ac:dyDescent="0.2">
      <c r="A1" s="146" t="s">
        <v>583</v>
      </c>
      <c r="B1" s="145" t="s">
        <v>3796</v>
      </c>
      <c r="C1" s="145" t="s">
        <v>3</v>
      </c>
      <c r="D1" s="145" t="s">
        <v>4</v>
      </c>
      <c r="E1" s="145" t="s">
        <v>5</v>
      </c>
      <c r="F1" s="145" t="s">
        <v>634</v>
      </c>
      <c r="G1" s="145" t="s">
        <v>3411</v>
      </c>
      <c r="H1" s="144" t="s">
        <v>1297</v>
      </c>
      <c r="I1" s="610" t="s">
        <v>5352</v>
      </c>
      <c r="J1" s="610" t="s">
        <v>5353</v>
      </c>
      <c r="K1" s="309" t="s">
        <v>3628</v>
      </c>
      <c r="L1" s="25" t="s">
        <v>3571</v>
      </c>
    </row>
    <row r="2" spans="1:12" ht="25.5" x14ac:dyDescent="0.2">
      <c r="A2" s="143" t="s">
        <v>1137</v>
      </c>
      <c r="B2" s="340" t="s">
        <v>3797</v>
      </c>
      <c r="C2" s="133" t="s">
        <v>16</v>
      </c>
      <c r="D2" s="119" t="s">
        <v>3412</v>
      </c>
      <c r="E2" s="310" t="s">
        <v>2992</v>
      </c>
      <c r="F2" s="124" t="s">
        <v>3087</v>
      </c>
      <c r="G2" s="124" t="s">
        <v>3085</v>
      </c>
      <c r="H2" s="119" t="s">
        <v>5159</v>
      </c>
      <c r="I2" s="608">
        <v>5.0999999999999996</v>
      </c>
      <c r="J2" s="608">
        <v>12.9</v>
      </c>
      <c r="K2" s="311">
        <v>606.66999999999996</v>
      </c>
      <c r="L2" s="124" t="s">
        <v>2362</v>
      </c>
    </row>
    <row r="3" spans="1:12" ht="63.75" x14ac:dyDescent="0.2">
      <c r="A3" s="342" t="s">
        <v>584</v>
      </c>
      <c r="B3" s="340" t="s">
        <v>3798</v>
      </c>
      <c r="C3" s="119" t="s">
        <v>11</v>
      </c>
      <c r="D3" s="35" t="s">
        <v>3413</v>
      </c>
      <c r="E3" s="310" t="s">
        <v>3090</v>
      </c>
      <c r="F3" s="331" t="s">
        <v>4250</v>
      </c>
      <c r="G3" s="124" t="s">
        <v>3084</v>
      </c>
      <c r="H3" s="119" t="s">
        <v>5064</v>
      </c>
      <c r="I3" s="608">
        <v>8</v>
      </c>
      <c r="J3" s="608">
        <v>19</v>
      </c>
      <c r="K3" s="311">
        <v>360</v>
      </c>
      <c r="L3" s="124" t="s">
        <v>3572</v>
      </c>
    </row>
    <row r="4" spans="1:12" ht="51" x14ac:dyDescent="0.2">
      <c r="A4" s="341"/>
      <c r="B4" s="343" t="s">
        <v>3799</v>
      </c>
      <c r="C4" s="119" t="s">
        <v>454</v>
      </c>
      <c r="D4" s="35" t="s">
        <v>3414</v>
      </c>
      <c r="E4" s="119" t="s">
        <v>3081</v>
      </c>
      <c r="F4" s="331" t="s">
        <v>4251</v>
      </c>
      <c r="G4" s="124" t="s">
        <v>112</v>
      </c>
      <c r="H4" s="119" t="s">
        <v>5063</v>
      </c>
      <c r="I4" s="608">
        <v>11.9</v>
      </c>
      <c r="J4" s="608">
        <v>16.7</v>
      </c>
      <c r="K4" s="311">
        <v>606.66999999999996</v>
      </c>
      <c r="L4" s="124" t="s">
        <v>4739</v>
      </c>
    </row>
    <row r="5" spans="1:12" ht="51" x14ac:dyDescent="0.2">
      <c r="A5" s="341"/>
      <c r="B5" s="37"/>
      <c r="C5" s="119" t="s">
        <v>105</v>
      </c>
      <c r="D5" s="35" t="s">
        <v>3415</v>
      </c>
      <c r="E5" s="119" t="s">
        <v>3258</v>
      </c>
      <c r="F5" s="331" t="s">
        <v>4252</v>
      </c>
      <c r="G5" s="23"/>
      <c r="H5" s="119" t="s">
        <v>5160</v>
      </c>
      <c r="I5" s="608">
        <v>1.8</v>
      </c>
      <c r="J5" s="608">
        <v>9.6999999999999993</v>
      </c>
      <c r="K5" s="338">
        <v>606.66999999999996</v>
      </c>
      <c r="L5" s="124" t="s">
        <v>5799</v>
      </c>
    </row>
    <row r="6" spans="1:12" ht="25.5" x14ac:dyDescent="0.2">
      <c r="A6" s="341"/>
      <c r="B6" s="37"/>
      <c r="C6" s="119" t="s">
        <v>3055</v>
      </c>
      <c r="D6" s="332" t="s">
        <v>1286</v>
      </c>
      <c r="E6" s="119" t="s">
        <v>4469</v>
      </c>
      <c r="F6" s="124" t="s">
        <v>6052</v>
      </c>
      <c r="H6" s="333" t="s">
        <v>5161</v>
      </c>
      <c r="I6" s="608">
        <v>6</v>
      </c>
      <c r="J6" s="608">
        <v>10.9</v>
      </c>
      <c r="K6" s="311">
        <v>360</v>
      </c>
    </row>
    <row r="7" spans="1:12" ht="38.25" x14ac:dyDescent="0.2">
      <c r="A7" s="341"/>
      <c r="B7" s="37"/>
      <c r="C7" s="119" t="s">
        <v>3578</v>
      </c>
      <c r="D7" s="5" t="s">
        <v>3416</v>
      </c>
      <c r="E7" s="119" t="s">
        <v>3903</v>
      </c>
      <c r="F7" s="124" t="s">
        <v>2866</v>
      </c>
      <c r="H7" s="119" t="s">
        <v>105</v>
      </c>
      <c r="I7" s="609">
        <v>5</v>
      </c>
      <c r="J7" s="609">
        <v>11.3</v>
      </c>
    </row>
    <row r="8" spans="1:12" ht="27" customHeight="1" x14ac:dyDescent="0.2">
      <c r="A8" s="341"/>
      <c r="B8" s="37"/>
      <c r="D8" s="330" t="s">
        <v>3417</v>
      </c>
      <c r="E8" s="119" t="s">
        <v>6080</v>
      </c>
      <c r="F8" s="124" t="s">
        <v>3083</v>
      </c>
      <c r="H8" s="119" t="s">
        <v>5162</v>
      </c>
      <c r="I8" s="608">
        <v>3.4</v>
      </c>
      <c r="J8" s="608">
        <v>12.7</v>
      </c>
    </row>
    <row r="9" spans="1:12" ht="63.75" x14ac:dyDescent="0.2">
      <c r="A9" s="341"/>
      <c r="B9" s="37"/>
      <c r="D9" s="35" t="s">
        <v>1369</v>
      </c>
      <c r="E9" s="119" t="s">
        <v>6081</v>
      </c>
      <c r="F9" s="124" t="s">
        <v>3038</v>
      </c>
      <c r="H9" s="119" t="s">
        <v>5061</v>
      </c>
      <c r="I9" s="608">
        <v>1.5</v>
      </c>
      <c r="J9" s="608">
        <v>2.8</v>
      </c>
      <c r="K9" s="498" t="s">
        <v>5354</v>
      </c>
    </row>
    <row r="10" spans="1:12" ht="51" x14ac:dyDescent="0.2">
      <c r="A10" s="341"/>
      <c r="B10" s="37"/>
      <c r="D10" s="35" t="s">
        <v>3418</v>
      </c>
      <c r="E10" s="119" t="s">
        <v>6082</v>
      </c>
      <c r="F10" s="124" t="s">
        <v>3256</v>
      </c>
      <c r="H10" s="119" t="s">
        <v>5165</v>
      </c>
      <c r="I10" s="497">
        <f>I9+I4</f>
        <v>13.4</v>
      </c>
      <c r="J10" s="497">
        <f>J9+J4</f>
        <v>19.5</v>
      </c>
    </row>
    <row r="11" spans="1:12" ht="51" x14ac:dyDescent="0.2">
      <c r="B11" s="37"/>
      <c r="D11" s="35" t="s">
        <v>3419</v>
      </c>
      <c r="E11" s="119" t="s">
        <v>6079</v>
      </c>
      <c r="F11" s="331" t="s">
        <v>3398</v>
      </c>
      <c r="H11" s="119" t="s">
        <v>5166</v>
      </c>
      <c r="I11" s="497">
        <f>I3+I9</f>
        <v>9.5</v>
      </c>
      <c r="J11" s="497">
        <f>J3+J9</f>
        <v>21.8</v>
      </c>
    </row>
    <row r="12" spans="1:12" ht="63.75" x14ac:dyDescent="0.2">
      <c r="D12" s="35" t="s">
        <v>1568</v>
      </c>
      <c r="E12" s="333" t="s">
        <v>6091</v>
      </c>
      <c r="F12" s="124" t="s">
        <v>4703</v>
      </c>
      <c r="H12" s="119" t="s">
        <v>5167</v>
      </c>
      <c r="I12" s="497">
        <f>I9+I5</f>
        <v>3.3</v>
      </c>
      <c r="J12" s="497">
        <f>J9+J5</f>
        <v>12.5</v>
      </c>
    </row>
    <row r="13" spans="1:12" ht="38.25" x14ac:dyDescent="0.2">
      <c r="D13" s="35" t="s">
        <v>3421</v>
      </c>
      <c r="E13" s="119" t="s">
        <v>6083</v>
      </c>
      <c r="F13" s="124" t="s">
        <v>6053</v>
      </c>
      <c r="H13" s="119" t="s">
        <v>112</v>
      </c>
      <c r="I13" s="23"/>
      <c r="J13" s="23"/>
    </row>
    <row r="14" spans="1:12" ht="38.25" x14ac:dyDescent="0.2">
      <c r="D14" s="5" t="s">
        <v>685</v>
      </c>
      <c r="E14" s="119" t="s">
        <v>6084</v>
      </c>
      <c r="F14" s="813" t="s">
        <v>1682</v>
      </c>
    </row>
    <row r="15" spans="1:12" x14ac:dyDescent="0.2">
      <c r="D15" s="35" t="s">
        <v>3424</v>
      </c>
      <c r="F15" s="124" t="s">
        <v>5350</v>
      </c>
    </row>
    <row r="16" spans="1:12" x14ac:dyDescent="0.2">
      <c r="D16" s="35" t="s">
        <v>1475</v>
      </c>
    </row>
    <row r="17" spans="4:4" x14ac:dyDescent="0.2">
      <c r="D17" s="5" t="s">
        <v>2641</v>
      </c>
    </row>
    <row r="18" spans="4:4" x14ac:dyDescent="0.2">
      <c r="D18" s="5" t="s">
        <v>1285</v>
      </c>
    </row>
    <row r="19" spans="4:4" x14ac:dyDescent="0.2">
      <c r="D19" s="5" t="s">
        <v>3423</v>
      </c>
    </row>
    <row r="20" spans="4:4" x14ac:dyDescent="0.2">
      <c r="D20" s="444" t="s">
        <v>4774</v>
      </c>
    </row>
    <row r="21" spans="4:4" x14ac:dyDescent="0.2">
      <c r="D21" s="444" t="s">
        <v>4775</v>
      </c>
    </row>
    <row r="22" spans="4:4" x14ac:dyDescent="0.2">
      <c r="D22" s="444" t="s">
        <v>4776</v>
      </c>
    </row>
    <row r="23" spans="4:4" x14ac:dyDescent="0.2">
      <c r="D23" s="35" t="s">
        <v>12</v>
      </c>
    </row>
    <row r="24" spans="4:4" ht="25.5" x14ac:dyDescent="0.2">
      <c r="D24" s="35" t="s">
        <v>2583</v>
      </c>
    </row>
    <row r="25" spans="4:4" x14ac:dyDescent="0.2">
      <c r="D25" s="35" t="s">
        <v>3422</v>
      </c>
    </row>
    <row r="26" spans="4:4" x14ac:dyDescent="0.2">
      <c r="D26" s="363" t="s">
        <v>742</v>
      </c>
    </row>
    <row r="27" spans="4:4" x14ac:dyDescent="0.2">
      <c r="D27" s="444" t="s">
        <v>4777</v>
      </c>
    </row>
    <row r="28" spans="4:4" x14ac:dyDescent="0.2">
      <c r="D28" s="35" t="s">
        <v>4704</v>
      </c>
    </row>
    <row r="29" spans="4:4" x14ac:dyDescent="0.2">
      <c r="D29" s="35" t="s">
        <v>4778</v>
      </c>
    </row>
    <row r="30" spans="4:4" x14ac:dyDescent="0.2">
      <c r="D30" s="35" t="s">
        <v>3425</v>
      </c>
    </row>
    <row r="31" spans="4:4" x14ac:dyDescent="0.2">
      <c r="D31" s="35" t="s">
        <v>4779</v>
      </c>
    </row>
    <row r="32" spans="4:4" x14ac:dyDescent="0.2">
      <c r="D32" s="35" t="s">
        <v>4780</v>
      </c>
    </row>
    <row r="33" spans="4:4" x14ac:dyDescent="0.2">
      <c r="D33" s="35" t="s">
        <v>4781</v>
      </c>
    </row>
    <row r="34" spans="4:4" x14ac:dyDescent="0.2">
      <c r="D34" s="35" t="s">
        <v>4782</v>
      </c>
    </row>
    <row r="35" spans="4:4" x14ac:dyDescent="0.2">
      <c r="D35" s="35" t="s">
        <v>4783</v>
      </c>
    </row>
    <row r="36" spans="4:4" x14ac:dyDescent="0.2">
      <c r="D36" s="35" t="s">
        <v>4784</v>
      </c>
    </row>
    <row r="37" spans="4:4" x14ac:dyDescent="0.2">
      <c r="D37" s="444" t="s">
        <v>4785</v>
      </c>
    </row>
    <row r="38" spans="4:4" x14ac:dyDescent="0.2">
      <c r="D38" s="8" t="s">
        <v>4762</v>
      </c>
    </row>
    <row r="39" spans="4:4" x14ac:dyDescent="0.2">
      <c r="D39" s="444" t="s">
        <v>4786</v>
      </c>
    </row>
    <row r="40" spans="4:4" x14ac:dyDescent="0.2">
      <c r="D40" s="5" t="s">
        <v>1133</v>
      </c>
    </row>
    <row r="41" spans="4:4" x14ac:dyDescent="0.2">
      <c r="D41" s="865" t="s">
        <v>5558</v>
      </c>
    </row>
    <row r="42" spans="4:4" x14ac:dyDescent="0.2">
      <c r="D42" s="444" t="s">
        <v>4787</v>
      </c>
    </row>
    <row r="43" spans="4:4" x14ac:dyDescent="0.2">
      <c r="D43" s="35" t="s">
        <v>4788</v>
      </c>
    </row>
    <row r="44" spans="4:4" x14ac:dyDescent="0.2">
      <c r="D44" s="35" t="s">
        <v>1532</v>
      </c>
    </row>
    <row r="45" spans="4:4" x14ac:dyDescent="0.2">
      <c r="D45" s="35" t="s">
        <v>2429</v>
      </c>
    </row>
    <row r="46" spans="4:4" x14ac:dyDescent="0.2">
      <c r="D46" s="35" t="s">
        <v>3426</v>
      </c>
    </row>
    <row r="47" spans="4:4" x14ac:dyDescent="0.2">
      <c r="D47" s="35" t="s">
        <v>3427</v>
      </c>
    </row>
    <row r="48" spans="4:4" x14ac:dyDescent="0.2">
      <c r="D48" s="35" t="s">
        <v>3428</v>
      </c>
    </row>
    <row r="49" spans="4:4" x14ac:dyDescent="0.2">
      <c r="D49" s="35" t="s">
        <v>3429</v>
      </c>
    </row>
    <row r="50" spans="4:4" x14ac:dyDescent="0.2">
      <c r="D50" s="35" t="s">
        <v>3430</v>
      </c>
    </row>
    <row r="51" spans="4:4" x14ac:dyDescent="0.2">
      <c r="D51" s="35" t="s">
        <v>3431</v>
      </c>
    </row>
    <row r="52" spans="4:4" x14ac:dyDescent="0.2">
      <c r="D52" s="35" t="s">
        <v>3432</v>
      </c>
    </row>
    <row r="53" spans="4:4" x14ac:dyDescent="0.2">
      <c r="D53" s="35" t="s">
        <v>3433</v>
      </c>
    </row>
    <row r="54" spans="4:4" x14ac:dyDescent="0.2">
      <c r="D54" s="35" t="s">
        <v>3434</v>
      </c>
    </row>
    <row r="55" spans="4:4" x14ac:dyDescent="0.2">
      <c r="D55" s="35" t="s">
        <v>3435</v>
      </c>
    </row>
    <row r="56" spans="4:4" x14ac:dyDescent="0.2">
      <c r="D56" s="35" t="s">
        <v>3436</v>
      </c>
    </row>
    <row r="57" spans="4:4" x14ac:dyDescent="0.2">
      <c r="D57" s="35" t="s">
        <v>3437</v>
      </c>
    </row>
    <row r="58" spans="4:4" x14ac:dyDescent="0.2">
      <c r="D58" s="35" t="s">
        <v>3438</v>
      </c>
    </row>
    <row r="59" spans="4:4" x14ac:dyDescent="0.2">
      <c r="D59" s="35" t="s">
        <v>3439</v>
      </c>
    </row>
    <row r="60" spans="4:4" x14ac:dyDescent="0.2">
      <c r="D60" s="35" t="s">
        <v>3440</v>
      </c>
    </row>
    <row r="61" spans="4:4" x14ac:dyDescent="0.2">
      <c r="D61" s="35" t="s">
        <v>3441</v>
      </c>
    </row>
    <row r="62" spans="4:4" x14ac:dyDescent="0.2">
      <c r="D62" s="35" t="s">
        <v>3442</v>
      </c>
    </row>
    <row r="63" spans="4:4" x14ac:dyDescent="0.2">
      <c r="D63" s="35" t="s">
        <v>3443</v>
      </c>
    </row>
    <row r="64" spans="4:4" x14ac:dyDescent="0.2">
      <c r="D64" s="35" t="s">
        <v>3444</v>
      </c>
    </row>
    <row r="65" spans="4:4" ht="25.5" x14ac:dyDescent="0.2">
      <c r="D65" s="35" t="s">
        <v>3445</v>
      </c>
    </row>
    <row r="66" spans="4:4" x14ac:dyDescent="0.2">
      <c r="D66" s="35" t="s">
        <v>3446</v>
      </c>
    </row>
    <row r="67" spans="4:4" x14ac:dyDescent="0.2">
      <c r="D67" s="5" t="s">
        <v>3471</v>
      </c>
    </row>
    <row r="68" spans="4:4" x14ac:dyDescent="0.2">
      <c r="D68" s="35" t="s">
        <v>1538</v>
      </c>
    </row>
    <row r="69" spans="4:4" x14ac:dyDescent="0.2">
      <c r="D69" s="35" t="s">
        <v>3447</v>
      </c>
    </row>
    <row r="70" spans="4:4" x14ac:dyDescent="0.2">
      <c r="D70" s="5" t="s">
        <v>3472</v>
      </c>
    </row>
    <row r="71" spans="4:4" x14ac:dyDescent="0.2">
      <c r="D71" s="35" t="s">
        <v>3448</v>
      </c>
    </row>
    <row r="72" spans="4:4" ht="25.5" x14ac:dyDescent="0.2">
      <c r="D72" s="35" t="s">
        <v>3449</v>
      </c>
    </row>
    <row r="73" spans="4:4" x14ac:dyDescent="0.2">
      <c r="D73" s="35" t="s">
        <v>810</v>
      </c>
    </row>
    <row r="74" spans="4:4" x14ac:dyDescent="0.2">
      <c r="D74" s="35" t="s">
        <v>3450</v>
      </c>
    </row>
    <row r="75" spans="4:4" x14ac:dyDescent="0.2">
      <c r="D75" s="35" t="s">
        <v>3451</v>
      </c>
    </row>
    <row r="76" spans="4:4" x14ac:dyDescent="0.2">
      <c r="D76" s="35" t="s">
        <v>3452</v>
      </c>
    </row>
    <row r="77" spans="4:4" x14ac:dyDescent="0.2">
      <c r="D77" s="35" t="s">
        <v>3454</v>
      </c>
    </row>
    <row r="78" spans="4:4" x14ac:dyDescent="0.2">
      <c r="D78" s="35" t="s">
        <v>2040</v>
      </c>
    </row>
    <row r="79" spans="4:4" x14ac:dyDescent="0.2">
      <c r="D79" s="362" t="s">
        <v>900</v>
      </c>
    </row>
    <row r="80" spans="4:4" x14ac:dyDescent="0.2">
      <c r="D80" s="35" t="s">
        <v>3455</v>
      </c>
    </row>
    <row r="81" spans="4:4" ht="25.5" x14ac:dyDescent="0.2">
      <c r="D81" s="5" t="s">
        <v>3420</v>
      </c>
    </row>
    <row r="82" spans="4:4" x14ac:dyDescent="0.2">
      <c r="D82" s="35" t="s">
        <v>1616</v>
      </c>
    </row>
    <row r="83" spans="4:4" x14ac:dyDescent="0.2">
      <c r="D83" s="35" t="s">
        <v>2022</v>
      </c>
    </row>
    <row r="84" spans="4:4" x14ac:dyDescent="0.2">
      <c r="D84" s="35" t="s">
        <v>3456</v>
      </c>
    </row>
    <row r="85" spans="4:4" x14ac:dyDescent="0.2">
      <c r="D85" s="35" t="s">
        <v>3457</v>
      </c>
    </row>
    <row r="86" spans="4:4" x14ac:dyDescent="0.2">
      <c r="D86" s="35" t="s">
        <v>3458</v>
      </c>
    </row>
    <row r="87" spans="4:4" x14ac:dyDescent="0.2">
      <c r="D87" s="35" t="s">
        <v>3459</v>
      </c>
    </row>
    <row r="88" spans="4:4" x14ac:dyDescent="0.2">
      <c r="D88" s="35" t="s">
        <v>3460</v>
      </c>
    </row>
    <row r="89" spans="4:4" x14ac:dyDescent="0.2">
      <c r="D89" s="35" t="s">
        <v>3461</v>
      </c>
    </row>
    <row r="90" spans="4:4" x14ac:dyDescent="0.2">
      <c r="D90" s="35" t="s">
        <v>3462</v>
      </c>
    </row>
    <row r="91" spans="4:4" x14ac:dyDescent="0.2">
      <c r="D91" s="35" t="s">
        <v>3463</v>
      </c>
    </row>
    <row r="92" spans="4:4" x14ac:dyDescent="0.2">
      <c r="D92" s="35" t="s">
        <v>3464</v>
      </c>
    </row>
    <row r="93" spans="4:4" x14ac:dyDescent="0.2">
      <c r="D93" s="35" t="s">
        <v>3465</v>
      </c>
    </row>
    <row r="94" spans="4:4" x14ac:dyDescent="0.2">
      <c r="D94" s="35" t="s">
        <v>3466</v>
      </c>
    </row>
    <row r="95" spans="4:4" x14ac:dyDescent="0.2">
      <c r="D95" s="35" t="s">
        <v>3467</v>
      </c>
    </row>
    <row r="96" spans="4:4" x14ac:dyDescent="0.2">
      <c r="D96" s="35" t="s">
        <v>3468</v>
      </c>
    </row>
    <row r="97" spans="2:4" x14ac:dyDescent="0.2">
      <c r="D97" s="35" t="s">
        <v>70</v>
      </c>
    </row>
    <row r="98" spans="2:4" x14ac:dyDescent="0.2">
      <c r="D98" s="35" t="s">
        <v>3469</v>
      </c>
    </row>
    <row r="99" spans="2:4" x14ac:dyDescent="0.2">
      <c r="D99" s="35" t="s">
        <v>3132</v>
      </c>
    </row>
    <row r="100" spans="2:4" x14ac:dyDescent="0.2">
      <c r="D100" s="35" t="s">
        <v>3470</v>
      </c>
    </row>
    <row r="101" spans="2:4" x14ac:dyDescent="0.2">
      <c r="D101" s="5" t="s">
        <v>3453</v>
      </c>
    </row>
    <row r="102" spans="2:4" x14ac:dyDescent="0.2">
      <c r="D102" s="35" t="s">
        <v>641</v>
      </c>
    </row>
    <row r="104" spans="2:4" x14ac:dyDescent="0.2">
      <c r="B104" s="924" t="s">
        <v>4253</v>
      </c>
      <c r="C104" s="924"/>
      <c r="D104" s="924"/>
    </row>
    <row r="105" spans="2:4" ht="123.75" customHeight="1" x14ac:dyDescent="0.2">
      <c r="B105" s="925" t="s">
        <v>4265</v>
      </c>
      <c r="C105" s="926"/>
      <c r="D105" s="926"/>
    </row>
    <row r="106" spans="2:4" x14ac:dyDescent="0.2">
      <c r="B106" s="927" t="s">
        <v>4254</v>
      </c>
      <c r="C106" s="928"/>
      <c r="D106" s="929"/>
    </row>
    <row r="107" spans="2:4" x14ac:dyDescent="0.2">
      <c r="B107" s="927" t="s">
        <v>4255</v>
      </c>
      <c r="C107" s="928"/>
      <c r="D107" s="929"/>
    </row>
    <row r="108" spans="2:4" x14ac:dyDescent="0.2">
      <c r="B108" s="927" t="s">
        <v>4256</v>
      </c>
      <c r="C108" s="928"/>
      <c r="D108" s="929"/>
    </row>
    <row r="110" spans="2:4" ht="15" x14ac:dyDescent="0.2">
      <c r="B110" s="923" t="s">
        <v>4257</v>
      </c>
      <c r="C110" s="923"/>
      <c r="D110" s="923"/>
    </row>
    <row r="111" spans="2:4" x14ac:dyDescent="0.2">
      <c r="B111" s="914" t="s">
        <v>4258</v>
      </c>
      <c r="C111" s="915"/>
      <c r="D111" s="916"/>
    </row>
    <row r="112" spans="2:4" x14ac:dyDescent="0.2">
      <c r="B112" s="917"/>
      <c r="C112" s="918"/>
      <c r="D112" s="919"/>
    </row>
    <row r="113" spans="2:4" ht="75.75" customHeight="1" x14ac:dyDescent="0.2">
      <c r="B113" s="920"/>
      <c r="C113" s="921"/>
      <c r="D113" s="922"/>
    </row>
    <row r="115" spans="2:4" ht="15" x14ac:dyDescent="0.2">
      <c r="B115" s="923" t="s">
        <v>4259</v>
      </c>
      <c r="C115" s="923"/>
      <c r="D115" s="923"/>
    </row>
    <row r="116" spans="2:4" ht="15" x14ac:dyDescent="0.2">
      <c r="B116" s="355" t="s">
        <v>4260</v>
      </c>
      <c r="C116" s="23"/>
      <c r="D116" s="23"/>
    </row>
    <row r="118" spans="2:4" ht="15" x14ac:dyDescent="0.2">
      <c r="B118" s="923" t="s">
        <v>4261</v>
      </c>
      <c r="C118" s="923"/>
      <c r="D118" s="923"/>
    </row>
    <row r="119" spans="2:4" ht="15" x14ac:dyDescent="0.2">
      <c r="B119" s="356" t="s">
        <v>4263</v>
      </c>
      <c r="C119" s="23"/>
      <c r="D119" s="23"/>
    </row>
    <row r="120" spans="2:4" ht="15" x14ac:dyDescent="0.2">
      <c r="B120" s="356" t="s">
        <v>4264</v>
      </c>
      <c r="C120" s="23"/>
      <c r="D120" s="23"/>
    </row>
    <row r="122" spans="2:4" ht="15" x14ac:dyDescent="0.2">
      <c r="B122" s="923" t="s">
        <v>4262</v>
      </c>
      <c r="C122" s="923"/>
      <c r="D122" s="923"/>
    </row>
    <row r="123" spans="2:4" ht="15" x14ac:dyDescent="0.2">
      <c r="B123" s="355" t="s">
        <v>4260</v>
      </c>
      <c r="C123" s="23"/>
      <c r="D123" s="23"/>
    </row>
    <row r="125" spans="2:4" x14ac:dyDescent="0.2">
      <c r="B125" s="913" t="s">
        <v>4267</v>
      </c>
      <c r="C125" s="913"/>
      <c r="D125" s="913"/>
    </row>
  </sheetData>
  <mergeCells count="11">
    <mergeCell ref="B110:D110"/>
    <mergeCell ref="B104:D104"/>
    <mergeCell ref="B105:D105"/>
    <mergeCell ref="B106:D106"/>
    <mergeCell ref="B107:D107"/>
    <mergeCell ref="B108:D108"/>
    <mergeCell ref="B125:D125"/>
    <mergeCell ref="B111:D113"/>
    <mergeCell ref="B115:D115"/>
    <mergeCell ref="B118:D118"/>
    <mergeCell ref="B122:D122"/>
  </mergeCells>
  <conditionalFormatting sqref="A3:B3 E3 A2:H2 G3:G4 C3:C7 H3:H9 H11:H12">
    <cfRule type="expression" dxfId="2015" priority="1805">
      <formula>#REF!="em exigência"</formula>
    </cfRule>
    <cfRule type="expression" dxfId="2014" priority="1806">
      <formula>#REF!="exigência cumprida"</formula>
    </cfRule>
    <cfRule type="expression" dxfId="2013" priority="1807">
      <formula>#REF!="em análise"</formula>
    </cfRule>
  </conditionalFormatting>
  <conditionalFormatting sqref="E5 F7 F9:F15 E8:E11 E13:E14">
    <cfRule type="expression" dxfId="2012" priority="47">
      <formula>#REF!="em exigência"</formula>
    </cfRule>
    <cfRule type="expression" dxfId="2011" priority="48">
      <formula>#REF!="exigência cumprida"</formula>
    </cfRule>
    <cfRule type="expression" dxfId="2010" priority="49">
      <formula>#REF!="em análise"</formula>
    </cfRule>
  </conditionalFormatting>
  <conditionalFormatting sqref="E4">
    <cfRule type="expression" dxfId="2009" priority="44">
      <formula>#REF!="em exigência"</formula>
    </cfRule>
    <cfRule type="expression" dxfId="2008" priority="45">
      <formula>#REF!="exigência cumprida"</formula>
    </cfRule>
    <cfRule type="expression" dxfId="2007" priority="46">
      <formula>#REF!="em análise"</formula>
    </cfRule>
  </conditionalFormatting>
  <conditionalFormatting sqref="F8">
    <cfRule type="expression" dxfId="2006" priority="41">
      <formula>#REF!="em exigência"</formula>
    </cfRule>
    <cfRule type="expression" dxfId="2005" priority="42">
      <formula>#REF!="exigência cumprida"</formula>
    </cfRule>
    <cfRule type="expression" dxfId="2004" priority="43">
      <formula>#REF!="em análise"</formula>
    </cfRule>
  </conditionalFormatting>
  <conditionalFormatting sqref="L1">
    <cfRule type="expression" dxfId="2003" priority="37" stopIfTrue="1">
      <formula>NA()</formula>
    </cfRule>
  </conditionalFormatting>
  <conditionalFormatting sqref="L2:L3">
    <cfRule type="expression" dxfId="2002" priority="34">
      <formula>#REF!="em exigência"</formula>
    </cfRule>
    <cfRule type="expression" dxfId="2001" priority="35">
      <formula>#REF!="exigência cumprida"</formula>
    </cfRule>
    <cfRule type="expression" dxfId="2000" priority="36">
      <formula>#REF!="em análise"</formula>
    </cfRule>
  </conditionalFormatting>
  <conditionalFormatting sqref="E7">
    <cfRule type="expression" dxfId="1999" priority="31">
      <formula>#REF!="em exigência"</formula>
    </cfRule>
    <cfRule type="expression" dxfId="1998" priority="32">
      <formula>#REF!="exigência cumprida"</formula>
    </cfRule>
    <cfRule type="expression" dxfId="1997" priority="33">
      <formula>#REF!="em análise"</formula>
    </cfRule>
  </conditionalFormatting>
  <conditionalFormatting sqref="F3:F6">
    <cfRule type="expression" dxfId="1996" priority="28">
      <formula>#REF!="em exigência"</formula>
    </cfRule>
    <cfRule type="expression" dxfId="1995" priority="29">
      <formula>#REF!="exigência cumprida"</formula>
    </cfRule>
    <cfRule type="expression" dxfId="1994" priority="30">
      <formula>#REF!="em análise"</formula>
    </cfRule>
  </conditionalFormatting>
  <conditionalFormatting sqref="E6">
    <cfRule type="expression" dxfId="1993" priority="22">
      <formula>#REF!="em exigência"</formula>
    </cfRule>
    <cfRule type="expression" dxfId="1992" priority="23">
      <formula>#REF!="exigência cumprida"</formula>
    </cfRule>
    <cfRule type="expression" dxfId="1991" priority="24">
      <formula>#REF!="em análise"</formula>
    </cfRule>
  </conditionalFormatting>
  <conditionalFormatting sqref="L4">
    <cfRule type="expression" dxfId="1990" priority="19">
      <formula>#REF!="em exigência"</formula>
    </cfRule>
    <cfRule type="expression" dxfId="1989" priority="20">
      <formula>#REF!="exigência cumprida"</formula>
    </cfRule>
    <cfRule type="expression" dxfId="1988" priority="21">
      <formula>#REF!="em análise"</formula>
    </cfRule>
  </conditionalFormatting>
  <conditionalFormatting sqref="H10">
    <cfRule type="expression" dxfId="1987" priority="10">
      <formula>#REF!="em exigência"</formula>
    </cfRule>
    <cfRule type="expression" dxfId="1986" priority="11">
      <formula>#REF!="exigência cumprida"</formula>
    </cfRule>
    <cfRule type="expression" dxfId="1985" priority="12">
      <formula>#REF!="em análise"</formula>
    </cfRule>
  </conditionalFormatting>
  <conditionalFormatting sqref="H13">
    <cfRule type="expression" dxfId="1984" priority="7">
      <formula>#REF!="em exigência"</formula>
    </cfRule>
    <cfRule type="expression" dxfId="1983" priority="8">
      <formula>#REF!="exigência cumprida"</formula>
    </cfRule>
    <cfRule type="expression" dxfId="1982" priority="9">
      <formula>#REF!="em análise"</formula>
    </cfRule>
  </conditionalFormatting>
  <conditionalFormatting sqref="L5">
    <cfRule type="expression" dxfId="1981" priority="4">
      <formula>#REF!="em exigência"</formula>
    </cfRule>
    <cfRule type="expression" dxfId="1980" priority="5">
      <formula>#REF!="exigência cumprida"</formula>
    </cfRule>
    <cfRule type="expression" dxfId="1979" priority="6">
      <formula>#REF!="em análise"</formula>
    </cfRule>
  </conditionalFormatting>
  <conditionalFormatting sqref="E12">
    <cfRule type="expression" dxfId="1978" priority="1">
      <formula>#REF!="em exigência"</formula>
    </cfRule>
    <cfRule type="expression" dxfId="1977" priority="2">
      <formula>#REF!="exigência cumprida"</formula>
    </cfRule>
    <cfRule type="expression" dxfId="1976" priority="3">
      <formula>#REF!="em análise"</formula>
    </cfRule>
  </conditionalFormatting>
  <pageMargins left="0.511811024" right="0.511811024" top="0.78740157499999996" bottom="0.78740157499999996" header="0.31496062000000002" footer="0.31496062000000002"/>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4" tint="0.39997558519241921"/>
  </sheetPr>
  <dimension ref="A1:EW320"/>
  <sheetViews>
    <sheetView showGridLines="0" tabSelected="1" zoomScale="70" zoomScaleNormal="70" zoomScaleSheetLayoutView="85" workbookViewId="0">
      <selection activeCell="E3" sqref="E3"/>
    </sheetView>
  </sheetViews>
  <sheetFormatPr defaultColWidth="15.42578125" defaultRowHeight="12.75" outlineLevelRow="1" outlineLevelCol="1" x14ac:dyDescent="0.2"/>
  <cols>
    <col min="1" max="1" width="14.42578125" style="110" customWidth="1"/>
    <col min="2" max="2" width="15.42578125" style="110" customWidth="1" outlineLevel="1"/>
    <col min="3" max="3" width="12.5703125" style="671" customWidth="1" outlineLevel="1"/>
    <col min="4" max="4" width="13.140625" style="110" customWidth="1" outlineLevel="1"/>
    <col min="5" max="5" width="15.42578125" style="110" customWidth="1" outlineLevel="1"/>
    <col min="6" max="6" width="21.140625" style="110" bestFit="1" customWidth="1"/>
    <col min="7" max="7" width="27.5703125" style="110" customWidth="1"/>
    <col min="8" max="8" width="27.140625" style="110" customWidth="1"/>
    <col min="9" max="9" width="15.42578125" style="556" customWidth="1" outlineLevel="1"/>
    <col min="10" max="10" width="53.28515625" style="110" customWidth="1" outlineLevel="1"/>
    <col min="11" max="11" width="17.28515625" style="110" customWidth="1"/>
    <col min="12" max="13" width="15.42578125" style="110"/>
    <col min="14" max="14" width="14.42578125" style="110" customWidth="1"/>
    <col min="15" max="15" width="15.42578125" style="672"/>
    <col min="16" max="17" width="15.42578125" style="673" customWidth="1" outlineLevel="1"/>
    <col min="18" max="18" width="15.42578125" style="110"/>
    <col min="19" max="19" width="18.140625" style="644" customWidth="1" outlineLevel="1"/>
    <col min="20" max="20" width="15.7109375" style="110" customWidth="1" outlineLevel="1"/>
    <col min="21" max="21" width="91.85546875" style="110" customWidth="1"/>
    <col min="22" max="22" width="38.28515625" style="110" customWidth="1"/>
    <col min="23" max="25" width="15.42578125" style="110" customWidth="1" outlineLevel="1"/>
    <col min="26" max="26" width="15.42578125" style="110"/>
    <col min="27" max="27" width="15.42578125" style="644" customWidth="1" outlineLevel="1"/>
    <col min="28" max="28" width="21.42578125" style="110" customWidth="1" outlineLevel="1"/>
    <col min="29" max="29" width="15.42578125" style="110" customWidth="1" outlineLevel="1"/>
    <col min="30" max="30" width="21.42578125" style="110" customWidth="1" outlineLevel="1"/>
    <col min="31" max="31" width="21.42578125" style="110" customWidth="1"/>
    <col min="32" max="41" width="21.42578125" style="111" customWidth="1" outlineLevel="1" collapsed="1"/>
    <col min="42" max="42" width="21.42578125" style="111" customWidth="1" outlineLevel="1"/>
    <col min="43" max="68" width="21.42578125" style="111" customWidth="1" outlineLevel="1" collapsed="1"/>
    <col min="69" max="70" width="21.42578125" style="111" customWidth="1" outlineLevel="1"/>
    <col min="71" max="82" width="21.42578125" style="111" customWidth="1" outlineLevel="1" collapsed="1"/>
    <col min="83" max="83" width="21.42578125" style="111" customWidth="1" outlineLevel="1"/>
    <col min="84" max="86" width="21.42578125" style="111" customWidth="1" outlineLevel="1" collapsed="1"/>
    <col min="87" max="89" width="21.42578125" style="111" customWidth="1" outlineLevel="1"/>
    <col min="90" max="90" width="21.42578125" style="111" customWidth="1" outlineLevel="1" collapsed="1"/>
    <col min="91" max="91" width="21.42578125" style="111" customWidth="1" outlineLevel="1"/>
    <col min="92" max="94" width="21.42578125" style="111" customWidth="1" outlineLevel="1" collapsed="1"/>
    <col min="95" max="96" width="21.42578125" style="111" customWidth="1" outlineLevel="1"/>
    <col min="97" max="97" width="21.42578125" style="111" customWidth="1" outlineLevel="1" collapsed="1"/>
    <col min="98" max="98" width="21.42578125" style="111" customWidth="1" outlineLevel="1"/>
    <col min="99" max="100" width="21.42578125" style="111" customWidth="1" outlineLevel="1" collapsed="1"/>
    <col min="101" max="108" width="21.42578125" style="111" customWidth="1" outlineLevel="1"/>
    <col min="109" max="109" width="21.42578125" style="111" customWidth="1" outlineLevel="1" collapsed="1"/>
    <col min="110" max="110" width="21.42578125" style="111" customWidth="1" outlineLevel="1"/>
    <col min="111" max="111" width="21.42578125" style="111" customWidth="1" outlineLevel="1" collapsed="1"/>
    <col min="112" max="112" width="21.42578125" style="111" customWidth="1" outlineLevel="1"/>
    <col min="113" max="113" width="21.42578125" style="111" customWidth="1" outlineLevel="1" collapsed="1"/>
    <col min="114" max="114" width="21.42578125" style="111" customWidth="1" outlineLevel="1"/>
    <col min="115" max="115" width="21.42578125" style="111" customWidth="1" outlineLevel="1" collapsed="1"/>
    <col min="116" max="116" width="21.42578125" style="111" customWidth="1" outlineLevel="1"/>
    <col min="117" max="117" width="21.42578125" style="111" customWidth="1" outlineLevel="1" collapsed="1"/>
    <col min="118" max="119" width="21.42578125" style="111" customWidth="1" outlineLevel="1"/>
    <col min="120" max="121" width="23.42578125" style="111" customWidth="1" outlineLevel="1"/>
    <col min="122" max="122" width="11" style="111" customWidth="1" outlineLevel="1"/>
    <col min="123" max="125" width="12.42578125" style="111" customWidth="1" outlineLevel="1"/>
    <col min="126" max="126" width="12.7109375" style="111" customWidth="1" outlineLevel="1"/>
    <col min="127" max="127" width="12.7109375" style="499" customWidth="1" outlineLevel="1"/>
    <col min="128" max="128" width="11.42578125" style="499" customWidth="1" outlineLevel="1"/>
    <col min="129" max="129" width="23.140625" style="499" customWidth="1" outlineLevel="1"/>
    <col min="130" max="130" width="30" style="499" customWidth="1" outlineLevel="1"/>
    <col min="131" max="131" width="27.42578125" style="499" customWidth="1" outlineLevel="1"/>
    <col min="132" max="132" width="21.7109375" style="499" customWidth="1" outlineLevel="1"/>
    <col min="133" max="133" width="25.7109375" style="499" customWidth="1" outlineLevel="1"/>
    <col min="134" max="134" width="22.85546875" style="499" customWidth="1" outlineLevel="1"/>
    <col min="135" max="135" width="15.28515625" style="499" customWidth="1" outlineLevel="1"/>
    <col min="136" max="136" width="22.140625" style="499" customWidth="1" outlineLevel="1"/>
    <col min="137" max="137" width="13.28515625" style="499" customWidth="1" outlineLevel="1"/>
    <col min="138" max="138" width="16.7109375" style="499" customWidth="1" outlineLevel="1"/>
    <col min="139" max="139" width="19.42578125" style="499" customWidth="1"/>
    <col min="140" max="143" width="29.85546875" style="499" customWidth="1"/>
    <col min="144" max="144" width="14.42578125" style="499" customWidth="1"/>
    <col min="145" max="145" width="13.7109375" style="499" customWidth="1"/>
    <col min="146" max="146" width="15.140625" style="499" customWidth="1"/>
    <col min="147" max="147" width="15.7109375" style="644" customWidth="1"/>
    <col min="148" max="148" width="22" style="111" customWidth="1"/>
    <col min="149" max="149" width="35" style="110" customWidth="1" outlineLevel="1" collapsed="1"/>
    <col min="150" max="150" width="17.85546875" style="110" customWidth="1" outlineLevel="1"/>
    <col min="151" max="151" width="12.5703125" style="110" customWidth="1" outlineLevel="1"/>
    <col min="152" max="16384" width="15.42578125" style="110"/>
  </cols>
  <sheetData>
    <row r="1" spans="1:153" ht="51" x14ac:dyDescent="0.2">
      <c r="A1" s="780" t="s">
        <v>4888</v>
      </c>
      <c r="B1" s="676" t="s">
        <v>5334</v>
      </c>
      <c r="C1" s="677" t="s">
        <v>583</v>
      </c>
      <c r="D1" s="678" t="s">
        <v>3796</v>
      </c>
      <c r="E1" s="675" t="s">
        <v>5229</v>
      </c>
      <c r="F1" s="910" t="s">
        <v>0</v>
      </c>
      <c r="G1" s="911" t="s">
        <v>1</v>
      </c>
      <c r="H1" s="911" t="s">
        <v>2</v>
      </c>
      <c r="I1" s="910" t="s">
        <v>533</v>
      </c>
      <c r="J1" s="912" t="s">
        <v>3057</v>
      </c>
      <c r="K1" s="677" t="s">
        <v>8</v>
      </c>
      <c r="L1" s="676" t="s">
        <v>3</v>
      </c>
      <c r="M1" s="677" t="s">
        <v>4</v>
      </c>
      <c r="N1" s="676" t="s">
        <v>5</v>
      </c>
      <c r="O1" s="679" t="s">
        <v>6</v>
      </c>
      <c r="P1" s="680" t="s">
        <v>5076</v>
      </c>
      <c r="Q1" s="680" t="s">
        <v>5062</v>
      </c>
      <c r="R1" s="911" t="s">
        <v>634</v>
      </c>
      <c r="S1" s="687" t="s">
        <v>4266</v>
      </c>
      <c r="T1" s="911" t="s">
        <v>1297</v>
      </c>
      <c r="U1" s="677" t="s">
        <v>1957</v>
      </c>
      <c r="V1" s="675" t="s">
        <v>5925</v>
      </c>
      <c r="W1" s="675" t="s">
        <v>3336</v>
      </c>
      <c r="X1" s="675" t="s">
        <v>3334</v>
      </c>
      <c r="Y1" s="675" t="s">
        <v>3335</v>
      </c>
      <c r="Z1" s="675" t="s">
        <v>2890</v>
      </c>
      <c r="AA1" s="681" t="s">
        <v>5577</v>
      </c>
      <c r="AB1" s="682" t="s">
        <v>5578</v>
      </c>
      <c r="AC1" s="682" t="s">
        <v>5579</v>
      </c>
      <c r="AD1" s="682" t="s">
        <v>5580</v>
      </c>
      <c r="AE1" s="682" t="s">
        <v>5671</v>
      </c>
      <c r="AF1" s="683" t="s">
        <v>4792</v>
      </c>
      <c r="AG1" s="683" t="s">
        <v>4793</v>
      </c>
      <c r="AH1" s="683" t="s">
        <v>4794</v>
      </c>
      <c r="AI1" s="683" t="s">
        <v>4795</v>
      </c>
      <c r="AJ1" s="683" t="s">
        <v>4796</v>
      </c>
      <c r="AK1" s="683" t="s">
        <v>4797</v>
      </c>
      <c r="AL1" s="683" t="s">
        <v>4798</v>
      </c>
      <c r="AM1" s="683" t="s">
        <v>4799</v>
      </c>
      <c r="AN1" s="683" t="s">
        <v>4800</v>
      </c>
      <c r="AO1" s="683" t="s">
        <v>4801</v>
      </c>
      <c r="AP1" s="683" t="s">
        <v>4802</v>
      </c>
      <c r="AQ1" s="683" t="s">
        <v>4803</v>
      </c>
      <c r="AR1" s="683" t="s">
        <v>4804</v>
      </c>
      <c r="AS1" s="683" t="s">
        <v>4805</v>
      </c>
      <c r="AT1" s="683" t="s">
        <v>4806</v>
      </c>
      <c r="AU1" s="683" t="s">
        <v>4807</v>
      </c>
      <c r="AV1" s="683" t="s">
        <v>4808</v>
      </c>
      <c r="AW1" s="683" t="s">
        <v>4809</v>
      </c>
      <c r="AX1" s="683" t="s">
        <v>4810</v>
      </c>
      <c r="AY1" s="683" t="s">
        <v>4811</v>
      </c>
      <c r="AZ1" s="683" t="s">
        <v>4812</v>
      </c>
      <c r="BA1" s="683" t="s">
        <v>4813</v>
      </c>
      <c r="BB1" s="683" t="s">
        <v>4814</v>
      </c>
      <c r="BC1" s="683" t="s">
        <v>4815</v>
      </c>
      <c r="BD1" s="683" t="s">
        <v>4816</v>
      </c>
      <c r="BE1" s="683" t="s">
        <v>4817</v>
      </c>
      <c r="BF1" s="683" t="s">
        <v>4818</v>
      </c>
      <c r="BG1" s="683" t="s">
        <v>4819</v>
      </c>
      <c r="BH1" s="683" t="s">
        <v>4820</v>
      </c>
      <c r="BI1" s="683" t="s">
        <v>4821</v>
      </c>
      <c r="BJ1" s="683" t="s">
        <v>4822</v>
      </c>
      <c r="BK1" s="683" t="s">
        <v>4823</v>
      </c>
      <c r="BL1" s="683" t="s">
        <v>4824</v>
      </c>
      <c r="BM1" s="683" t="s">
        <v>4825</v>
      </c>
      <c r="BN1" s="683" t="s">
        <v>4852</v>
      </c>
      <c r="BO1" s="683" t="s">
        <v>4851</v>
      </c>
      <c r="BP1" s="683" t="s">
        <v>4860</v>
      </c>
      <c r="BQ1" s="683" t="s">
        <v>4886</v>
      </c>
      <c r="BR1" s="683" t="s">
        <v>4885</v>
      </c>
      <c r="BS1" s="683" t="s">
        <v>4889</v>
      </c>
      <c r="BT1" s="683" t="s">
        <v>4908</v>
      </c>
      <c r="BU1" s="683" t="s">
        <v>4911</v>
      </c>
      <c r="BV1" s="683" t="s">
        <v>4920</v>
      </c>
      <c r="BW1" s="683" t="s">
        <v>4925</v>
      </c>
      <c r="BX1" s="683" t="s">
        <v>4935</v>
      </c>
      <c r="BY1" s="683" t="s">
        <v>4948</v>
      </c>
      <c r="BZ1" s="683" t="s">
        <v>4956</v>
      </c>
      <c r="CA1" s="683" t="s">
        <v>4973</v>
      </c>
      <c r="CB1" s="683" t="s">
        <v>4978</v>
      </c>
      <c r="CC1" s="683" t="s">
        <v>5014</v>
      </c>
      <c r="CD1" s="683" t="s">
        <v>5023</v>
      </c>
      <c r="CE1" s="683" t="s">
        <v>5029</v>
      </c>
      <c r="CF1" s="683" t="s">
        <v>5033</v>
      </c>
      <c r="CG1" s="683" t="s">
        <v>5042</v>
      </c>
      <c r="CH1" s="683" t="s">
        <v>5080</v>
      </c>
      <c r="CI1" s="683" t="s">
        <v>5089</v>
      </c>
      <c r="CJ1" s="683" t="s">
        <v>5100</v>
      </c>
      <c r="CK1" s="683" t="s">
        <v>5133</v>
      </c>
      <c r="CL1" s="683" t="s">
        <v>5134</v>
      </c>
      <c r="CM1" s="683" t="s">
        <v>5150</v>
      </c>
      <c r="CN1" s="683" t="s">
        <v>5170</v>
      </c>
      <c r="CO1" s="683" t="s">
        <v>5179</v>
      </c>
      <c r="CP1" s="683" t="s">
        <v>5184</v>
      </c>
      <c r="CQ1" s="683" t="s">
        <v>5187</v>
      </c>
      <c r="CR1" s="683" t="s">
        <v>5199</v>
      </c>
      <c r="CS1" s="683" t="s">
        <v>5208</v>
      </c>
      <c r="CT1" s="683" t="s">
        <v>5218</v>
      </c>
      <c r="CU1" s="683" t="s">
        <v>5235</v>
      </c>
      <c r="CV1" s="683" t="s">
        <v>5239</v>
      </c>
      <c r="CW1" s="683" t="s">
        <v>5243</v>
      </c>
      <c r="CX1" s="683" t="s">
        <v>5254</v>
      </c>
      <c r="CY1" s="683" t="s">
        <v>5298</v>
      </c>
      <c r="CZ1" s="683" t="s">
        <v>5297</v>
      </c>
      <c r="DA1" s="683" t="s">
        <v>5306</v>
      </c>
      <c r="DB1" s="683" t="s">
        <v>5313</v>
      </c>
      <c r="DC1" s="683" t="s">
        <v>5329</v>
      </c>
      <c r="DD1" s="683" t="s">
        <v>5330</v>
      </c>
      <c r="DE1" s="683" t="s">
        <v>5341</v>
      </c>
      <c r="DF1" s="683" t="s">
        <v>5359</v>
      </c>
      <c r="DG1" s="683" t="s">
        <v>5409</v>
      </c>
      <c r="DH1" s="683" t="s">
        <v>5435</v>
      </c>
      <c r="DI1" s="683" t="s">
        <v>5447</v>
      </c>
      <c r="DJ1" s="683" t="s">
        <v>5458</v>
      </c>
      <c r="DK1" s="683" t="s">
        <v>5514</v>
      </c>
      <c r="DL1" s="683" t="s">
        <v>5515</v>
      </c>
      <c r="DM1" s="683" t="s">
        <v>5543</v>
      </c>
      <c r="DN1" s="683" t="s">
        <v>5553</v>
      </c>
      <c r="DO1" s="683" t="s">
        <v>5581</v>
      </c>
      <c r="DP1" s="683" t="s">
        <v>5639</v>
      </c>
      <c r="DQ1" s="683" t="s">
        <v>5670</v>
      </c>
      <c r="DR1" s="683" t="s">
        <v>5690</v>
      </c>
      <c r="DS1" s="683" t="s">
        <v>5691</v>
      </c>
      <c r="DT1" s="683" t="s">
        <v>5719</v>
      </c>
      <c r="DU1" s="683" t="s">
        <v>5742</v>
      </c>
      <c r="DV1" s="683" t="s">
        <v>5753</v>
      </c>
      <c r="DW1" s="683" t="s">
        <v>5816</v>
      </c>
      <c r="DX1" s="683" t="s">
        <v>5817</v>
      </c>
      <c r="DY1" s="683" t="s">
        <v>5858</v>
      </c>
      <c r="DZ1" s="683" t="s">
        <v>5875</v>
      </c>
      <c r="EA1" s="683" t="s">
        <v>5881</v>
      </c>
      <c r="EB1" s="683" t="s">
        <v>5909</v>
      </c>
      <c r="EC1" s="683" t="s">
        <v>5907</v>
      </c>
      <c r="ED1" s="683" t="s">
        <v>5926</v>
      </c>
      <c r="EE1" s="683" t="s">
        <v>5960</v>
      </c>
      <c r="EF1" s="683" t="s">
        <v>5959</v>
      </c>
      <c r="EG1" s="683" t="s">
        <v>5981</v>
      </c>
      <c r="EH1" s="683" t="s">
        <v>6002</v>
      </c>
      <c r="EI1" s="683" t="s">
        <v>6025</v>
      </c>
      <c r="EJ1" s="683" t="s">
        <v>6181</v>
      </c>
      <c r="EK1" s="898" t="s">
        <v>6607</v>
      </c>
      <c r="EL1" s="683" t="s">
        <v>6608</v>
      </c>
      <c r="EM1" s="683" t="s">
        <v>6491</v>
      </c>
      <c r="EN1" s="683" t="s">
        <v>5158</v>
      </c>
      <c r="EO1" s="683" t="s">
        <v>5168</v>
      </c>
      <c r="EP1" s="683" t="s">
        <v>5163</v>
      </c>
      <c r="EQ1" s="683" t="s">
        <v>5164</v>
      </c>
      <c r="ER1" s="683" t="s">
        <v>5516</v>
      </c>
      <c r="ES1" s="684" t="s">
        <v>5638</v>
      </c>
      <c r="ET1" s="683" t="s">
        <v>5055</v>
      </c>
      <c r="EU1" s="683" t="s">
        <v>5582</v>
      </c>
      <c r="EV1" s="683" t="s">
        <v>5057</v>
      </c>
    </row>
    <row r="2" spans="1:153" ht="102" outlineLevel="1" x14ac:dyDescent="0.2">
      <c r="A2" s="779">
        <v>1</v>
      </c>
      <c r="B2" s="663"/>
      <c r="C2" s="477" t="s">
        <v>585</v>
      </c>
      <c r="D2" s="113"/>
      <c r="E2" s="477"/>
      <c r="F2" s="477" t="s">
        <v>78</v>
      </c>
      <c r="G2" s="288" t="s">
        <v>68</v>
      </c>
      <c r="H2" s="6" t="s">
        <v>68</v>
      </c>
      <c r="I2" s="72"/>
      <c r="J2" s="113" t="s">
        <v>758</v>
      </c>
      <c r="K2" s="6" t="s">
        <v>31</v>
      </c>
      <c r="L2" s="477" t="s">
        <v>16</v>
      </c>
      <c r="M2" s="122" t="s">
        <v>12</v>
      </c>
      <c r="N2" s="122" t="s">
        <v>2992</v>
      </c>
      <c r="O2" s="643">
        <v>40221</v>
      </c>
      <c r="P2" s="615" t="s">
        <v>5284</v>
      </c>
      <c r="Q2" s="615"/>
      <c r="R2" s="477" t="s">
        <v>3398</v>
      </c>
      <c r="S2" s="612"/>
      <c r="T2" s="477"/>
      <c r="U2" s="272" t="s">
        <v>5283</v>
      </c>
      <c r="V2" s="477"/>
      <c r="W2" s="477"/>
      <c r="X2" s="477"/>
      <c r="Y2" s="477"/>
      <c r="Z2" s="477"/>
      <c r="AA2" s="612"/>
      <c r="AB2" s="477"/>
      <c r="AC2" s="477"/>
      <c r="AD2" s="477"/>
      <c r="AE2" s="477"/>
      <c r="AF2" s="477"/>
      <c r="AG2" s="477"/>
      <c r="AH2" s="477"/>
      <c r="AI2" s="477"/>
      <c r="AJ2" s="477"/>
      <c r="AK2" s="477"/>
      <c r="AL2" s="477"/>
      <c r="AM2" s="477"/>
      <c r="AN2" s="477"/>
      <c r="AO2" s="477"/>
      <c r="AP2" s="477"/>
      <c r="AQ2" s="477"/>
      <c r="AR2" s="477"/>
      <c r="AS2" s="477"/>
      <c r="AT2" s="477"/>
      <c r="AU2" s="477"/>
      <c r="AV2" s="477"/>
      <c r="AW2" s="477"/>
      <c r="AX2" s="477"/>
      <c r="AY2" s="477"/>
      <c r="AZ2" s="477"/>
      <c r="BA2" s="477"/>
      <c r="BB2" s="477"/>
      <c r="BC2" s="477"/>
      <c r="BD2" s="477"/>
      <c r="BE2" s="477"/>
      <c r="BF2" s="477"/>
      <c r="BG2" s="477"/>
      <c r="BH2" s="477"/>
      <c r="BI2" s="477"/>
      <c r="BJ2" s="477"/>
      <c r="BK2" s="477"/>
      <c r="BL2" s="477"/>
      <c r="BM2" s="477"/>
      <c r="BN2" s="477"/>
      <c r="BO2" s="477"/>
      <c r="BP2" s="477"/>
      <c r="BQ2" s="477"/>
      <c r="BR2" s="477"/>
      <c r="BS2" s="477"/>
      <c r="BT2" s="477"/>
      <c r="BU2" s="477"/>
      <c r="BV2" s="477"/>
      <c r="BW2" s="477"/>
      <c r="BX2" s="477"/>
      <c r="BY2" s="477"/>
      <c r="BZ2" s="477"/>
      <c r="CA2" s="477"/>
      <c r="CB2" s="477"/>
      <c r="CC2" s="477"/>
      <c r="CD2" s="477"/>
      <c r="CE2" s="477"/>
      <c r="CF2" s="477"/>
      <c r="CG2" s="477"/>
      <c r="CH2" s="477"/>
      <c r="CI2" s="477"/>
      <c r="CJ2" s="477"/>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c r="DQ2" s="626"/>
      <c r="DR2" s="626"/>
      <c r="DS2" s="626"/>
      <c r="DT2" s="626"/>
      <c r="DU2" s="626"/>
      <c r="DV2" s="626"/>
      <c r="DW2" s="626"/>
      <c r="DX2" s="626"/>
      <c r="DY2" s="626"/>
      <c r="DZ2" s="626"/>
      <c r="EA2" s="626"/>
      <c r="EB2" s="626"/>
      <c r="EC2" s="626"/>
      <c r="ED2" s="626"/>
      <c r="EE2" s="626"/>
      <c r="EF2" s="626"/>
      <c r="EG2" s="626"/>
      <c r="EH2" s="626"/>
      <c r="EI2" s="626"/>
      <c r="EJ2" s="626"/>
      <c r="EK2" s="899"/>
      <c r="EL2" s="626"/>
      <c r="EM2" s="626"/>
      <c r="EN2" s="612"/>
      <c r="EO2" s="664"/>
      <c r="EP2" s="664"/>
      <c r="EQ2" s="664"/>
      <c r="ER2" s="501"/>
      <c r="ES2" s="665"/>
      <c r="ET2" s="666" t="s">
        <v>5059</v>
      </c>
      <c r="EU2" s="617" t="s">
        <v>5060</v>
      </c>
      <c r="EV2" s="617" t="s">
        <v>5061</v>
      </c>
    </row>
    <row r="3" spans="1:153" ht="63.75" outlineLevel="1" x14ac:dyDescent="0.2">
      <c r="A3" s="779">
        <v>2</v>
      </c>
      <c r="B3" s="663"/>
      <c r="C3" s="477" t="s">
        <v>585</v>
      </c>
      <c r="D3" s="113"/>
      <c r="E3" s="477"/>
      <c r="F3" s="477" t="s">
        <v>119</v>
      </c>
      <c r="G3" s="288" t="s">
        <v>113</v>
      </c>
      <c r="H3" s="6" t="s">
        <v>113</v>
      </c>
      <c r="I3" s="72" t="s">
        <v>758</v>
      </c>
      <c r="J3" s="113" t="s">
        <v>758</v>
      </c>
      <c r="K3" s="6" t="s">
        <v>2002</v>
      </c>
      <c r="L3" s="477" t="s">
        <v>16</v>
      </c>
      <c r="M3" s="122" t="s">
        <v>1286</v>
      </c>
      <c r="N3" s="122" t="s">
        <v>2992</v>
      </c>
      <c r="O3" s="643">
        <v>40449</v>
      </c>
      <c r="P3" s="615" t="s">
        <v>5285</v>
      </c>
      <c r="Q3" s="615"/>
      <c r="R3" s="477" t="s">
        <v>3398</v>
      </c>
      <c r="S3" s="612"/>
      <c r="T3" s="477"/>
      <c r="U3" s="272" t="s">
        <v>5286</v>
      </c>
      <c r="V3" s="477"/>
      <c r="W3" s="477"/>
      <c r="X3" s="477"/>
      <c r="Y3" s="477"/>
      <c r="Z3" s="477"/>
      <c r="AA3" s="612"/>
      <c r="AB3" s="477"/>
      <c r="AC3" s="477"/>
      <c r="AD3" s="477"/>
      <c r="AE3" s="477"/>
      <c r="AF3" s="477"/>
      <c r="AG3" s="477"/>
      <c r="AH3" s="477"/>
      <c r="AI3" s="477"/>
      <c r="AJ3" s="477"/>
      <c r="AK3" s="477"/>
      <c r="AL3" s="477"/>
      <c r="AM3" s="477"/>
      <c r="AN3" s="477"/>
      <c r="AO3" s="477"/>
      <c r="AP3" s="477"/>
      <c r="AQ3" s="477"/>
      <c r="AR3" s="477"/>
      <c r="AS3" s="477"/>
      <c r="AT3" s="477"/>
      <c r="AU3" s="477"/>
      <c r="AV3" s="477"/>
      <c r="AW3" s="477"/>
      <c r="AX3" s="477"/>
      <c r="AY3" s="477"/>
      <c r="AZ3" s="477"/>
      <c r="BA3" s="477"/>
      <c r="BB3" s="477"/>
      <c r="BC3" s="477"/>
      <c r="BD3" s="477"/>
      <c r="BE3" s="477"/>
      <c r="BF3" s="477"/>
      <c r="BG3" s="477"/>
      <c r="BH3" s="477"/>
      <c r="BI3" s="477"/>
      <c r="BJ3" s="477"/>
      <c r="BK3" s="477"/>
      <c r="BL3" s="477"/>
      <c r="BM3" s="477"/>
      <c r="BN3" s="477"/>
      <c r="BO3" s="477"/>
      <c r="BP3" s="477"/>
      <c r="BQ3" s="477"/>
      <c r="BR3" s="477"/>
      <c r="BS3" s="477"/>
      <c r="BT3" s="477"/>
      <c r="BU3" s="477"/>
      <c r="BV3" s="477"/>
      <c r="BW3" s="477"/>
      <c r="BX3" s="477"/>
      <c r="BY3" s="477"/>
      <c r="BZ3" s="477"/>
      <c r="CA3" s="477"/>
      <c r="CB3" s="477"/>
      <c r="CC3" s="477"/>
      <c r="CD3" s="477"/>
      <c r="CE3" s="477"/>
      <c r="CF3" s="477"/>
      <c r="CG3" s="477"/>
      <c r="CH3" s="477"/>
      <c r="CI3" s="477"/>
      <c r="CJ3" s="477"/>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c r="DQ3" s="626"/>
      <c r="DR3" s="626"/>
      <c r="DS3" s="626"/>
      <c r="DT3" s="626"/>
      <c r="DU3" s="626"/>
      <c r="DV3" s="626"/>
      <c r="DW3" s="626"/>
      <c r="DX3" s="626"/>
      <c r="DY3" s="626"/>
      <c r="DZ3" s="626"/>
      <c r="EA3" s="626"/>
      <c r="EB3" s="626"/>
      <c r="EC3" s="626"/>
      <c r="ED3" s="626"/>
      <c r="EE3" s="626"/>
      <c r="EF3" s="626"/>
      <c r="EG3" s="626"/>
      <c r="EH3" s="626"/>
      <c r="EI3" s="626"/>
      <c r="EJ3" s="626"/>
      <c r="EK3" s="899"/>
      <c r="EL3" s="626"/>
      <c r="EM3" s="626"/>
      <c r="EN3" s="612"/>
      <c r="EO3" s="664"/>
      <c r="EP3" s="664"/>
      <c r="EQ3" s="664"/>
      <c r="ER3" s="501"/>
      <c r="ES3" s="665"/>
      <c r="ET3" s="666" t="s">
        <v>5059</v>
      </c>
      <c r="EU3" s="617" t="s">
        <v>5060</v>
      </c>
      <c r="EV3" s="617" t="s">
        <v>5063</v>
      </c>
    </row>
    <row r="4" spans="1:153" ht="89.25" outlineLevel="1" x14ac:dyDescent="0.2">
      <c r="A4" s="779">
        <v>3</v>
      </c>
      <c r="B4" s="663"/>
      <c r="C4" s="477" t="s">
        <v>584</v>
      </c>
      <c r="D4" s="113"/>
      <c r="E4" s="477"/>
      <c r="F4" s="477" t="s">
        <v>498</v>
      </c>
      <c r="G4" s="288" t="s">
        <v>499</v>
      </c>
      <c r="H4" s="6" t="s">
        <v>500</v>
      </c>
      <c r="I4" s="72" t="s">
        <v>3233</v>
      </c>
      <c r="J4" s="113" t="s">
        <v>758</v>
      </c>
      <c r="K4" s="6" t="s">
        <v>2155</v>
      </c>
      <c r="L4" s="477" t="s">
        <v>11</v>
      </c>
      <c r="M4" s="122" t="s">
        <v>3464</v>
      </c>
      <c r="N4" s="122" t="s">
        <v>2992</v>
      </c>
      <c r="O4" s="643">
        <v>40687</v>
      </c>
      <c r="P4" s="615" t="s">
        <v>5292</v>
      </c>
      <c r="Q4" s="615"/>
      <c r="R4" s="477" t="s">
        <v>3398</v>
      </c>
      <c r="S4" s="612"/>
      <c r="T4" s="477"/>
      <c r="U4" s="272" t="s">
        <v>5296</v>
      </c>
      <c r="V4" s="477"/>
      <c r="W4" s="477"/>
      <c r="X4" s="477"/>
      <c r="Y4" s="477"/>
      <c r="Z4" s="477"/>
      <c r="AA4" s="612"/>
      <c r="AB4" s="477"/>
      <c r="AC4" s="477"/>
      <c r="AD4" s="477"/>
      <c r="AE4" s="477"/>
      <c r="AF4" s="477"/>
      <c r="AG4" s="477"/>
      <c r="AH4" s="477"/>
      <c r="AI4" s="477"/>
      <c r="AJ4" s="477"/>
      <c r="AK4" s="477"/>
      <c r="AL4" s="477"/>
      <c r="AM4" s="477"/>
      <c r="AN4" s="477"/>
      <c r="AO4" s="477"/>
      <c r="AP4" s="477"/>
      <c r="AQ4" s="477"/>
      <c r="AR4" s="477"/>
      <c r="AS4" s="477"/>
      <c r="AT4" s="477"/>
      <c r="AU4" s="477"/>
      <c r="AV4" s="477"/>
      <c r="AW4" s="477"/>
      <c r="AX4" s="477"/>
      <c r="AY4" s="477"/>
      <c r="AZ4" s="477"/>
      <c r="BA4" s="477"/>
      <c r="BB4" s="477"/>
      <c r="BC4" s="477"/>
      <c r="BD4" s="477"/>
      <c r="BE4" s="477"/>
      <c r="BF4" s="477"/>
      <c r="BG4" s="477"/>
      <c r="BH4" s="477"/>
      <c r="BI4" s="477"/>
      <c r="BJ4" s="477"/>
      <c r="BK4" s="477"/>
      <c r="BL4" s="477"/>
      <c r="BM4" s="477"/>
      <c r="BN4" s="477"/>
      <c r="BO4" s="477"/>
      <c r="BP4" s="477"/>
      <c r="BQ4" s="477"/>
      <c r="BR4" s="477"/>
      <c r="BS4" s="477"/>
      <c r="BT4" s="477"/>
      <c r="BU4" s="477"/>
      <c r="BV4" s="477"/>
      <c r="BW4" s="477"/>
      <c r="BX4" s="477"/>
      <c r="BY4" s="477"/>
      <c r="BZ4" s="477"/>
      <c r="CA4" s="477"/>
      <c r="CB4" s="477"/>
      <c r="CC4" s="477"/>
      <c r="CD4" s="477"/>
      <c r="CE4" s="477"/>
      <c r="CF4" s="477"/>
      <c r="CG4" s="477"/>
      <c r="CH4" s="477"/>
      <c r="CI4" s="477"/>
      <c r="CJ4" s="477"/>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c r="DQ4" s="626"/>
      <c r="DR4" s="626"/>
      <c r="DS4" s="626"/>
      <c r="DT4" s="626"/>
      <c r="DU4" s="626"/>
      <c r="DV4" s="626"/>
      <c r="DW4" s="626"/>
      <c r="DX4" s="626"/>
      <c r="DY4" s="626"/>
      <c r="DZ4" s="626"/>
      <c r="EA4" s="626"/>
      <c r="EB4" s="626"/>
      <c r="EC4" s="626"/>
      <c r="ED4" s="626"/>
      <c r="EE4" s="626"/>
      <c r="EF4" s="626"/>
      <c r="EG4" s="626"/>
      <c r="EH4" s="626"/>
      <c r="EI4" s="626"/>
      <c r="EJ4" s="626"/>
      <c r="EK4" s="899"/>
      <c r="EL4" s="626"/>
      <c r="EM4" s="626"/>
      <c r="EN4" s="612"/>
      <c r="EO4" s="664"/>
      <c r="EP4" s="664"/>
      <c r="EQ4" s="664"/>
      <c r="ER4" s="501"/>
      <c r="ES4" s="665"/>
      <c r="ET4" s="666" t="s">
        <v>5059</v>
      </c>
      <c r="EU4" s="617" t="s">
        <v>5060</v>
      </c>
      <c r="EV4" s="617" t="s">
        <v>5061</v>
      </c>
    </row>
    <row r="5" spans="1:153" ht="63.75" outlineLevel="1" x14ac:dyDescent="0.2">
      <c r="A5" s="779">
        <v>4</v>
      </c>
      <c r="B5" s="663"/>
      <c r="C5" s="477" t="s">
        <v>1137</v>
      </c>
      <c r="D5" s="113"/>
      <c r="E5" s="477"/>
      <c r="F5" s="477" t="s">
        <v>394</v>
      </c>
      <c r="G5" s="288" t="s">
        <v>385</v>
      </c>
      <c r="H5" s="6" t="s">
        <v>385</v>
      </c>
      <c r="I5" s="72" t="s">
        <v>384</v>
      </c>
      <c r="J5" s="113" t="s">
        <v>758</v>
      </c>
      <c r="K5" s="6" t="s">
        <v>25</v>
      </c>
      <c r="L5" s="477" t="s">
        <v>16</v>
      </c>
      <c r="M5" s="122" t="s">
        <v>1286</v>
      </c>
      <c r="N5" s="122" t="s">
        <v>2992</v>
      </c>
      <c r="O5" s="643">
        <v>41074</v>
      </c>
      <c r="P5" s="615" t="s">
        <v>5291</v>
      </c>
      <c r="Q5" s="615"/>
      <c r="R5" s="477" t="s">
        <v>3398</v>
      </c>
      <c r="S5" s="612"/>
      <c r="T5" s="477"/>
      <c r="U5" s="272" t="s">
        <v>5295</v>
      </c>
      <c r="V5" s="477"/>
      <c r="W5" s="477"/>
      <c r="X5" s="477"/>
      <c r="Y5" s="477"/>
      <c r="Z5" s="477"/>
      <c r="AA5" s="612"/>
      <c r="AB5" s="477"/>
      <c r="AC5" s="477"/>
      <c r="AD5" s="477"/>
      <c r="AE5" s="477"/>
      <c r="AF5" s="477"/>
      <c r="AG5" s="477"/>
      <c r="AH5" s="477"/>
      <c r="AI5" s="477"/>
      <c r="AJ5" s="477"/>
      <c r="AK5" s="477"/>
      <c r="AL5" s="477"/>
      <c r="AM5" s="477"/>
      <c r="AN5" s="477"/>
      <c r="AO5" s="477"/>
      <c r="AP5" s="477"/>
      <c r="AQ5" s="477"/>
      <c r="AR5" s="477"/>
      <c r="AS5" s="477"/>
      <c r="AT5" s="477"/>
      <c r="AU5" s="477"/>
      <c r="AV5" s="477"/>
      <c r="AW5" s="477"/>
      <c r="AX5" s="477"/>
      <c r="AY5" s="477"/>
      <c r="AZ5" s="477"/>
      <c r="BA5" s="477"/>
      <c r="BB5" s="477"/>
      <c r="BC5" s="477"/>
      <c r="BD5" s="477"/>
      <c r="BE5" s="477"/>
      <c r="BF5" s="477"/>
      <c r="BG5" s="477"/>
      <c r="BH5" s="477"/>
      <c r="BI5" s="477"/>
      <c r="BJ5" s="477"/>
      <c r="BK5" s="477"/>
      <c r="BL5" s="477"/>
      <c r="BM5" s="477"/>
      <c r="BN5" s="477"/>
      <c r="BO5" s="477"/>
      <c r="BP5" s="477"/>
      <c r="BQ5" s="477"/>
      <c r="BR5" s="477"/>
      <c r="BS5" s="477"/>
      <c r="BT5" s="477"/>
      <c r="BU5" s="477"/>
      <c r="BV5" s="477"/>
      <c r="BW5" s="477"/>
      <c r="BX5" s="477"/>
      <c r="BY5" s="477"/>
      <c r="BZ5" s="477"/>
      <c r="CA5" s="477"/>
      <c r="CB5" s="477"/>
      <c r="CC5" s="477"/>
      <c r="CD5" s="477"/>
      <c r="CE5" s="477"/>
      <c r="CF5" s="477"/>
      <c r="CG5" s="477"/>
      <c r="CH5" s="477"/>
      <c r="CI5" s="477"/>
      <c r="CJ5" s="477"/>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c r="DQ5" s="626"/>
      <c r="DR5" s="626"/>
      <c r="DS5" s="626"/>
      <c r="DT5" s="626"/>
      <c r="DU5" s="626"/>
      <c r="DV5" s="626"/>
      <c r="DW5" s="626"/>
      <c r="DX5" s="626"/>
      <c r="DY5" s="626"/>
      <c r="DZ5" s="626"/>
      <c r="EA5" s="626"/>
      <c r="EB5" s="626"/>
      <c r="EC5" s="626"/>
      <c r="ED5" s="626"/>
      <c r="EE5" s="626"/>
      <c r="EF5" s="626"/>
      <c r="EG5" s="626"/>
      <c r="EH5" s="626"/>
      <c r="EI5" s="626"/>
      <c r="EJ5" s="626"/>
      <c r="EK5" s="899"/>
      <c r="EL5" s="626"/>
      <c r="EM5" s="626"/>
      <c r="EN5" s="612"/>
      <c r="EO5" s="664"/>
      <c r="EP5" s="664"/>
      <c r="EQ5" s="664"/>
      <c r="ER5" s="501"/>
      <c r="ES5" s="665"/>
      <c r="ET5" s="666" t="s">
        <v>5059</v>
      </c>
      <c r="EU5" s="617" t="s">
        <v>5060</v>
      </c>
      <c r="EV5" s="617" t="s">
        <v>5064</v>
      </c>
    </row>
    <row r="6" spans="1:153" ht="386.25" customHeight="1" outlineLevel="1" x14ac:dyDescent="0.2">
      <c r="A6" s="779">
        <v>5</v>
      </c>
      <c r="B6" s="663"/>
      <c r="C6" s="477" t="s">
        <v>584</v>
      </c>
      <c r="D6" s="113"/>
      <c r="E6" s="477"/>
      <c r="F6" s="477" t="s">
        <v>1194</v>
      </c>
      <c r="G6" s="288" t="s">
        <v>1191</v>
      </c>
      <c r="H6" s="6" t="s">
        <v>1192</v>
      </c>
      <c r="I6" s="72" t="s">
        <v>758</v>
      </c>
      <c r="J6" s="113" t="s">
        <v>758</v>
      </c>
      <c r="K6" s="6" t="s">
        <v>1195</v>
      </c>
      <c r="L6" s="477" t="s">
        <v>3055</v>
      </c>
      <c r="M6" s="122" t="s">
        <v>641</v>
      </c>
      <c r="N6" s="122" t="s">
        <v>2992</v>
      </c>
      <c r="O6" s="643">
        <v>41523</v>
      </c>
      <c r="P6" s="615" t="s">
        <v>5289</v>
      </c>
      <c r="Q6" s="615"/>
      <c r="R6" s="477" t="s">
        <v>3398</v>
      </c>
      <c r="S6" s="612"/>
      <c r="T6" s="477"/>
      <c r="U6" s="272" t="s">
        <v>5290</v>
      </c>
      <c r="V6" s="477"/>
      <c r="W6" s="477"/>
      <c r="X6" s="477"/>
      <c r="Y6" s="477"/>
      <c r="Z6" s="477"/>
      <c r="AA6" s="612"/>
      <c r="AB6" s="477"/>
      <c r="AC6" s="477"/>
      <c r="AD6" s="477"/>
      <c r="AE6" s="477"/>
      <c r="AF6" s="477"/>
      <c r="AG6" s="477"/>
      <c r="AH6" s="477"/>
      <c r="AI6" s="477"/>
      <c r="AJ6" s="477"/>
      <c r="AK6" s="477"/>
      <c r="AL6" s="477"/>
      <c r="AM6" s="477"/>
      <c r="AN6" s="477"/>
      <c r="AO6" s="477"/>
      <c r="AP6" s="477"/>
      <c r="AQ6" s="477"/>
      <c r="AR6" s="477"/>
      <c r="AS6" s="477"/>
      <c r="AT6" s="477"/>
      <c r="AU6" s="477"/>
      <c r="AV6" s="477"/>
      <c r="AW6" s="477"/>
      <c r="AX6" s="477"/>
      <c r="AY6" s="477"/>
      <c r="AZ6" s="477"/>
      <c r="BA6" s="477"/>
      <c r="BB6" s="477"/>
      <c r="BC6" s="477"/>
      <c r="BD6" s="477"/>
      <c r="BE6" s="477"/>
      <c r="BF6" s="477"/>
      <c r="BG6" s="477"/>
      <c r="BH6" s="477"/>
      <c r="BI6" s="477"/>
      <c r="BJ6" s="477"/>
      <c r="BK6" s="477"/>
      <c r="BL6" s="477"/>
      <c r="BM6" s="477"/>
      <c r="BN6" s="477"/>
      <c r="BO6" s="477"/>
      <c r="BP6" s="477"/>
      <c r="BQ6" s="477"/>
      <c r="BR6" s="477"/>
      <c r="BS6" s="477"/>
      <c r="BT6" s="477"/>
      <c r="BU6" s="477"/>
      <c r="BV6" s="477"/>
      <c r="BW6" s="477"/>
      <c r="BX6" s="477"/>
      <c r="BY6" s="477"/>
      <c r="BZ6" s="477"/>
      <c r="CA6" s="477"/>
      <c r="CB6" s="477"/>
      <c r="CC6" s="477"/>
      <c r="CD6" s="477"/>
      <c r="CE6" s="477"/>
      <c r="CF6" s="477"/>
      <c r="CG6" s="477"/>
      <c r="CH6" s="477"/>
      <c r="CI6" s="477"/>
      <c r="CJ6" s="477"/>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c r="DQ6" s="626"/>
      <c r="DR6" s="626"/>
      <c r="DS6" s="626"/>
      <c r="DT6" s="626"/>
      <c r="DU6" s="626"/>
      <c r="DV6" s="626"/>
      <c r="DW6" s="626"/>
      <c r="DX6" s="626"/>
      <c r="DY6" s="626"/>
      <c r="DZ6" s="626"/>
      <c r="EA6" s="626"/>
      <c r="EB6" s="626"/>
      <c r="EC6" s="626"/>
      <c r="ED6" s="626"/>
      <c r="EE6" s="626"/>
      <c r="EF6" s="626"/>
      <c r="EG6" s="626"/>
      <c r="EH6" s="626"/>
      <c r="EI6" s="626"/>
      <c r="EJ6" s="626"/>
      <c r="EK6" s="899"/>
      <c r="EL6" s="626"/>
      <c r="EM6" s="626"/>
      <c r="EN6" s="612"/>
      <c r="EO6" s="664"/>
      <c r="EP6" s="664"/>
      <c r="EQ6" s="664"/>
      <c r="ER6" s="501"/>
      <c r="ES6" s="665"/>
      <c r="ET6" s="666" t="s">
        <v>5059</v>
      </c>
      <c r="EU6" s="617" t="s">
        <v>5060</v>
      </c>
      <c r="EV6" s="617" t="s">
        <v>5063</v>
      </c>
      <c r="EW6" s="111"/>
    </row>
    <row r="7" spans="1:153" s="556" customFormat="1" ht="255" x14ac:dyDescent="0.2">
      <c r="A7" s="779">
        <v>6</v>
      </c>
      <c r="B7" s="663" t="s">
        <v>5593</v>
      </c>
      <c r="C7" s="477" t="s">
        <v>1137</v>
      </c>
      <c r="D7" s="113" t="s">
        <v>3798</v>
      </c>
      <c r="E7" s="477" t="s">
        <v>5630</v>
      </c>
      <c r="F7" s="477" t="s">
        <v>3996</v>
      </c>
      <c r="G7" s="288" t="s">
        <v>4653</v>
      </c>
      <c r="H7" s="6" t="s">
        <v>3936</v>
      </c>
      <c r="I7" s="72" t="s">
        <v>1806</v>
      </c>
      <c r="J7" s="113" t="s">
        <v>3937</v>
      </c>
      <c r="K7" s="6" t="s">
        <v>3938</v>
      </c>
      <c r="L7" s="477" t="s">
        <v>16</v>
      </c>
      <c r="M7" s="122" t="s">
        <v>12</v>
      </c>
      <c r="N7" s="122" t="s">
        <v>3090</v>
      </c>
      <c r="O7" s="643">
        <v>43619</v>
      </c>
      <c r="P7" s="615" t="s">
        <v>6106</v>
      </c>
      <c r="Q7" s="615" t="s">
        <v>6105</v>
      </c>
      <c r="R7" s="477" t="s">
        <v>4251</v>
      </c>
      <c r="S7" s="612"/>
      <c r="T7" s="477" t="s">
        <v>1418</v>
      </c>
      <c r="U7" s="778" t="s">
        <v>5697</v>
      </c>
      <c r="V7" s="113" t="s">
        <v>5703</v>
      </c>
      <c r="W7" s="477" t="s">
        <v>3934</v>
      </c>
      <c r="X7" s="113" t="s">
        <v>3939</v>
      </c>
      <c r="Y7" s="477" t="s">
        <v>3084</v>
      </c>
      <c r="Z7" s="477" t="s">
        <v>3084</v>
      </c>
      <c r="AA7" s="612" t="s">
        <v>5583</v>
      </c>
      <c r="AB7" s="477" t="s">
        <v>4000</v>
      </c>
      <c r="AC7" s="617">
        <v>44428</v>
      </c>
      <c r="AD7" s="142" t="s">
        <v>6492</v>
      </c>
      <c r="AE7" s="122"/>
      <c r="AF7" s="477" t="s">
        <v>4000</v>
      </c>
      <c r="AG7" s="477" t="s">
        <v>4019</v>
      </c>
      <c r="AH7" s="477" t="s">
        <v>4050</v>
      </c>
      <c r="AI7" s="477" t="s">
        <v>4090</v>
      </c>
      <c r="AJ7" s="477" t="s">
        <v>4096</v>
      </c>
      <c r="AK7" s="477" t="s">
        <v>4124</v>
      </c>
      <c r="AL7" s="477" t="s">
        <v>4146</v>
      </c>
      <c r="AM7" s="477" t="s">
        <v>4146</v>
      </c>
      <c r="AN7" s="477" t="s">
        <v>4184</v>
      </c>
      <c r="AO7" s="477" t="s">
        <v>4184</v>
      </c>
      <c r="AP7" s="477" t="s">
        <v>4184</v>
      </c>
      <c r="AQ7" s="477" t="s">
        <v>4184</v>
      </c>
      <c r="AR7" s="477" t="s">
        <v>4184</v>
      </c>
      <c r="AS7" s="477" t="s">
        <v>4184</v>
      </c>
      <c r="AT7" s="477" t="s">
        <v>4184</v>
      </c>
      <c r="AU7" s="477" t="s">
        <v>4366</v>
      </c>
      <c r="AV7" s="477" t="s">
        <v>4366</v>
      </c>
      <c r="AW7" s="477" t="s">
        <v>4366</v>
      </c>
      <c r="AX7" s="477" t="s">
        <v>4366</v>
      </c>
      <c r="AY7" s="477" t="s">
        <v>4366</v>
      </c>
      <c r="AZ7" s="477" t="s">
        <v>4366</v>
      </c>
      <c r="BA7" s="477" t="s">
        <v>4366</v>
      </c>
      <c r="BB7" s="477" t="s">
        <v>4366</v>
      </c>
      <c r="BC7" s="477" t="s">
        <v>4520</v>
      </c>
      <c r="BD7" s="477" t="s">
        <v>4521</v>
      </c>
      <c r="BE7" s="477" t="s">
        <v>4521</v>
      </c>
      <c r="BF7" s="477" t="s">
        <v>4521</v>
      </c>
      <c r="BG7" s="477" t="s">
        <v>4592</v>
      </c>
      <c r="BH7" s="477" t="s">
        <v>4654</v>
      </c>
      <c r="BI7" s="477" t="s">
        <v>4655</v>
      </c>
      <c r="BJ7" s="477" t="s">
        <v>4655</v>
      </c>
      <c r="BK7" s="477" t="s">
        <v>4655</v>
      </c>
      <c r="BL7" s="477" t="s">
        <v>4655</v>
      </c>
      <c r="BM7" s="477" t="s">
        <v>4832</v>
      </c>
      <c r="BN7" s="477" t="s">
        <v>4832</v>
      </c>
      <c r="BO7" s="477" t="s">
        <v>4832</v>
      </c>
      <c r="BP7" s="477" t="s">
        <v>4832</v>
      </c>
      <c r="BQ7" s="477" t="s">
        <v>4832</v>
      </c>
      <c r="BR7" s="477" t="s">
        <v>4832</v>
      </c>
      <c r="BS7" s="477" t="s">
        <v>4832</v>
      </c>
      <c r="BT7" s="477" t="s">
        <v>4832</v>
      </c>
      <c r="BU7" s="477" t="s">
        <v>4832</v>
      </c>
      <c r="BV7" s="477" t="s">
        <v>4832</v>
      </c>
      <c r="BW7" s="477" t="s">
        <v>4832</v>
      </c>
      <c r="BX7" s="477" t="s">
        <v>4832</v>
      </c>
      <c r="BY7" s="477" t="s">
        <v>4832</v>
      </c>
      <c r="BZ7" s="477" t="s">
        <v>4832</v>
      </c>
      <c r="CA7" s="477" t="s">
        <v>4832</v>
      </c>
      <c r="CB7" s="477" t="s">
        <v>4832</v>
      </c>
      <c r="CC7" s="477" t="s">
        <v>4832</v>
      </c>
      <c r="CD7" s="477" t="s">
        <v>4832</v>
      </c>
      <c r="CE7" s="477" t="s">
        <v>4832</v>
      </c>
      <c r="CF7" s="477" t="s">
        <v>4832</v>
      </c>
      <c r="CG7" s="477" t="s">
        <v>4832</v>
      </c>
      <c r="CH7" s="477" t="s">
        <v>4832</v>
      </c>
      <c r="CI7" s="477" t="s">
        <v>4832</v>
      </c>
      <c r="CJ7" s="477" t="s">
        <v>4832</v>
      </c>
      <c r="CK7" s="626" t="s">
        <v>5122</v>
      </c>
      <c r="CL7" s="626" t="s">
        <v>5122</v>
      </c>
      <c r="CM7" s="626" t="s">
        <v>5122</v>
      </c>
      <c r="CN7" s="626" t="s">
        <v>5171</v>
      </c>
      <c r="CO7" s="626" t="s">
        <v>5171</v>
      </c>
      <c r="CP7" s="626" t="s">
        <v>5171</v>
      </c>
      <c r="CQ7" s="626" t="s">
        <v>5171</v>
      </c>
      <c r="CR7" s="626" t="s">
        <v>5171</v>
      </c>
      <c r="CS7" s="626" t="s">
        <v>5171</v>
      </c>
      <c r="CT7" s="626" t="s">
        <v>5171</v>
      </c>
      <c r="CU7" s="626" t="s">
        <v>5171</v>
      </c>
      <c r="CV7" s="626" t="s">
        <v>5240</v>
      </c>
      <c r="CW7" s="626" t="s">
        <v>5240</v>
      </c>
      <c r="CX7" s="626" t="s">
        <v>5240</v>
      </c>
      <c r="CY7" s="626" t="s">
        <v>5240</v>
      </c>
      <c r="CZ7" s="626" t="s">
        <v>5244</v>
      </c>
      <c r="DA7" s="626" t="s">
        <v>5244</v>
      </c>
      <c r="DB7" s="626" t="s">
        <v>5244</v>
      </c>
      <c r="DC7" s="626" t="s">
        <v>5244</v>
      </c>
      <c r="DD7" s="626" t="s">
        <v>5244</v>
      </c>
      <c r="DE7" s="626" t="s">
        <v>5244</v>
      </c>
      <c r="DF7" s="626" t="s">
        <v>5244</v>
      </c>
      <c r="DG7" s="626" t="s">
        <v>5244</v>
      </c>
      <c r="DH7" s="626" t="s">
        <v>5244</v>
      </c>
      <c r="DI7" s="626" t="s">
        <v>5244</v>
      </c>
      <c r="DJ7" s="626" t="s">
        <v>5244</v>
      </c>
      <c r="DK7" s="626" t="s">
        <v>5244</v>
      </c>
      <c r="DL7" s="626" t="s">
        <v>5244</v>
      </c>
      <c r="DM7" s="626" t="s">
        <v>5244</v>
      </c>
      <c r="DN7" s="626" t="s">
        <v>5554</v>
      </c>
      <c r="DO7" s="626" t="s">
        <v>5554</v>
      </c>
      <c r="DP7" s="626" t="s">
        <v>5554</v>
      </c>
      <c r="DQ7" s="626" t="s">
        <v>5554</v>
      </c>
      <c r="DR7" s="122" t="s">
        <v>5554</v>
      </c>
      <c r="DS7" s="122" t="s">
        <v>5554</v>
      </c>
      <c r="DT7" s="122" t="s">
        <v>5554</v>
      </c>
      <c r="DU7" s="122" t="s">
        <v>5554</v>
      </c>
      <c r="DV7" s="122" t="s">
        <v>5554</v>
      </c>
      <c r="DW7" s="122" t="s">
        <v>5554</v>
      </c>
      <c r="DX7" s="122" t="s">
        <v>5554</v>
      </c>
      <c r="DY7" s="122" t="s">
        <v>5554</v>
      </c>
      <c r="DZ7" s="122" t="s">
        <v>5554</v>
      </c>
      <c r="EA7" s="122" t="s">
        <v>5554</v>
      </c>
      <c r="EB7" s="122" t="s">
        <v>5554</v>
      </c>
      <c r="EC7" s="122" t="s">
        <v>5554</v>
      </c>
      <c r="ED7" s="122" t="s">
        <v>5928</v>
      </c>
      <c r="EE7" s="122" t="s">
        <v>5928</v>
      </c>
      <c r="EF7" s="122" t="s">
        <v>5928</v>
      </c>
      <c r="EG7" s="122" t="s">
        <v>5928</v>
      </c>
      <c r="EH7" s="122" t="s">
        <v>5928</v>
      </c>
      <c r="EI7" s="122" t="s">
        <v>5928</v>
      </c>
      <c r="EJ7" s="116" t="s">
        <v>6182</v>
      </c>
      <c r="EK7" s="901" t="s">
        <v>6291</v>
      </c>
      <c r="EL7" s="142" t="s">
        <v>6387</v>
      </c>
      <c r="EM7" s="142" t="s">
        <v>6492</v>
      </c>
      <c r="EN7" s="612" t="s">
        <v>112</v>
      </c>
      <c r="EO7" s="115" t="s">
        <v>112</v>
      </c>
      <c r="EP7" s="664" t="str">
        <f>IF(EN7="NA","NA",Tabela4[[#This Row],[Data de protocolo para cálculo médio]]+(VLOOKUP(Tabela4[[#This Row],[Previsão com fórmula i-Helps tipo de fila]],Formulas!$H$1:$J$13,2,FALSE)*30))</f>
        <v>NA</v>
      </c>
      <c r="EQ7" s="664" t="str">
        <f>IF(EN7="NA","NA",Tabela4[[#This Row],[Data de protocolo para cálculo médio]]+(VLOOKUP(Tabela4[[#This Row],[Previsão com fórmula i-Helps tipo de fila]],Formulas!$H$1:$J$13,3,FALSE)*30))</f>
        <v>NA</v>
      </c>
      <c r="ER7" s="501">
        <v>44166</v>
      </c>
      <c r="ES7" s="122" t="s">
        <v>5701</v>
      </c>
      <c r="ET7" s="666" t="s">
        <v>5059</v>
      </c>
      <c r="EU7" s="617" t="s">
        <v>5060</v>
      </c>
      <c r="EV7" s="617" t="s">
        <v>5061</v>
      </c>
    </row>
    <row r="8" spans="1:153" s="556" customFormat="1" ht="389.25" customHeight="1" x14ac:dyDescent="0.2">
      <c r="A8" s="779">
        <v>7</v>
      </c>
      <c r="B8" s="663" t="s">
        <v>5594</v>
      </c>
      <c r="C8" s="477" t="s">
        <v>1137</v>
      </c>
      <c r="D8" s="113" t="s">
        <v>3798</v>
      </c>
      <c r="E8" s="477" t="s">
        <v>5630</v>
      </c>
      <c r="F8" s="113" t="s">
        <v>4009</v>
      </c>
      <c r="G8" s="288" t="s">
        <v>4657</v>
      </c>
      <c r="H8" s="6" t="s">
        <v>3952</v>
      </c>
      <c r="I8" s="72" t="s">
        <v>1806</v>
      </c>
      <c r="J8" s="113" t="s">
        <v>3954</v>
      </c>
      <c r="K8" s="6" t="s">
        <v>3956</v>
      </c>
      <c r="L8" s="477" t="s">
        <v>16</v>
      </c>
      <c r="M8" s="122" t="s">
        <v>66</v>
      </c>
      <c r="N8" s="122" t="s">
        <v>3090</v>
      </c>
      <c r="O8" s="643">
        <v>43622</v>
      </c>
      <c r="P8" s="615" t="s">
        <v>6107</v>
      </c>
      <c r="Q8" s="615" t="s">
        <v>5065</v>
      </c>
      <c r="R8" s="477" t="s">
        <v>4251</v>
      </c>
      <c r="S8" s="612"/>
      <c r="T8" s="477" t="s">
        <v>1418</v>
      </c>
      <c r="U8" s="778" t="s">
        <v>5722</v>
      </c>
      <c r="V8" s="122" t="s">
        <v>5702</v>
      </c>
      <c r="W8" s="477" t="s">
        <v>3934</v>
      </c>
      <c r="X8" s="113" t="s">
        <v>3957</v>
      </c>
      <c r="Y8" s="477" t="s">
        <v>3084</v>
      </c>
      <c r="Z8" s="477" t="s">
        <v>3084</v>
      </c>
      <c r="AA8" s="612" t="s">
        <v>5584</v>
      </c>
      <c r="AB8" s="477" t="s">
        <v>4017</v>
      </c>
      <c r="AC8" s="617">
        <v>44428</v>
      </c>
      <c r="AD8" s="142" t="s">
        <v>6493</v>
      </c>
      <c r="AE8" s="122"/>
      <c r="AF8" s="477"/>
      <c r="AG8" s="477" t="s">
        <v>4017</v>
      </c>
      <c r="AH8" s="477" t="s">
        <v>4049</v>
      </c>
      <c r="AI8" s="477" t="s">
        <v>4049</v>
      </c>
      <c r="AJ8" s="477" t="s">
        <v>4049</v>
      </c>
      <c r="AK8" s="477" t="s">
        <v>4049</v>
      </c>
      <c r="AL8" s="477" t="s">
        <v>4049</v>
      </c>
      <c r="AM8" s="477" t="s">
        <v>4049</v>
      </c>
      <c r="AN8" s="477" t="s">
        <v>4049</v>
      </c>
      <c r="AO8" s="477" t="s">
        <v>4049</v>
      </c>
      <c r="AP8" s="477" t="s">
        <v>4049</v>
      </c>
      <c r="AQ8" s="477" t="s">
        <v>4049</v>
      </c>
      <c r="AR8" s="477" t="s">
        <v>4049</v>
      </c>
      <c r="AS8" s="477" t="s">
        <v>4049</v>
      </c>
      <c r="AT8" s="477" t="s">
        <v>4049</v>
      </c>
      <c r="AU8" s="477" t="s">
        <v>4049</v>
      </c>
      <c r="AV8" s="477" t="s">
        <v>4049</v>
      </c>
      <c r="AW8" s="477" t="s">
        <v>4049</v>
      </c>
      <c r="AX8" s="477" t="s">
        <v>4049</v>
      </c>
      <c r="AY8" s="477" t="s">
        <v>4049</v>
      </c>
      <c r="AZ8" s="477" t="s">
        <v>4049</v>
      </c>
      <c r="BA8" s="477" t="s">
        <v>4049</v>
      </c>
      <c r="BB8" s="477" t="s">
        <v>4049</v>
      </c>
      <c r="BC8" s="477" t="s">
        <v>4049</v>
      </c>
      <c r="BD8" s="477" t="s">
        <v>4049</v>
      </c>
      <c r="BE8" s="477" t="s">
        <v>4049</v>
      </c>
      <c r="BF8" s="477" t="s">
        <v>4049</v>
      </c>
      <c r="BG8" s="477" t="s">
        <v>4049</v>
      </c>
      <c r="BH8" s="477" t="s">
        <v>4049</v>
      </c>
      <c r="BI8" s="477" t="s">
        <v>4658</v>
      </c>
      <c r="BJ8" s="477" t="s">
        <v>4700</v>
      </c>
      <c r="BK8" s="477" t="s">
        <v>4721</v>
      </c>
      <c r="BL8" s="477" t="s">
        <v>4721</v>
      </c>
      <c r="BM8" s="477" t="s">
        <v>4833</v>
      </c>
      <c r="BN8" s="477" t="s">
        <v>4833</v>
      </c>
      <c r="BO8" s="477" t="s">
        <v>4833</v>
      </c>
      <c r="BP8" s="477" t="s">
        <v>4833</v>
      </c>
      <c r="BQ8" s="477" t="s">
        <v>4833</v>
      </c>
      <c r="BR8" s="477" t="s">
        <v>4833</v>
      </c>
      <c r="BS8" s="477" t="s">
        <v>4833</v>
      </c>
      <c r="BT8" s="477" t="s">
        <v>4833</v>
      </c>
      <c r="BU8" s="477" t="s">
        <v>4913</v>
      </c>
      <c r="BV8" s="477" t="s">
        <v>4953</v>
      </c>
      <c r="BW8" s="477" t="s">
        <v>4953</v>
      </c>
      <c r="BX8" s="477" t="s">
        <v>4953</v>
      </c>
      <c r="BY8" s="477" t="s">
        <v>4953</v>
      </c>
      <c r="BZ8" s="477" t="s">
        <v>4953</v>
      </c>
      <c r="CA8" s="477" t="s">
        <v>4953</v>
      </c>
      <c r="CB8" s="477" t="s">
        <v>4953</v>
      </c>
      <c r="CC8" s="477" t="s">
        <v>4953</v>
      </c>
      <c r="CD8" s="477" t="s">
        <v>4953</v>
      </c>
      <c r="CE8" s="477" t="s">
        <v>4953</v>
      </c>
      <c r="CF8" s="477" t="s">
        <v>4953</v>
      </c>
      <c r="CG8" s="477" t="s">
        <v>4953</v>
      </c>
      <c r="CH8" s="477" t="s">
        <v>4953</v>
      </c>
      <c r="CI8" s="477" t="s">
        <v>4953</v>
      </c>
      <c r="CJ8" s="477" t="s">
        <v>4953</v>
      </c>
      <c r="CK8" s="626" t="s">
        <v>4953</v>
      </c>
      <c r="CL8" s="626" t="s">
        <v>4953</v>
      </c>
      <c r="CM8" s="626" t="s">
        <v>4953</v>
      </c>
      <c r="CN8" s="626" t="s">
        <v>4953</v>
      </c>
      <c r="CO8" s="626" t="s">
        <v>4953</v>
      </c>
      <c r="CP8" s="626" t="s">
        <v>4953</v>
      </c>
      <c r="CQ8" s="626" t="s">
        <v>4953</v>
      </c>
      <c r="CR8" s="626" t="s">
        <v>4953</v>
      </c>
      <c r="CS8" s="626" t="s">
        <v>4953</v>
      </c>
      <c r="CT8" s="626" t="s">
        <v>5219</v>
      </c>
      <c r="CU8" s="626" t="s">
        <v>5219</v>
      </c>
      <c r="CV8" s="626" t="s">
        <v>5219</v>
      </c>
      <c r="CW8" s="626" t="s">
        <v>5219</v>
      </c>
      <c r="CX8" s="626" t="s">
        <v>5219</v>
      </c>
      <c r="CY8" s="626" t="s">
        <v>5263</v>
      </c>
      <c r="CZ8" s="626" t="s">
        <v>5263</v>
      </c>
      <c r="DA8" s="626" t="s">
        <v>5263</v>
      </c>
      <c r="DB8" s="626" t="s">
        <v>5263</v>
      </c>
      <c r="DC8" s="626" t="s">
        <v>5263</v>
      </c>
      <c r="DD8" s="626" t="s">
        <v>5263</v>
      </c>
      <c r="DE8" s="626" t="s">
        <v>5263</v>
      </c>
      <c r="DF8" s="626" t="s">
        <v>5263</v>
      </c>
      <c r="DG8" s="626" t="s">
        <v>5263</v>
      </c>
      <c r="DH8" s="626" t="s">
        <v>5263</v>
      </c>
      <c r="DI8" s="626" t="s">
        <v>5263</v>
      </c>
      <c r="DJ8" s="626" t="s">
        <v>5263</v>
      </c>
      <c r="DK8" s="626" t="s">
        <v>5263</v>
      </c>
      <c r="DL8" s="626" t="s">
        <v>5263</v>
      </c>
      <c r="DM8" s="626" t="s">
        <v>5263</v>
      </c>
      <c r="DN8" s="626" t="s">
        <v>5263</v>
      </c>
      <c r="DO8" s="626" t="s">
        <v>5263</v>
      </c>
      <c r="DP8" s="626" t="s">
        <v>5263</v>
      </c>
      <c r="DQ8" s="626" t="s">
        <v>5263</v>
      </c>
      <c r="DR8" s="122" t="s">
        <v>5263</v>
      </c>
      <c r="DS8" s="122" t="s">
        <v>5692</v>
      </c>
      <c r="DT8" s="122" t="s">
        <v>5692</v>
      </c>
      <c r="DU8" s="122" t="s">
        <v>5692</v>
      </c>
      <c r="DV8" s="122" t="s">
        <v>5692</v>
      </c>
      <c r="DW8" s="122" t="s">
        <v>5777</v>
      </c>
      <c r="DX8" s="122" t="s">
        <v>5777</v>
      </c>
      <c r="DY8" s="122" t="s">
        <v>5777</v>
      </c>
      <c r="DZ8" s="122" t="s">
        <v>5882</v>
      </c>
      <c r="EA8" s="122" t="s">
        <v>5882</v>
      </c>
      <c r="EB8" s="122" t="s">
        <v>5882</v>
      </c>
      <c r="EC8" s="122" t="s">
        <v>5882</v>
      </c>
      <c r="ED8" s="122" t="s">
        <v>5882</v>
      </c>
      <c r="EE8" s="122" t="s">
        <v>5948</v>
      </c>
      <c r="EF8" s="122" t="s">
        <v>5948</v>
      </c>
      <c r="EG8" s="122" t="s">
        <v>5948</v>
      </c>
      <c r="EH8" s="122" t="s">
        <v>5948</v>
      </c>
      <c r="EI8" s="122" t="s">
        <v>5948</v>
      </c>
      <c r="EJ8" s="116" t="s">
        <v>6183</v>
      </c>
      <c r="EK8" s="901" t="s">
        <v>6292</v>
      </c>
      <c r="EL8" s="142" t="s">
        <v>6388</v>
      </c>
      <c r="EM8" s="142" t="s">
        <v>6493</v>
      </c>
      <c r="EN8" s="612" t="s">
        <v>112</v>
      </c>
      <c r="EO8" s="115" t="s">
        <v>112</v>
      </c>
      <c r="EP8" s="115" t="str">
        <f>IF(EN8="NA","NA",Tabela4[[#This Row],[Data de protocolo para cálculo médio]]+(VLOOKUP(Tabela4[[#This Row],[Previsão com fórmula i-Helps tipo de fila]],Formulas!$H$1:$J$13,2,FALSE)*30))</f>
        <v>NA</v>
      </c>
      <c r="EQ8" s="115" t="str">
        <f>IF(EN8="NA","NA",Tabela4[[#This Row],[Data de protocolo para cálculo médio]]+(VLOOKUP(Tabela4[[#This Row],[Previsão com fórmula i-Helps tipo de fila]],Formulas!$H$1:$J$13,3,FALSE)*30))</f>
        <v>NA</v>
      </c>
      <c r="ER8" s="501">
        <v>44197</v>
      </c>
      <c r="ES8" s="122" t="s">
        <v>5932</v>
      </c>
      <c r="ET8" s="666" t="s">
        <v>5059</v>
      </c>
      <c r="EU8" s="617" t="s">
        <v>5060</v>
      </c>
      <c r="EV8" s="617" t="s">
        <v>5061</v>
      </c>
      <c r="EW8" s="811"/>
    </row>
    <row r="9" spans="1:153" s="556" customFormat="1" ht="354" customHeight="1" x14ac:dyDescent="0.2">
      <c r="A9" s="779">
        <v>8</v>
      </c>
      <c r="B9" s="663" t="s">
        <v>5595</v>
      </c>
      <c r="C9" s="477" t="s">
        <v>584</v>
      </c>
      <c r="D9" s="113" t="s">
        <v>3797</v>
      </c>
      <c r="E9" s="477" t="s">
        <v>5232</v>
      </c>
      <c r="F9" s="113" t="s">
        <v>4091</v>
      </c>
      <c r="G9" s="288" t="s">
        <v>4660</v>
      </c>
      <c r="H9" s="6" t="s">
        <v>3965</v>
      </c>
      <c r="I9" s="72" t="s">
        <v>1806</v>
      </c>
      <c r="J9" s="113" t="s">
        <v>3966</v>
      </c>
      <c r="K9" s="6" t="s">
        <v>3967</v>
      </c>
      <c r="L9" s="477" t="s">
        <v>11</v>
      </c>
      <c r="M9" s="122" t="s">
        <v>3098</v>
      </c>
      <c r="N9" s="122" t="s">
        <v>3090</v>
      </c>
      <c r="O9" s="643">
        <v>43642</v>
      </c>
      <c r="P9" s="615" t="s">
        <v>6256</v>
      </c>
      <c r="Q9" s="615" t="s">
        <v>6108</v>
      </c>
      <c r="R9" s="477" t="s">
        <v>4252</v>
      </c>
      <c r="S9" s="612"/>
      <c r="T9" s="477" t="s">
        <v>1418</v>
      </c>
      <c r="U9" s="272" t="s">
        <v>5675</v>
      </c>
      <c r="V9" s="113" t="s">
        <v>5674</v>
      </c>
      <c r="W9" s="477" t="s">
        <v>3337</v>
      </c>
      <c r="X9" s="113" t="s">
        <v>3995</v>
      </c>
      <c r="Y9" s="477" t="s">
        <v>112</v>
      </c>
      <c r="Z9" s="477" t="s">
        <v>3084</v>
      </c>
      <c r="AA9" s="612" t="s">
        <v>5585</v>
      </c>
      <c r="AB9" s="477" t="s">
        <v>4097</v>
      </c>
      <c r="AC9" s="617">
        <v>44428</v>
      </c>
      <c r="AD9" s="142" t="s">
        <v>6494</v>
      </c>
      <c r="AE9" s="122"/>
      <c r="AF9" s="477"/>
      <c r="AG9" s="477"/>
      <c r="AH9" s="477"/>
      <c r="AI9" s="477"/>
      <c r="AJ9" s="477" t="s">
        <v>4097</v>
      </c>
      <c r="AK9" s="477" t="s">
        <v>4097</v>
      </c>
      <c r="AL9" s="477" t="s">
        <v>4097</v>
      </c>
      <c r="AM9" s="477" t="s">
        <v>4097</v>
      </c>
      <c r="AN9" s="477" t="s">
        <v>4097</v>
      </c>
      <c r="AO9" s="477" t="s">
        <v>4187</v>
      </c>
      <c r="AP9" s="477" t="s">
        <v>4203</v>
      </c>
      <c r="AQ9" s="477" t="s">
        <v>4247</v>
      </c>
      <c r="AR9" s="477" t="s">
        <v>4269</v>
      </c>
      <c r="AS9" s="477" t="s">
        <v>4315</v>
      </c>
      <c r="AT9" s="477" t="s">
        <v>4351</v>
      </c>
      <c r="AU9" s="477" t="s">
        <v>4351</v>
      </c>
      <c r="AV9" s="477" t="s">
        <v>4385</v>
      </c>
      <c r="AW9" s="477" t="s">
        <v>4385</v>
      </c>
      <c r="AX9" s="477" t="s">
        <v>4421</v>
      </c>
      <c r="AY9" s="477" t="s">
        <v>4421</v>
      </c>
      <c r="AZ9" s="477" t="s">
        <v>4449</v>
      </c>
      <c r="BA9" s="477" t="s">
        <v>4470</v>
      </c>
      <c r="BB9" s="477" t="s">
        <v>4485</v>
      </c>
      <c r="BC9" s="477" t="s">
        <v>4507</v>
      </c>
      <c r="BD9" s="477" t="s">
        <v>4507</v>
      </c>
      <c r="BE9" s="477" t="s">
        <v>4550</v>
      </c>
      <c r="BF9" s="477" t="s">
        <v>4574</v>
      </c>
      <c r="BG9" s="477" t="s">
        <v>4574</v>
      </c>
      <c r="BH9" s="477" t="s">
        <v>4610</v>
      </c>
      <c r="BI9" s="477" t="s">
        <v>4661</v>
      </c>
      <c r="BJ9" s="477" t="s">
        <v>4661</v>
      </c>
      <c r="BK9" s="477" t="s">
        <v>4661</v>
      </c>
      <c r="BL9" s="477" t="s">
        <v>4661</v>
      </c>
      <c r="BM9" s="477" t="s">
        <v>4661</v>
      </c>
      <c r="BN9" s="477" t="s">
        <v>4661</v>
      </c>
      <c r="BO9" s="477" t="s">
        <v>4661</v>
      </c>
      <c r="BP9" s="477" t="s">
        <v>4661</v>
      </c>
      <c r="BQ9" s="477" t="s">
        <v>4661</v>
      </c>
      <c r="BR9" s="477" t="s">
        <v>4661</v>
      </c>
      <c r="BS9" s="477" t="s">
        <v>4661</v>
      </c>
      <c r="BT9" s="477" t="s">
        <v>4661</v>
      </c>
      <c r="BU9" s="477" t="s">
        <v>4661</v>
      </c>
      <c r="BV9" s="477" t="s">
        <v>4661</v>
      </c>
      <c r="BW9" s="477" t="s">
        <v>4661</v>
      </c>
      <c r="BX9" s="477" t="s">
        <v>4661</v>
      </c>
      <c r="BY9" s="477" t="s">
        <v>4661</v>
      </c>
      <c r="BZ9" s="477" t="s">
        <v>4661</v>
      </c>
      <c r="CA9" s="477" t="s">
        <v>4661</v>
      </c>
      <c r="CB9" s="477" t="s">
        <v>4661</v>
      </c>
      <c r="CC9" s="477" t="s">
        <v>4661</v>
      </c>
      <c r="CD9" s="477" t="s">
        <v>4661</v>
      </c>
      <c r="CE9" s="477" t="s">
        <v>4661</v>
      </c>
      <c r="CF9" s="477" t="s">
        <v>4661</v>
      </c>
      <c r="CG9" s="477" t="s">
        <v>4661</v>
      </c>
      <c r="CH9" s="477" t="s">
        <v>4661</v>
      </c>
      <c r="CI9" s="477" t="s">
        <v>4661</v>
      </c>
      <c r="CJ9" s="477" t="s">
        <v>4661</v>
      </c>
      <c r="CK9" s="626" t="s">
        <v>4661</v>
      </c>
      <c r="CL9" s="626" t="s">
        <v>4661</v>
      </c>
      <c r="CM9" s="626" t="s">
        <v>4661</v>
      </c>
      <c r="CN9" s="626" t="s">
        <v>4661</v>
      </c>
      <c r="CO9" s="626" t="s">
        <v>4661</v>
      </c>
      <c r="CP9" s="626" t="s">
        <v>4661</v>
      </c>
      <c r="CQ9" s="626" t="s">
        <v>4661</v>
      </c>
      <c r="CR9" s="626" t="s">
        <v>4661</v>
      </c>
      <c r="CS9" s="626" t="s">
        <v>4661</v>
      </c>
      <c r="CT9" s="626" t="s">
        <v>4661</v>
      </c>
      <c r="CU9" s="626" t="s">
        <v>4661</v>
      </c>
      <c r="CV9" s="626" t="s">
        <v>4661</v>
      </c>
      <c r="CW9" s="626" t="s">
        <v>4661</v>
      </c>
      <c r="CX9" s="626" t="s">
        <v>4661</v>
      </c>
      <c r="CY9" s="626" t="s">
        <v>4661</v>
      </c>
      <c r="CZ9" s="626" t="s">
        <v>4661</v>
      </c>
      <c r="DA9" s="626" t="s">
        <v>4661</v>
      </c>
      <c r="DB9" s="626" t="s">
        <v>4661</v>
      </c>
      <c r="DC9" s="626" t="s">
        <v>4661</v>
      </c>
      <c r="DD9" s="626" t="s">
        <v>4661</v>
      </c>
      <c r="DE9" s="626" t="s">
        <v>4661</v>
      </c>
      <c r="DF9" s="626" t="s">
        <v>4661</v>
      </c>
      <c r="DG9" s="626" t="s">
        <v>4661</v>
      </c>
      <c r="DH9" s="626" t="s">
        <v>4661</v>
      </c>
      <c r="DI9" s="626" t="s">
        <v>4661</v>
      </c>
      <c r="DJ9" s="626" t="s">
        <v>4661</v>
      </c>
      <c r="DK9" s="626" t="s">
        <v>4661</v>
      </c>
      <c r="DL9" s="626" t="s">
        <v>4661</v>
      </c>
      <c r="DM9" s="626" t="s">
        <v>4661</v>
      </c>
      <c r="DN9" s="626" t="s">
        <v>4661</v>
      </c>
      <c r="DO9" s="626" t="s">
        <v>4661</v>
      </c>
      <c r="DP9" s="626" t="s">
        <v>4661</v>
      </c>
      <c r="DQ9" s="626" t="s">
        <v>4661</v>
      </c>
      <c r="DR9" s="122" t="s">
        <v>4661</v>
      </c>
      <c r="DS9" s="122" t="s">
        <v>4661</v>
      </c>
      <c r="DT9" s="122" t="s">
        <v>4661</v>
      </c>
      <c r="DU9" s="122" t="s">
        <v>5746</v>
      </c>
      <c r="DV9" s="122" t="s">
        <v>5754</v>
      </c>
      <c r="DW9" s="122" t="s">
        <v>5778</v>
      </c>
      <c r="DX9" s="122" t="s">
        <v>5778</v>
      </c>
      <c r="DY9" s="122" t="s">
        <v>5859</v>
      </c>
      <c r="DZ9" s="122" t="s">
        <v>5868</v>
      </c>
      <c r="EA9" s="122" t="s">
        <v>5883</v>
      </c>
      <c r="EB9" s="122" t="s">
        <v>5889</v>
      </c>
      <c r="EC9" s="122" t="s">
        <v>5889</v>
      </c>
      <c r="ED9" s="122" t="s">
        <v>5929</v>
      </c>
      <c r="EE9" s="122" t="s">
        <v>5929</v>
      </c>
      <c r="EF9" s="122" t="s">
        <v>5929</v>
      </c>
      <c r="EG9" s="122" t="s">
        <v>5929</v>
      </c>
      <c r="EH9" s="122" t="s">
        <v>5929</v>
      </c>
      <c r="EI9" s="122" t="s">
        <v>5929</v>
      </c>
      <c r="EJ9" s="116" t="s">
        <v>6257</v>
      </c>
      <c r="EK9" s="901" t="s">
        <v>6293</v>
      </c>
      <c r="EL9" s="142" t="s">
        <v>6389</v>
      </c>
      <c r="EM9" s="142" t="s">
        <v>6494</v>
      </c>
      <c r="EN9" s="612" t="s">
        <v>5165</v>
      </c>
      <c r="EO9" s="664">
        <v>43616</v>
      </c>
      <c r="EP9" s="664">
        <f>IF(EN9="NA","NA",Tabela4[[#This Row],[Data de protocolo para cálculo médio]]+(VLOOKUP(Tabela4[[#This Row],[Previsão com fórmula i-Helps tipo de fila]],Formulas!$H$1:$J$13,2,FALSE)*30))</f>
        <v>44018</v>
      </c>
      <c r="EQ9" s="664">
        <f>IF(EN9="NA","NA",Tabela4[[#This Row],[Data de protocolo para cálculo médio]]+(VLOOKUP(Tabela4[[#This Row],[Previsão com fórmula i-Helps tipo de fila]],Formulas!$H$1:$J$13,3,FALSE)*30))</f>
        <v>44201</v>
      </c>
      <c r="ER9" s="501">
        <v>44197</v>
      </c>
      <c r="ES9" s="122" t="s">
        <v>5673</v>
      </c>
      <c r="ET9" s="666" t="s">
        <v>5059</v>
      </c>
      <c r="EU9" s="617" t="s">
        <v>5068</v>
      </c>
      <c r="EV9" s="617" t="s">
        <v>5061</v>
      </c>
    </row>
    <row r="10" spans="1:153" s="556" customFormat="1" ht="409.5" x14ac:dyDescent="0.2">
      <c r="A10" s="779">
        <v>9</v>
      </c>
      <c r="B10" s="663" t="s">
        <v>5597</v>
      </c>
      <c r="C10" s="477" t="s">
        <v>584</v>
      </c>
      <c r="D10" s="113" t="s">
        <v>3798</v>
      </c>
      <c r="E10" s="477" t="s">
        <v>5233</v>
      </c>
      <c r="F10" s="113" t="s">
        <v>4180</v>
      </c>
      <c r="G10" s="288" t="s">
        <v>5178</v>
      </c>
      <c r="H10" s="6" t="s">
        <v>4174</v>
      </c>
      <c r="I10" s="72" t="s">
        <v>4767</v>
      </c>
      <c r="J10" s="113" t="s">
        <v>4175</v>
      </c>
      <c r="K10" s="6" t="s">
        <v>5644</v>
      </c>
      <c r="L10" s="477" t="s">
        <v>454</v>
      </c>
      <c r="M10" s="122" t="s">
        <v>1286</v>
      </c>
      <c r="N10" s="122" t="s">
        <v>2992</v>
      </c>
      <c r="O10" s="643">
        <v>43677</v>
      </c>
      <c r="P10" s="615" t="s">
        <v>4982</v>
      </c>
      <c r="Q10" s="615" t="s">
        <v>112</v>
      </c>
      <c r="R10" s="477" t="s">
        <v>3038</v>
      </c>
      <c r="S10" s="612">
        <v>44082</v>
      </c>
      <c r="T10" s="477" t="s">
        <v>3926</v>
      </c>
      <c r="U10" s="272" t="s">
        <v>6611</v>
      </c>
      <c r="V10" s="122" t="s">
        <v>5900</v>
      </c>
      <c r="W10" s="477" t="s">
        <v>112</v>
      </c>
      <c r="X10" s="477" t="s">
        <v>112</v>
      </c>
      <c r="Y10" s="477" t="s">
        <v>112</v>
      </c>
      <c r="Z10" s="477" t="s">
        <v>112</v>
      </c>
      <c r="AA10" s="612" t="s">
        <v>5586</v>
      </c>
      <c r="AB10" s="477">
        <v>23</v>
      </c>
      <c r="AC10" s="617">
        <v>44428</v>
      </c>
      <c r="AD10" s="285" t="s">
        <v>6495</v>
      </c>
      <c r="AE10" s="122"/>
      <c r="AF10" s="477"/>
      <c r="AG10" s="477"/>
      <c r="AH10" s="477"/>
      <c r="AI10" s="477"/>
      <c r="AJ10" s="477"/>
      <c r="AK10" s="477"/>
      <c r="AL10" s="477"/>
      <c r="AM10" s="477"/>
      <c r="AN10" s="477">
        <v>23</v>
      </c>
      <c r="AO10" s="477">
        <v>23</v>
      </c>
      <c r="AP10" s="477">
        <v>22</v>
      </c>
      <c r="AQ10" s="477">
        <v>21</v>
      </c>
      <c r="AR10" s="477">
        <v>20</v>
      </c>
      <c r="AS10" s="477">
        <v>20</v>
      </c>
      <c r="AT10" s="477">
        <v>20</v>
      </c>
      <c r="AU10" s="477">
        <v>18</v>
      </c>
      <c r="AV10" s="477">
        <v>18</v>
      </c>
      <c r="AW10" s="477">
        <v>18</v>
      </c>
      <c r="AX10" s="477">
        <v>18</v>
      </c>
      <c r="AY10" s="477">
        <v>17</v>
      </c>
      <c r="AZ10" s="477">
        <v>17</v>
      </c>
      <c r="BA10" s="477">
        <v>17</v>
      </c>
      <c r="BB10" s="477">
        <v>17</v>
      </c>
      <c r="BC10" s="477">
        <v>17</v>
      </c>
      <c r="BD10" s="477">
        <v>16</v>
      </c>
      <c r="BE10" s="477">
        <v>16</v>
      </c>
      <c r="BF10" s="477">
        <v>15</v>
      </c>
      <c r="BG10" s="477">
        <v>15</v>
      </c>
      <c r="BH10" s="477">
        <v>14</v>
      </c>
      <c r="BI10" s="477">
        <v>14</v>
      </c>
      <c r="BJ10" s="477">
        <v>17</v>
      </c>
      <c r="BK10" s="477">
        <v>16</v>
      </c>
      <c r="BL10" s="477">
        <v>16</v>
      </c>
      <c r="BM10" s="477">
        <v>16</v>
      </c>
      <c r="BN10" s="477">
        <v>14</v>
      </c>
      <c r="BO10" s="477">
        <v>15</v>
      </c>
      <c r="BP10" s="477">
        <v>15</v>
      </c>
      <c r="BQ10" s="477">
        <v>15</v>
      </c>
      <c r="BR10" s="477">
        <v>15</v>
      </c>
      <c r="BS10" s="477">
        <v>15</v>
      </c>
      <c r="BT10" s="477">
        <v>14</v>
      </c>
      <c r="BU10" s="477">
        <v>14</v>
      </c>
      <c r="BV10" s="477">
        <v>14</v>
      </c>
      <c r="BW10" s="477">
        <v>13</v>
      </c>
      <c r="BX10" s="477">
        <v>12</v>
      </c>
      <c r="BY10" s="477">
        <v>11</v>
      </c>
      <c r="BZ10" s="477">
        <v>10</v>
      </c>
      <c r="CA10" s="477">
        <v>9</v>
      </c>
      <c r="CB10" s="477">
        <v>8</v>
      </c>
      <c r="CC10" s="477">
        <v>8</v>
      </c>
      <c r="CD10" s="477">
        <v>8</v>
      </c>
      <c r="CE10" s="477">
        <v>8</v>
      </c>
      <c r="CF10" s="477">
        <v>7</v>
      </c>
      <c r="CG10" s="477">
        <v>5</v>
      </c>
      <c r="CH10" s="477">
        <v>5</v>
      </c>
      <c r="CI10" s="477">
        <v>5</v>
      </c>
      <c r="CJ10" s="477">
        <v>3</v>
      </c>
      <c r="CK10" s="626">
        <v>3</v>
      </c>
      <c r="CL10" s="626">
        <v>3</v>
      </c>
      <c r="CM10" s="626">
        <v>3</v>
      </c>
      <c r="CN10" s="626">
        <v>2</v>
      </c>
      <c r="CO10" s="626">
        <v>2</v>
      </c>
      <c r="CP10" s="626">
        <v>2</v>
      </c>
      <c r="CQ10" s="626">
        <v>2</v>
      </c>
      <c r="CR10" s="626" t="s">
        <v>5202</v>
      </c>
      <c r="CS10" s="626" t="s">
        <v>5202</v>
      </c>
      <c r="CT10" s="626" t="s">
        <v>5202</v>
      </c>
      <c r="CU10" s="626" t="s">
        <v>5202</v>
      </c>
      <c r="CV10" s="626" t="s">
        <v>5246</v>
      </c>
      <c r="CW10" s="626" t="s">
        <v>5246</v>
      </c>
      <c r="CX10" s="626" t="s">
        <v>5246</v>
      </c>
      <c r="CY10" s="626" t="s">
        <v>5246</v>
      </c>
      <c r="CZ10" s="626" t="s">
        <v>5246</v>
      </c>
      <c r="DA10" s="626" t="s">
        <v>5246</v>
      </c>
      <c r="DB10" s="626" t="s">
        <v>5246</v>
      </c>
      <c r="DC10" s="626" t="s">
        <v>5246</v>
      </c>
      <c r="DD10" s="626" t="s">
        <v>5246</v>
      </c>
      <c r="DE10" s="626" t="s">
        <v>5246</v>
      </c>
      <c r="DF10" s="626" t="s">
        <v>5246</v>
      </c>
      <c r="DG10" s="626" t="s">
        <v>5246</v>
      </c>
      <c r="DH10" s="626" t="s">
        <v>5246</v>
      </c>
      <c r="DI10" s="626" t="s">
        <v>5246</v>
      </c>
      <c r="DJ10" s="626" t="s">
        <v>5246</v>
      </c>
      <c r="DK10" s="626" t="s">
        <v>5246</v>
      </c>
      <c r="DL10" s="626" t="s">
        <v>5246</v>
      </c>
      <c r="DM10" s="626" t="s">
        <v>5545</v>
      </c>
      <c r="DN10" s="626" t="s">
        <v>5545</v>
      </c>
      <c r="DO10" s="626" t="s">
        <v>5545</v>
      </c>
      <c r="DP10" s="626" t="s">
        <v>5545</v>
      </c>
      <c r="DQ10" s="626" t="s">
        <v>5545</v>
      </c>
      <c r="DR10" s="626" t="s">
        <v>5545</v>
      </c>
      <c r="DS10" s="626" t="s">
        <v>5545</v>
      </c>
      <c r="DT10" s="626" t="s">
        <v>5545</v>
      </c>
      <c r="DU10" s="626" t="s">
        <v>5545</v>
      </c>
      <c r="DV10" s="626" t="s">
        <v>5545</v>
      </c>
      <c r="DW10" s="122" t="s">
        <v>5545</v>
      </c>
      <c r="DX10" s="122" t="s">
        <v>5545</v>
      </c>
      <c r="DY10" s="122" t="s">
        <v>5545</v>
      </c>
      <c r="DZ10" s="122" t="s">
        <v>5869</v>
      </c>
      <c r="EA10" s="122" t="s">
        <v>5884</v>
      </c>
      <c r="EB10" s="122" t="s">
        <v>5884</v>
      </c>
      <c r="EC10" s="122" t="s">
        <v>5884</v>
      </c>
      <c r="ED10" s="122" t="s">
        <v>5884</v>
      </c>
      <c r="EE10" s="122" t="s">
        <v>5884</v>
      </c>
      <c r="EF10" s="122" t="s">
        <v>5884</v>
      </c>
      <c r="EG10" s="122" t="s">
        <v>5884</v>
      </c>
      <c r="EH10" s="122" t="s">
        <v>6003</v>
      </c>
      <c r="EI10" s="122" t="s">
        <v>6026</v>
      </c>
      <c r="EJ10" s="122" t="s">
        <v>6184</v>
      </c>
      <c r="EK10" s="285" t="s">
        <v>6294</v>
      </c>
      <c r="EL10" s="285" t="s">
        <v>6390</v>
      </c>
      <c r="EM10" s="285" t="s">
        <v>6495</v>
      </c>
      <c r="EN10" s="612" t="s">
        <v>5064</v>
      </c>
      <c r="EO10" s="664">
        <v>43677</v>
      </c>
      <c r="EP10" s="664">
        <f>IF(EN10="NA","NA",Tabela4[[#This Row],[Data de protocolo para cálculo médio]]+(VLOOKUP(Tabela4[[#This Row],[Previsão com fórmula i-Helps tipo de fila]],Formulas!$H$1:$J$13,2,FALSE)*30))</f>
        <v>43917</v>
      </c>
      <c r="EQ10" s="664">
        <f>IF(EN10="NA","NA",Tabela4[[#This Row],[Data de protocolo para cálculo médio]]+(VLOOKUP(Tabela4[[#This Row],[Previsão com fórmula i-Helps tipo de fila]],Formulas!$H$1:$J$13,3,FALSE)*30))</f>
        <v>44247</v>
      </c>
      <c r="ER10" s="501">
        <v>44228</v>
      </c>
      <c r="ES10" s="122" t="s">
        <v>5645</v>
      </c>
      <c r="ET10" s="666" t="s">
        <v>5059</v>
      </c>
      <c r="EU10" s="617" t="s">
        <v>5068</v>
      </c>
      <c r="EV10" s="617" t="s">
        <v>5064</v>
      </c>
    </row>
    <row r="11" spans="1:153" s="556" customFormat="1" ht="153" outlineLevel="1" x14ac:dyDescent="0.2">
      <c r="A11" s="779" t="s">
        <v>6125</v>
      </c>
      <c r="B11" s="663" t="s">
        <v>5597</v>
      </c>
      <c r="C11" s="477" t="s">
        <v>584</v>
      </c>
      <c r="D11" s="113" t="s">
        <v>3798</v>
      </c>
      <c r="E11" s="477" t="s">
        <v>5233</v>
      </c>
      <c r="F11" s="113" t="s">
        <v>4180</v>
      </c>
      <c r="G11" s="288" t="s">
        <v>5178</v>
      </c>
      <c r="H11" s="6" t="s">
        <v>4174</v>
      </c>
      <c r="I11" s="72" t="s">
        <v>4767</v>
      </c>
      <c r="J11" s="113" t="s">
        <v>4175</v>
      </c>
      <c r="K11" s="6" t="s">
        <v>5644</v>
      </c>
      <c r="L11" s="477" t="s">
        <v>454</v>
      </c>
      <c r="M11" s="122" t="s">
        <v>1286</v>
      </c>
      <c r="N11" s="113" t="s">
        <v>6081</v>
      </c>
      <c r="O11" s="765">
        <v>44400</v>
      </c>
      <c r="P11" s="615" t="s">
        <v>6101</v>
      </c>
      <c r="Q11" s="615" t="s">
        <v>112</v>
      </c>
      <c r="R11" s="113" t="s">
        <v>2866</v>
      </c>
      <c r="S11" s="617"/>
      <c r="T11" s="113"/>
      <c r="U11" s="113"/>
      <c r="V11" s="113"/>
      <c r="W11" s="113"/>
      <c r="X11" s="113"/>
      <c r="Y11" s="113"/>
      <c r="Z11" s="113" t="s">
        <v>112</v>
      </c>
      <c r="AA11" s="617" t="s">
        <v>112</v>
      </c>
      <c r="AB11" s="617" t="s">
        <v>112</v>
      </c>
      <c r="AC11" s="617">
        <v>44428</v>
      </c>
      <c r="AD11" s="903" t="s">
        <v>6496</v>
      </c>
      <c r="AE11" s="122"/>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22"/>
      <c r="CL11" s="122"/>
      <c r="CM11" s="122"/>
      <c r="CN11" s="122"/>
      <c r="CO11" s="122"/>
      <c r="CP11" s="122"/>
      <c r="CQ11" s="122"/>
      <c r="CR11" s="122"/>
      <c r="CS11" s="122"/>
      <c r="CT11" s="122"/>
      <c r="CU11" s="122"/>
      <c r="CV11" s="122"/>
      <c r="CW11" s="122"/>
      <c r="CX11" s="122"/>
      <c r="CY11" s="122"/>
      <c r="CZ11" s="122"/>
      <c r="DA11" s="122"/>
      <c r="DB11" s="122"/>
      <c r="DC11" s="122"/>
      <c r="DD11" s="122"/>
      <c r="DE11" s="122"/>
      <c r="DF11" s="122"/>
      <c r="DG11" s="122"/>
      <c r="DH11" s="122"/>
      <c r="DI11" s="122"/>
      <c r="DJ11" s="122"/>
      <c r="DK11" s="122"/>
      <c r="DL11" s="122"/>
      <c r="DM11" s="122"/>
      <c r="DN11" s="122"/>
      <c r="DO11" s="122"/>
      <c r="DP11" s="122"/>
      <c r="DQ11" s="122"/>
      <c r="DR11" s="122"/>
      <c r="DS11" s="297"/>
      <c r="DT11" s="297"/>
      <c r="DU11" s="297"/>
      <c r="DV11" s="297"/>
      <c r="DW11" s="122"/>
      <c r="DX11" s="122"/>
      <c r="DY11" s="122"/>
      <c r="DZ11" s="122"/>
      <c r="EA11" s="122"/>
      <c r="EB11" s="297"/>
      <c r="EC11" s="297"/>
      <c r="ED11" s="297"/>
      <c r="EE11" s="297"/>
      <c r="EF11" s="297"/>
      <c r="EG11" s="297"/>
      <c r="EH11" s="297"/>
      <c r="EI11" s="297"/>
      <c r="EJ11" s="116" t="s">
        <v>6185</v>
      </c>
      <c r="EK11" s="903" t="s">
        <v>6295</v>
      </c>
      <c r="EL11" s="903" t="s">
        <v>6391</v>
      </c>
      <c r="EM11" s="903" t="s">
        <v>6496</v>
      </c>
      <c r="EN11" s="617" t="s">
        <v>112</v>
      </c>
      <c r="EO11" s="115"/>
      <c r="EP11" s="115" t="str">
        <f>IF(EN11="NA","NA",Tabela4[[#This Row],[Data de protocolo para cálculo médio]]+(VLOOKUP(Tabela4[[#This Row],[Previsão com fórmula i-Helps tipo de fila]],Formulas!$H$1:$J$13,2,FALSE)*30))</f>
        <v>NA</v>
      </c>
      <c r="EQ11" s="115" t="str">
        <f>IF(EN11="NA","NA",Tabela4[[#This Row],[Data de protocolo para cálculo médio]]+(VLOOKUP(Tabela4[[#This Row],[Previsão com fórmula i-Helps tipo de fila]],Formulas!$H$1:$J$13,3,FALSE)*30))</f>
        <v>NA</v>
      </c>
      <c r="ER11" s="115"/>
      <c r="ES11" s="685"/>
      <c r="ET11" s="666" t="s">
        <v>112</v>
      </c>
      <c r="EU11" s="617" t="s">
        <v>112</v>
      </c>
      <c r="EV11" s="617" t="s">
        <v>112</v>
      </c>
    </row>
    <row r="12" spans="1:153" s="556" customFormat="1" ht="153" outlineLevel="1" x14ac:dyDescent="0.2">
      <c r="A12" s="779" t="s">
        <v>6126</v>
      </c>
      <c r="B12" s="663" t="s">
        <v>5597</v>
      </c>
      <c r="C12" s="113" t="s">
        <v>584</v>
      </c>
      <c r="D12" s="113" t="s">
        <v>3798</v>
      </c>
      <c r="E12" s="477" t="s">
        <v>5233</v>
      </c>
      <c r="F12" s="113" t="s">
        <v>4180</v>
      </c>
      <c r="G12" s="288" t="s">
        <v>5178</v>
      </c>
      <c r="H12" s="6" t="s">
        <v>4174</v>
      </c>
      <c r="I12" s="72" t="s">
        <v>4767</v>
      </c>
      <c r="J12" s="113" t="s">
        <v>4175</v>
      </c>
      <c r="K12" s="6" t="s">
        <v>5644</v>
      </c>
      <c r="L12" s="477" t="s">
        <v>454</v>
      </c>
      <c r="M12" s="122" t="s">
        <v>1286</v>
      </c>
      <c r="N12" s="765" t="s">
        <v>6079</v>
      </c>
      <c r="O12" s="765">
        <v>44035</v>
      </c>
      <c r="P12" s="615" t="s">
        <v>6021</v>
      </c>
      <c r="Q12" s="615" t="s">
        <v>112</v>
      </c>
      <c r="R12" s="113" t="s">
        <v>3038</v>
      </c>
      <c r="S12" s="617">
        <v>44139</v>
      </c>
      <c r="T12" s="113"/>
      <c r="U12" s="113" t="s">
        <v>112</v>
      </c>
      <c r="V12" s="113"/>
      <c r="W12" s="113"/>
      <c r="X12" s="113"/>
      <c r="Y12" s="113"/>
      <c r="Z12" s="113" t="s">
        <v>112</v>
      </c>
      <c r="AA12" s="617" t="s">
        <v>112</v>
      </c>
      <c r="AB12" s="617" t="s">
        <v>112</v>
      </c>
      <c r="AC12" s="617">
        <v>44428</v>
      </c>
      <c r="AD12" s="6" t="s">
        <v>6497</v>
      </c>
      <c r="AE12" s="122"/>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c r="BS12" s="113"/>
      <c r="BT12" s="113"/>
      <c r="BU12" s="113"/>
      <c r="BV12" s="113"/>
      <c r="BW12" s="113"/>
      <c r="BX12" s="113"/>
      <c r="BY12" s="113"/>
      <c r="BZ12" s="113"/>
      <c r="CA12" s="113"/>
      <c r="CB12" s="113"/>
      <c r="CC12" s="113"/>
      <c r="CD12" s="113"/>
      <c r="CE12" s="113"/>
      <c r="CF12" s="113"/>
      <c r="CG12" s="113"/>
      <c r="CH12" s="113"/>
      <c r="CI12" s="113"/>
      <c r="CJ12" s="113"/>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297"/>
      <c r="DT12" s="297"/>
      <c r="DU12" s="297"/>
      <c r="DV12" s="297"/>
      <c r="DW12" s="122"/>
      <c r="DX12" s="122"/>
      <c r="DY12" s="122"/>
      <c r="DZ12" s="122"/>
      <c r="EA12" s="122"/>
      <c r="EB12" s="297"/>
      <c r="EC12" s="297"/>
      <c r="ED12" s="297"/>
      <c r="EE12" s="297"/>
      <c r="EF12" s="297"/>
      <c r="EG12" s="297"/>
      <c r="EH12" s="297"/>
      <c r="EI12" s="297"/>
      <c r="EJ12" s="297" t="s">
        <v>6186</v>
      </c>
      <c r="EK12" s="6" t="s">
        <v>6296</v>
      </c>
      <c r="EL12" s="6" t="s">
        <v>6392</v>
      </c>
      <c r="EM12" s="6" t="s">
        <v>6497</v>
      </c>
      <c r="EN12" s="617" t="s">
        <v>112</v>
      </c>
      <c r="EO12" s="115"/>
      <c r="EP12" s="115" t="str">
        <f>IF(EN12="NA","NA",Tabela4[[#This Row],[Data de protocolo para cálculo médio]]+(VLOOKUP(Tabela4[[#This Row],[Previsão com fórmula i-Helps tipo de fila]],Formulas!$H$1:$J$13,2,FALSE)*30))</f>
        <v>NA</v>
      </c>
      <c r="EQ12" s="115" t="str">
        <f>IF(EN12="NA","NA",Tabela4[[#This Row],[Data de protocolo para cálculo médio]]+(VLOOKUP(Tabela4[[#This Row],[Previsão com fórmula i-Helps tipo de fila]],Formulas!$H$1:$J$13,3,FALSE)*30))</f>
        <v>NA</v>
      </c>
      <c r="ER12" s="115"/>
      <c r="ES12" s="685"/>
      <c r="ET12" s="666" t="s">
        <v>112</v>
      </c>
      <c r="EU12" s="617" t="s">
        <v>112</v>
      </c>
      <c r="EV12" s="617" t="s">
        <v>112</v>
      </c>
    </row>
    <row r="13" spans="1:153" s="556" customFormat="1" ht="153" outlineLevel="1" x14ac:dyDescent="0.2">
      <c r="A13" s="779" t="s">
        <v>6127</v>
      </c>
      <c r="B13" s="663" t="s">
        <v>5597</v>
      </c>
      <c r="C13" s="477" t="s">
        <v>584</v>
      </c>
      <c r="D13" s="113" t="s">
        <v>3798</v>
      </c>
      <c r="E13" s="477" t="s">
        <v>5233</v>
      </c>
      <c r="F13" s="113" t="s">
        <v>4180</v>
      </c>
      <c r="G13" s="288" t="s">
        <v>5178</v>
      </c>
      <c r="H13" s="6" t="s">
        <v>4174</v>
      </c>
      <c r="I13" s="72" t="s">
        <v>4767</v>
      </c>
      <c r="J13" s="113" t="s">
        <v>4175</v>
      </c>
      <c r="K13" s="6" t="s">
        <v>5644</v>
      </c>
      <c r="L13" s="477" t="s">
        <v>454</v>
      </c>
      <c r="M13" s="122" t="s">
        <v>1286</v>
      </c>
      <c r="N13" s="765" t="s">
        <v>6079</v>
      </c>
      <c r="O13" s="765">
        <v>44035</v>
      </c>
      <c r="P13" s="615" t="s">
        <v>6022</v>
      </c>
      <c r="Q13" s="615" t="s">
        <v>112</v>
      </c>
      <c r="R13" s="113" t="s">
        <v>3038</v>
      </c>
      <c r="S13" s="617">
        <v>44125</v>
      </c>
      <c r="T13" s="113"/>
      <c r="U13" s="113" t="s">
        <v>112</v>
      </c>
      <c r="V13" s="113"/>
      <c r="W13" s="113"/>
      <c r="X13" s="113"/>
      <c r="Y13" s="113"/>
      <c r="Z13" s="113" t="s">
        <v>112</v>
      </c>
      <c r="AA13" s="617" t="s">
        <v>112</v>
      </c>
      <c r="AB13" s="617" t="s">
        <v>112</v>
      </c>
      <c r="AC13" s="617">
        <v>44428</v>
      </c>
      <c r="AD13" s="6" t="s">
        <v>6497</v>
      </c>
      <c r="AE13" s="122"/>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c r="BS13" s="113"/>
      <c r="BT13" s="113"/>
      <c r="BU13" s="113"/>
      <c r="BV13" s="113"/>
      <c r="BW13" s="113"/>
      <c r="BX13" s="113"/>
      <c r="BY13" s="113"/>
      <c r="BZ13" s="113"/>
      <c r="CA13" s="113"/>
      <c r="CB13" s="113"/>
      <c r="CC13" s="113"/>
      <c r="CD13" s="113"/>
      <c r="CE13" s="113"/>
      <c r="CF13" s="113"/>
      <c r="CG13" s="113"/>
      <c r="CH13" s="113"/>
      <c r="CI13" s="113"/>
      <c r="CJ13" s="113"/>
      <c r="CK13" s="122"/>
      <c r="CL13" s="122"/>
      <c r="CM13" s="122"/>
      <c r="CN13" s="122"/>
      <c r="CO13" s="122"/>
      <c r="CP13" s="122"/>
      <c r="CQ13" s="122"/>
      <c r="CR13" s="122"/>
      <c r="CS13" s="122"/>
      <c r="CT13" s="122"/>
      <c r="CU13" s="122"/>
      <c r="CV13" s="122"/>
      <c r="CW13" s="122"/>
      <c r="CX13" s="122"/>
      <c r="CY13" s="122"/>
      <c r="CZ13" s="122"/>
      <c r="DA13" s="122"/>
      <c r="DB13" s="122"/>
      <c r="DC13" s="122"/>
      <c r="DD13" s="122"/>
      <c r="DE13" s="122"/>
      <c r="DF13" s="122"/>
      <c r="DG13" s="122"/>
      <c r="DH13" s="122"/>
      <c r="DI13" s="122"/>
      <c r="DJ13" s="122"/>
      <c r="DK13" s="122"/>
      <c r="DL13" s="122"/>
      <c r="DM13" s="122"/>
      <c r="DN13" s="122"/>
      <c r="DO13" s="122"/>
      <c r="DP13" s="122"/>
      <c r="DQ13" s="122"/>
      <c r="DR13" s="122"/>
      <c r="DS13" s="297"/>
      <c r="DT13" s="297"/>
      <c r="DU13" s="297"/>
      <c r="DV13" s="297"/>
      <c r="DW13" s="122"/>
      <c r="DX13" s="122"/>
      <c r="DY13" s="122"/>
      <c r="DZ13" s="122"/>
      <c r="EA13" s="122"/>
      <c r="EB13" s="297"/>
      <c r="EC13" s="297"/>
      <c r="ED13" s="297"/>
      <c r="EE13" s="297"/>
      <c r="EF13" s="297"/>
      <c r="EG13" s="297"/>
      <c r="EH13" s="297"/>
      <c r="EI13" s="297"/>
      <c r="EJ13" s="297" t="s">
        <v>6186</v>
      </c>
      <c r="EK13" s="297" t="s">
        <v>6296</v>
      </c>
      <c r="EL13" s="297" t="s">
        <v>6393</v>
      </c>
      <c r="EM13" s="6" t="s">
        <v>6497</v>
      </c>
      <c r="EN13" s="617" t="s">
        <v>112</v>
      </c>
      <c r="EO13" s="115"/>
      <c r="EP13" s="115" t="str">
        <f>IF(EN13="NA","NA",Tabela4[[#This Row],[Data de protocolo para cálculo médio]]+(VLOOKUP(Tabela4[[#This Row],[Previsão com fórmula i-Helps tipo de fila]],Formulas!$H$1:$J$13,2,FALSE)*30))</f>
        <v>NA</v>
      </c>
      <c r="EQ13" s="115" t="str">
        <f>IF(EN13="NA","NA",Tabela4[[#This Row],[Data de protocolo para cálculo médio]]+(VLOOKUP(Tabela4[[#This Row],[Previsão com fórmula i-Helps tipo de fila]],Formulas!$H$1:$J$13,3,FALSE)*30))</f>
        <v>NA</v>
      </c>
      <c r="ER13" s="115"/>
      <c r="ES13" s="685"/>
      <c r="ET13" s="666" t="s">
        <v>112</v>
      </c>
      <c r="EU13" s="617" t="s">
        <v>112</v>
      </c>
      <c r="EV13" s="617" t="s">
        <v>112</v>
      </c>
    </row>
    <row r="14" spans="1:153" s="556" customFormat="1" ht="153" outlineLevel="1" x14ac:dyDescent="0.2">
      <c r="A14" s="779" t="s">
        <v>6128</v>
      </c>
      <c r="B14" s="663" t="s">
        <v>5597</v>
      </c>
      <c r="C14" s="477" t="s">
        <v>584</v>
      </c>
      <c r="D14" s="113" t="s">
        <v>3798</v>
      </c>
      <c r="E14" s="477" t="s">
        <v>5233</v>
      </c>
      <c r="F14" s="113" t="s">
        <v>4180</v>
      </c>
      <c r="G14" s="288" t="s">
        <v>5178</v>
      </c>
      <c r="H14" s="6" t="s">
        <v>4174</v>
      </c>
      <c r="I14" s="72" t="s">
        <v>4767</v>
      </c>
      <c r="J14" s="113" t="s">
        <v>4175</v>
      </c>
      <c r="K14" s="6" t="s">
        <v>5644</v>
      </c>
      <c r="L14" s="477" t="s">
        <v>454</v>
      </c>
      <c r="M14" s="122" t="s">
        <v>1286</v>
      </c>
      <c r="N14" s="765" t="s">
        <v>6080</v>
      </c>
      <c r="O14" s="765">
        <v>43921</v>
      </c>
      <c r="P14" s="615" t="s">
        <v>6023</v>
      </c>
      <c r="Q14" s="615" t="s">
        <v>112</v>
      </c>
      <c r="R14" s="113" t="s">
        <v>2866</v>
      </c>
      <c r="S14" s="617">
        <v>44092</v>
      </c>
      <c r="T14" s="113"/>
      <c r="U14" s="113" t="s">
        <v>112</v>
      </c>
      <c r="V14" s="113"/>
      <c r="W14" s="113"/>
      <c r="X14" s="113"/>
      <c r="Y14" s="113"/>
      <c r="Z14" s="113" t="s">
        <v>112</v>
      </c>
      <c r="AA14" s="617" t="s">
        <v>112</v>
      </c>
      <c r="AB14" s="617" t="s">
        <v>112</v>
      </c>
      <c r="AC14" s="617">
        <v>44428</v>
      </c>
      <c r="AD14" s="116" t="s">
        <v>6498</v>
      </c>
      <c r="AE14" s="122"/>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22"/>
      <c r="CL14" s="122"/>
      <c r="CM14" s="122"/>
      <c r="CN14" s="122"/>
      <c r="CO14" s="122"/>
      <c r="CP14" s="122"/>
      <c r="CQ14" s="122"/>
      <c r="CR14" s="122"/>
      <c r="CS14" s="122"/>
      <c r="CT14" s="122"/>
      <c r="CU14" s="122"/>
      <c r="CV14" s="122"/>
      <c r="CW14" s="122"/>
      <c r="CX14" s="122"/>
      <c r="CY14" s="122"/>
      <c r="CZ14" s="122"/>
      <c r="DA14" s="122"/>
      <c r="DB14" s="122"/>
      <c r="DC14" s="122"/>
      <c r="DD14" s="122"/>
      <c r="DE14" s="122"/>
      <c r="DF14" s="122"/>
      <c r="DG14" s="122"/>
      <c r="DH14" s="122"/>
      <c r="DI14" s="122"/>
      <c r="DJ14" s="122"/>
      <c r="DK14" s="122"/>
      <c r="DL14" s="122"/>
      <c r="DM14" s="122"/>
      <c r="DN14" s="122"/>
      <c r="DO14" s="122"/>
      <c r="DP14" s="122"/>
      <c r="DQ14" s="122"/>
      <c r="DR14" s="122"/>
      <c r="DS14" s="122"/>
      <c r="DT14" s="122"/>
      <c r="DU14" s="122"/>
      <c r="DV14" s="122"/>
      <c r="DW14" s="122"/>
      <c r="DX14" s="122"/>
      <c r="DY14" s="122"/>
      <c r="DZ14" s="122"/>
      <c r="EA14" s="122"/>
      <c r="EB14" s="122"/>
      <c r="EC14" s="122"/>
      <c r="ED14" s="122"/>
      <c r="EE14" s="122"/>
      <c r="EF14" s="122"/>
      <c r="EG14" s="122"/>
      <c r="EH14" s="122"/>
      <c r="EI14" s="122"/>
      <c r="EJ14" s="116" t="s">
        <v>6187</v>
      </c>
      <c r="EK14" s="116" t="s">
        <v>6297</v>
      </c>
      <c r="EL14" s="116" t="s">
        <v>6394</v>
      </c>
      <c r="EM14" s="116" t="s">
        <v>6498</v>
      </c>
      <c r="EN14" s="617" t="s">
        <v>112</v>
      </c>
      <c r="EO14" s="115"/>
      <c r="EP14" s="115" t="str">
        <f>IF(EN14="NA","NA",Tabela4[[#This Row],[Data de protocolo para cálculo médio]]+(VLOOKUP(Tabela4[[#This Row],[Previsão com fórmula i-Helps tipo de fila]],Formulas!$H$1:$J$13,2,FALSE)*30))</f>
        <v>NA</v>
      </c>
      <c r="EQ14" s="115" t="str">
        <f>IF(EN14="NA","NA",Tabela4[[#This Row],[Data de protocolo para cálculo médio]]+(VLOOKUP(Tabela4[[#This Row],[Previsão com fórmula i-Helps tipo de fila]],Formulas!$H$1:$J$13,3,FALSE)*30))</f>
        <v>NA</v>
      </c>
      <c r="ER14" s="115"/>
      <c r="ES14" s="685"/>
      <c r="ET14" s="666" t="s">
        <v>112</v>
      </c>
      <c r="EU14" s="617" t="s">
        <v>112</v>
      </c>
      <c r="EV14" s="617" t="s">
        <v>112</v>
      </c>
    </row>
    <row r="15" spans="1:153" s="556" customFormat="1" ht="108" customHeight="1" outlineLevel="1" x14ac:dyDescent="0.2">
      <c r="A15" s="779" t="s">
        <v>6129</v>
      </c>
      <c r="B15" s="663" t="s">
        <v>5597</v>
      </c>
      <c r="C15" s="477" t="s">
        <v>584</v>
      </c>
      <c r="D15" s="113" t="s">
        <v>3798</v>
      </c>
      <c r="E15" s="477" t="s">
        <v>5233</v>
      </c>
      <c r="F15" s="113" t="s">
        <v>4180</v>
      </c>
      <c r="G15" s="288" t="s">
        <v>5178</v>
      </c>
      <c r="H15" s="6" t="s">
        <v>4174</v>
      </c>
      <c r="I15" s="72" t="s">
        <v>4767</v>
      </c>
      <c r="J15" s="113" t="s">
        <v>4175</v>
      </c>
      <c r="K15" s="6" t="s">
        <v>5644</v>
      </c>
      <c r="L15" s="477" t="s">
        <v>454</v>
      </c>
      <c r="M15" s="122" t="s">
        <v>1286</v>
      </c>
      <c r="N15" s="765" t="s">
        <v>6082</v>
      </c>
      <c r="O15" s="765">
        <v>43817</v>
      </c>
      <c r="P15" s="615" t="s">
        <v>6024</v>
      </c>
      <c r="Q15" s="615" t="s">
        <v>112</v>
      </c>
      <c r="R15" s="113" t="s">
        <v>3087</v>
      </c>
      <c r="S15" s="617"/>
      <c r="T15" s="113"/>
      <c r="U15" s="113" t="s">
        <v>112</v>
      </c>
      <c r="V15" s="113"/>
      <c r="W15" s="113"/>
      <c r="X15" s="113"/>
      <c r="Y15" s="113"/>
      <c r="Z15" s="113" t="s">
        <v>112</v>
      </c>
      <c r="AA15" s="617" t="s">
        <v>112</v>
      </c>
      <c r="AB15" s="617" t="s">
        <v>112</v>
      </c>
      <c r="AC15" s="617">
        <v>44428</v>
      </c>
      <c r="AD15" s="116" t="s">
        <v>6499</v>
      </c>
      <c r="AE15" s="122"/>
      <c r="AF15" s="113"/>
      <c r="AG15" s="113"/>
      <c r="AH15" s="113"/>
      <c r="AI15" s="113"/>
      <c r="AJ15" s="113"/>
      <c r="AK15" s="113"/>
      <c r="AL15" s="113"/>
      <c r="AM15" s="113"/>
      <c r="AN15" s="113"/>
      <c r="AO15" s="113"/>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3"/>
      <c r="BM15" s="113"/>
      <c r="BN15" s="113"/>
      <c r="BO15" s="113"/>
      <c r="BP15" s="113"/>
      <c r="BQ15" s="113"/>
      <c r="BR15" s="113"/>
      <c r="BS15" s="113"/>
      <c r="BT15" s="113"/>
      <c r="BU15" s="113"/>
      <c r="BV15" s="113"/>
      <c r="BW15" s="113"/>
      <c r="BX15" s="113"/>
      <c r="BY15" s="113"/>
      <c r="BZ15" s="113"/>
      <c r="CA15" s="113"/>
      <c r="CB15" s="113"/>
      <c r="CC15" s="113"/>
      <c r="CD15" s="113"/>
      <c r="CE15" s="113"/>
      <c r="CF15" s="113"/>
      <c r="CG15" s="113"/>
      <c r="CH15" s="113"/>
      <c r="CI15" s="113"/>
      <c r="CJ15" s="113"/>
      <c r="CK15" s="122"/>
      <c r="CL15" s="122"/>
      <c r="CM15" s="122"/>
      <c r="CN15" s="122"/>
      <c r="CO15" s="122"/>
      <c r="CP15" s="122"/>
      <c r="CQ15" s="122"/>
      <c r="CR15" s="122"/>
      <c r="CS15" s="122"/>
      <c r="CT15" s="122"/>
      <c r="CU15" s="122"/>
      <c r="CV15" s="122"/>
      <c r="CW15" s="122"/>
      <c r="CX15" s="122"/>
      <c r="CY15" s="122"/>
      <c r="CZ15" s="122"/>
      <c r="DA15" s="122"/>
      <c r="DB15" s="122"/>
      <c r="DC15" s="122"/>
      <c r="DD15" s="122"/>
      <c r="DE15" s="122"/>
      <c r="DF15" s="122"/>
      <c r="DG15" s="122"/>
      <c r="DH15" s="122"/>
      <c r="DI15" s="122"/>
      <c r="DJ15" s="122"/>
      <c r="DK15" s="122"/>
      <c r="DL15" s="122"/>
      <c r="DM15" s="122"/>
      <c r="DN15" s="122"/>
      <c r="DO15" s="122"/>
      <c r="DP15" s="122"/>
      <c r="DQ15" s="122"/>
      <c r="DR15" s="122"/>
      <c r="DS15" s="122"/>
      <c r="DT15" s="122"/>
      <c r="DU15" s="122"/>
      <c r="DV15" s="122"/>
      <c r="DW15" s="122"/>
      <c r="DX15" s="122"/>
      <c r="DY15" s="122"/>
      <c r="DZ15" s="122"/>
      <c r="EA15" s="122"/>
      <c r="EB15" s="122"/>
      <c r="EC15" s="122"/>
      <c r="ED15" s="122"/>
      <c r="EE15" s="122"/>
      <c r="EF15" s="122"/>
      <c r="EG15" s="122"/>
      <c r="EH15" s="122"/>
      <c r="EI15" s="122"/>
      <c r="EJ15" s="116" t="s">
        <v>6188</v>
      </c>
      <c r="EK15" s="116" t="s">
        <v>6298</v>
      </c>
      <c r="EL15" s="116" t="s">
        <v>6395</v>
      </c>
      <c r="EM15" s="116" t="s">
        <v>6499</v>
      </c>
      <c r="EN15" s="617" t="s">
        <v>112</v>
      </c>
      <c r="EO15" s="115"/>
      <c r="EP15" s="115" t="str">
        <f>IF(EN15="NA","NA",Tabela4[[#This Row],[Data de protocolo para cálculo médio]]+(VLOOKUP(Tabela4[[#This Row],[Previsão com fórmula i-Helps tipo de fila]],Formulas!$H$1:$J$13,2,FALSE)*30))</f>
        <v>NA</v>
      </c>
      <c r="EQ15" s="115" t="str">
        <f>IF(EN15="NA","NA",Tabela4[[#This Row],[Data de protocolo para cálculo médio]]+(VLOOKUP(Tabela4[[#This Row],[Previsão com fórmula i-Helps tipo de fila]],Formulas!$H$1:$J$13,3,FALSE)*30))</f>
        <v>NA</v>
      </c>
      <c r="ER15" s="115"/>
      <c r="ES15" s="685"/>
      <c r="ET15" s="666" t="s">
        <v>112</v>
      </c>
      <c r="EU15" s="617" t="s">
        <v>112</v>
      </c>
      <c r="EV15" s="617" t="s">
        <v>112</v>
      </c>
    </row>
    <row r="16" spans="1:153" s="556" customFormat="1" ht="70.5" customHeight="1" outlineLevel="1" x14ac:dyDescent="0.2">
      <c r="A16" s="779" t="s">
        <v>6130</v>
      </c>
      <c r="B16" s="663" t="s">
        <v>5597</v>
      </c>
      <c r="C16" s="477" t="s">
        <v>584</v>
      </c>
      <c r="D16" s="113" t="s">
        <v>3798</v>
      </c>
      <c r="E16" s="477" t="s">
        <v>5233</v>
      </c>
      <c r="F16" s="113" t="s">
        <v>4180</v>
      </c>
      <c r="G16" s="288" t="s">
        <v>5178</v>
      </c>
      <c r="H16" s="6" t="s">
        <v>4174</v>
      </c>
      <c r="I16" s="72" t="s">
        <v>4767</v>
      </c>
      <c r="J16" s="113" t="s">
        <v>4175</v>
      </c>
      <c r="K16" s="6" t="s">
        <v>5644</v>
      </c>
      <c r="L16" s="477" t="s">
        <v>454</v>
      </c>
      <c r="M16" s="122" t="s">
        <v>1286</v>
      </c>
      <c r="N16" s="113" t="s">
        <v>6083</v>
      </c>
      <c r="O16" s="765">
        <v>43691</v>
      </c>
      <c r="P16" s="615" t="s">
        <v>6102</v>
      </c>
      <c r="Q16" s="615" t="s">
        <v>112</v>
      </c>
      <c r="R16" s="113" t="s">
        <v>2866</v>
      </c>
      <c r="S16" s="617">
        <v>43860</v>
      </c>
      <c r="T16" s="113"/>
      <c r="U16" s="113" t="s">
        <v>112</v>
      </c>
      <c r="V16" s="113"/>
      <c r="W16" s="113"/>
      <c r="X16" s="113"/>
      <c r="Y16" s="113"/>
      <c r="Z16" s="113" t="s">
        <v>112</v>
      </c>
      <c r="AA16" s="617" t="s">
        <v>112</v>
      </c>
      <c r="AB16" s="617" t="s">
        <v>112</v>
      </c>
      <c r="AC16" s="617">
        <v>44428</v>
      </c>
      <c r="AD16" s="116" t="s">
        <v>6500</v>
      </c>
      <c r="AE16" s="122"/>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c r="BS16" s="113"/>
      <c r="BT16" s="113"/>
      <c r="BU16" s="113"/>
      <c r="BV16" s="113"/>
      <c r="BW16" s="113"/>
      <c r="BX16" s="113"/>
      <c r="BY16" s="113"/>
      <c r="BZ16" s="113"/>
      <c r="CA16" s="113"/>
      <c r="CB16" s="113"/>
      <c r="CC16" s="113"/>
      <c r="CD16" s="113"/>
      <c r="CE16" s="113"/>
      <c r="CF16" s="113"/>
      <c r="CG16" s="113"/>
      <c r="CH16" s="113"/>
      <c r="CI16" s="113"/>
      <c r="CJ16" s="113"/>
      <c r="CK16" s="122"/>
      <c r="CL16" s="122"/>
      <c r="CM16" s="122"/>
      <c r="CN16" s="122"/>
      <c r="CO16" s="122"/>
      <c r="CP16" s="122"/>
      <c r="CQ16" s="122"/>
      <c r="CR16" s="122"/>
      <c r="CS16" s="122"/>
      <c r="CT16" s="122"/>
      <c r="CU16" s="122"/>
      <c r="CV16" s="122"/>
      <c r="CW16" s="122"/>
      <c r="CX16" s="122"/>
      <c r="CY16" s="122"/>
      <c r="CZ16" s="122"/>
      <c r="DA16" s="122"/>
      <c r="DB16" s="122"/>
      <c r="DC16" s="122"/>
      <c r="DD16" s="122"/>
      <c r="DE16" s="122"/>
      <c r="DF16" s="122"/>
      <c r="DG16" s="122"/>
      <c r="DH16" s="122"/>
      <c r="DI16" s="122"/>
      <c r="DJ16" s="122"/>
      <c r="DK16" s="122"/>
      <c r="DL16" s="122"/>
      <c r="DM16" s="122"/>
      <c r="DN16" s="122"/>
      <c r="DO16" s="122"/>
      <c r="DP16" s="122"/>
      <c r="DQ16" s="122"/>
      <c r="DR16" s="122"/>
      <c r="DS16" s="297"/>
      <c r="DT16" s="297"/>
      <c r="DU16" s="297"/>
      <c r="DV16" s="297"/>
      <c r="DW16" s="122"/>
      <c r="DX16" s="122"/>
      <c r="DY16" s="122"/>
      <c r="DZ16" s="122"/>
      <c r="EA16" s="122"/>
      <c r="EB16" s="297"/>
      <c r="EC16" s="297"/>
      <c r="ED16" s="297"/>
      <c r="EE16" s="297"/>
      <c r="EF16" s="297"/>
      <c r="EG16" s="297"/>
      <c r="EH16" s="297"/>
      <c r="EI16" s="297"/>
      <c r="EJ16" s="116" t="s">
        <v>6189</v>
      </c>
      <c r="EK16" s="116" t="s">
        <v>6299</v>
      </c>
      <c r="EL16" s="116" t="s">
        <v>6396</v>
      </c>
      <c r="EM16" s="116" t="s">
        <v>6500</v>
      </c>
      <c r="EN16" s="617" t="s">
        <v>112</v>
      </c>
      <c r="EO16" s="115"/>
      <c r="EP16" s="115" t="str">
        <f>IF(EN16="NA","NA",Tabela4[[#This Row],[Data de protocolo para cálculo médio]]+(VLOOKUP(Tabela4[[#This Row],[Previsão com fórmula i-Helps tipo de fila]],Formulas!$H$1:$J$13,2,FALSE)*30))</f>
        <v>NA</v>
      </c>
      <c r="EQ16" s="115" t="str">
        <f>IF(EN16="NA","NA",Tabela4[[#This Row],[Data de protocolo para cálculo médio]]+(VLOOKUP(Tabela4[[#This Row],[Previsão com fórmula i-Helps tipo de fila]],Formulas!$H$1:$J$13,3,FALSE)*30))</f>
        <v>NA</v>
      </c>
      <c r="ER16" s="115"/>
      <c r="ES16" s="685"/>
      <c r="ET16" s="666" t="s">
        <v>112</v>
      </c>
      <c r="EU16" s="617" t="s">
        <v>112</v>
      </c>
      <c r="EV16" s="617" t="s">
        <v>112</v>
      </c>
    </row>
    <row r="17" spans="1:153" s="556" customFormat="1" ht="408" x14ac:dyDescent="0.2">
      <c r="A17" s="779">
        <v>10</v>
      </c>
      <c r="B17" s="663" t="s">
        <v>5598</v>
      </c>
      <c r="C17" s="477" t="s">
        <v>584</v>
      </c>
      <c r="D17" s="113" t="s">
        <v>3797</v>
      </c>
      <c r="E17" s="477" t="s">
        <v>5231</v>
      </c>
      <c r="F17" s="113" t="s">
        <v>5715</v>
      </c>
      <c r="G17" s="288" t="s">
        <v>4665</v>
      </c>
      <c r="H17" s="6" t="s">
        <v>4166</v>
      </c>
      <c r="I17" s="72" t="s">
        <v>3968</v>
      </c>
      <c r="J17" s="113" t="s">
        <v>3966</v>
      </c>
      <c r="K17" s="6" t="s">
        <v>3967</v>
      </c>
      <c r="L17" s="477" t="s">
        <v>11</v>
      </c>
      <c r="M17" s="122" t="s">
        <v>3098</v>
      </c>
      <c r="N17" s="122" t="s">
        <v>3090</v>
      </c>
      <c r="O17" s="643">
        <v>43679</v>
      </c>
      <c r="P17" s="615" t="s">
        <v>6109</v>
      </c>
      <c r="Q17" s="615" t="s">
        <v>6258</v>
      </c>
      <c r="R17" s="477" t="s">
        <v>4252</v>
      </c>
      <c r="S17" s="612"/>
      <c r="T17" s="477" t="s">
        <v>1418</v>
      </c>
      <c r="U17" s="778" t="s">
        <v>5716</v>
      </c>
      <c r="V17" s="113" t="s">
        <v>5704</v>
      </c>
      <c r="W17" s="477" t="s">
        <v>3337</v>
      </c>
      <c r="X17" s="477" t="s">
        <v>3995</v>
      </c>
      <c r="Y17" s="477" t="s">
        <v>112</v>
      </c>
      <c r="Z17" s="477" t="s">
        <v>3084</v>
      </c>
      <c r="AA17" s="612" t="s">
        <v>5587</v>
      </c>
      <c r="AB17" s="477" t="s">
        <v>4205</v>
      </c>
      <c r="AC17" s="617">
        <v>44428</v>
      </c>
      <c r="AD17" s="901" t="s">
        <v>6501</v>
      </c>
      <c r="AE17" s="122"/>
      <c r="AF17" s="477"/>
      <c r="AG17" s="477"/>
      <c r="AH17" s="477"/>
      <c r="AI17" s="477"/>
      <c r="AJ17" s="477"/>
      <c r="AK17" s="477"/>
      <c r="AL17" s="477"/>
      <c r="AM17" s="477"/>
      <c r="AN17" s="477"/>
      <c r="AO17" s="477" t="s">
        <v>4205</v>
      </c>
      <c r="AP17" s="477" t="s">
        <v>4204</v>
      </c>
      <c r="AQ17" s="477" t="s">
        <v>4248</v>
      </c>
      <c r="AR17" s="477" t="s">
        <v>4270</v>
      </c>
      <c r="AS17" s="477" t="s">
        <v>4316</v>
      </c>
      <c r="AT17" s="477" t="s">
        <v>4352</v>
      </c>
      <c r="AU17" s="477" t="s">
        <v>4352</v>
      </c>
      <c r="AV17" s="477" t="s">
        <v>4386</v>
      </c>
      <c r="AW17" s="477" t="s">
        <v>4386</v>
      </c>
      <c r="AX17" s="477" t="s">
        <v>4422</v>
      </c>
      <c r="AY17" s="477" t="s">
        <v>4422</v>
      </c>
      <c r="AZ17" s="477" t="s">
        <v>4450</v>
      </c>
      <c r="BA17" s="477" t="s">
        <v>4471</v>
      </c>
      <c r="BB17" s="477" t="s">
        <v>4486</v>
      </c>
      <c r="BC17" s="477" t="s">
        <v>4508</v>
      </c>
      <c r="BD17" s="477" t="s">
        <v>4508</v>
      </c>
      <c r="BE17" s="477" t="s">
        <v>4551</v>
      </c>
      <c r="BF17" s="477" t="s">
        <v>4575</v>
      </c>
      <c r="BG17" s="477" t="s">
        <v>4575</v>
      </c>
      <c r="BH17" s="477" t="s">
        <v>4611</v>
      </c>
      <c r="BI17" s="477" t="s">
        <v>4666</v>
      </c>
      <c r="BJ17" s="477" t="s">
        <v>4666</v>
      </c>
      <c r="BK17" s="477" t="s">
        <v>4666</v>
      </c>
      <c r="BL17" s="477" t="s">
        <v>4666</v>
      </c>
      <c r="BM17" s="477" t="s">
        <v>4666</v>
      </c>
      <c r="BN17" s="477" t="s">
        <v>4666</v>
      </c>
      <c r="BO17" s="477" t="s">
        <v>4666</v>
      </c>
      <c r="BP17" s="477" t="s">
        <v>4666</v>
      </c>
      <c r="BQ17" s="477" t="s">
        <v>4666</v>
      </c>
      <c r="BR17" s="477" t="s">
        <v>4666</v>
      </c>
      <c r="BS17" s="477" t="s">
        <v>4666</v>
      </c>
      <c r="BT17" s="477" t="s">
        <v>4666</v>
      </c>
      <c r="BU17" s="477" t="s">
        <v>4666</v>
      </c>
      <c r="BV17" s="477" t="s">
        <v>4666</v>
      </c>
      <c r="BW17" s="477" t="s">
        <v>4666</v>
      </c>
      <c r="BX17" s="477" t="s">
        <v>4666</v>
      </c>
      <c r="BY17" s="477" t="s">
        <v>4666</v>
      </c>
      <c r="BZ17" s="477" t="s">
        <v>4666</v>
      </c>
      <c r="CA17" s="477" t="s">
        <v>4666</v>
      </c>
      <c r="CB17" s="477" t="s">
        <v>4666</v>
      </c>
      <c r="CC17" s="477" t="s">
        <v>4666</v>
      </c>
      <c r="CD17" s="477" t="s">
        <v>4666</v>
      </c>
      <c r="CE17" s="477" t="s">
        <v>4666</v>
      </c>
      <c r="CF17" s="477" t="s">
        <v>4666</v>
      </c>
      <c r="CG17" s="477" t="s">
        <v>4666</v>
      </c>
      <c r="CH17" s="477" t="s">
        <v>4666</v>
      </c>
      <c r="CI17" s="477" t="s">
        <v>4666</v>
      </c>
      <c r="CJ17" s="477" t="s">
        <v>4666</v>
      </c>
      <c r="CK17" s="626" t="s">
        <v>4666</v>
      </c>
      <c r="CL17" s="626" t="s">
        <v>4666</v>
      </c>
      <c r="CM17" s="626" t="s">
        <v>4666</v>
      </c>
      <c r="CN17" s="626" t="s">
        <v>4666</v>
      </c>
      <c r="CO17" s="626" t="s">
        <v>4666</v>
      </c>
      <c r="CP17" s="626" t="s">
        <v>4666</v>
      </c>
      <c r="CQ17" s="626" t="s">
        <v>4666</v>
      </c>
      <c r="CR17" s="626" t="s">
        <v>4666</v>
      </c>
      <c r="CS17" s="626" t="s">
        <v>4666</v>
      </c>
      <c r="CT17" s="626" t="s">
        <v>4666</v>
      </c>
      <c r="CU17" s="626" t="s">
        <v>4666</v>
      </c>
      <c r="CV17" s="626" t="s">
        <v>4663</v>
      </c>
      <c r="CW17" s="626" t="s">
        <v>5245</v>
      </c>
      <c r="CX17" s="626" t="s">
        <v>5245</v>
      </c>
      <c r="CY17" s="626" t="s">
        <v>5245</v>
      </c>
      <c r="CZ17" s="626" t="s">
        <v>5245</v>
      </c>
      <c r="DA17" s="626" t="s">
        <v>5245</v>
      </c>
      <c r="DB17" s="626" t="s">
        <v>5245</v>
      </c>
      <c r="DC17" s="626" t="s">
        <v>5245</v>
      </c>
      <c r="DD17" s="626" t="s">
        <v>5245</v>
      </c>
      <c r="DE17" s="626" t="s">
        <v>5245</v>
      </c>
      <c r="DF17" s="626" t="s">
        <v>5245</v>
      </c>
      <c r="DG17" s="626" t="s">
        <v>5245</v>
      </c>
      <c r="DH17" s="626" t="s">
        <v>5245</v>
      </c>
      <c r="DI17" s="626" t="s">
        <v>5245</v>
      </c>
      <c r="DJ17" s="626" t="s">
        <v>5245</v>
      </c>
      <c r="DK17" s="626" t="s">
        <v>5245</v>
      </c>
      <c r="DL17" s="626" t="s">
        <v>5245</v>
      </c>
      <c r="DM17" s="626" t="s">
        <v>5245</v>
      </c>
      <c r="DN17" s="626" t="s">
        <v>5245</v>
      </c>
      <c r="DO17" s="626" t="s">
        <v>5245</v>
      </c>
      <c r="DP17" s="626" t="s">
        <v>5245</v>
      </c>
      <c r="DQ17" s="626" t="s">
        <v>5245</v>
      </c>
      <c r="DR17" s="626" t="s">
        <v>5245</v>
      </c>
      <c r="DS17" s="626" t="s">
        <v>5245</v>
      </c>
      <c r="DT17" s="122" t="s">
        <v>5723</v>
      </c>
      <c r="DU17" s="122" t="s">
        <v>5723</v>
      </c>
      <c r="DV17" s="122" t="s">
        <v>5723</v>
      </c>
      <c r="DW17" s="122" t="s">
        <v>5723</v>
      </c>
      <c r="DX17" s="122" t="s">
        <v>5723</v>
      </c>
      <c r="DY17" s="122" t="s">
        <v>5860</v>
      </c>
      <c r="DZ17" s="122" t="s">
        <v>5860</v>
      </c>
      <c r="EA17" s="122" t="s">
        <v>5860</v>
      </c>
      <c r="EB17" s="122" t="s">
        <v>5890</v>
      </c>
      <c r="EC17" s="122" t="s">
        <v>5890</v>
      </c>
      <c r="ED17" s="122" t="s">
        <v>5890</v>
      </c>
      <c r="EE17" s="122" t="s">
        <v>5890</v>
      </c>
      <c r="EF17" s="122" t="s">
        <v>5890</v>
      </c>
      <c r="EG17" s="122" t="s">
        <v>5890</v>
      </c>
      <c r="EH17" s="122" t="s">
        <v>5890</v>
      </c>
      <c r="EI17" s="122" t="s">
        <v>5890</v>
      </c>
      <c r="EJ17" s="116" t="s">
        <v>6259</v>
      </c>
      <c r="EK17" s="901" t="s">
        <v>6300</v>
      </c>
      <c r="EL17" s="901" t="s">
        <v>6397</v>
      </c>
      <c r="EM17" s="901" t="s">
        <v>6501</v>
      </c>
      <c r="EN17" s="612" t="s">
        <v>5165</v>
      </c>
      <c r="EO17" s="664">
        <v>43616</v>
      </c>
      <c r="EP17" s="664">
        <f>IF(EN17="NA","NA",Tabela4[[#This Row],[Data de protocolo para cálculo médio]]+(VLOOKUP(Tabela4[[#This Row],[Previsão com fórmula i-Helps tipo de fila]],Formulas!$H$1:$J$13,2,FALSE)*30))</f>
        <v>44018</v>
      </c>
      <c r="EQ17" s="664">
        <f>IF(EN17="NA","NA",Tabela4[[#This Row],[Data de protocolo para cálculo médio]]+(VLOOKUP(Tabela4[[#This Row],[Previsão com fórmula i-Helps tipo de fila]],Formulas!$H$1:$J$13,3,FALSE)*30))</f>
        <v>44201</v>
      </c>
      <c r="ER17" s="501">
        <v>44197</v>
      </c>
      <c r="ES17" s="122" t="s">
        <v>5748</v>
      </c>
      <c r="ET17" s="666" t="s">
        <v>5059</v>
      </c>
      <c r="EU17" s="617" t="s">
        <v>5060</v>
      </c>
      <c r="EV17" s="617" t="s">
        <v>5061</v>
      </c>
    </row>
    <row r="18" spans="1:153" s="556" customFormat="1" ht="299.25" customHeight="1" x14ac:dyDescent="0.2">
      <c r="A18" s="779">
        <v>11</v>
      </c>
      <c r="B18" s="663" t="s">
        <v>5599</v>
      </c>
      <c r="C18" s="477" t="s">
        <v>584</v>
      </c>
      <c r="D18" s="113" t="s">
        <v>3798</v>
      </c>
      <c r="E18" s="477" t="s">
        <v>5233</v>
      </c>
      <c r="F18" s="113" t="s">
        <v>3546</v>
      </c>
      <c r="G18" s="288" t="s">
        <v>5107</v>
      </c>
      <c r="H18" s="6" t="s">
        <v>3484</v>
      </c>
      <c r="I18" s="72" t="s">
        <v>1806</v>
      </c>
      <c r="J18" s="113" t="s">
        <v>4834</v>
      </c>
      <c r="K18" s="6" t="s">
        <v>763</v>
      </c>
      <c r="L18" s="477" t="s">
        <v>11</v>
      </c>
      <c r="M18" s="122" t="s">
        <v>2583</v>
      </c>
      <c r="N18" s="122" t="s">
        <v>3903</v>
      </c>
      <c r="O18" s="643">
        <v>43850</v>
      </c>
      <c r="P18" s="615" t="s">
        <v>6114</v>
      </c>
      <c r="Q18" s="615" t="s">
        <v>6115</v>
      </c>
      <c r="R18" s="477" t="s">
        <v>4251</v>
      </c>
      <c r="S18" s="612"/>
      <c r="T18" s="477" t="s">
        <v>4869</v>
      </c>
      <c r="U18" s="272" t="s">
        <v>5108</v>
      </c>
      <c r="V18" s="113" t="s">
        <v>5914</v>
      </c>
      <c r="W18" s="477" t="s">
        <v>4773</v>
      </c>
      <c r="X18" s="113" t="s">
        <v>4874</v>
      </c>
      <c r="Y18" s="477" t="s">
        <v>3084</v>
      </c>
      <c r="Z18" s="477" t="s">
        <v>3084</v>
      </c>
      <c r="AA18" s="612">
        <v>43882</v>
      </c>
      <c r="AB18" s="477" t="s">
        <v>4862</v>
      </c>
      <c r="AC18" s="617">
        <v>44428</v>
      </c>
      <c r="AD18" s="901" t="s">
        <v>6502</v>
      </c>
      <c r="AE18" s="122"/>
      <c r="AF18" s="477"/>
      <c r="AG18" s="477"/>
      <c r="AH18" s="477"/>
      <c r="AI18" s="477"/>
      <c r="AJ18" s="477"/>
      <c r="AK18" s="477"/>
      <c r="AL18" s="477"/>
      <c r="AM18" s="477"/>
      <c r="AN18" s="477"/>
      <c r="AO18" s="477"/>
      <c r="AP18" s="477"/>
      <c r="AQ18" s="477"/>
      <c r="AR18" s="477"/>
      <c r="AS18" s="477"/>
      <c r="AT18" s="477"/>
      <c r="AU18" s="477"/>
      <c r="AV18" s="477"/>
      <c r="AW18" s="477"/>
      <c r="AX18" s="477"/>
      <c r="AY18" s="477"/>
      <c r="AZ18" s="477"/>
      <c r="BA18" s="477"/>
      <c r="BB18" s="477"/>
      <c r="BC18" s="477"/>
      <c r="BD18" s="477"/>
      <c r="BE18" s="477"/>
      <c r="BF18" s="477"/>
      <c r="BG18" s="477"/>
      <c r="BH18" s="477"/>
      <c r="BI18" s="477"/>
      <c r="BJ18" s="477"/>
      <c r="BK18" s="477"/>
      <c r="BL18" s="477"/>
      <c r="BM18" s="477"/>
      <c r="BN18" s="477"/>
      <c r="BO18" s="477" t="s">
        <v>4862</v>
      </c>
      <c r="BP18" s="477" t="s">
        <v>4862</v>
      </c>
      <c r="BQ18" s="477" t="s">
        <v>4862</v>
      </c>
      <c r="BR18" s="477" t="s">
        <v>4862</v>
      </c>
      <c r="BS18" s="477" t="s">
        <v>4892</v>
      </c>
      <c r="BT18" s="477" t="s">
        <v>4910</v>
      </c>
      <c r="BU18" s="477" t="s">
        <v>4910</v>
      </c>
      <c r="BV18" s="477" t="s">
        <v>4910</v>
      </c>
      <c r="BW18" s="477" t="s">
        <v>4910</v>
      </c>
      <c r="BX18" s="477" t="s">
        <v>4938</v>
      </c>
      <c r="BY18" s="477" t="s">
        <v>4910</v>
      </c>
      <c r="BZ18" s="477" t="s">
        <v>4910</v>
      </c>
      <c r="CA18" s="477" t="s">
        <v>4986</v>
      </c>
      <c r="CB18" s="477" t="s">
        <v>4987</v>
      </c>
      <c r="CC18" s="477" t="s">
        <v>4986</v>
      </c>
      <c r="CD18" s="477" t="s">
        <v>5026</v>
      </c>
      <c r="CE18" s="477" t="s">
        <v>5026</v>
      </c>
      <c r="CF18" s="477" t="s">
        <v>5032</v>
      </c>
      <c r="CG18" s="477" t="s">
        <v>5043</v>
      </c>
      <c r="CH18" s="477" t="s">
        <v>5043</v>
      </c>
      <c r="CI18" s="477" t="s">
        <v>5092</v>
      </c>
      <c r="CJ18" s="477" t="s">
        <v>5092</v>
      </c>
      <c r="CK18" s="626" t="s">
        <v>5124</v>
      </c>
      <c r="CL18" s="626" t="s">
        <v>5124</v>
      </c>
      <c r="CM18" s="626" t="s">
        <v>5172</v>
      </c>
      <c r="CN18" s="626" t="s">
        <v>5172</v>
      </c>
      <c r="CO18" s="626" t="s">
        <v>5180</v>
      </c>
      <c r="CP18" s="626" t="s">
        <v>5180</v>
      </c>
      <c r="CQ18" s="626" t="s">
        <v>5180</v>
      </c>
      <c r="CR18" s="626" t="s">
        <v>5203</v>
      </c>
      <c r="CS18" s="626" t="s">
        <v>5203</v>
      </c>
      <c r="CT18" s="626" t="s">
        <v>5221</v>
      </c>
      <c r="CU18" s="626" t="s">
        <v>5236</v>
      </c>
      <c r="CV18" s="626" t="s">
        <v>5236</v>
      </c>
      <c r="CW18" s="626" t="s">
        <v>5236</v>
      </c>
      <c r="CX18" s="626" t="s">
        <v>5257</v>
      </c>
      <c r="CY18" s="626" t="s">
        <v>5257</v>
      </c>
      <c r="CZ18" s="626" t="s">
        <v>5299</v>
      </c>
      <c r="DA18" s="626" t="s">
        <v>5299</v>
      </c>
      <c r="DB18" s="626" t="s">
        <v>5299</v>
      </c>
      <c r="DC18" s="626" t="s">
        <v>5299</v>
      </c>
      <c r="DD18" s="626" t="s">
        <v>5299</v>
      </c>
      <c r="DE18" s="626" t="s">
        <v>5299</v>
      </c>
      <c r="DF18" s="626" t="s">
        <v>5299</v>
      </c>
      <c r="DG18" s="626" t="s">
        <v>5299</v>
      </c>
      <c r="DH18" s="626" t="s">
        <v>5299</v>
      </c>
      <c r="DI18" s="626" t="s">
        <v>5299</v>
      </c>
      <c r="DJ18" s="626" t="s">
        <v>5299</v>
      </c>
      <c r="DK18" s="626" t="s">
        <v>5496</v>
      </c>
      <c r="DL18" s="626" t="s">
        <v>5518</v>
      </c>
      <c r="DM18" s="626" t="s">
        <v>5546</v>
      </c>
      <c r="DN18" s="626" t="s">
        <v>5555</v>
      </c>
      <c r="DO18" s="626" t="s">
        <v>5565</v>
      </c>
      <c r="DP18" s="122" t="s">
        <v>5642</v>
      </c>
      <c r="DQ18" s="122" t="s">
        <v>5658</v>
      </c>
      <c r="DR18" s="122" t="s">
        <v>5676</v>
      </c>
      <c r="DS18" s="122" t="s">
        <v>5676</v>
      </c>
      <c r="DT18" s="122" t="s">
        <v>5676</v>
      </c>
      <c r="DU18" s="122" t="s">
        <v>5676</v>
      </c>
      <c r="DV18" s="122" t="s">
        <v>5676</v>
      </c>
      <c r="DW18" s="122" t="s">
        <v>5779</v>
      </c>
      <c r="DX18" s="122" t="s">
        <v>5779</v>
      </c>
      <c r="DY18" s="122" t="s">
        <v>5779</v>
      </c>
      <c r="DZ18" s="122" t="s">
        <v>5872</v>
      </c>
      <c r="EA18" s="122" t="s">
        <v>5885</v>
      </c>
      <c r="EB18" s="122" t="s">
        <v>5885</v>
      </c>
      <c r="EC18" s="122" t="s">
        <v>5885</v>
      </c>
      <c r="ED18" s="122" t="s">
        <v>5885</v>
      </c>
      <c r="EE18" s="122" t="s">
        <v>5885</v>
      </c>
      <c r="EF18" s="122" t="s">
        <v>5885</v>
      </c>
      <c r="EG18" s="122" t="s">
        <v>5885</v>
      </c>
      <c r="EH18" s="122" t="s">
        <v>5885</v>
      </c>
      <c r="EI18" s="122" t="s">
        <v>5885</v>
      </c>
      <c r="EJ18" s="116" t="s">
        <v>6190</v>
      </c>
      <c r="EK18" s="901" t="s">
        <v>6301</v>
      </c>
      <c r="EL18" s="901" t="s">
        <v>6398</v>
      </c>
      <c r="EM18" s="901" t="s">
        <v>6502</v>
      </c>
      <c r="EN18" s="612" t="s">
        <v>5165</v>
      </c>
      <c r="EO18" s="664">
        <v>43825</v>
      </c>
      <c r="EP18" s="664">
        <f>IF(EN18="NA","NA",Tabela4[[#This Row],[Data de protocolo para cálculo médio]]+(VLOOKUP(Tabela4[[#This Row],[Previsão com fórmula i-Helps tipo de fila]],Formulas!$H$1:$J$13,2,FALSE)*30))</f>
        <v>44227</v>
      </c>
      <c r="EQ18" s="664">
        <f>IF(EN18="NA","NA",Tabela4[[#This Row],[Data de protocolo para cálculo médio]]+(VLOOKUP(Tabela4[[#This Row],[Previsão com fórmula i-Helps tipo de fila]],Formulas!$H$1:$J$13,3,FALSE)*30))</f>
        <v>44410</v>
      </c>
      <c r="ER18" s="501">
        <v>44136</v>
      </c>
      <c r="ES18" s="122" t="s">
        <v>5901</v>
      </c>
      <c r="ET18" s="666" t="s">
        <v>5059</v>
      </c>
      <c r="EU18" s="617" t="s">
        <v>5060</v>
      </c>
      <c r="EV18" s="617" t="s">
        <v>5061</v>
      </c>
      <c r="EW18" s="811"/>
    </row>
    <row r="19" spans="1:153" s="556" customFormat="1" ht="298.5" customHeight="1" x14ac:dyDescent="0.2">
      <c r="A19" s="779">
        <v>12</v>
      </c>
      <c r="B19" s="663" t="s">
        <v>5600</v>
      </c>
      <c r="C19" s="477" t="s">
        <v>1137</v>
      </c>
      <c r="D19" s="113" t="s">
        <v>3798</v>
      </c>
      <c r="E19" s="477" t="s">
        <v>5632</v>
      </c>
      <c r="F19" s="477" t="s">
        <v>3483</v>
      </c>
      <c r="G19" s="288" t="s">
        <v>5105</v>
      </c>
      <c r="H19" s="6" t="s">
        <v>3484</v>
      </c>
      <c r="I19" s="72" t="s">
        <v>1806</v>
      </c>
      <c r="J19" s="113" t="s">
        <v>4834</v>
      </c>
      <c r="K19" s="6" t="s">
        <v>763</v>
      </c>
      <c r="L19" s="477" t="s">
        <v>16</v>
      </c>
      <c r="M19" s="122" t="s">
        <v>2583</v>
      </c>
      <c r="N19" s="122" t="s">
        <v>3903</v>
      </c>
      <c r="O19" s="643">
        <v>43851</v>
      </c>
      <c r="P19" s="615" t="s">
        <v>4835</v>
      </c>
      <c r="Q19" s="615" t="s">
        <v>5067</v>
      </c>
      <c r="R19" s="477" t="s">
        <v>4250</v>
      </c>
      <c r="S19" s="612"/>
      <c r="T19" s="477" t="s">
        <v>4869</v>
      </c>
      <c r="U19" s="272" t="s">
        <v>5106</v>
      </c>
      <c r="V19" s="113" t="s">
        <v>5915</v>
      </c>
      <c r="W19" s="477" t="s">
        <v>4773</v>
      </c>
      <c r="X19" s="477" t="s">
        <v>4874</v>
      </c>
      <c r="Y19" s="477" t="s">
        <v>3084</v>
      </c>
      <c r="Z19" s="477" t="s">
        <v>3084</v>
      </c>
      <c r="AA19" s="612">
        <v>43882</v>
      </c>
      <c r="AB19" s="477" t="s">
        <v>4862</v>
      </c>
      <c r="AC19" s="617">
        <v>44428</v>
      </c>
      <c r="AD19" s="901" t="s">
        <v>6523</v>
      </c>
      <c r="AE19" s="122"/>
      <c r="AF19" s="477"/>
      <c r="AG19" s="477"/>
      <c r="AH19" s="477"/>
      <c r="AI19" s="477"/>
      <c r="AJ19" s="477"/>
      <c r="AK19" s="477"/>
      <c r="AL19" s="477"/>
      <c r="AM19" s="477"/>
      <c r="AN19" s="477"/>
      <c r="AO19" s="477"/>
      <c r="AP19" s="477"/>
      <c r="AQ19" s="477"/>
      <c r="AR19" s="477"/>
      <c r="AS19" s="477"/>
      <c r="AT19" s="477"/>
      <c r="AU19" s="477"/>
      <c r="AV19" s="477"/>
      <c r="AW19" s="477"/>
      <c r="AX19" s="477"/>
      <c r="AY19" s="477"/>
      <c r="AZ19" s="477"/>
      <c r="BA19" s="477"/>
      <c r="BB19" s="477"/>
      <c r="BC19" s="477"/>
      <c r="BD19" s="477"/>
      <c r="BE19" s="477"/>
      <c r="BF19" s="477"/>
      <c r="BG19" s="477"/>
      <c r="BH19" s="477"/>
      <c r="BI19" s="477"/>
      <c r="BJ19" s="477"/>
      <c r="BK19" s="477"/>
      <c r="BL19" s="477"/>
      <c r="BM19" s="477"/>
      <c r="BN19" s="477"/>
      <c r="BO19" s="477" t="s">
        <v>4862</v>
      </c>
      <c r="BP19" s="477" t="s">
        <v>4862</v>
      </c>
      <c r="BQ19" s="477" t="s">
        <v>4862</v>
      </c>
      <c r="BR19" s="477" t="s">
        <v>4862</v>
      </c>
      <c r="BS19" s="477" t="s">
        <v>4891</v>
      </c>
      <c r="BT19" s="477" t="s">
        <v>4909</v>
      </c>
      <c r="BU19" s="477" t="s">
        <v>4909</v>
      </c>
      <c r="BV19" s="477" t="s">
        <v>4909</v>
      </c>
      <c r="BW19" s="477" t="s">
        <v>4936</v>
      </c>
      <c r="BX19" s="477" t="s">
        <v>4937</v>
      </c>
      <c r="BY19" s="477" t="s">
        <v>4950</v>
      </c>
      <c r="BZ19" s="477" t="s">
        <v>4950</v>
      </c>
      <c r="CA19" s="477" t="s">
        <v>4936</v>
      </c>
      <c r="CB19" s="477" t="s">
        <v>4937</v>
      </c>
      <c r="CC19" s="477" t="s">
        <v>4936</v>
      </c>
      <c r="CD19" s="477" t="s">
        <v>5025</v>
      </c>
      <c r="CE19" s="477" t="s">
        <v>5025</v>
      </c>
      <c r="CF19" s="477" t="s">
        <v>5031</v>
      </c>
      <c r="CG19" s="477" t="s">
        <v>5043</v>
      </c>
      <c r="CH19" s="477" t="s">
        <v>5043</v>
      </c>
      <c r="CI19" s="477" t="s">
        <v>5043</v>
      </c>
      <c r="CJ19" s="477" t="s">
        <v>5043</v>
      </c>
      <c r="CK19" s="626" t="s">
        <v>5123</v>
      </c>
      <c r="CL19" s="626" t="s">
        <v>5123</v>
      </c>
      <c r="CM19" s="626" t="s">
        <v>5123</v>
      </c>
      <c r="CN19" s="626" t="s">
        <v>5123</v>
      </c>
      <c r="CO19" s="626" t="s">
        <v>5180</v>
      </c>
      <c r="CP19" s="626" t="s">
        <v>5180</v>
      </c>
      <c r="CQ19" s="626" t="s">
        <v>5180</v>
      </c>
      <c r="CR19" s="626" t="s">
        <v>5180</v>
      </c>
      <c r="CS19" s="626" t="s">
        <v>5180</v>
      </c>
      <c r="CT19" s="626" t="s">
        <v>5220</v>
      </c>
      <c r="CU19" s="626" t="s">
        <v>5236</v>
      </c>
      <c r="CV19" s="626" t="s">
        <v>5236</v>
      </c>
      <c r="CW19" s="626" t="s">
        <v>5236</v>
      </c>
      <c r="CX19" s="626" t="s">
        <v>5257</v>
      </c>
      <c r="CY19" s="626" t="s">
        <v>5236</v>
      </c>
      <c r="CZ19" s="626" t="s">
        <v>5257</v>
      </c>
      <c r="DA19" s="626" t="s">
        <v>5257</v>
      </c>
      <c r="DB19" s="626" t="s">
        <v>5314</v>
      </c>
      <c r="DC19" s="626" t="s">
        <v>5314</v>
      </c>
      <c r="DD19" s="626" t="s">
        <v>5314</v>
      </c>
      <c r="DE19" s="626" t="s">
        <v>5299</v>
      </c>
      <c r="DF19" s="626" t="s">
        <v>5236</v>
      </c>
      <c r="DG19" s="626" t="s">
        <v>5236</v>
      </c>
      <c r="DH19" s="626" t="s">
        <v>5236</v>
      </c>
      <c r="DI19" s="626" t="s">
        <v>5236</v>
      </c>
      <c r="DJ19" s="626" t="s">
        <v>5236</v>
      </c>
      <c r="DK19" s="626" t="s">
        <v>5496</v>
      </c>
      <c r="DL19" s="626" t="s">
        <v>5518</v>
      </c>
      <c r="DM19" s="626" t="s">
        <v>5547</v>
      </c>
      <c r="DN19" s="626" t="s">
        <v>5564</v>
      </c>
      <c r="DO19" s="626" t="s">
        <v>5566</v>
      </c>
      <c r="DP19" s="122" t="s">
        <v>5641</v>
      </c>
      <c r="DQ19" s="122" t="s">
        <v>5677</v>
      </c>
      <c r="DR19" s="122" t="s">
        <v>5676</v>
      </c>
      <c r="DS19" s="122" t="s">
        <v>5676</v>
      </c>
      <c r="DT19" s="122" t="s">
        <v>5676</v>
      </c>
      <c r="DU19" s="122" t="s">
        <v>5676</v>
      </c>
      <c r="DV19" s="122" t="s">
        <v>5676</v>
      </c>
      <c r="DW19" s="122" t="s">
        <v>5780</v>
      </c>
      <c r="DX19" s="122" t="s">
        <v>5780</v>
      </c>
      <c r="DY19" s="122" t="s">
        <v>5861</v>
      </c>
      <c r="DZ19" s="122" t="s">
        <v>5873</v>
      </c>
      <c r="EA19" s="122" t="s">
        <v>5885</v>
      </c>
      <c r="EB19" s="122" t="s">
        <v>5885</v>
      </c>
      <c r="EC19" s="122" t="s">
        <v>5885</v>
      </c>
      <c r="ED19" s="122" t="s">
        <v>5885</v>
      </c>
      <c r="EE19" s="122" t="s">
        <v>5885</v>
      </c>
      <c r="EF19" s="122" t="s">
        <v>5885</v>
      </c>
      <c r="EG19" s="122" t="s">
        <v>5885</v>
      </c>
      <c r="EH19" s="122" t="s">
        <v>5885</v>
      </c>
      <c r="EI19" s="122" t="s">
        <v>5885</v>
      </c>
      <c r="EJ19" s="116" t="s">
        <v>6260</v>
      </c>
      <c r="EK19" s="901" t="s">
        <v>6302</v>
      </c>
      <c r="EL19" s="901" t="s">
        <v>6418</v>
      </c>
      <c r="EM19" s="901" t="s">
        <v>6523</v>
      </c>
      <c r="EN19" s="612" t="s">
        <v>5165</v>
      </c>
      <c r="EO19" s="664">
        <v>43825</v>
      </c>
      <c r="EP19" s="664">
        <f>IF(EN19="NA","NA",Tabela4[[#This Row],[Data de protocolo para cálculo médio]]+(VLOOKUP(Tabela4[[#This Row],[Previsão com fórmula i-Helps tipo de fila]],Formulas!$H$1:$J$13,2,FALSE)*30))</f>
        <v>44227</v>
      </c>
      <c r="EQ19" s="664">
        <f>IF(EN19="NA","NA",Tabela4[[#This Row],[Data de protocolo para cálculo médio]]+(VLOOKUP(Tabela4[[#This Row],[Previsão com fórmula i-Helps tipo de fila]],Formulas!$H$1:$J$13,3,FALSE)*30))</f>
        <v>44410</v>
      </c>
      <c r="ER19" s="501">
        <v>44136</v>
      </c>
      <c r="ES19" s="122" t="s">
        <v>5902</v>
      </c>
      <c r="ET19" s="666" t="s">
        <v>5059</v>
      </c>
      <c r="EU19" s="617" t="s">
        <v>5060</v>
      </c>
      <c r="EV19" s="617" t="s">
        <v>5061</v>
      </c>
    </row>
    <row r="20" spans="1:153" s="556" customFormat="1" ht="409.5" x14ac:dyDescent="0.2">
      <c r="A20" s="779">
        <v>13</v>
      </c>
      <c r="B20" s="663" t="s">
        <v>5601</v>
      </c>
      <c r="C20" s="477" t="s">
        <v>584</v>
      </c>
      <c r="D20" s="113" t="s">
        <v>3797</v>
      </c>
      <c r="E20" s="113" t="s">
        <v>5232</v>
      </c>
      <c r="F20" s="113" t="s">
        <v>4723</v>
      </c>
      <c r="G20" s="288" t="s">
        <v>4974</v>
      </c>
      <c r="H20" s="6" t="s">
        <v>1721</v>
      </c>
      <c r="I20" s="72" t="s">
        <v>5103</v>
      </c>
      <c r="J20" s="113" t="s">
        <v>4726</v>
      </c>
      <c r="K20" s="6" t="s">
        <v>4724</v>
      </c>
      <c r="L20" s="477" t="s">
        <v>454</v>
      </c>
      <c r="M20" s="122" t="s">
        <v>685</v>
      </c>
      <c r="N20" s="122" t="s">
        <v>2992</v>
      </c>
      <c r="O20" s="643">
        <v>43854</v>
      </c>
      <c r="P20" s="615" t="s">
        <v>4984</v>
      </c>
      <c r="Q20" s="615" t="s">
        <v>112</v>
      </c>
      <c r="R20" s="477" t="s">
        <v>3038</v>
      </c>
      <c r="S20" s="612">
        <v>44362</v>
      </c>
      <c r="T20" s="477" t="s">
        <v>3926</v>
      </c>
      <c r="U20" s="272" t="s">
        <v>5958</v>
      </c>
      <c r="V20" s="122" t="s">
        <v>5916</v>
      </c>
      <c r="W20" s="477" t="s">
        <v>112</v>
      </c>
      <c r="X20" s="477" t="s">
        <v>4725</v>
      </c>
      <c r="Y20" s="477" t="s">
        <v>112</v>
      </c>
      <c r="Z20" s="477" t="s">
        <v>112</v>
      </c>
      <c r="AA20" s="612">
        <v>43854</v>
      </c>
      <c r="AB20" s="477">
        <v>29</v>
      </c>
      <c r="AC20" s="617">
        <v>44428</v>
      </c>
      <c r="AD20" s="122" t="s">
        <v>6503</v>
      </c>
      <c r="AE20" s="122"/>
      <c r="AF20" s="477"/>
      <c r="AG20" s="477"/>
      <c r="AH20" s="477"/>
      <c r="AI20" s="477"/>
      <c r="AJ20" s="477"/>
      <c r="AK20" s="477"/>
      <c r="AL20" s="477"/>
      <c r="AM20" s="477"/>
      <c r="AN20" s="477"/>
      <c r="AO20" s="477"/>
      <c r="AP20" s="477"/>
      <c r="AQ20" s="477"/>
      <c r="AR20" s="477"/>
      <c r="AS20" s="477"/>
      <c r="AT20" s="477"/>
      <c r="AU20" s="477"/>
      <c r="AV20" s="477"/>
      <c r="AW20" s="477"/>
      <c r="AX20" s="477"/>
      <c r="AY20" s="477"/>
      <c r="AZ20" s="477"/>
      <c r="BA20" s="477"/>
      <c r="BB20" s="477"/>
      <c r="BC20" s="477"/>
      <c r="BD20" s="477"/>
      <c r="BE20" s="477"/>
      <c r="BF20" s="477"/>
      <c r="BG20" s="477"/>
      <c r="BH20" s="477"/>
      <c r="BI20" s="477"/>
      <c r="BJ20" s="477"/>
      <c r="BK20" s="477">
        <v>29</v>
      </c>
      <c r="BL20" s="477">
        <v>29</v>
      </c>
      <c r="BM20" s="477">
        <v>29</v>
      </c>
      <c r="BN20" s="477">
        <v>27</v>
      </c>
      <c r="BO20" s="477">
        <v>28</v>
      </c>
      <c r="BP20" s="477">
        <v>28</v>
      </c>
      <c r="BQ20" s="477">
        <v>28</v>
      </c>
      <c r="BR20" s="477">
        <v>28</v>
      </c>
      <c r="BS20" s="477">
        <v>28</v>
      </c>
      <c r="BT20" s="477">
        <v>27</v>
      </c>
      <c r="BU20" s="477">
        <v>27</v>
      </c>
      <c r="BV20" s="477">
        <v>27</v>
      </c>
      <c r="BW20" s="477">
        <v>26</v>
      </c>
      <c r="BX20" s="477">
        <v>25</v>
      </c>
      <c r="BY20" s="477">
        <v>24</v>
      </c>
      <c r="BZ20" s="477">
        <v>23</v>
      </c>
      <c r="CA20" s="477">
        <v>22</v>
      </c>
      <c r="CB20" s="477">
        <v>21</v>
      </c>
      <c r="CC20" s="477">
        <v>21</v>
      </c>
      <c r="CD20" s="477">
        <v>21</v>
      </c>
      <c r="CE20" s="477">
        <v>21</v>
      </c>
      <c r="CF20" s="477">
        <v>20</v>
      </c>
      <c r="CG20" s="477">
        <v>18</v>
      </c>
      <c r="CH20" s="477">
        <v>18</v>
      </c>
      <c r="CI20" s="477">
        <v>18</v>
      </c>
      <c r="CJ20" s="477">
        <v>16</v>
      </c>
      <c r="CK20" s="626">
        <v>16</v>
      </c>
      <c r="CL20" s="626">
        <v>16</v>
      </c>
      <c r="CM20" s="626">
        <v>16</v>
      </c>
      <c r="CN20" s="626">
        <v>15</v>
      </c>
      <c r="CO20" s="626">
        <v>15</v>
      </c>
      <c r="CP20" s="626">
        <v>15</v>
      </c>
      <c r="CQ20" s="626">
        <v>15</v>
      </c>
      <c r="CR20" s="626">
        <v>14</v>
      </c>
      <c r="CS20" s="626">
        <v>13</v>
      </c>
      <c r="CT20" s="626">
        <v>13</v>
      </c>
      <c r="CU20" s="626">
        <v>13</v>
      </c>
      <c r="CV20" s="626">
        <v>13</v>
      </c>
      <c r="CW20" s="626">
        <v>13</v>
      </c>
      <c r="CX20" s="626">
        <v>13</v>
      </c>
      <c r="CY20" s="626">
        <v>13</v>
      </c>
      <c r="CZ20" s="626">
        <v>11</v>
      </c>
      <c r="DA20" s="626">
        <v>11</v>
      </c>
      <c r="DB20" s="626">
        <v>11</v>
      </c>
      <c r="DC20" s="626">
        <v>11</v>
      </c>
      <c r="DD20" s="626">
        <v>11</v>
      </c>
      <c r="DE20" s="626">
        <v>11</v>
      </c>
      <c r="DF20" s="626">
        <v>11</v>
      </c>
      <c r="DG20" s="626">
        <v>11</v>
      </c>
      <c r="DH20" s="626">
        <v>11</v>
      </c>
      <c r="DI20" s="626">
        <v>11</v>
      </c>
      <c r="DJ20" s="626">
        <v>11</v>
      </c>
      <c r="DK20" s="626">
        <v>9</v>
      </c>
      <c r="DL20" s="626">
        <v>9</v>
      </c>
      <c r="DM20" s="626">
        <v>9</v>
      </c>
      <c r="DN20" s="626">
        <v>9</v>
      </c>
      <c r="DO20" s="626">
        <v>7</v>
      </c>
      <c r="DP20" s="626">
        <v>6</v>
      </c>
      <c r="DQ20" s="626">
        <v>6</v>
      </c>
      <c r="DR20" s="626">
        <v>6</v>
      </c>
      <c r="DS20" s="626">
        <v>5</v>
      </c>
      <c r="DT20" s="626">
        <v>4</v>
      </c>
      <c r="DU20" s="626">
        <v>4</v>
      </c>
      <c r="DV20" s="626">
        <v>4</v>
      </c>
      <c r="DW20" s="626">
        <v>3</v>
      </c>
      <c r="DX20" s="626">
        <v>3</v>
      </c>
      <c r="DY20" s="626">
        <v>3</v>
      </c>
      <c r="DZ20" s="626">
        <v>2</v>
      </c>
      <c r="EA20" s="626">
        <v>2</v>
      </c>
      <c r="EB20" s="626">
        <v>2</v>
      </c>
      <c r="EC20" s="626">
        <v>2</v>
      </c>
      <c r="ED20" s="122" t="s">
        <v>5930</v>
      </c>
      <c r="EE20" s="122" t="s">
        <v>5930</v>
      </c>
      <c r="EF20" s="122" t="s">
        <v>5930</v>
      </c>
      <c r="EG20" s="122" t="s">
        <v>5930</v>
      </c>
      <c r="EH20" s="122" t="s">
        <v>5930</v>
      </c>
      <c r="EI20" s="122" t="s">
        <v>5930</v>
      </c>
      <c r="EJ20" s="122" t="s">
        <v>6191</v>
      </c>
      <c r="EK20" s="122" t="s">
        <v>6303</v>
      </c>
      <c r="EL20" s="122" t="s">
        <v>6399</v>
      </c>
      <c r="EM20" s="122" t="s">
        <v>6503</v>
      </c>
      <c r="EN20" s="612" t="s">
        <v>5064</v>
      </c>
      <c r="EO20" s="664">
        <v>43854</v>
      </c>
      <c r="EP20" s="664">
        <f>IF(EN20="NA","NA",Tabela4[[#This Row],[Data de protocolo para cálculo médio]]+(VLOOKUP(Tabela4[[#This Row],[Previsão com fórmula i-Helps tipo de fila]],Formulas!$H$1:$J$13,2,FALSE)*30))</f>
        <v>44094</v>
      </c>
      <c r="EQ20" s="664">
        <f>IF(EN20="NA","NA",Tabela4[[#This Row],[Data de protocolo para cálculo médio]]+(VLOOKUP(Tabela4[[#This Row],[Previsão com fórmula i-Helps tipo de fila]],Formulas!$H$1:$J$13,3,FALSE)*30))</f>
        <v>44424</v>
      </c>
      <c r="ER20" s="501">
        <v>44348</v>
      </c>
      <c r="ES20" s="122" t="s">
        <v>5849</v>
      </c>
      <c r="ET20" s="666" t="s">
        <v>5059</v>
      </c>
      <c r="EU20" s="617" t="s">
        <v>5060</v>
      </c>
      <c r="EV20" s="617" t="s">
        <v>5064</v>
      </c>
    </row>
    <row r="21" spans="1:153" s="556" customFormat="1" ht="178.5" outlineLevel="1" x14ac:dyDescent="0.2">
      <c r="A21" s="779" t="s">
        <v>6131</v>
      </c>
      <c r="B21" s="663" t="s">
        <v>5601</v>
      </c>
      <c r="C21" s="477" t="s">
        <v>584</v>
      </c>
      <c r="D21" s="113" t="s">
        <v>3797</v>
      </c>
      <c r="E21" s="113" t="s">
        <v>5232</v>
      </c>
      <c r="F21" s="113" t="s">
        <v>4723</v>
      </c>
      <c r="G21" s="288" t="s">
        <v>4974</v>
      </c>
      <c r="H21" s="6" t="s">
        <v>1721</v>
      </c>
      <c r="I21" s="72" t="s">
        <v>6027</v>
      </c>
      <c r="J21" s="113" t="s">
        <v>4726</v>
      </c>
      <c r="K21" s="6" t="s">
        <v>4724</v>
      </c>
      <c r="L21" s="477" t="s">
        <v>454</v>
      </c>
      <c r="M21" s="122" t="s">
        <v>685</v>
      </c>
      <c r="N21" s="6" t="s">
        <v>6079</v>
      </c>
      <c r="O21" s="765">
        <v>44306</v>
      </c>
      <c r="P21" s="615" t="s">
        <v>6028</v>
      </c>
      <c r="Q21" s="615" t="s">
        <v>112</v>
      </c>
      <c r="R21" s="113" t="s">
        <v>3038</v>
      </c>
      <c r="S21" s="617">
        <v>44375</v>
      </c>
      <c r="T21" s="113"/>
      <c r="U21" s="113" t="s">
        <v>112</v>
      </c>
      <c r="V21" s="113"/>
      <c r="W21" s="113"/>
      <c r="X21" s="113"/>
      <c r="Y21" s="113"/>
      <c r="Z21" s="113" t="s">
        <v>112</v>
      </c>
      <c r="AA21" s="617"/>
      <c r="AB21" s="113"/>
      <c r="AC21" s="617">
        <v>44428</v>
      </c>
      <c r="AD21" s="297" t="s">
        <v>6504</v>
      </c>
      <c r="AE21" s="122"/>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c r="BS21" s="113"/>
      <c r="BT21" s="113"/>
      <c r="BU21" s="113"/>
      <c r="BV21" s="113"/>
      <c r="BW21" s="113"/>
      <c r="BX21" s="113"/>
      <c r="BY21" s="113"/>
      <c r="BZ21" s="113"/>
      <c r="CA21" s="113"/>
      <c r="CB21" s="113"/>
      <c r="CC21" s="113"/>
      <c r="CD21" s="113"/>
      <c r="CE21" s="113"/>
      <c r="CF21" s="113"/>
      <c r="CG21" s="113"/>
      <c r="CH21" s="113"/>
      <c r="CI21" s="113"/>
      <c r="CJ21" s="113"/>
      <c r="CK21" s="122"/>
      <c r="CL21" s="122"/>
      <c r="CM21" s="122"/>
      <c r="CN21" s="122"/>
      <c r="CO21" s="122"/>
      <c r="CP21" s="122"/>
      <c r="CQ21" s="122"/>
      <c r="CR21" s="122"/>
      <c r="CS21" s="122"/>
      <c r="CT21" s="122"/>
      <c r="CU21" s="122"/>
      <c r="CV21" s="122"/>
      <c r="CW21" s="122"/>
      <c r="CX21" s="122"/>
      <c r="CY21" s="122"/>
      <c r="CZ21" s="122"/>
      <c r="DA21" s="122"/>
      <c r="DB21" s="122"/>
      <c r="DC21" s="122"/>
      <c r="DD21" s="122"/>
      <c r="DE21" s="122"/>
      <c r="DF21" s="122"/>
      <c r="DG21" s="122"/>
      <c r="DH21" s="122"/>
      <c r="DI21" s="122"/>
      <c r="DJ21" s="122"/>
      <c r="DK21" s="122"/>
      <c r="DL21" s="122"/>
      <c r="DM21" s="122"/>
      <c r="DN21" s="122"/>
      <c r="DO21" s="122"/>
      <c r="DP21" s="122"/>
      <c r="DQ21" s="122"/>
      <c r="DR21" s="122"/>
      <c r="DS21" s="297"/>
      <c r="DT21" s="297"/>
      <c r="DU21" s="297"/>
      <c r="DV21" s="297"/>
      <c r="DW21" s="626"/>
      <c r="DX21" s="626"/>
      <c r="DY21" s="626"/>
      <c r="DZ21" s="626"/>
      <c r="EA21" s="626"/>
      <c r="EB21" s="297"/>
      <c r="EC21" s="297"/>
      <c r="ED21" s="297"/>
      <c r="EE21" s="297"/>
      <c r="EF21" s="297"/>
      <c r="EG21" s="297"/>
      <c r="EH21" s="297"/>
      <c r="EI21" s="297"/>
      <c r="EJ21" s="297" t="s">
        <v>6192</v>
      </c>
      <c r="EK21" s="297" t="s">
        <v>6304</v>
      </c>
      <c r="EL21" s="297" t="s">
        <v>6400</v>
      </c>
      <c r="EM21" s="297" t="s">
        <v>6504</v>
      </c>
      <c r="EN21" s="617" t="s">
        <v>112</v>
      </c>
      <c r="EO21" s="115"/>
      <c r="EP21" s="115" t="str">
        <f>IF(EN21="NA","NA",Tabela4[[#This Row],[Data de protocolo para cálculo médio]]+(VLOOKUP(Tabela4[[#This Row],[Previsão com fórmula i-Helps tipo de fila]],Formulas!$H$1:$J$13,2,FALSE)*30))</f>
        <v>NA</v>
      </c>
      <c r="EQ21" s="115" t="str">
        <f>IF(EN21="NA","NA",Tabela4[[#This Row],[Data de protocolo para cálculo médio]]+(VLOOKUP(Tabela4[[#This Row],[Previsão com fórmula i-Helps tipo de fila]],Formulas!$H$1:$J$13,3,FALSE)*30))</f>
        <v>NA</v>
      </c>
      <c r="ER21" s="115"/>
      <c r="ES21" s="685"/>
      <c r="ET21" s="666" t="s">
        <v>112</v>
      </c>
      <c r="EU21" s="666" t="s">
        <v>112</v>
      </c>
      <c r="EV21" s="666" t="s">
        <v>112</v>
      </c>
    </row>
    <row r="22" spans="1:153" s="556" customFormat="1" ht="178.5" outlineLevel="1" x14ac:dyDescent="0.2">
      <c r="A22" s="779" t="s">
        <v>6132</v>
      </c>
      <c r="B22" s="663" t="s">
        <v>5601</v>
      </c>
      <c r="C22" s="477" t="s">
        <v>584</v>
      </c>
      <c r="D22" s="113" t="s">
        <v>3797</v>
      </c>
      <c r="E22" s="113" t="s">
        <v>5232</v>
      </c>
      <c r="F22" s="113" t="s">
        <v>4723</v>
      </c>
      <c r="G22" s="288" t="s">
        <v>4974</v>
      </c>
      <c r="H22" s="6" t="s">
        <v>1721</v>
      </c>
      <c r="I22" s="72" t="s">
        <v>6027</v>
      </c>
      <c r="J22" s="113" t="s">
        <v>4726</v>
      </c>
      <c r="K22" s="6" t="s">
        <v>4724</v>
      </c>
      <c r="L22" s="477" t="s">
        <v>454</v>
      </c>
      <c r="M22" s="122" t="s">
        <v>685</v>
      </c>
      <c r="N22" s="6" t="s">
        <v>6079</v>
      </c>
      <c r="O22" s="765">
        <v>44306</v>
      </c>
      <c r="P22" s="615" t="s">
        <v>6029</v>
      </c>
      <c r="Q22" s="615" t="s">
        <v>112</v>
      </c>
      <c r="R22" s="113" t="s">
        <v>3038</v>
      </c>
      <c r="S22" s="617">
        <v>44361</v>
      </c>
      <c r="T22" s="113"/>
      <c r="U22" s="113" t="s">
        <v>112</v>
      </c>
      <c r="V22" s="113"/>
      <c r="W22" s="113"/>
      <c r="X22" s="113"/>
      <c r="Y22" s="113"/>
      <c r="Z22" s="113" t="s">
        <v>112</v>
      </c>
      <c r="AA22" s="617"/>
      <c r="AB22" s="113"/>
      <c r="AC22" s="617">
        <v>44428</v>
      </c>
      <c r="AD22" s="297" t="s">
        <v>6505</v>
      </c>
      <c r="AE22" s="122"/>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c r="BS22" s="113"/>
      <c r="BT22" s="113"/>
      <c r="BU22" s="113"/>
      <c r="BV22" s="113"/>
      <c r="BW22" s="113"/>
      <c r="BX22" s="113"/>
      <c r="BY22" s="113"/>
      <c r="BZ22" s="113"/>
      <c r="CA22" s="113"/>
      <c r="CB22" s="113"/>
      <c r="CC22" s="113"/>
      <c r="CD22" s="113"/>
      <c r="CE22" s="113"/>
      <c r="CF22" s="113"/>
      <c r="CG22" s="113"/>
      <c r="CH22" s="113"/>
      <c r="CI22" s="113"/>
      <c r="CJ22" s="113"/>
      <c r="CK22" s="122"/>
      <c r="CL22" s="122"/>
      <c r="CM22" s="122"/>
      <c r="CN22" s="122"/>
      <c r="CO22" s="122"/>
      <c r="CP22" s="122"/>
      <c r="CQ22" s="122"/>
      <c r="CR22" s="122"/>
      <c r="CS22" s="122"/>
      <c r="CT22" s="122"/>
      <c r="CU22" s="122"/>
      <c r="CV22" s="122"/>
      <c r="CW22" s="122"/>
      <c r="CX22" s="122"/>
      <c r="CY22" s="122"/>
      <c r="CZ22" s="122"/>
      <c r="DA22" s="122"/>
      <c r="DB22" s="122"/>
      <c r="DC22" s="122"/>
      <c r="DD22" s="122"/>
      <c r="DE22" s="122"/>
      <c r="DF22" s="122"/>
      <c r="DG22" s="122"/>
      <c r="DH22" s="122"/>
      <c r="DI22" s="122"/>
      <c r="DJ22" s="122"/>
      <c r="DK22" s="122"/>
      <c r="DL22" s="122"/>
      <c r="DM22" s="122"/>
      <c r="DN22" s="122"/>
      <c r="DO22" s="122"/>
      <c r="DP22" s="122"/>
      <c r="DQ22" s="122"/>
      <c r="DR22" s="122"/>
      <c r="DS22" s="297"/>
      <c r="DT22" s="297"/>
      <c r="DU22" s="297"/>
      <c r="DV22" s="297"/>
      <c r="DW22" s="626"/>
      <c r="DX22" s="626"/>
      <c r="DY22" s="626"/>
      <c r="DZ22" s="626"/>
      <c r="EA22" s="626"/>
      <c r="EB22" s="297"/>
      <c r="EC22" s="297"/>
      <c r="ED22" s="297"/>
      <c r="EE22" s="297"/>
      <c r="EF22" s="297"/>
      <c r="EG22" s="297"/>
      <c r="EH22" s="297"/>
      <c r="EI22" s="297"/>
      <c r="EJ22" s="297" t="s">
        <v>6193</v>
      </c>
      <c r="EK22" s="297" t="s">
        <v>6305</v>
      </c>
      <c r="EL22" s="297" t="s">
        <v>6401</v>
      </c>
      <c r="EM22" s="297" t="s">
        <v>6505</v>
      </c>
      <c r="EN22" s="617" t="s">
        <v>112</v>
      </c>
      <c r="EO22" s="115"/>
      <c r="EP22" s="115" t="str">
        <f>IF(EN22="NA","NA",Tabela4[[#This Row],[Data de protocolo para cálculo médio]]+(VLOOKUP(Tabela4[[#This Row],[Previsão com fórmula i-Helps tipo de fila]],Formulas!$H$1:$J$13,2,FALSE)*30))</f>
        <v>NA</v>
      </c>
      <c r="EQ22" s="115" t="str">
        <f>IF(EN22="NA","NA",Tabela4[[#This Row],[Data de protocolo para cálculo médio]]+(VLOOKUP(Tabela4[[#This Row],[Previsão com fórmula i-Helps tipo de fila]],Formulas!$H$1:$J$13,3,FALSE)*30))</f>
        <v>NA</v>
      </c>
      <c r="ER22" s="115"/>
      <c r="ES22" s="685"/>
      <c r="ET22" s="666" t="s">
        <v>112</v>
      </c>
      <c r="EU22" s="666" t="s">
        <v>112</v>
      </c>
      <c r="EV22" s="666" t="s">
        <v>112</v>
      </c>
    </row>
    <row r="23" spans="1:153" s="556" customFormat="1" ht="178.5" outlineLevel="1" x14ac:dyDescent="0.2">
      <c r="A23" s="779" t="s">
        <v>6133</v>
      </c>
      <c r="B23" s="663" t="s">
        <v>5601</v>
      </c>
      <c r="C23" s="477" t="s">
        <v>584</v>
      </c>
      <c r="D23" s="113" t="s">
        <v>3797</v>
      </c>
      <c r="E23" s="113" t="s">
        <v>5232</v>
      </c>
      <c r="F23" s="113" t="s">
        <v>4723</v>
      </c>
      <c r="G23" s="288" t="s">
        <v>4974</v>
      </c>
      <c r="H23" s="6" t="s">
        <v>1721</v>
      </c>
      <c r="I23" s="72" t="s">
        <v>6027</v>
      </c>
      <c r="J23" s="113" t="s">
        <v>4726</v>
      </c>
      <c r="K23" s="6" t="s">
        <v>4724</v>
      </c>
      <c r="L23" s="477" t="s">
        <v>454</v>
      </c>
      <c r="M23" s="122" t="s">
        <v>685</v>
      </c>
      <c r="N23" s="113" t="s">
        <v>6084</v>
      </c>
      <c r="O23" s="765">
        <v>43941</v>
      </c>
      <c r="P23" s="615" t="s">
        <v>6113</v>
      </c>
      <c r="Q23" s="615" t="s">
        <v>112</v>
      </c>
      <c r="R23" s="113" t="s">
        <v>6053</v>
      </c>
      <c r="S23" s="617">
        <v>43956</v>
      </c>
      <c r="T23" s="113"/>
      <c r="U23" s="113" t="s">
        <v>112</v>
      </c>
      <c r="V23" s="113"/>
      <c r="W23" s="113"/>
      <c r="X23" s="113"/>
      <c r="Y23" s="113"/>
      <c r="Z23" s="113" t="s">
        <v>112</v>
      </c>
      <c r="AA23" s="617"/>
      <c r="AB23" s="113"/>
      <c r="AC23" s="617">
        <v>44428</v>
      </c>
      <c r="AD23" s="116" t="s">
        <v>6506</v>
      </c>
      <c r="AE23" s="122"/>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22"/>
      <c r="CL23" s="122"/>
      <c r="CM23" s="122"/>
      <c r="CN23" s="122"/>
      <c r="CO23" s="122"/>
      <c r="CP23" s="122"/>
      <c r="CQ23" s="122"/>
      <c r="CR23" s="122"/>
      <c r="CS23" s="122"/>
      <c r="CT23" s="122"/>
      <c r="CU23" s="122"/>
      <c r="CV23" s="122"/>
      <c r="CW23" s="122"/>
      <c r="CX23" s="122"/>
      <c r="CY23" s="122"/>
      <c r="CZ23" s="122"/>
      <c r="DA23" s="122"/>
      <c r="DB23" s="122"/>
      <c r="DC23" s="122"/>
      <c r="DD23" s="122"/>
      <c r="DE23" s="122"/>
      <c r="DF23" s="122"/>
      <c r="DG23" s="122"/>
      <c r="DH23" s="122"/>
      <c r="DI23" s="122"/>
      <c r="DJ23" s="122"/>
      <c r="DK23" s="122"/>
      <c r="DL23" s="122"/>
      <c r="DM23" s="122"/>
      <c r="DN23" s="122"/>
      <c r="DO23" s="122"/>
      <c r="DP23" s="122"/>
      <c r="DQ23" s="122"/>
      <c r="DR23" s="122"/>
      <c r="DS23" s="297"/>
      <c r="DT23" s="297"/>
      <c r="DU23" s="297"/>
      <c r="DV23" s="297"/>
      <c r="DW23" s="626"/>
      <c r="DX23" s="626"/>
      <c r="DY23" s="626"/>
      <c r="DZ23" s="626"/>
      <c r="EA23" s="626"/>
      <c r="EB23" s="297"/>
      <c r="EC23" s="297"/>
      <c r="ED23" s="297"/>
      <c r="EE23" s="297"/>
      <c r="EF23" s="297"/>
      <c r="EG23" s="297"/>
      <c r="EH23" s="297"/>
      <c r="EI23" s="297"/>
      <c r="EJ23" s="116" t="s">
        <v>6261</v>
      </c>
      <c r="EK23" s="116" t="s">
        <v>6306</v>
      </c>
      <c r="EL23" s="116" t="s">
        <v>6402</v>
      </c>
      <c r="EM23" s="116" t="s">
        <v>6506</v>
      </c>
      <c r="EN23" s="617" t="s">
        <v>112</v>
      </c>
      <c r="EO23" s="115"/>
      <c r="EP23" s="115" t="str">
        <f>IF(EN23="NA","NA",Tabela4[[#This Row],[Data de protocolo para cálculo médio]]+(VLOOKUP(Tabela4[[#This Row],[Previsão com fórmula i-Helps tipo de fila]],Formulas!$H$1:$J$13,2,FALSE)*30))</f>
        <v>NA</v>
      </c>
      <c r="EQ23" s="115" t="str">
        <f>IF(EN23="NA","NA",Tabela4[[#This Row],[Data de protocolo para cálculo médio]]+(VLOOKUP(Tabela4[[#This Row],[Previsão com fórmula i-Helps tipo de fila]],Formulas!$H$1:$J$13,3,FALSE)*30))</f>
        <v>NA</v>
      </c>
      <c r="ER23" s="115"/>
      <c r="ES23" s="685"/>
      <c r="ET23" s="666" t="s">
        <v>112</v>
      </c>
      <c r="EU23" s="666" t="s">
        <v>112</v>
      </c>
      <c r="EV23" s="666" t="s">
        <v>112</v>
      </c>
    </row>
    <row r="24" spans="1:153" s="556" customFormat="1" ht="178.5" outlineLevel="1" x14ac:dyDescent="0.2">
      <c r="A24" s="779" t="s">
        <v>6134</v>
      </c>
      <c r="B24" s="663" t="s">
        <v>5601</v>
      </c>
      <c r="C24" s="477" t="s">
        <v>584</v>
      </c>
      <c r="D24" s="113" t="s">
        <v>3797</v>
      </c>
      <c r="E24" s="113" t="s">
        <v>5232</v>
      </c>
      <c r="F24" s="113" t="s">
        <v>4723</v>
      </c>
      <c r="G24" s="288" t="s">
        <v>4974</v>
      </c>
      <c r="H24" s="6" t="s">
        <v>1721</v>
      </c>
      <c r="I24" s="72" t="s">
        <v>6027</v>
      </c>
      <c r="J24" s="113" t="s">
        <v>4726</v>
      </c>
      <c r="K24" s="6" t="s">
        <v>4724</v>
      </c>
      <c r="L24" s="477" t="s">
        <v>454</v>
      </c>
      <c r="M24" s="122" t="s">
        <v>685</v>
      </c>
      <c r="N24" s="113" t="s">
        <v>6083</v>
      </c>
      <c r="O24" s="765">
        <v>43879</v>
      </c>
      <c r="P24" s="615" t="s">
        <v>6030</v>
      </c>
      <c r="Q24" s="615" t="s">
        <v>112</v>
      </c>
      <c r="R24" s="113" t="s">
        <v>2866</v>
      </c>
      <c r="S24" s="617">
        <v>43997</v>
      </c>
      <c r="T24" s="113"/>
      <c r="U24" s="113" t="s">
        <v>112</v>
      </c>
      <c r="V24" s="113"/>
      <c r="W24" s="113"/>
      <c r="X24" s="113"/>
      <c r="Y24" s="113"/>
      <c r="Z24" s="113" t="s">
        <v>112</v>
      </c>
      <c r="AA24" s="617"/>
      <c r="AB24" s="113"/>
      <c r="AC24" s="617">
        <v>44428</v>
      </c>
      <c r="AD24" s="116" t="s">
        <v>6507</v>
      </c>
      <c r="AE24" s="122"/>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22"/>
      <c r="CL24" s="122"/>
      <c r="CM24" s="122"/>
      <c r="CN24" s="122"/>
      <c r="CO24" s="122"/>
      <c r="CP24" s="122"/>
      <c r="CQ24" s="122"/>
      <c r="CR24" s="122"/>
      <c r="CS24" s="122"/>
      <c r="CT24" s="122"/>
      <c r="CU24" s="122"/>
      <c r="CV24" s="122"/>
      <c r="CW24" s="122"/>
      <c r="CX24" s="122"/>
      <c r="CY24" s="122"/>
      <c r="CZ24" s="122"/>
      <c r="DA24" s="122"/>
      <c r="DB24" s="122"/>
      <c r="DC24" s="122"/>
      <c r="DD24" s="122"/>
      <c r="DE24" s="122"/>
      <c r="DF24" s="122"/>
      <c r="DG24" s="122"/>
      <c r="DH24" s="122"/>
      <c r="DI24" s="122"/>
      <c r="DJ24" s="122"/>
      <c r="DK24" s="122"/>
      <c r="DL24" s="122"/>
      <c r="DM24" s="122"/>
      <c r="DN24" s="122"/>
      <c r="DO24" s="122"/>
      <c r="DP24" s="122"/>
      <c r="DQ24" s="122"/>
      <c r="DR24" s="122"/>
      <c r="DS24" s="882"/>
      <c r="DT24" s="882"/>
      <c r="DU24" s="882"/>
      <c r="DV24" s="882"/>
      <c r="DW24" s="626"/>
      <c r="DX24" s="626"/>
      <c r="DY24" s="626"/>
      <c r="DZ24" s="626"/>
      <c r="EA24" s="626"/>
      <c r="EB24" s="882"/>
      <c r="EC24" s="882"/>
      <c r="ED24" s="882"/>
      <c r="EE24" s="882"/>
      <c r="EF24" s="882"/>
      <c r="EG24" s="882"/>
      <c r="EH24" s="882"/>
      <c r="EI24" s="882"/>
      <c r="EJ24" s="116" t="s">
        <v>6194</v>
      </c>
      <c r="EK24" s="116" t="s">
        <v>6307</v>
      </c>
      <c r="EL24" s="116" t="s">
        <v>6403</v>
      </c>
      <c r="EM24" s="116" t="s">
        <v>6507</v>
      </c>
      <c r="EN24" s="617" t="s">
        <v>112</v>
      </c>
      <c r="EO24" s="115"/>
      <c r="EP24" s="115" t="str">
        <f>IF(EN24="NA","NA",Tabela4[[#This Row],[Data de protocolo para cálculo médio]]+(VLOOKUP(Tabela4[[#This Row],[Previsão com fórmula i-Helps tipo de fila]],Formulas!$H$1:$J$13,2,FALSE)*30))</f>
        <v>NA</v>
      </c>
      <c r="EQ24" s="115" t="str">
        <f>IF(EN24="NA","NA",Tabela4[[#This Row],[Data de protocolo para cálculo médio]]+(VLOOKUP(Tabela4[[#This Row],[Previsão com fórmula i-Helps tipo de fila]],Formulas!$H$1:$J$13,3,FALSE)*30))</f>
        <v>NA</v>
      </c>
      <c r="ER24" s="115"/>
      <c r="ES24" s="685"/>
      <c r="ET24" s="666" t="s">
        <v>112</v>
      </c>
      <c r="EU24" s="666" t="s">
        <v>112</v>
      </c>
      <c r="EV24" s="666" t="s">
        <v>112</v>
      </c>
    </row>
    <row r="25" spans="1:153" s="556" customFormat="1" ht="178.5" outlineLevel="1" x14ac:dyDescent="0.2">
      <c r="A25" s="779" t="s">
        <v>6135</v>
      </c>
      <c r="B25" s="663" t="s">
        <v>5601</v>
      </c>
      <c r="C25" s="477" t="s">
        <v>584</v>
      </c>
      <c r="D25" s="113" t="s">
        <v>3797</v>
      </c>
      <c r="E25" s="113" t="s">
        <v>5232</v>
      </c>
      <c r="F25" s="113" t="s">
        <v>4723</v>
      </c>
      <c r="G25" s="288" t="s">
        <v>4974</v>
      </c>
      <c r="H25" s="6" t="s">
        <v>1721</v>
      </c>
      <c r="I25" s="72" t="s">
        <v>6027</v>
      </c>
      <c r="J25" s="113" t="s">
        <v>4726</v>
      </c>
      <c r="K25" s="6" t="s">
        <v>4724</v>
      </c>
      <c r="L25" s="477" t="s">
        <v>454</v>
      </c>
      <c r="M25" s="122" t="s">
        <v>685</v>
      </c>
      <c r="N25" s="6" t="s">
        <v>6080</v>
      </c>
      <c r="O25" s="765">
        <v>43864</v>
      </c>
      <c r="P25" s="615" t="s">
        <v>6031</v>
      </c>
      <c r="Q25" s="615" t="s">
        <v>112</v>
      </c>
      <c r="R25" s="113" t="s">
        <v>2866</v>
      </c>
      <c r="S25" s="617">
        <v>43980</v>
      </c>
      <c r="T25" s="113"/>
      <c r="U25" s="113" t="s">
        <v>112</v>
      </c>
      <c r="V25" s="113"/>
      <c r="W25" s="113"/>
      <c r="X25" s="113"/>
      <c r="Y25" s="113"/>
      <c r="Z25" s="113" t="s">
        <v>112</v>
      </c>
      <c r="AA25" s="617"/>
      <c r="AB25" s="113"/>
      <c r="AC25" s="617">
        <v>44428</v>
      </c>
      <c r="AD25" s="116" t="s">
        <v>6508</v>
      </c>
      <c r="AE25" s="122"/>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22"/>
      <c r="CL25" s="122"/>
      <c r="CM25" s="122"/>
      <c r="CN25" s="122"/>
      <c r="CO25" s="122"/>
      <c r="CP25" s="122"/>
      <c r="CQ25" s="122"/>
      <c r="CR25" s="122"/>
      <c r="CS25" s="122"/>
      <c r="CT25" s="122"/>
      <c r="CU25" s="122"/>
      <c r="CV25" s="122"/>
      <c r="CW25" s="122"/>
      <c r="CX25" s="122"/>
      <c r="CY25" s="122"/>
      <c r="CZ25" s="122"/>
      <c r="DA25" s="122"/>
      <c r="DB25" s="122"/>
      <c r="DC25" s="122"/>
      <c r="DD25" s="122"/>
      <c r="DE25" s="122"/>
      <c r="DF25" s="122"/>
      <c r="DG25" s="122"/>
      <c r="DH25" s="122"/>
      <c r="DI25" s="122"/>
      <c r="DJ25" s="122"/>
      <c r="DK25" s="122"/>
      <c r="DL25" s="122"/>
      <c r="DM25" s="122"/>
      <c r="DN25" s="122"/>
      <c r="DO25" s="122"/>
      <c r="DP25" s="122"/>
      <c r="DQ25" s="122"/>
      <c r="DR25" s="122"/>
      <c r="DS25" s="882"/>
      <c r="DT25" s="882"/>
      <c r="DU25" s="882"/>
      <c r="DV25" s="882"/>
      <c r="DW25" s="626"/>
      <c r="DX25" s="626"/>
      <c r="DY25" s="626"/>
      <c r="DZ25" s="626"/>
      <c r="EA25" s="626"/>
      <c r="EB25" s="882"/>
      <c r="EC25" s="882"/>
      <c r="ED25" s="882"/>
      <c r="EE25" s="882"/>
      <c r="EF25" s="882"/>
      <c r="EG25" s="882"/>
      <c r="EH25" s="882"/>
      <c r="EI25" s="882"/>
      <c r="EJ25" s="116" t="s">
        <v>6195</v>
      </c>
      <c r="EK25" s="116" t="s">
        <v>6308</v>
      </c>
      <c r="EL25" s="116" t="s">
        <v>6404</v>
      </c>
      <c r="EM25" s="116" t="s">
        <v>6508</v>
      </c>
      <c r="EN25" s="617" t="s">
        <v>112</v>
      </c>
      <c r="EO25" s="115"/>
      <c r="EP25" s="115" t="str">
        <f>IF(EN25="NA","NA",Tabela4[[#This Row],[Data de protocolo para cálculo médio]]+(VLOOKUP(Tabela4[[#This Row],[Previsão com fórmula i-Helps tipo de fila]],Formulas!$H$1:$J$13,2,FALSE)*30))</f>
        <v>NA</v>
      </c>
      <c r="EQ25" s="115" t="str">
        <f>IF(EN25="NA","NA",Tabela4[[#This Row],[Data de protocolo para cálculo médio]]+(VLOOKUP(Tabela4[[#This Row],[Previsão com fórmula i-Helps tipo de fila]],Formulas!$H$1:$J$13,3,FALSE)*30))</f>
        <v>NA</v>
      </c>
      <c r="ER25" s="115"/>
      <c r="ES25" s="685"/>
      <c r="ET25" s="666" t="s">
        <v>112</v>
      </c>
      <c r="EU25" s="666" t="s">
        <v>112</v>
      </c>
      <c r="EV25" s="666" t="s">
        <v>112</v>
      </c>
    </row>
    <row r="26" spans="1:153" s="556" customFormat="1" ht="178.5" outlineLevel="1" x14ac:dyDescent="0.2">
      <c r="A26" s="779" t="s">
        <v>6136</v>
      </c>
      <c r="B26" s="663" t="s">
        <v>5601</v>
      </c>
      <c r="C26" s="477" t="s">
        <v>584</v>
      </c>
      <c r="D26" s="113" t="s">
        <v>3797</v>
      </c>
      <c r="E26" s="113" t="s">
        <v>5232</v>
      </c>
      <c r="F26" s="113" t="s">
        <v>4723</v>
      </c>
      <c r="G26" s="288" t="s">
        <v>4974</v>
      </c>
      <c r="H26" s="6" t="s">
        <v>1721</v>
      </c>
      <c r="I26" s="72" t="s">
        <v>6027</v>
      </c>
      <c r="J26" s="113" t="s">
        <v>4726</v>
      </c>
      <c r="K26" s="6" t="s">
        <v>4724</v>
      </c>
      <c r="L26" s="477" t="s">
        <v>454</v>
      </c>
      <c r="M26" s="122" t="s">
        <v>685</v>
      </c>
      <c r="N26" s="6" t="s">
        <v>6083</v>
      </c>
      <c r="O26" s="765">
        <v>43864</v>
      </c>
      <c r="P26" s="615" t="s">
        <v>6032</v>
      </c>
      <c r="Q26" s="615" t="s">
        <v>112</v>
      </c>
      <c r="R26" s="113" t="s">
        <v>1682</v>
      </c>
      <c r="S26" s="617">
        <v>43956</v>
      </c>
      <c r="T26" s="113"/>
      <c r="U26" s="113" t="s">
        <v>112</v>
      </c>
      <c r="V26" s="113"/>
      <c r="W26" s="113"/>
      <c r="X26" s="113"/>
      <c r="Y26" s="113"/>
      <c r="Z26" s="113" t="s">
        <v>112</v>
      </c>
      <c r="AA26" s="617"/>
      <c r="AB26" s="113"/>
      <c r="AC26" s="617">
        <v>44428</v>
      </c>
      <c r="AD26" s="116" t="s">
        <v>6509</v>
      </c>
      <c r="AE26" s="122"/>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22"/>
      <c r="CL26" s="122"/>
      <c r="CM26" s="122"/>
      <c r="CN26" s="122"/>
      <c r="CO26" s="122"/>
      <c r="CP26" s="122"/>
      <c r="CQ26" s="122"/>
      <c r="CR26" s="122"/>
      <c r="CS26" s="122"/>
      <c r="CT26" s="122"/>
      <c r="CU26" s="122"/>
      <c r="CV26" s="122"/>
      <c r="CW26" s="122"/>
      <c r="CX26" s="122"/>
      <c r="CY26" s="122"/>
      <c r="CZ26" s="122"/>
      <c r="DA26" s="122"/>
      <c r="DB26" s="122"/>
      <c r="DC26" s="122"/>
      <c r="DD26" s="122"/>
      <c r="DE26" s="122"/>
      <c r="DF26" s="122"/>
      <c r="DG26" s="122"/>
      <c r="DH26" s="122"/>
      <c r="DI26" s="122"/>
      <c r="DJ26" s="122"/>
      <c r="DK26" s="122"/>
      <c r="DL26" s="122"/>
      <c r="DM26" s="122"/>
      <c r="DN26" s="122"/>
      <c r="DO26" s="122"/>
      <c r="DP26" s="122"/>
      <c r="DQ26" s="122"/>
      <c r="DR26" s="122"/>
      <c r="DS26" s="297"/>
      <c r="DT26" s="297"/>
      <c r="DU26" s="297"/>
      <c r="DV26" s="297"/>
      <c r="DW26" s="626"/>
      <c r="DX26" s="626"/>
      <c r="DY26" s="626"/>
      <c r="DZ26" s="626"/>
      <c r="EA26" s="626"/>
      <c r="EB26" s="297"/>
      <c r="EC26" s="297"/>
      <c r="ED26" s="297"/>
      <c r="EE26" s="297"/>
      <c r="EF26" s="297"/>
      <c r="EG26" s="297"/>
      <c r="EH26" s="297"/>
      <c r="EI26" s="297"/>
      <c r="EJ26" s="116" t="s">
        <v>6196</v>
      </c>
      <c r="EK26" s="116" t="s">
        <v>6309</v>
      </c>
      <c r="EL26" s="116" t="s">
        <v>6405</v>
      </c>
      <c r="EM26" s="116" t="s">
        <v>6509</v>
      </c>
      <c r="EN26" s="617" t="s">
        <v>112</v>
      </c>
      <c r="EO26" s="115"/>
      <c r="EP26" s="115" t="str">
        <f>IF(EN26="NA","NA",Tabela4[[#This Row],[Data de protocolo para cálculo médio]]+(VLOOKUP(Tabela4[[#This Row],[Previsão com fórmula i-Helps tipo de fila]],Formulas!$H$1:$J$13,2,FALSE)*30))</f>
        <v>NA</v>
      </c>
      <c r="EQ26" s="115" t="str">
        <f>IF(EN26="NA","NA",Tabela4[[#This Row],[Data de protocolo para cálculo médio]]+(VLOOKUP(Tabela4[[#This Row],[Previsão com fórmula i-Helps tipo de fila]],Formulas!$H$1:$J$13,3,FALSE)*30))</f>
        <v>NA</v>
      </c>
      <c r="ER26" s="115"/>
      <c r="ES26" s="685"/>
      <c r="ET26" s="666" t="s">
        <v>112</v>
      </c>
      <c r="EU26" s="666" t="s">
        <v>112</v>
      </c>
      <c r="EV26" s="666" t="s">
        <v>112</v>
      </c>
    </row>
    <row r="27" spans="1:153" s="556" customFormat="1" ht="178.5" outlineLevel="1" x14ac:dyDescent="0.2">
      <c r="A27" s="779" t="s">
        <v>6137</v>
      </c>
      <c r="B27" s="663" t="s">
        <v>5601</v>
      </c>
      <c r="C27" s="477" t="s">
        <v>584</v>
      </c>
      <c r="D27" s="113" t="s">
        <v>3797</v>
      </c>
      <c r="E27" s="113" t="s">
        <v>5232</v>
      </c>
      <c r="F27" s="113" t="s">
        <v>4723</v>
      </c>
      <c r="G27" s="288" t="s">
        <v>4974</v>
      </c>
      <c r="H27" s="6" t="s">
        <v>1721</v>
      </c>
      <c r="I27" s="72" t="s">
        <v>6027</v>
      </c>
      <c r="J27" s="113" t="s">
        <v>4726</v>
      </c>
      <c r="K27" s="6" t="s">
        <v>4724</v>
      </c>
      <c r="L27" s="477" t="s">
        <v>454</v>
      </c>
      <c r="M27" s="122" t="s">
        <v>685</v>
      </c>
      <c r="N27" s="6" t="s">
        <v>6082</v>
      </c>
      <c r="O27" s="765">
        <v>43859</v>
      </c>
      <c r="P27" s="615" t="s">
        <v>6112</v>
      </c>
      <c r="Q27" s="615" t="s">
        <v>112</v>
      </c>
      <c r="R27" s="113" t="s">
        <v>3087</v>
      </c>
      <c r="S27" s="617"/>
      <c r="T27" s="113"/>
      <c r="U27" s="113" t="s">
        <v>112</v>
      </c>
      <c r="V27" s="113"/>
      <c r="W27" s="113"/>
      <c r="X27" s="113"/>
      <c r="Y27" s="113"/>
      <c r="Z27" s="113" t="s">
        <v>112</v>
      </c>
      <c r="AA27" s="617"/>
      <c r="AB27" s="113"/>
      <c r="AC27" s="617">
        <v>44428</v>
      </c>
      <c r="AD27" s="116" t="s">
        <v>6510</v>
      </c>
      <c r="AE27" s="122"/>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22"/>
      <c r="CL27" s="122"/>
      <c r="CM27" s="122"/>
      <c r="CN27" s="122"/>
      <c r="CO27" s="122"/>
      <c r="CP27" s="122"/>
      <c r="CQ27" s="122"/>
      <c r="CR27" s="122"/>
      <c r="CS27" s="122"/>
      <c r="CT27" s="122"/>
      <c r="CU27" s="122"/>
      <c r="CV27" s="122"/>
      <c r="CW27" s="122"/>
      <c r="CX27" s="122"/>
      <c r="CY27" s="122"/>
      <c r="CZ27" s="122"/>
      <c r="DA27" s="122"/>
      <c r="DB27" s="122"/>
      <c r="DC27" s="122"/>
      <c r="DD27" s="122"/>
      <c r="DE27" s="122"/>
      <c r="DF27" s="122"/>
      <c r="DG27" s="122"/>
      <c r="DH27" s="122"/>
      <c r="DI27" s="122"/>
      <c r="DJ27" s="122"/>
      <c r="DK27" s="122"/>
      <c r="DL27" s="122"/>
      <c r="DM27" s="122"/>
      <c r="DN27" s="122"/>
      <c r="DO27" s="122"/>
      <c r="DP27" s="122"/>
      <c r="DQ27" s="122"/>
      <c r="DR27" s="122"/>
      <c r="DS27" s="297"/>
      <c r="DT27" s="297"/>
      <c r="DU27" s="297"/>
      <c r="DV27" s="297"/>
      <c r="DW27" s="626"/>
      <c r="DX27" s="626"/>
      <c r="DY27" s="626"/>
      <c r="DZ27" s="626"/>
      <c r="EA27" s="626"/>
      <c r="EB27" s="297"/>
      <c r="EC27" s="297"/>
      <c r="ED27" s="297"/>
      <c r="EE27" s="297"/>
      <c r="EF27" s="297"/>
      <c r="EG27" s="297"/>
      <c r="EH27" s="297"/>
      <c r="EI27" s="297"/>
      <c r="EJ27" s="116" t="s">
        <v>6197</v>
      </c>
      <c r="EK27" s="116" t="s">
        <v>6310</v>
      </c>
      <c r="EL27" s="116" t="s">
        <v>6406</v>
      </c>
      <c r="EM27" s="116" t="s">
        <v>6510</v>
      </c>
      <c r="EN27" s="617" t="s">
        <v>112</v>
      </c>
      <c r="EO27" s="115"/>
      <c r="EP27" s="115" t="str">
        <f>IF(EN27="NA","NA",Tabela4[[#This Row],[Data de protocolo para cálculo médio]]+(VLOOKUP(Tabela4[[#This Row],[Previsão com fórmula i-Helps tipo de fila]],Formulas!$H$1:$J$13,2,FALSE)*30))</f>
        <v>NA</v>
      </c>
      <c r="EQ27" s="115" t="str">
        <f>IF(EN27="NA","NA",Tabela4[[#This Row],[Data de protocolo para cálculo médio]]+(VLOOKUP(Tabela4[[#This Row],[Previsão com fórmula i-Helps tipo de fila]],Formulas!$H$1:$J$13,3,FALSE)*30))</f>
        <v>NA</v>
      </c>
      <c r="ER27" s="115"/>
      <c r="ES27" s="685"/>
      <c r="ET27" s="666" t="s">
        <v>112</v>
      </c>
      <c r="EU27" s="666" t="s">
        <v>112</v>
      </c>
      <c r="EV27" s="666" t="s">
        <v>112</v>
      </c>
    </row>
    <row r="28" spans="1:153" s="556" customFormat="1" ht="79.5" customHeight="1" x14ac:dyDescent="0.2">
      <c r="A28" s="779">
        <v>14</v>
      </c>
      <c r="B28" s="663" t="s">
        <v>5602</v>
      </c>
      <c r="C28" s="477" t="s">
        <v>584</v>
      </c>
      <c r="D28" s="113" t="s">
        <v>3798</v>
      </c>
      <c r="E28" s="477" t="s">
        <v>5234</v>
      </c>
      <c r="F28" s="113" t="s">
        <v>4764</v>
      </c>
      <c r="G28" s="288" t="s">
        <v>5768</v>
      </c>
      <c r="H28" s="6" t="s">
        <v>3819</v>
      </c>
      <c r="I28" s="72" t="s">
        <v>4763</v>
      </c>
      <c r="J28" s="113" t="s">
        <v>4760</v>
      </c>
      <c r="K28" s="6" t="s">
        <v>4761</v>
      </c>
      <c r="L28" s="477" t="s">
        <v>454</v>
      </c>
      <c r="M28" s="122" t="s">
        <v>4762</v>
      </c>
      <c r="N28" s="122" t="s">
        <v>2992</v>
      </c>
      <c r="O28" s="643">
        <v>43861</v>
      </c>
      <c r="P28" s="615" t="s">
        <v>4985</v>
      </c>
      <c r="Q28" s="615" t="s">
        <v>112</v>
      </c>
      <c r="R28" s="477" t="s">
        <v>3038</v>
      </c>
      <c r="S28" s="612">
        <v>44322</v>
      </c>
      <c r="T28" s="477" t="s">
        <v>3926</v>
      </c>
      <c r="U28" s="272" t="s">
        <v>6016</v>
      </c>
      <c r="V28" s="122" t="s">
        <v>5838</v>
      </c>
      <c r="W28" s="477" t="s">
        <v>112</v>
      </c>
      <c r="X28" s="477" t="s">
        <v>112</v>
      </c>
      <c r="Y28" s="477" t="s">
        <v>112</v>
      </c>
      <c r="Z28" s="477" t="s">
        <v>112</v>
      </c>
      <c r="AA28" s="612">
        <v>43868</v>
      </c>
      <c r="AB28" s="477">
        <v>32</v>
      </c>
      <c r="AC28" s="617">
        <v>44428</v>
      </c>
      <c r="AD28" s="122" t="s">
        <v>6511</v>
      </c>
      <c r="AE28" s="122"/>
      <c r="AF28" s="477"/>
      <c r="AG28" s="477"/>
      <c r="AH28" s="477"/>
      <c r="AI28" s="477"/>
      <c r="AJ28" s="477"/>
      <c r="AK28" s="477"/>
      <c r="AL28" s="477"/>
      <c r="AM28" s="477"/>
      <c r="AN28" s="477"/>
      <c r="AO28" s="477"/>
      <c r="AP28" s="477"/>
      <c r="AQ28" s="477"/>
      <c r="AR28" s="477"/>
      <c r="AS28" s="477"/>
      <c r="AT28" s="477"/>
      <c r="AU28" s="477"/>
      <c r="AV28" s="477"/>
      <c r="AW28" s="477"/>
      <c r="AX28" s="477"/>
      <c r="AY28" s="477"/>
      <c r="AZ28" s="477"/>
      <c r="BA28" s="477"/>
      <c r="BB28" s="477"/>
      <c r="BC28" s="477"/>
      <c r="BD28" s="477"/>
      <c r="BE28" s="477"/>
      <c r="BF28" s="477"/>
      <c r="BG28" s="477"/>
      <c r="BH28" s="477"/>
      <c r="BI28" s="477"/>
      <c r="BJ28" s="477"/>
      <c r="BK28" s="477"/>
      <c r="BL28" s="477"/>
      <c r="BM28" s="477">
        <v>32</v>
      </c>
      <c r="BN28" s="477">
        <v>30</v>
      </c>
      <c r="BO28" s="477">
        <v>31</v>
      </c>
      <c r="BP28" s="477">
        <v>31</v>
      </c>
      <c r="BQ28" s="477">
        <v>31</v>
      </c>
      <c r="BR28" s="477">
        <v>31</v>
      </c>
      <c r="BS28" s="477">
        <v>31</v>
      </c>
      <c r="BT28" s="477">
        <v>30</v>
      </c>
      <c r="BU28" s="477">
        <v>30</v>
      </c>
      <c r="BV28" s="477">
        <v>30</v>
      </c>
      <c r="BW28" s="477">
        <v>29</v>
      </c>
      <c r="BX28" s="477">
        <v>28</v>
      </c>
      <c r="BY28" s="477">
        <v>27</v>
      </c>
      <c r="BZ28" s="477">
        <v>26</v>
      </c>
      <c r="CA28" s="477">
        <v>25</v>
      </c>
      <c r="CB28" s="477">
        <v>24</v>
      </c>
      <c r="CC28" s="477">
        <v>24</v>
      </c>
      <c r="CD28" s="477">
        <v>24</v>
      </c>
      <c r="CE28" s="477">
        <v>24</v>
      </c>
      <c r="CF28" s="477">
        <v>23</v>
      </c>
      <c r="CG28" s="477">
        <v>21</v>
      </c>
      <c r="CH28" s="477">
        <v>21</v>
      </c>
      <c r="CI28" s="477">
        <v>21</v>
      </c>
      <c r="CJ28" s="477">
        <v>19</v>
      </c>
      <c r="CK28" s="626">
        <v>19</v>
      </c>
      <c r="CL28" s="626">
        <v>19</v>
      </c>
      <c r="CM28" s="626">
        <v>19</v>
      </c>
      <c r="CN28" s="626">
        <v>18</v>
      </c>
      <c r="CO28" s="626">
        <v>18</v>
      </c>
      <c r="CP28" s="626">
        <v>18</v>
      </c>
      <c r="CQ28" s="626">
        <v>18</v>
      </c>
      <c r="CR28" s="626">
        <v>17</v>
      </c>
      <c r="CS28" s="626">
        <v>16</v>
      </c>
      <c r="CT28" s="626">
        <v>16</v>
      </c>
      <c r="CU28" s="626">
        <v>16</v>
      </c>
      <c r="CV28" s="626">
        <v>16</v>
      </c>
      <c r="CW28" s="626">
        <v>16</v>
      </c>
      <c r="CX28" s="626">
        <v>16</v>
      </c>
      <c r="CY28" s="626">
        <v>16</v>
      </c>
      <c r="CZ28" s="626">
        <v>14</v>
      </c>
      <c r="DA28" s="626">
        <v>14</v>
      </c>
      <c r="DB28" s="626">
        <v>14</v>
      </c>
      <c r="DC28" s="626">
        <v>14</v>
      </c>
      <c r="DD28" s="626">
        <v>14</v>
      </c>
      <c r="DE28" s="626">
        <v>14</v>
      </c>
      <c r="DF28" s="626">
        <v>14</v>
      </c>
      <c r="DG28" s="626">
        <v>14</v>
      </c>
      <c r="DH28" s="626">
        <v>14</v>
      </c>
      <c r="DI28" s="626">
        <v>14</v>
      </c>
      <c r="DJ28" s="626">
        <v>14</v>
      </c>
      <c r="DK28" s="626">
        <v>11</v>
      </c>
      <c r="DL28" s="626">
        <v>11</v>
      </c>
      <c r="DM28" s="626">
        <v>11</v>
      </c>
      <c r="DN28" s="626">
        <v>11</v>
      </c>
      <c r="DO28" s="626">
        <v>9</v>
      </c>
      <c r="DP28" s="626">
        <v>8</v>
      </c>
      <c r="DQ28" s="626">
        <v>8</v>
      </c>
      <c r="DR28" s="626">
        <v>8</v>
      </c>
      <c r="DS28" s="626">
        <v>7</v>
      </c>
      <c r="DT28" s="626">
        <v>6</v>
      </c>
      <c r="DU28" s="626">
        <v>6</v>
      </c>
      <c r="DV28" s="626">
        <v>6</v>
      </c>
      <c r="DW28" s="626">
        <v>5</v>
      </c>
      <c r="DX28" s="122" t="s">
        <v>5820</v>
      </c>
      <c r="DY28" s="122" t="s">
        <v>5862</v>
      </c>
      <c r="DZ28" s="122" t="s">
        <v>5862</v>
      </c>
      <c r="EA28" s="122" t="s">
        <v>5862</v>
      </c>
      <c r="EB28" s="122" t="s">
        <v>5862</v>
      </c>
      <c r="EC28" s="122" t="s">
        <v>5862</v>
      </c>
      <c r="ED28" s="122" t="s">
        <v>5862</v>
      </c>
      <c r="EE28" s="122" t="s">
        <v>5862</v>
      </c>
      <c r="EF28" s="122" t="s">
        <v>5862</v>
      </c>
      <c r="EG28" s="122" t="s">
        <v>5862</v>
      </c>
      <c r="EH28" s="122" t="s">
        <v>5862</v>
      </c>
      <c r="EI28" s="122" t="s">
        <v>5862</v>
      </c>
      <c r="EJ28" s="122" t="s">
        <v>6198</v>
      </c>
      <c r="EK28" s="122" t="s">
        <v>6311</v>
      </c>
      <c r="EL28" s="122" t="s">
        <v>6407</v>
      </c>
      <c r="EM28" s="122" t="s">
        <v>6511</v>
      </c>
      <c r="EN28" s="612" t="s">
        <v>5064</v>
      </c>
      <c r="EO28" s="664">
        <v>43861</v>
      </c>
      <c r="EP28" s="664">
        <f>IF(EN28="NA","NA",Tabela4[[#This Row],[Data de protocolo para cálculo médio]]+(VLOOKUP(Tabela4[[#This Row],[Previsão com fórmula i-Helps tipo de fila]],Formulas!$H$1:$J$13,2,FALSE)*30))</f>
        <v>44101</v>
      </c>
      <c r="EQ28" s="664">
        <f>IF(EN28="NA","NA",Tabela4[[#This Row],[Data de protocolo para cálculo médio]]+(VLOOKUP(Tabela4[[#This Row],[Previsão com fórmula i-Helps tipo de fila]],Formulas!$H$1:$J$13,3,FALSE)*30))</f>
        <v>44431</v>
      </c>
      <c r="ER28" s="501">
        <v>44348</v>
      </c>
      <c r="ES28" s="122" t="s">
        <v>5903</v>
      </c>
      <c r="ET28" s="666" t="s">
        <v>5059</v>
      </c>
      <c r="EU28" s="617" t="s">
        <v>5060</v>
      </c>
      <c r="EV28" s="617" t="s">
        <v>5064</v>
      </c>
    </row>
    <row r="29" spans="1:153" s="556" customFormat="1" ht="102" outlineLevel="1" x14ac:dyDescent="0.2">
      <c r="A29" s="779" t="s">
        <v>6138</v>
      </c>
      <c r="B29" s="663" t="s">
        <v>5602</v>
      </c>
      <c r="C29" s="477" t="s">
        <v>584</v>
      </c>
      <c r="D29" s="113" t="s">
        <v>3798</v>
      </c>
      <c r="E29" s="477" t="s">
        <v>5234</v>
      </c>
      <c r="F29" s="113" t="s">
        <v>4764</v>
      </c>
      <c r="G29" s="288" t="s">
        <v>5768</v>
      </c>
      <c r="H29" s="6" t="s">
        <v>3819</v>
      </c>
      <c r="I29" s="72" t="s">
        <v>4763</v>
      </c>
      <c r="J29" s="113" t="s">
        <v>4760</v>
      </c>
      <c r="K29" s="6" t="s">
        <v>4761</v>
      </c>
      <c r="L29" s="477" t="s">
        <v>454</v>
      </c>
      <c r="M29" s="122" t="s">
        <v>4762</v>
      </c>
      <c r="N29" s="113" t="s">
        <v>6079</v>
      </c>
      <c r="O29" s="765">
        <v>44306</v>
      </c>
      <c r="P29" s="615" t="s">
        <v>6048</v>
      </c>
      <c r="Q29" s="615" t="s">
        <v>112</v>
      </c>
      <c r="R29" s="113" t="s">
        <v>3038</v>
      </c>
      <c r="S29" s="617">
        <v>44398</v>
      </c>
      <c r="T29" s="113"/>
      <c r="U29" s="113" t="s">
        <v>112</v>
      </c>
      <c r="V29" s="113"/>
      <c r="W29" s="113"/>
      <c r="X29" s="113"/>
      <c r="Y29" s="113"/>
      <c r="Z29" s="617" t="s">
        <v>112</v>
      </c>
      <c r="AA29" s="617"/>
      <c r="AB29" s="113"/>
      <c r="AC29" s="617">
        <v>44428</v>
      </c>
      <c r="AD29" s="297" t="s">
        <v>6512</v>
      </c>
      <c r="AE29" s="122"/>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22"/>
      <c r="CL29" s="122"/>
      <c r="CM29" s="122"/>
      <c r="CN29" s="122"/>
      <c r="CO29" s="122"/>
      <c r="CP29" s="122"/>
      <c r="CQ29" s="122"/>
      <c r="CR29" s="122"/>
      <c r="CS29" s="122"/>
      <c r="CT29" s="122"/>
      <c r="CU29" s="122"/>
      <c r="CV29" s="122"/>
      <c r="CW29" s="122"/>
      <c r="CX29" s="122"/>
      <c r="CY29" s="122"/>
      <c r="CZ29" s="122"/>
      <c r="DA29" s="122"/>
      <c r="DB29" s="122"/>
      <c r="DC29" s="122"/>
      <c r="DD29" s="122"/>
      <c r="DE29" s="122"/>
      <c r="DF29" s="122"/>
      <c r="DG29" s="122"/>
      <c r="DH29" s="122"/>
      <c r="DI29" s="122"/>
      <c r="DJ29" s="122"/>
      <c r="DK29" s="122"/>
      <c r="DL29" s="122"/>
      <c r="DM29" s="122"/>
      <c r="DN29" s="122"/>
      <c r="DO29" s="122"/>
      <c r="DP29" s="122"/>
      <c r="DQ29" s="122"/>
      <c r="DR29" s="122"/>
      <c r="DS29" s="297"/>
      <c r="DT29" s="297"/>
      <c r="DU29" s="297"/>
      <c r="DV29" s="297"/>
      <c r="DW29" s="626"/>
      <c r="DX29" s="122"/>
      <c r="DY29" s="122"/>
      <c r="DZ29" s="122"/>
      <c r="EA29" s="122"/>
      <c r="EB29" s="297"/>
      <c r="EC29" s="297"/>
      <c r="ED29" s="297"/>
      <c r="EE29" s="297"/>
      <c r="EF29" s="297"/>
      <c r="EG29" s="297"/>
      <c r="EH29" s="297"/>
      <c r="EI29" s="297"/>
      <c r="EJ29" s="297" t="s">
        <v>6199</v>
      </c>
      <c r="EK29" s="297" t="s">
        <v>6312</v>
      </c>
      <c r="EL29" s="297" t="s">
        <v>6419</v>
      </c>
      <c r="EM29" s="297" t="s">
        <v>6512</v>
      </c>
      <c r="EN29" s="617" t="s">
        <v>112</v>
      </c>
      <c r="EO29" s="115"/>
      <c r="EP29" s="115" t="str">
        <f>IF(EN29="NA","NA",Tabela4[[#This Row],[Data de protocolo para cálculo médio]]+(VLOOKUP(Tabela4[[#This Row],[Previsão com fórmula i-Helps tipo de fila]],Formulas!$H$1:$J$13,2,FALSE)*30))</f>
        <v>NA</v>
      </c>
      <c r="EQ29" s="115" t="str">
        <f>IF(EN29="NA","NA",Tabela4[[#This Row],[Data de protocolo para cálculo médio]]+(VLOOKUP(Tabela4[[#This Row],[Previsão com fórmula i-Helps tipo de fila]],Formulas!$H$1:$J$13,3,FALSE)*30))</f>
        <v>NA</v>
      </c>
      <c r="ER29" s="115"/>
      <c r="ES29" s="685"/>
      <c r="ET29" s="666" t="s">
        <v>112</v>
      </c>
      <c r="EU29" s="666" t="s">
        <v>112</v>
      </c>
      <c r="EV29" s="666" t="s">
        <v>112</v>
      </c>
    </row>
    <row r="30" spans="1:153" s="556" customFormat="1" ht="102" outlineLevel="1" x14ac:dyDescent="0.2">
      <c r="A30" s="779" t="s">
        <v>6139</v>
      </c>
      <c r="B30" s="663" t="s">
        <v>5602</v>
      </c>
      <c r="C30" s="477" t="s">
        <v>584</v>
      </c>
      <c r="D30" s="113" t="s">
        <v>3798</v>
      </c>
      <c r="E30" s="477" t="s">
        <v>5234</v>
      </c>
      <c r="F30" s="113" t="s">
        <v>4764</v>
      </c>
      <c r="G30" s="288" t="s">
        <v>5768</v>
      </c>
      <c r="H30" s="6" t="s">
        <v>3819</v>
      </c>
      <c r="I30" s="72" t="s">
        <v>4763</v>
      </c>
      <c r="J30" s="113" t="s">
        <v>4760</v>
      </c>
      <c r="K30" s="6" t="s">
        <v>4761</v>
      </c>
      <c r="L30" s="477" t="s">
        <v>454</v>
      </c>
      <c r="M30" s="122" t="s">
        <v>4762</v>
      </c>
      <c r="N30" s="113" t="s">
        <v>6083</v>
      </c>
      <c r="O30" s="765">
        <v>43875</v>
      </c>
      <c r="P30" s="615" t="s">
        <v>6049</v>
      </c>
      <c r="Q30" s="615" t="s">
        <v>112</v>
      </c>
      <c r="R30" s="113" t="s">
        <v>2866</v>
      </c>
      <c r="S30" s="617">
        <v>43977</v>
      </c>
      <c r="T30" s="113"/>
      <c r="U30" s="113" t="s">
        <v>112</v>
      </c>
      <c r="V30" s="113"/>
      <c r="W30" s="113"/>
      <c r="X30" s="113"/>
      <c r="Y30" s="113"/>
      <c r="Z30" s="617" t="s">
        <v>112</v>
      </c>
      <c r="AA30" s="617"/>
      <c r="AB30" s="113"/>
      <c r="AC30" s="617">
        <v>44428</v>
      </c>
      <c r="AD30" s="891" t="s">
        <v>6513</v>
      </c>
      <c r="AE30" s="122"/>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22"/>
      <c r="CL30" s="122"/>
      <c r="CM30" s="122"/>
      <c r="CN30" s="122"/>
      <c r="CO30" s="122"/>
      <c r="CP30" s="122"/>
      <c r="CQ30" s="122"/>
      <c r="CR30" s="122"/>
      <c r="CS30" s="122"/>
      <c r="CT30" s="122"/>
      <c r="CU30" s="122"/>
      <c r="CV30" s="122"/>
      <c r="CW30" s="122"/>
      <c r="CX30" s="122"/>
      <c r="CY30" s="122"/>
      <c r="CZ30" s="122"/>
      <c r="DA30" s="122"/>
      <c r="DB30" s="122"/>
      <c r="DC30" s="122"/>
      <c r="DD30" s="122"/>
      <c r="DE30" s="122"/>
      <c r="DF30" s="122"/>
      <c r="DG30" s="122"/>
      <c r="DH30" s="122"/>
      <c r="DI30" s="122"/>
      <c r="DJ30" s="122"/>
      <c r="DK30" s="122"/>
      <c r="DL30" s="122"/>
      <c r="DM30" s="122"/>
      <c r="DN30" s="122"/>
      <c r="DO30" s="122"/>
      <c r="DP30" s="122"/>
      <c r="DQ30" s="122"/>
      <c r="DR30" s="122"/>
      <c r="DS30" s="297"/>
      <c r="DT30" s="297"/>
      <c r="DU30" s="297"/>
      <c r="DV30" s="297"/>
      <c r="DW30" s="626"/>
      <c r="DX30" s="122"/>
      <c r="DY30" s="122"/>
      <c r="DZ30" s="122"/>
      <c r="EA30" s="122"/>
      <c r="EB30" s="297"/>
      <c r="EC30" s="297"/>
      <c r="ED30" s="297"/>
      <c r="EE30" s="297"/>
      <c r="EF30" s="297"/>
      <c r="EG30" s="297"/>
      <c r="EH30" s="297"/>
      <c r="EI30" s="297"/>
      <c r="EJ30" s="891" t="s">
        <v>6200</v>
      </c>
      <c r="EK30" s="891" t="s">
        <v>6313</v>
      </c>
      <c r="EL30" s="891" t="s">
        <v>6408</v>
      </c>
      <c r="EM30" s="891" t="s">
        <v>6513</v>
      </c>
      <c r="EN30" s="617" t="s">
        <v>112</v>
      </c>
      <c r="EO30" s="115"/>
      <c r="EP30" s="115" t="str">
        <f>IF(EN30="NA","NA",Tabela4[[#This Row],[Data de protocolo para cálculo médio]]+(VLOOKUP(Tabela4[[#This Row],[Previsão com fórmula i-Helps tipo de fila]],Formulas!$H$1:$J$13,2,FALSE)*30))</f>
        <v>NA</v>
      </c>
      <c r="EQ30" s="115" t="str">
        <f>IF(EN30="NA","NA",Tabela4[[#This Row],[Data de protocolo para cálculo médio]]+(VLOOKUP(Tabela4[[#This Row],[Previsão com fórmula i-Helps tipo de fila]],Formulas!$H$1:$J$13,3,FALSE)*30))</f>
        <v>NA</v>
      </c>
      <c r="ER30" s="115"/>
      <c r="ES30" s="685"/>
      <c r="ET30" s="666" t="s">
        <v>112</v>
      </c>
      <c r="EU30" s="666" t="s">
        <v>112</v>
      </c>
      <c r="EV30" s="666" t="s">
        <v>112</v>
      </c>
    </row>
    <row r="31" spans="1:153" s="556" customFormat="1" ht="102" outlineLevel="1" x14ac:dyDescent="0.2">
      <c r="A31" s="779" t="s">
        <v>6140</v>
      </c>
      <c r="B31" s="663" t="s">
        <v>5602</v>
      </c>
      <c r="C31" s="477" t="s">
        <v>584</v>
      </c>
      <c r="D31" s="113" t="s">
        <v>3798</v>
      </c>
      <c r="E31" s="477" t="s">
        <v>5234</v>
      </c>
      <c r="F31" s="113" t="s">
        <v>4764</v>
      </c>
      <c r="G31" s="288" t="s">
        <v>5768</v>
      </c>
      <c r="H31" s="6" t="s">
        <v>3819</v>
      </c>
      <c r="I31" s="72" t="s">
        <v>4763</v>
      </c>
      <c r="J31" s="113" t="s">
        <v>4760</v>
      </c>
      <c r="K31" s="6" t="s">
        <v>4761</v>
      </c>
      <c r="L31" s="477" t="s">
        <v>454</v>
      </c>
      <c r="M31" s="122" t="s">
        <v>4762</v>
      </c>
      <c r="N31" s="113" t="s">
        <v>6080</v>
      </c>
      <c r="O31" s="765">
        <v>43875</v>
      </c>
      <c r="P31" s="615" t="s">
        <v>6050</v>
      </c>
      <c r="Q31" s="615" t="s">
        <v>112</v>
      </c>
      <c r="R31" s="113" t="s">
        <v>2866</v>
      </c>
      <c r="S31" s="617">
        <v>43899</v>
      </c>
      <c r="T31" s="113"/>
      <c r="U31" s="113" t="s">
        <v>112</v>
      </c>
      <c r="V31" s="113"/>
      <c r="W31" s="113"/>
      <c r="X31" s="113"/>
      <c r="Y31" s="113"/>
      <c r="Z31" s="617" t="s">
        <v>112</v>
      </c>
      <c r="AA31" s="617"/>
      <c r="AB31" s="113"/>
      <c r="AC31" s="617">
        <v>44428</v>
      </c>
      <c r="AD31" s="891" t="s">
        <v>6514</v>
      </c>
      <c r="AE31" s="122"/>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22"/>
      <c r="CL31" s="122"/>
      <c r="CM31" s="122"/>
      <c r="CN31" s="122"/>
      <c r="CO31" s="122"/>
      <c r="CP31" s="122"/>
      <c r="CQ31" s="122"/>
      <c r="CR31" s="122"/>
      <c r="CS31" s="122"/>
      <c r="CT31" s="122"/>
      <c r="CU31" s="122"/>
      <c r="CV31" s="122"/>
      <c r="CW31" s="122"/>
      <c r="CX31" s="122"/>
      <c r="CY31" s="122"/>
      <c r="CZ31" s="122"/>
      <c r="DA31" s="122"/>
      <c r="DB31" s="122"/>
      <c r="DC31" s="122"/>
      <c r="DD31" s="122"/>
      <c r="DE31" s="122"/>
      <c r="DF31" s="122"/>
      <c r="DG31" s="122"/>
      <c r="DH31" s="122"/>
      <c r="DI31" s="122"/>
      <c r="DJ31" s="122"/>
      <c r="DK31" s="122"/>
      <c r="DL31" s="122"/>
      <c r="DM31" s="122"/>
      <c r="DN31" s="122"/>
      <c r="DO31" s="122"/>
      <c r="DP31" s="122"/>
      <c r="DQ31" s="122"/>
      <c r="DR31" s="122"/>
      <c r="DS31" s="297"/>
      <c r="DT31" s="297"/>
      <c r="DU31" s="297"/>
      <c r="DV31" s="297"/>
      <c r="DW31" s="626"/>
      <c r="DX31" s="122"/>
      <c r="DY31" s="122"/>
      <c r="DZ31" s="122"/>
      <c r="EA31" s="122"/>
      <c r="EB31" s="297"/>
      <c r="EC31" s="297"/>
      <c r="ED31" s="297"/>
      <c r="EE31" s="297"/>
      <c r="EF31" s="297"/>
      <c r="EG31" s="297"/>
      <c r="EH31" s="297"/>
      <c r="EI31" s="297"/>
      <c r="EJ31" s="891" t="s">
        <v>6201</v>
      </c>
      <c r="EK31" s="891" t="s">
        <v>6314</v>
      </c>
      <c r="EL31" s="891" t="s">
        <v>6409</v>
      </c>
      <c r="EM31" s="891" t="s">
        <v>6514</v>
      </c>
      <c r="EN31" s="617" t="s">
        <v>112</v>
      </c>
      <c r="EO31" s="115"/>
      <c r="EP31" s="115" t="str">
        <f>IF(EN31="NA","NA",Tabela4[[#This Row],[Data de protocolo para cálculo médio]]+(VLOOKUP(Tabela4[[#This Row],[Previsão com fórmula i-Helps tipo de fila]],Formulas!$H$1:$J$13,2,FALSE)*30))</f>
        <v>NA</v>
      </c>
      <c r="EQ31" s="115" t="str">
        <f>IF(EN31="NA","NA",Tabela4[[#This Row],[Data de protocolo para cálculo médio]]+(VLOOKUP(Tabela4[[#This Row],[Previsão com fórmula i-Helps tipo de fila]],Formulas!$H$1:$J$13,3,FALSE)*30))</f>
        <v>NA</v>
      </c>
      <c r="ER31" s="115"/>
      <c r="ES31" s="685"/>
      <c r="ET31" s="666" t="s">
        <v>112</v>
      </c>
      <c r="EU31" s="666" t="s">
        <v>112</v>
      </c>
      <c r="EV31" s="666" t="s">
        <v>112</v>
      </c>
    </row>
    <row r="32" spans="1:153" s="556" customFormat="1" ht="102" outlineLevel="1" x14ac:dyDescent="0.2">
      <c r="A32" s="779" t="s">
        <v>6141</v>
      </c>
      <c r="B32" s="663" t="s">
        <v>5602</v>
      </c>
      <c r="C32" s="477" t="s">
        <v>584</v>
      </c>
      <c r="D32" s="113" t="s">
        <v>3798</v>
      </c>
      <c r="E32" s="477" t="s">
        <v>5234</v>
      </c>
      <c r="F32" s="113" t="s">
        <v>4764</v>
      </c>
      <c r="G32" s="288" t="s">
        <v>5768</v>
      </c>
      <c r="H32" s="6" t="s">
        <v>3819</v>
      </c>
      <c r="I32" s="72" t="s">
        <v>4763</v>
      </c>
      <c r="J32" s="113" t="s">
        <v>4760</v>
      </c>
      <c r="K32" s="6" t="s">
        <v>4761</v>
      </c>
      <c r="L32" s="477" t="s">
        <v>454</v>
      </c>
      <c r="M32" s="122" t="s">
        <v>4762</v>
      </c>
      <c r="N32" s="113" t="s">
        <v>6082</v>
      </c>
      <c r="O32" s="765">
        <v>44233</v>
      </c>
      <c r="P32" s="615" t="s">
        <v>6051</v>
      </c>
      <c r="Q32" s="615" t="s">
        <v>112</v>
      </c>
      <c r="R32" s="113" t="s">
        <v>6052</v>
      </c>
      <c r="S32" s="617">
        <v>44307</v>
      </c>
      <c r="T32" s="113"/>
      <c r="U32" s="113" t="s">
        <v>112</v>
      </c>
      <c r="V32" s="113"/>
      <c r="W32" s="113"/>
      <c r="X32" s="113"/>
      <c r="Y32" s="113"/>
      <c r="Z32" s="617" t="s">
        <v>112</v>
      </c>
      <c r="AA32" s="617"/>
      <c r="AB32" s="113"/>
      <c r="AC32" s="617">
        <v>44428</v>
      </c>
      <c r="AD32" s="891" t="s">
        <v>6515</v>
      </c>
      <c r="AE32" s="122"/>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22"/>
      <c r="CL32" s="122"/>
      <c r="CM32" s="122"/>
      <c r="CN32" s="122"/>
      <c r="CO32" s="122"/>
      <c r="CP32" s="122"/>
      <c r="CQ32" s="122"/>
      <c r="CR32" s="122"/>
      <c r="CS32" s="122"/>
      <c r="CT32" s="122"/>
      <c r="CU32" s="122"/>
      <c r="CV32" s="122"/>
      <c r="CW32" s="122"/>
      <c r="CX32" s="122"/>
      <c r="CY32" s="122"/>
      <c r="CZ32" s="122"/>
      <c r="DA32" s="122"/>
      <c r="DB32" s="122"/>
      <c r="DC32" s="122"/>
      <c r="DD32" s="122"/>
      <c r="DE32" s="122"/>
      <c r="DF32" s="122"/>
      <c r="DG32" s="122"/>
      <c r="DH32" s="122"/>
      <c r="DI32" s="122"/>
      <c r="DJ32" s="122"/>
      <c r="DK32" s="122"/>
      <c r="DL32" s="122"/>
      <c r="DM32" s="122"/>
      <c r="DN32" s="122"/>
      <c r="DO32" s="122"/>
      <c r="DP32" s="122"/>
      <c r="DQ32" s="122"/>
      <c r="DR32" s="122"/>
      <c r="DS32" s="297"/>
      <c r="DT32" s="297"/>
      <c r="DU32" s="297"/>
      <c r="DV32" s="297"/>
      <c r="DW32" s="626"/>
      <c r="DX32" s="122"/>
      <c r="DY32" s="122"/>
      <c r="DZ32" s="122"/>
      <c r="EA32" s="122"/>
      <c r="EB32" s="297"/>
      <c r="EC32" s="297"/>
      <c r="ED32" s="297"/>
      <c r="EE32" s="297"/>
      <c r="EF32" s="297"/>
      <c r="EG32" s="297"/>
      <c r="EH32" s="297"/>
      <c r="EI32" s="297"/>
      <c r="EJ32" s="891" t="s">
        <v>6202</v>
      </c>
      <c r="EK32" s="891" t="s">
        <v>6315</v>
      </c>
      <c r="EL32" s="891" t="s">
        <v>6410</v>
      </c>
      <c r="EM32" s="891" t="s">
        <v>6515</v>
      </c>
      <c r="EN32" s="617" t="s">
        <v>112</v>
      </c>
      <c r="EO32" s="115"/>
      <c r="EP32" s="115" t="str">
        <f>IF(EN32="NA","NA",Tabela4[[#This Row],[Data de protocolo para cálculo médio]]+(VLOOKUP(Tabela4[[#This Row],[Previsão com fórmula i-Helps tipo de fila]],Formulas!$H$1:$J$13,2,FALSE)*30))</f>
        <v>NA</v>
      </c>
      <c r="EQ32" s="115" t="str">
        <f>IF(EN32="NA","NA",Tabela4[[#This Row],[Data de protocolo para cálculo médio]]+(VLOOKUP(Tabela4[[#This Row],[Previsão com fórmula i-Helps tipo de fila]],Formulas!$H$1:$J$13,3,FALSE)*30))</f>
        <v>NA</v>
      </c>
      <c r="ER32" s="115"/>
      <c r="ES32" s="685"/>
      <c r="ET32" s="666" t="s">
        <v>112</v>
      </c>
      <c r="EU32" s="666" t="s">
        <v>112</v>
      </c>
      <c r="EV32" s="666" t="s">
        <v>112</v>
      </c>
    </row>
    <row r="33" spans="1:153" s="556" customFormat="1" ht="331.5" x14ac:dyDescent="0.2">
      <c r="A33" s="779">
        <v>15</v>
      </c>
      <c r="B33" s="663"/>
      <c r="C33" s="477" t="s">
        <v>1137</v>
      </c>
      <c r="D33" s="113" t="s">
        <v>3797</v>
      </c>
      <c r="E33" s="477" t="s">
        <v>5633</v>
      </c>
      <c r="F33" s="113" t="s">
        <v>4836</v>
      </c>
      <c r="G33" s="288" t="s">
        <v>5109</v>
      </c>
      <c r="H33" s="6" t="s">
        <v>1721</v>
      </c>
      <c r="I33" s="72" t="s">
        <v>1806</v>
      </c>
      <c r="J33" s="113" t="s">
        <v>4726</v>
      </c>
      <c r="K33" s="6" t="s">
        <v>2514</v>
      </c>
      <c r="L33" s="477" t="s">
        <v>11</v>
      </c>
      <c r="M33" s="122" t="s">
        <v>685</v>
      </c>
      <c r="N33" s="122" t="s">
        <v>3090</v>
      </c>
      <c r="O33" s="643">
        <v>43878</v>
      </c>
      <c r="P33" s="615" t="s">
        <v>4837</v>
      </c>
      <c r="Q33" s="615" t="s">
        <v>4984</v>
      </c>
      <c r="R33" s="477" t="s">
        <v>4251</v>
      </c>
      <c r="S33" s="612">
        <v>43951</v>
      </c>
      <c r="T33" s="477" t="s">
        <v>1418</v>
      </c>
      <c r="U33" s="272" t="s">
        <v>5079</v>
      </c>
      <c r="V33" s="477" t="s">
        <v>112</v>
      </c>
      <c r="W33" s="477" t="s">
        <v>4826</v>
      </c>
      <c r="X33" s="477" t="s">
        <v>4723</v>
      </c>
      <c r="Y33" s="477" t="s">
        <v>3084</v>
      </c>
      <c r="Z33" s="477" t="s">
        <v>3084</v>
      </c>
      <c r="AA33" s="612">
        <v>43882</v>
      </c>
      <c r="AB33" s="477">
        <v>56</v>
      </c>
      <c r="AC33" s="617">
        <v>44428</v>
      </c>
      <c r="AD33" s="900" t="s">
        <v>6516</v>
      </c>
      <c r="AE33" s="122"/>
      <c r="AF33" s="477"/>
      <c r="AG33" s="477"/>
      <c r="AH33" s="477"/>
      <c r="AI33" s="477"/>
      <c r="AJ33" s="477"/>
      <c r="AK33" s="477"/>
      <c r="AL33" s="477"/>
      <c r="AM33" s="477"/>
      <c r="AN33" s="477"/>
      <c r="AO33" s="477"/>
      <c r="AP33" s="477"/>
      <c r="AQ33" s="477"/>
      <c r="AR33" s="477"/>
      <c r="AS33" s="477"/>
      <c r="AT33" s="477"/>
      <c r="AU33" s="477"/>
      <c r="AV33" s="477"/>
      <c r="AW33" s="477"/>
      <c r="AX33" s="477"/>
      <c r="AY33" s="477"/>
      <c r="AZ33" s="477"/>
      <c r="BA33" s="477"/>
      <c r="BB33" s="477"/>
      <c r="BC33" s="477"/>
      <c r="BD33" s="477"/>
      <c r="BE33" s="477"/>
      <c r="BF33" s="477"/>
      <c r="BG33" s="477"/>
      <c r="BH33" s="477"/>
      <c r="BI33" s="477"/>
      <c r="BJ33" s="477"/>
      <c r="BK33" s="477"/>
      <c r="BL33" s="477"/>
      <c r="BM33" s="477"/>
      <c r="BN33" s="477"/>
      <c r="BO33" s="477">
        <v>56</v>
      </c>
      <c r="BP33" s="477">
        <v>56</v>
      </c>
      <c r="BQ33" s="477">
        <v>58</v>
      </c>
      <c r="BR33" s="477">
        <v>42</v>
      </c>
      <c r="BS33" s="477">
        <v>41</v>
      </c>
      <c r="BT33" s="477">
        <v>28</v>
      </c>
      <c r="BU33" s="477">
        <v>29</v>
      </c>
      <c r="BV33" s="477">
        <v>28</v>
      </c>
      <c r="BW33" s="477">
        <v>21</v>
      </c>
      <c r="BX33" s="477">
        <v>23</v>
      </c>
      <c r="BY33" s="477" t="s">
        <v>4951</v>
      </c>
      <c r="BZ33" s="477" t="s">
        <v>4951</v>
      </c>
      <c r="CA33" s="477" t="s">
        <v>4951</v>
      </c>
      <c r="CB33" s="477" t="s">
        <v>4988</v>
      </c>
      <c r="CC33" s="477" t="s">
        <v>4988</v>
      </c>
      <c r="CD33" s="477" t="s">
        <v>4988</v>
      </c>
      <c r="CE33" s="477" t="s">
        <v>4988</v>
      </c>
      <c r="CF33" s="477" t="s">
        <v>4988</v>
      </c>
      <c r="CG33" s="477" t="s">
        <v>4988</v>
      </c>
      <c r="CH33" s="477" t="s">
        <v>4988</v>
      </c>
      <c r="CI33" s="477" t="s">
        <v>4988</v>
      </c>
      <c r="CJ33" s="477" t="s">
        <v>4988</v>
      </c>
      <c r="CK33" s="626" t="s">
        <v>4988</v>
      </c>
      <c r="CL33" s="626" t="s">
        <v>4988</v>
      </c>
      <c r="CM33" s="626" t="s">
        <v>4988</v>
      </c>
      <c r="CN33" s="626" t="s">
        <v>4988</v>
      </c>
      <c r="CO33" s="626" t="s">
        <v>4988</v>
      </c>
      <c r="CP33" s="626" t="s">
        <v>4988</v>
      </c>
      <c r="CQ33" s="626" t="s">
        <v>4988</v>
      </c>
      <c r="CR33" s="626" t="s">
        <v>4988</v>
      </c>
      <c r="CS33" s="626" t="s">
        <v>4988</v>
      </c>
      <c r="CT33" s="626" t="s">
        <v>4988</v>
      </c>
      <c r="CU33" s="626" t="s">
        <v>4988</v>
      </c>
      <c r="CV33" s="626" t="s">
        <v>4988</v>
      </c>
      <c r="CW33" s="626" t="s">
        <v>4988</v>
      </c>
      <c r="CX33" s="626" t="s">
        <v>4988</v>
      </c>
      <c r="CY33" s="626" t="s">
        <v>4988</v>
      </c>
      <c r="CZ33" s="626" t="s">
        <v>4988</v>
      </c>
      <c r="DA33" s="626" t="s">
        <v>4988</v>
      </c>
      <c r="DB33" s="626" t="s">
        <v>4988</v>
      </c>
      <c r="DC33" s="626" t="s">
        <v>4988</v>
      </c>
      <c r="DD33" s="626" t="s">
        <v>4988</v>
      </c>
      <c r="DE33" s="626" t="s">
        <v>4988</v>
      </c>
      <c r="DF33" s="626" t="s">
        <v>4988</v>
      </c>
      <c r="DG33" s="626" t="s">
        <v>4988</v>
      </c>
      <c r="DH33" s="626" t="s">
        <v>4988</v>
      </c>
      <c r="DI33" s="626" t="s">
        <v>4988</v>
      </c>
      <c r="DJ33" s="626" t="s">
        <v>4988</v>
      </c>
      <c r="DK33" s="626" t="s">
        <v>4988</v>
      </c>
      <c r="DL33" s="626" t="s">
        <v>4988</v>
      </c>
      <c r="DM33" s="626" t="s">
        <v>4988</v>
      </c>
      <c r="DN33" s="626" t="s">
        <v>4988</v>
      </c>
      <c r="DO33" s="626" t="s">
        <v>4988</v>
      </c>
      <c r="DP33" s="626" t="s">
        <v>4988</v>
      </c>
      <c r="DQ33" s="626" t="s">
        <v>4988</v>
      </c>
      <c r="DR33" s="626" t="s">
        <v>4988</v>
      </c>
      <c r="DS33" s="626" t="s">
        <v>4988</v>
      </c>
      <c r="DT33" s="626" t="s">
        <v>4988</v>
      </c>
      <c r="DU33" s="122" t="s">
        <v>5743</v>
      </c>
      <c r="DV33" s="122" t="s">
        <v>5743</v>
      </c>
      <c r="DW33" s="122" t="s">
        <v>5764</v>
      </c>
      <c r="DX33" s="122" t="s">
        <v>5821</v>
      </c>
      <c r="DY33" s="122" t="s">
        <v>5821</v>
      </c>
      <c r="DZ33" s="122" t="s">
        <v>5821</v>
      </c>
      <c r="EA33" s="122" t="s">
        <v>5821</v>
      </c>
      <c r="EB33" s="122" t="s">
        <v>5821</v>
      </c>
      <c r="EC33" s="122" t="s">
        <v>5821</v>
      </c>
      <c r="ED33" s="122" t="s">
        <v>5931</v>
      </c>
      <c r="EE33" s="122" t="s">
        <v>5931</v>
      </c>
      <c r="EF33" s="122" t="s">
        <v>5931</v>
      </c>
      <c r="EG33" s="122" t="s">
        <v>5931</v>
      </c>
      <c r="EH33" s="122" t="s">
        <v>5931</v>
      </c>
      <c r="EI33" s="122" t="s">
        <v>5931</v>
      </c>
      <c r="EJ33" s="891" t="s">
        <v>6203</v>
      </c>
      <c r="EK33" s="900" t="s">
        <v>6316</v>
      </c>
      <c r="EL33" s="900" t="s">
        <v>6411</v>
      </c>
      <c r="EM33" s="900" t="s">
        <v>6516</v>
      </c>
      <c r="EN33" s="612" t="s">
        <v>5166</v>
      </c>
      <c r="EO33" s="664">
        <v>43854</v>
      </c>
      <c r="EP33" s="664">
        <f>IF(EN33="NA","NA",Tabela4[[#This Row],[Data de protocolo para cálculo médio]]+(VLOOKUP(Tabela4[[#This Row],[Previsão com fórmula i-Helps tipo de fila]],Formulas!$H$1:$J$13,2,FALSE)*30))</f>
        <v>44139</v>
      </c>
      <c r="EQ33" s="664">
        <f>IF(EN33="NA","NA",Tabela4[[#This Row],[Data de protocolo para cálculo médio]]+(VLOOKUP(Tabela4[[#This Row],[Previsão com fórmula i-Helps tipo de fila]],Formulas!$H$1:$J$13,3,FALSE)*30))</f>
        <v>44508</v>
      </c>
      <c r="ER33" s="501">
        <v>44440</v>
      </c>
      <c r="ES33" s="122" t="s">
        <v>5850</v>
      </c>
      <c r="ET33" s="666" t="s">
        <v>5059</v>
      </c>
      <c r="EU33" s="617" t="s">
        <v>5060</v>
      </c>
      <c r="EV33" s="617" t="s">
        <v>5061</v>
      </c>
    </row>
    <row r="34" spans="1:153" s="556" customFormat="1" ht="409.5" x14ac:dyDescent="0.2">
      <c r="A34" s="779">
        <v>16</v>
      </c>
      <c r="B34" s="663" t="s">
        <v>5604</v>
      </c>
      <c r="C34" s="113" t="s">
        <v>1137</v>
      </c>
      <c r="D34" s="113" t="s">
        <v>3798</v>
      </c>
      <c r="E34" s="477" t="s">
        <v>5634</v>
      </c>
      <c r="F34" s="113" t="s">
        <v>5197</v>
      </c>
      <c r="G34" s="288" t="s">
        <v>5193</v>
      </c>
      <c r="H34" s="72" t="s">
        <v>5193</v>
      </c>
      <c r="I34" s="72" t="s">
        <v>5195</v>
      </c>
      <c r="J34" s="113" t="s">
        <v>5457</v>
      </c>
      <c r="K34" s="6" t="s">
        <v>5194</v>
      </c>
      <c r="L34" s="477" t="s">
        <v>16</v>
      </c>
      <c r="M34" s="122" t="s">
        <v>12</v>
      </c>
      <c r="N34" s="122" t="s">
        <v>2992</v>
      </c>
      <c r="O34" s="643">
        <v>44078</v>
      </c>
      <c r="P34" s="615" t="s">
        <v>5198</v>
      </c>
      <c r="Q34" s="615" t="s">
        <v>112</v>
      </c>
      <c r="R34" s="477" t="s">
        <v>3038</v>
      </c>
      <c r="S34" s="612">
        <v>44120</v>
      </c>
      <c r="T34" s="477" t="s">
        <v>5160</v>
      </c>
      <c r="U34" s="272" t="s">
        <v>6609</v>
      </c>
      <c r="V34" s="122" t="s">
        <v>5982</v>
      </c>
      <c r="W34" s="477" t="s">
        <v>112</v>
      </c>
      <c r="X34" s="477" t="s">
        <v>112</v>
      </c>
      <c r="Y34" s="477" t="s">
        <v>112</v>
      </c>
      <c r="Z34" s="477" t="s">
        <v>112</v>
      </c>
      <c r="AA34" s="612">
        <v>44085</v>
      </c>
      <c r="AB34" s="477" t="s">
        <v>5204</v>
      </c>
      <c r="AC34" s="617">
        <v>44428</v>
      </c>
      <c r="AD34" s="122" t="s">
        <v>6517</v>
      </c>
      <c r="AE34" s="626"/>
      <c r="AF34" s="477"/>
      <c r="AG34" s="477"/>
      <c r="AH34" s="477"/>
      <c r="AI34" s="477"/>
      <c r="AJ34" s="477"/>
      <c r="AK34" s="477"/>
      <c r="AL34" s="477"/>
      <c r="AM34" s="477"/>
      <c r="AN34" s="477"/>
      <c r="AO34" s="477"/>
      <c r="AP34" s="477"/>
      <c r="AQ34" s="477"/>
      <c r="AR34" s="477"/>
      <c r="AS34" s="477"/>
      <c r="AT34" s="477"/>
      <c r="AU34" s="477"/>
      <c r="AV34" s="477"/>
      <c r="AW34" s="477"/>
      <c r="AX34" s="477"/>
      <c r="AY34" s="477"/>
      <c r="AZ34" s="477"/>
      <c r="BA34" s="477"/>
      <c r="BB34" s="477"/>
      <c r="BC34" s="477"/>
      <c r="BD34" s="477"/>
      <c r="BE34" s="477"/>
      <c r="BF34" s="477"/>
      <c r="BG34" s="477"/>
      <c r="BH34" s="477"/>
      <c r="BI34" s="477"/>
      <c r="BJ34" s="477"/>
      <c r="BK34" s="477"/>
      <c r="BL34" s="477"/>
      <c r="BM34" s="477"/>
      <c r="BN34" s="477"/>
      <c r="BO34" s="477"/>
      <c r="BP34" s="477"/>
      <c r="BQ34" s="477"/>
      <c r="BR34" s="477"/>
      <c r="BS34" s="477"/>
      <c r="BT34" s="477"/>
      <c r="BU34" s="477"/>
      <c r="BV34" s="477"/>
      <c r="BW34" s="477"/>
      <c r="BX34" s="477"/>
      <c r="BY34" s="477"/>
      <c r="BZ34" s="477"/>
      <c r="CA34" s="477"/>
      <c r="CB34" s="477"/>
      <c r="CC34" s="477"/>
      <c r="CD34" s="477"/>
      <c r="CE34" s="477"/>
      <c r="CF34" s="477"/>
      <c r="CG34" s="477"/>
      <c r="CH34" s="477"/>
      <c r="CI34" s="477"/>
      <c r="CJ34" s="477"/>
      <c r="CK34" s="626"/>
      <c r="CL34" s="626"/>
      <c r="CM34" s="626"/>
      <c r="CN34" s="626"/>
      <c r="CO34" s="626"/>
      <c r="CP34" s="626"/>
      <c r="CQ34" s="626"/>
      <c r="CR34" s="626" t="s">
        <v>5204</v>
      </c>
      <c r="CS34" s="626" t="s">
        <v>5204</v>
      </c>
      <c r="CT34" s="626" t="s">
        <v>5204</v>
      </c>
      <c r="CU34" s="626" t="s">
        <v>5204</v>
      </c>
      <c r="CV34" s="626" t="s">
        <v>5241</v>
      </c>
      <c r="CW34" s="626">
        <v>6</v>
      </c>
      <c r="CX34" s="626" t="s">
        <v>5258</v>
      </c>
      <c r="CY34" s="626" t="s">
        <v>5258</v>
      </c>
      <c r="CZ34" s="626" t="s">
        <v>5258</v>
      </c>
      <c r="DA34" s="626" t="s">
        <v>5258</v>
      </c>
      <c r="DB34" s="626" t="s">
        <v>5258</v>
      </c>
      <c r="DC34" s="626" t="s">
        <v>5258</v>
      </c>
      <c r="DD34" s="626" t="s">
        <v>5336</v>
      </c>
      <c r="DE34" s="626" t="s">
        <v>5336</v>
      </c>
      <c r="DF34" s="626" t="s">
        <v>5336</v>
      </c>
      <c r="DG34" s="626" t="s">
        <v>5336</v>
      </c>
      <c r="DH34" s="626" t="s">
        <v>5336</v>
      </c>
      <c r="DI34" s="626" t="s">
        <v>5336</v>
      </c>
      <c r="DJ34" s="626" t="s">
        <v>5336</v>
      </c>
      <c r="DK34" s="626" t="s">
        <v>5336</v>
      </c>
      <c r="DL34" s="626" t="s">
        <v>5336</v>
      </c>
      <c r="DM34" s="626" t="s">
        <v>5336</v>
      </c>
      <c r="DN34" s="626" t="s">
        <v>5336</v>
      </c>
      <c r="DO34" s="626" t="s">
        <v>5336</v>
      </c>
      <c r="DP34" s="626" t="s">
        <v>5336</v>
      </c>
      <c r="DQ34" s="626" t="s">
        <v>5336</v>
      </c>
      <c r="DR34" s="626" t="s">
        <v>5336</v>
      </c>
      <c r="DS34" s="626" t="s">
        <v>5336</v>
      </c>
      <c r="DT34" s="626" t="s">
        <v>5336</v>
      </c>
      <c r="DU34" s="626" t="s">
        <v>5336</v>
      </c>
      <c r="DV34" s="626" t="s">
        <v>5336</v>
      </c>
      <c r="DW34" s="626" t="s">
        <v>5765</v>
      </c>
      <c r="DX34" s="626" t="s">
        <v>5765</v>
      </c>
      <c r="DY34" s="626" t="s">
        <v>5765</v>
      </c>
      <c r="DZ34" s="626" t="s">
        <v>5765</v>
      </c>
      <c r="EA34" s="626" t="s">
        <v>5765</v>
      </c>
      <c r="EB34" s="626" t="s">
        <v>5765</v>
      </c>
      <c r="EC34" s="626" t="s">
        <v>5765</v>
      </c>
      <c r="ED34" s="626" t="s">
        <v>5765</v>
      </c>
      <c r="EE34" s="626" t="s">
        <v>5765</v>
      </c>
      <c r="EF34" s="626" t="s">
        <v>5765</v>
      </c>
      <c r="EG34" s="626" t="s">
        <v>5765</v>
      </c>
      <c r="EH34" s="122" t="s">
        <v>5765</v>
      </c>
      <c r="EI34" s="122" t="s">
        <v>6036</v>
      </c>
      <c r="EJ34" s="122" t="s">
        <v>6204</v>
      </c>
      <c r="EK34" s="122" t="s">
        <v>6317</v>
      </c>
      <c r="EL34" s="122" t="s">
        <v>6412</v>
      </c>
      <c r="EM34" s="122" t="s">
        <v>6517</v>
      </c>
      <c r="EN34" s="612" t="s">
        <v>5160</v>
      </c>
      <c r="EO34" s="664">
        <v>44078</v>
      </c>
      <c r="EP34" s="664">
        <f>IF(EN34="NA","NA",Tabela4[[#This Row],[Data de protocolo para cálculo médio]]+(VLOOKUP(Tabela4[[#This Row],[Previsão com fórmula i-Helps tipo de fila]],Formulas!$H$1:$J$13,2,FALSE)*30))</f>
        <v>44132</v>
      </c>
      <c r="EQ34" s="664">
        <f>IF(EN34="NA","NA",Tabela4[[#This Row],[Data de protocolo para cálculo médio]]+(VLOOKUP(Tabela4[[#This Row],[Previsão com fórmula i-Helps tipo de fila]],Formulas!$H$1:$J$13,3,FALSE)*30))</f>
        <v>44369</v>
      </c>
      <c r="ER34" s="501">
        <v>44440</v>
      </c>
      <c r="ES34" s="685" t="s">
        <v>5653</v>
      </c>
      <c r="ET34" s="666" t="s">
        <v>5059</v>
      </c>
      <c r="EU34" s="617" t="s">
        <v>5060</v>
      </c>
      <c r="EV34" s="617" t="s">
        <v>5576</v>
      </c>
    </row>
    <row r="35" spans="1:153" s="556" customFormat="1" ht="140.25" outlineLevel="1" x14ac:dyDescent="0.2">
      <c r="A35" s="779" t="s">
        <v>6142</v>
      </c>
      <c r="B35" s="663" t="s">
        <v>5604</v>
      </c>
      <c r="C35" s="477" t="s">
        <v>1137</v>
      </c>
      <c r="D35" s="113" t="s">
        <v>3798</v>
      </c>
      <c r="E35" s="477" t="s">
        <v>5634</v>
      </c>
      <c r="F35" s="113" t="s">
        <v>5197</v>
      </c>
      <c r="G35" s="288" t="s">
        <v>5193</v>
      </c>
      <c r="H35" s="72" t="s">
        <v>5193</v>
      </c>
      <c r="I35" s="72" t="s">
        <v>5195</v>
      </c>
      <c r="J35" s="113" t="s">
        <v>5457</v>
      </c>
      <c r="K35" s="6" t="s">
        <v>5194</v>
      </c>
      <c r="L35" s="477" t="s">
        <v>16</v>
      </c>
      <c r="M35" s="122" t="s">
        <v>12</v>
      </c>
      <c r="N35" s="122" t="s">
        <v>6079</v>
      </c>
      <c r="O35" s="643">
        <v>44130</v>
      </c>
      <c r="P35" s="615" t="s">
        <v>6054</v>
      </c>
      <c r="Q35" s="615" t="s">
        <v>112</v>
      </c>
      <c r="R35" s="113" t="s">
        <v>3038</v>
      </c>
      <c r="S35" s="617">
        <v>44131</v>
      </c>
      <c r="T35" s="113"/>
      <c r="U35" s="113"/>
      <c r="V35" s="113"/>
      <c r="W35" s="113"/>
      <c r="X35" s="113"/>
      <c r="Y35" s="113"/>
      <c r="Z35" s="113"/>
      <c r="AA35" s="617"/>
      <c r="AB35" s="113"/>
      <c r="AC35" s="617">
        <v>44428</v>
      </c>
      <c r="AD35" s="297" t="s">
        <v>6518</v>
      </c>
      <c r="AE35" s="122"/>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22"/>
      <c r="CL35" s="122"/>
      <c r="CM35" s="122"/>
      <c r="CN35" s="122"/>
      <c r="CO35" s="122"/>
      <c r="CP35" s="122"/>
      <c r="CQ35" s="122"/>
      <c r="CR35" s="122"/>
      <c r="CS35" s="122"/>
      <c r="CT35" s="122"/>
      <c r="CU35" s="122"/>
      <c r="CV35" s="122"/>
      <c r="CW35" s="122"/>
      <c r="CX35" s="122"/>
      <c r="CY35" s="122"/>
      <c r="CZ35" s="122"/>
      <c r="DA35" s="122"/>
      <c r="DB35" s="122"/>
      <c r="DC35" s="122"/>
      <c r="DD35" s="122"/>
      <c r="DE35" s="122"/>
      <c r="DF35" s="122"/>
      <c r="DG35" s="122"/>
      <c r="DH35" s="122"/>
      <c r="DI35" s="122"/>
      <c r="DJ35" s="122"/>
      <c r="DK35" s="122"/>
      <c r="DL35" s="122"/>
      <c r="DM35" s="122"/>
      <c r="DN35" s="122"/>
      <c r="DO35" s="122"/>
      <c r="DP35" s="122"/>
      <c r="DQ35" s="122"/>
      <c r="DR35" s="122"/>
      <c r="DS35" s="297"/>
      <c r="DT35" s="297"/>
      <c r="DU35" s="297"/>
      <c r="DV35" s="297"/>
      <c r="DW35" s="626"/>
      <c r="DX35" s="626"/>
      <c r="DY35" s="626"/>
      <c r="DZ35" s="626"/>
      <c r="EA35" s="626"/>
      <c r="EB35" s="297"/>
      <c r="EC35" s="297"/>
      <c r="ED35" s="297"/>
      <c r="EE35" s="297"/>
      <c r="EF35" s="297"/>
      <c r="EG35" s="297"/>
      <c r="EH35" s="297"/>
      <c r="EI35" s="297"/>
      <c r="EJ35" s="297" t="s">
        <v>6205</v>
      </c>
      <c r="EK35" s="297" t="s">
        <v>6318</v>
      </c>
      <c r="EL35" s="297" t="s">
        <v>6413</v>
      </c>
      <c r="EM35" s="297" t="s">
        <v>6518</v>
      </c>
      <c r="EN35" s="617" t="s">
        <v>112</v>
      </c>
      <c r="EO35" s="115"/>
      <c r="EP35" s="115" t="str">
        <f>IF(EN35="NA","NA",Tabela4[[#This Row],[Data de protocolo para cálculo médio]]+(VLOOKUP(Tabela4[[#This Row],[Previsão com fórmula i-Helps tipo de fila]],Formulas!$H$1:$J$13,2,FALSE)*30))</f>
        <v>NA</v>
      </c>
      <c r="EQ35" s="115" t="str">
        <f>IF(EN35="NA","NA",Tabela4[[#This Row],[Data de protocolo para cálculo médio]]+(VLOOKUP(Tabela4[[#This Row],[Previsão com fórmula i-Helps tipo de fila]],Formulas!$H$1:$J$13,3,FALSE)*30))</f>
        <v>NA</v>
      </c>
      <c r="ER35" s="115"/>
      <c r="ES35" s="685"/>
      <c r="ET35" s="666" t="s">
        <v>112</v>
      </c>
      <c r="EU35" s="666" t="s">
        <v>112</v>
      </c>
      <c r="EV35" s="666" t="s">
        <v>112</v>
      </c>
    </row>
    <row r="36" spans="1:153" s="556" customFormat="1" ht="140.25" outlineLevel="1" x14ac:dyDescent="0.2">
      <c r="A36" s="779" t="s">
        <v>6143</v>
      </c>
      <c r="B36" s="663" t="s">
        <v>5604</v>
      </c>
      <c r="C36" s="477" t="s">
        <v>1137</v>
      </c>
      <c r="D36" s="113" t="s">
        <v>3798</v>
      </c>
      <c r="E36" s="477" t="s">
        <v>5634</v>
      </c>
      <c r="F36" s="113" t="s">
        <v>5197</v>
      </c>
      <c r="G36" s="288" t="s">
        <v>5193</v>
      </c>
      <c r="H36" s="72" t="s">
        <v>5193</v>
      </c>
      <c r="I36" s="72" t="s">
        <v>5195</v>
      </c>
      <c r="J36" s="113" t="s">
        <v>5457</v>
      </c>
      <c r="K36" s="6" t="s">
        <v>5194</v>
      </c>
      <c r="L36" s="477" t="s">
        <v>16</v>
      </c>
      <c r="M36" s="122" t="s">
        <v>12</v>
      </c>
      <c r="N36" s="122" t="s">
        <v>6079</v>
      </c>
      <c r="O36" s="643">
        <v>44125</v>
      </c>
      <c r="P36" s="615" t="s">
        <v>6055</v>
      </c>
      <c r="Q36" s="615" t="s">
        <v>112</v>
      </c>
      <c r="R36" s="113" t="s">
        <v>3038</v>
      </c>
      <c r="S36" s="617">
        <v>44125</v>
      </c>
      <c r="T36" s="113"/>
      <c r="U36" s="113"/>
      <c r="V36" s="113"/>
      <c r="W36" s="113"/>
      <c r="X36" s="113"/>
      <c r="Y36" s="113"/>
      <c r="Z36" s="113"/>
      <c r="AA36" s="617"/>
      <c r="AB36" s="113"/>
      <c r="AC36" s="617">
        <v>44428</v>
      </c>
      <c r="AD36" s="297" t="s">
        <v>6519</v>
      </c>
      <c r="AE36" s="122"/>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22"/>
      <c r="CL36" s="122"/>
      <c r="CM36" s="122"/>
      <c r="CN36" s="122"/>
      <c r="CO36" s="122"/>
      <c r="CP36" s="122"/>
      <c r="CQ36" s="122"/>
      <c r="CR36" s="122"/>
      <c r="CS36" s="122"/>
      <c r="CT36" s="122"/>
      <c r="CU36" s="122"/>
      <c r="CV36" s="122"/>
      <c r="CW36" s="122"/>
      <c r="CX36" s="122"/>
      <c r="CY36" s="122"/>
      <c r="CZ36" s="122"/>
      <c r="DA36" s="122"/>
      <c r="DB36" s="122"/>
      <c r="DC36" s="122"/>
      <c r="DD36" s="122"/>
      <c r="DE36" s="122"/>
      <c r="DF36" s="122"/>
      <c r="DG36" s="122"/>
      <c r="DH36" s="122"/>
      <c r="DI36" s="122"/>
      <c r="DJ36" s="122"/>
      <c r="DK36" s="122"/>
      <c r="DL36" s="122"/>
      <c r="DM36" s="122"/>
      <c r="DN36" s="122"/>
      <c r="DO36" s="122"/>
      <c r="DP36" s="122"/>
      <c r="DQ36" s="122"/>
      <c r="DR36" s="122"/>
      <c r="DS36" s="297"/>
      <c r="DT36" s="297"/>
      <c r="DU36" s="297"/>
      <c r="DV36" s="297"/>
      <c r="DW36" s="626"/>
      <c r="DX36" s="626"/>
      <c r="DY36" s="626"/>
      <c r="DZ36" s="626"/>
      <c r="EA36" s="626"/>
      <c r="EB36" s="297"/>
      <c r="EC36" s="297"/>
      <c r="ED36" s="297"/>
      <c r="EE36" s="297"/>
      <c r="EF36" s="297"/>
      <c r="EG36" s="297"/>
      <c r="EH36" s="297"/>
      <c r="EI36" s="297"/>
      <c r="EJ36" s="297" t="s">
        <v>6206</v>
      </c>
      <c r="EK36" s="297" t="s">
        <v>6319</v>
      </c>
      <c r="EL36" s="297" t="s">
        <v>6414</v>
      </c>
      <c r="EM36" s="297" t="s">
        <v>6519</v>
      </c>
      <c r="EN36" s="617" t="s">
        <v>112</v>
      </c>
      <c r="EO36" s="115"/>
      <c r="EP36" s="115" t="str">
        <f>IF(EN36="NA","NA",Tabela4[[#This Row],[Data de protocolo para cálculo médio]]+(VLOOKUP(Tabela4[[#This Row],[Previsão com fórmula i-Helps tipo de fila]],Formulas!$H$1:$J$13,2,FALSE)*30))</f>
        <v>NA</v>
      </c>
      <c r="EQ36" s="115" t="str">
        <f>IF(EN36="NA","NA",Tabela4[[#This Row],[Data de protocolo para cálculo médio]]+(VLOOKUP(Tabela4[[#This Row],[Previsão com fórmula i-Helps tipo de fila]],Formulas!$H$1:$J$13,3,FALSE)*30))</f>
        <v>NA</v>
      </c>
      <c r="ER36" s="115"/>
      <c r="ES36" s="685"/>
      <c r="ET36" s="666" t="s">
        <v>112</v>
      </c>
      <c r="EU36" s="666" t="s">
        <v>112</v>
      </c>
      <c r="EV36" s="666" t="s">
        <v>112</v>
      </c>
    </row>
    <row r="37" spans="1:153" s="556" customFormat="1" ht="140.25" outlineLevel="1" x14ac:dyDescent="0.2">
      <c r="A37" s="779" t="s">
        <v>6144</v>
      </c>
      <c r="B37" s="663" t="s">
        <v>5604</v>
      </c>
      <c r="C37" s="477" t="s">
        <v>1137</v>
      </c>
      <c r="D37" s="113" t="s">
        <v>3798</v>
      </c>
      <c r="E37" s="477" t="s">
        <v>5634</v>
      </c>
      <c r="F37" s="113" t="s">
        <v>5197</v>
      </c>
      <c r="G37" s="288" t="s">
        <v>5193</v>
      </c>
      <c r="H37" s="72" t="s">
        <v>5193</v>
      </c>
      <c r="I37" s="72" t="s">
        <v>5195</v>
      </c>
      <c r="J37" s="113" t="s">
        <v>5457</v>
      </c>
      <c r="K37" s="6" t="s">
        <v>5194</v>
      </c>
      <c r="L37" s="477" t="s">
        <v>16</v>
      </c>
      <c r="M37" s="122" t="s">
        <v>12</v>
      </c>
      <c r="N37" s="122" t="s">
        <v>6081</v>
      </c>
      <c r="O37" s="643">
        <v>44088</v>
      </c>
      <c r="P37" s="615" t="s">
        <v>6056</v>
      </c>
      <c r="Q37" s="615" t="s">
        <v>112</v>
      </c>
      <c r="R37" s="113" t="s">
        <v>3087</v>
      </c>
      <c r="S37" s="617"/>
      <c r="T37" s="113"/>
      <c r="U37" s="113"/>
      <c r="V37" s="113"/>
      <c r="W37" s="113"/>
      <c r="X37" s="113"/>
      <c r="Y37" s="113"/>
      <c r="Z37" s="113"/>
      <c r="AA37" s="617"/>
      <c r="AB37" s="113"/>
      <c r="AC37" s="617">
        <v>44428</v>
      </c>
      <c r="AD37" s="891" t="s">
        <v>6520</v>
      </c>
      <c r="AE37" s="122"/>
      <c r="AF37" s="113"/>
      <c r="AG37" s="113"/>
      <c r="AH37" s="113"/>
      <c r="AI37" s="113"/>
      <c r="AJ37" s="113"/>
      <c r="AK37" s="113"/>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22"/>
      <c r="CL37" s="122"/>
      <c r="CM37" s="122"/>
      <c r="CN37" s="122"/>
      <c r="CO37" s="122"/>
      <c r="CP37" s="122"/>
      <c r="CQ37" s="122"/>
      <c r="CR37" s="122"/>
      <c r="CS37" s="122"/>
      <c r="CT37" s="122"/>
      <c r="CU37" s="122"/>
      <c r="CV37" s="122"/>
      <c r="CW37" s="122"/>
      <c r="CX37" s="122"/>
      <c r="CY37" s="122"/>
      <c r="CZ37" s="122"/>
      <c r="DA37" s="122"/>
      <c r="DB37" s="122"/>
      <c r="DC37" s="122"/>
      <c r="DD37" s="122"/>
      <c r="DE37" s="122"/>
      <c r="DF37" s="122"/>
      <c r="DG37" s="122"/>
      <c r="DH37" s="122"/>
      <c r="DI37" s="122"/>
      <c r="DJ37" s="122"/>
      <c r="DK37" s="122"/>
      <c r="DL37" s="122"/>
      <c r="DM37" s="122"/>
      <c r="DN37" s="122"/>
      <c r="DO37" s="122"/>
      <c r="DP37" s="122"/>
      <c r="DQ37" s="122"/>
      <c r="DR37" s="122"/>
      <c r="DS37" s="297"/>
      <c r="DT37" s="297"/>
      <c r="DU37" s="297"/>
      <c r="DV37" s="297"/>
      <c r="DW37" s="626"/>
      <c r="DX37" s="626"/>
      <c r="DY37" s="626"/>
      <c r="DZ37" s="626"/>
      <c r="EA37" s="626"/>
      <c r="EB37" s="297"/>
      <c r="EC37" s="297"/>
      <c r="ED37" s="297"/>
      <c r="EE37" s="297"/>
      <c r="EF37" s="297"/>
      <c r="EG37" s="297"/>
      <c r="EH37" s="297"/>
      <c r="EI37" s="297"/>
      <c r="EJ37" s="891" t="s">
        <v>6207</v>
      </c>
      <c r="EK37" s="891" t="s">
        <v>6320</v>
      </c>
      <c r="EL37" s="891" t="s">
        <v>6415</v>
      </c>
      <c r="EM37" s="891" t="s">
        <v>6520</v>
      </c>
      <c r="EN37" s="617" t="s">
        <v>112</v>
      </c>
      <c r="EO37" s="115"/>
      <c r="EP37" s="115" t="str">
        <f>IF(EN37="NA","NA",Tabela4[[#This Row],[Data de protocolo para cálculo médio]]+(VLOOKUP(Tabela4[[#This Row],[Previsão com fórmula i-Helps tipo de fila]],Formulas!$H$1:$J$13,2,FALSE)*30))</f>
        <v>NA</v>
      </c>
      <c r="EQ37" s="115" t="str">
        <f>IF(EN37="NA","NA",Tabela4[[#This Row],[Data de protocolo para cálculo médio]]+(VLOOKUP(Tabela4[[#This Row],[Previsão com fórmula i-Helps tipo de fila]],Formulas!$H$1:$J$13,3,FALSE)*30))</f>
        <v>NA</v>
      </c>
      <c r="ER37" s="115"/>
      <c r="ES37" s="685"/>
      <c r="ET37" s="666" t="s">
        <v>112</v>
      </c>
      <c r="EU37" s="666" t="s">
        <v>112</v>
      </c>
      <c r="EV37" s="666" t="s">
        <v>112</v>
      </c>
    </row>
    <row r="38" spans="1:153" s="556" customFormat="1" ht="140.25" outlineLevel="1" x14ac:dyDescent="0.2">
      <c r="A38" s="779" t="s">
        <v>6145</v>
      </c>
      <c r="B38" s="663" t="s">
        <v>5604</v>
      </c>
      <c r="C38" s="477" t="s">
        <v>1137</v>
      </c>
      <c r="D38" s="113" t="s">
        <v>3798</v>
      </c>
      <c r="E38" s="477" t="s">
        <v>5634</v>
      </c>
      <c r="F38" s="113" t="s">
        <v>5197</v>
      </c>
      <c r="G38" s="288" t="s">
        <v>5193</v>
      </c>
      <c r="H38" s="72" t="s">
        <v>5193</v>
      </c>
      <c r="I38" s="72" t="s">
        <v>5195</v>
      </c>
      <c r="J38" s="113" t="s">
        <v>5457</v>
      </c>
      <c r="K38" s="6" t="s">
        <v>5194</v>
      </c>
      <c r="L38" s="477" t="s">
        <v>16</v>
      </c>
      <c r="M38" s="122" t="s">
        <v>12</v>
      </c>
      <c r="N38" s="113" t="s">
        <v>6082</v>
      </c>
      <c r="O38" s="765">
        <v>44085</v>
      </c>
      <c r="P38" s="615" t="s">
        <v>6057</v>
      </c>
      <c r="Q38" s="615" t="s">
        <v>112</v>
      </c>
      <c r="R38" s="113" t="s">
        <v>3087</v>
      </c>
      <c r="S38" s="617"/>
      <c r="T38" s="113"/>
      <c r="U38" s="113"/>
      <c r="V38" s="113"/>
      <c r="W38" s="113"/>
      <c r="X38" s="113"/>
      <c r="Y38" s="113"/>
      <c r="Z38" s="113"/>
      <c r="AA38" s="617"/>
      <c r="AB38" s="113"/>
      <c r="AC38" s="617">
        <v>44428</v>
      </c>
      <c r="AD38" s="891" t="s">
        <v>6521</v>
      </c>
      <c r="AE38" s="122"/>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22"/>
      <c r="CL38" s="122"/>
      <c r="CM38" s="122"/>
      <c r="CN38" s="122"/>
      <c r="CO38" s="122"/>
      <c r="CP38" s="122"/>
      <c r="CQ38" s="122"/>
      <c r="CR38" s="122"/>
      <c r="CS38" s="122"/>
      <c r="CT38" s="122"/>
      <c r="CU38" s="122"/>
      <c r="CV38" s="122"/>
      <c r="CW38" s="122"/>
      <c r="CX38" s="122"/>
      <c r="CY38" s="122"/>
      <c r="CZ38" s="122"/>
      <c r="DA38" s="122"/>
      <c r="DB38" s="122"/>
      <c r="DC38" s="122"/>
      <c r="DD38" s="122"/>
      <c r="DE38" s="122"/>
      <c r="DF38" s="122"/>
      <c r="DG38" s="122"/>
      <c r="DH38" s="122"/>
      <c r="DI38" s="122"/>
      <c r="DJ38" s="122"/>
      <c r="DK38" s="122"/>
      <c r="DL38" s="122"/>
      <c r="DM38" s="122"/>
      <c r="DN38" s="122"/>
      <c r="DO38" s="122"/>
      <c r="DP38" s="122"/>
      <c r="DQ38" s="122"/>
      <c r="DR38" s="122"/>
      <c r="DS38" s="297"/>
      <c r="DT38" s="297"/>
      <c r="DU38" s="297"/>
      <c r="DV38" s="297"/>
      <c r="DW38" s="626"/>
      <c r="DX38" s="626"/>
      <c r="DY38" s="626"/>
      <c r="DZ38" s="626"/>
      <c r="EA38" s="626"/>
      <c r="EB38" s="297"/>
      <c r="EC38" s="297"/>
      <c r="ED38" s="297"/>
      <c r="EE38" s="297"/>
      <c r="EF38" s="297"/>
      <c r="EG38" s="297"/>
      <c r="EH38" s="297"/>
      <c r="EI38" s="297"/>
      <c r="EJ38" s="891" t="s">
        <v>6208</v>
      </c>
      <c r="EK38" s="891" t="s">
        <v>6321</v>
      </c>
      <c r="EL38" s="891" t="s">
        <v>6416</v>
      </c>
      <c r="EM38" s="891" t="s">
        <v>6521</v>
      </c>
      <c r="EN38" s="617" t="s">
        <v>112</v>
      </c>
      <c r="EO38" s="115"/>
      <c r="EP38" s="115" t="str">
        <f>IF(EN38="NA","NA",Tabela4[[#This Row],[Data de protocolo para cálculo médio]]+(VLOOKUP(Tabela4[[#This Row],[Previsão com fórmula i-Helps tipo de fila]],Formulas!$H$1:$J$13,2,FALSE)*30))</f>
        <v>NA</v>
      </c>
      <c r="EQ38" s="115" t="str">
        <f>IF(EN38="NA","NA",Tabela4[[#This Row],[Data de protocolo para cálculo médio]]+(VLOOKUP(Tabela4[[#This Row],[Previsão com fórmula i-Helps tipo de fila]],Formulas!$H$1:$J$13,3,FALSE)*30))</f>
        <v>NA</v>
      </c>
      <c r="ER38" s="115"/>
      <c r="ES38" s="685"/>
      <c r="ET38" s="666" t="s">
        <v>112</v>
      </c>
      <c r="EU38" s="666" t="s">
        <v>112</v>
      </c>
      <c r="EV38" s="666" t="s">
        <v>112</v>
      </c>
    </row>
    <row r="39" spans="1:153" s="556" customFormat="1" ht="140.25" outlineLevel="1" x14ac:dyDescent="0.2">
      <c r="A39" s="779" t="s">
        <v>6146</v>
      </c>
      <c r="B39" s="663" t="s">
        <v>5604</v>
      </c>
      <c r="C39" s="477" t="s">
        <v>1137</v>
      </c>
      <c r="D39" s="113" t="s">
        <v>3798</v>
      </c>
      <c r="E39" s="477" t="s">
        <v>5634</v>
      </c>
      <c r="F39" s="113" t="s">
        <v>5197</v>
      </c>
      <c r="G39" s="288" t="s">
        <v>5193</v>
      </c>
      <c r="H39" s="72" t="s">
        <v>5193</v>
      </c>
      <c r="I39" s="72" t="s">
        <v>5195</v>
      </c>
      <c r="J39" s="113" t="s">
        <v>5457</v>
      </c>
      <c r="K39" s="6" t="s">
        <v>5194</v>
      </c>
      <c r="L39" s="477" t="s">
        <v>16</v>
      </c>
      <c r="M39" s="122" t="s">
        <v>12</v>
      </c>
      <c r="N39" s="113" t="s">
        <v>6080</v>
      </c>
      <c r="O39" s="765">
        <v>44082</v>
      </c>
      <c r="P39" s="615" t="s">
        <v>6058</v>
      </c>
      <c r="Q39" s="615" t="s">
        <v>112</v>
      </c>
      <c r="R39" s="113" t="s">
        <v>2866</v>
      </c>
      <c r="S39" s="617">
        <v>44141</v>
      </c>
      <c r="T39" s="113"/>
      <c r="U39" s="113"/>
      <c r="V39" s="113"/>
      <c r="W39" s="113"/>
      <c r="X39" s="113"/>
      <c r="Y39" s="113"/>
      <c r="Z39" s="113"/>
      <c r="AA39" s="617"/>
      <c r="AB39" s="113"/>
      <c r="AC39" s="617">
        <v>44428</v>
      </c>
      <c r="AD39" s="891" t="s">
        <v>6522</v>
      </c>
      <c r="AE39" s="122"/>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22"/>
      <c r="CL39" s="122"/>
      <c r="CM39" s="122"/>
      <c r="CN39" s="122"/>
      <c r="CO39" s="122"/>
      <c r="CP39" s="122"/>
      <c r="CQ39" s="122"/>
      <c r="CR39" s="122"/>
      <c r="CS39" s="122"/>
      <c r="CT39" s="122"/>
      <c r="CU39" s="122"/>
      <c r="CV39" s="122"/>
      <c r="CW39" s="122"/>
      <c r="CX39" s="122"/>
      <c r="CY39" s="122"/>
      <c r="CZ39" s="122"/>
      <c r="DA39" s="122"/>
      <c r="DB39" s="122"/>
      <c r="DC39" s="122"/>
      <c r="DD39" s="122"/>
      <c r="DE39" s="122"/>
      <c r="DF39" s="122"/>
      <c r="DG39" s="122"/>
      <c r="DH39" s="122"/>
      <c r="DI39" s="122"/>
      <c r="DJ39" s="122"/>
      <c r="DK39" s="122"/>
      <c r="DL39" s="122"/>
      <c r="DM39" s="122"/>
      <c r="DN39" s="122"/>
      <c r="DO39" s="122"/>
      <c r="DP39" s="122"/>
      <c r="DQ39" s="122"/>
      <c r="DR39" s="122"/>
      <c r="DS39" s="297"/>
      <c r="DT39" s="297"/>
      <c r="DU39" s="297"/>
      <c r="DV39" s="297"/>
      <c r="DW39" s="626"/>
      <c r="DX39" s="626"/>
      <c r="DY39" s="626"/>
      <c r="DZ39" s="626"/>
      <c r="EA39" s="626"/>
      <c r="EB39" s="297"/>
      <c r="EC39" s="297"/>
      <c r="ED39" s="297"/>
      <c r="EE39" s="297"/>
      <c r="EF39" s="297"/>
      <c r="EG39" s="297"/>
      <c r="EH39" s="297"/>
      <c r="EI39" s="297"/>
      <c r="EJ39" s="891" t="s">
        <v>6209</v>
      </c>
      <c r="EK39" s="891" t="s">
        <v>6322</v>
      </c>
      <c r="EL39" s="891" t="s">
        <v>6417</v>
      </c>
      <c r="EM39" s="891" t="s">
        <v>6522</v>
      </c>
      <c r="EN39" s="617" t="s">
        <v>112</v>
      </c>
      <c r="EO39" s="115"/>
      <c r="EP39" s="115" t="str">
        <f>IF(EN39="NA","NA",Tabela4[[#This Row],[Data de protocolo para cálculo médio]]+(VLOOKUP(Tabela4[[#This Row],[Previsão com fórmula i-Helps tipo de fila]],Formulas!$H$1:$J$13,2,FALSE)*30))</f>
        <v>NA</v>
      </c>
      <c r="EQ39" s="115" t="str">
        <f>IF(EN39="NA","NA",Tabela4[[#This Row],[Data de protocolo para cálculo médio]]+(VLOOKUP(Tabela4[[#This Row],[Previsão com fórmula i-Helps tipo de fila]],Formulas!$H$1:$J$13,3,FALSE)*30))</f>
        <v>NA</v>
      </c>
      <c r="ER39" s="115"/>
      <c r="ES39" s="685"/>
      <c r="ET39" s="666" t="s">
        <v>112</v>
      </c>
      <c r="EU39" s="666" t="s">
        <v>112</v>
      </c>
      <c r="EV39" s="666" t="s">
        <v>112</v>
      </c>
    </row>
    <row r="40" spans="1:153" s="556" customFormat="1" ht="322.5" customHeight="1" x14ac:dyDescent="0.2">
      <c r="A40" s="779">
        <v>17</v>
      </c>
      <c r="B40" s="663" t="s">
        <v>5606</v>
      </c>
      <c r="C40" s="477" t="s">
        <v>584</v>
      </c>
      <c r="D40" s="113" t="s">
        <v>3798</v>
      </c>
      <c r="E40" s="477" t="s">
        <v>5233</v>
      </c>
      <c r="F40" s="477" t="s">
        <v>5228</v>
      </c>
      <c r="G40" s="288" t="s">
        <v>5215</v>
      </c>
      <c r="H40" s="6" t="s">
        <v>5213</v>
      </c>
      <c r="I40" s="72" t="s">
        <v>5195</v>
      </c>
      <c r="J40" s="113" t="s">
        <v>5192</v>
      </c>
      <c r="K40" s="6" t="s">
        <v>5194</v>
      </c>
      <c r="L40" s="477" t="s">
        <v>11</v>
      </c>
      <c r="M40" s="122" t="s">
        <v>12</v>
      </c>
      <c r="N40" s="122" t="s">
        <v>3090</v>
      </c>
      <c r="O40" s="643">
        <v>44095</v>
      </c>
      <c r="P40" s="615" t="s">
        <v>6262</v>
      </c>
      <c r="Q40" s="615" t="s">
        <v>5198</v>
      </c>
      <c r="R40" s="477" t="s">
        <v>4251</v>
      </c>
      <c r="S40" s="612"/>
      <c r="T40" s="477" t="s">
        <v>5248</v>
      </c>
      <c r="U40" s="272" t="s">
        <v>5214</v>
      </c>
      <c r="V40" s="477"/>
      <c r="W40" s="477" t="s">
        <v>5216</v>
      </c>
      <c r="X40" s="113" t="s">
        <v>5197</v>
      </c>
      <c r="Y40" s="477" t="s">
        <v>112</v>
      </c>
      <c r="Z40" s="477" t="s">
        <v>3084</v>
      </c>
      <c r="AA40" s="612">
        <v>44106</v>
      </c>
      <c r="AB40" s="477" t="s">
        <v>5237</v>
      </c>
      <c r="AC40" s="617">
        <v>44428</v>
      </c>
      <c r="AD40" s="900" t="s">
        <v>6524</v>
      </c>
      <c r="AE40" s="122"/>
      <c r="AF40" s="477"/>
      <c r="AG40" s="477"/>
      <c r="AH40" s="477"/>
      <c r="AI40" s="477"/>
      <c r="AJ40" s="477"/>
      <c r="AK40" s="477"/>
      <c r="AL40" s="477"/>
      <c r="AM40" s="477"/>
      <c r="AN40" s="477"/>
      <c r="AO40" s="477"/>
      <c r="AP40" s="477"/>
      <c r="AQ40" s="477"/>
      <c r="AR40" s="477"/>
      <c r="AS40" s="477"/>
      <c r="AT40" s="477"/>
      <c r="AU40" s="477"/>
      <c r="AV40" s="477"/>
      <c r="AW40" s="477"/>
      <c r="AX40" s="477"/>
      <c r="AY40" s="477"/>
      <c r="AZ40" s="477"/>
      <c r="BA40" s="477"/>
      <c r="BB40" s="477"/>
      <c r="BC40" s="477"/>
      <c r="BD40" s="477"/>
      <c r="BE40" s="477"/>
      <c r="BF40" s="477"/>
      <c r="BG40" s="477"/>
      <c r="BH40" s="477"/>
      <c r="BI40" s="477"/>
      <c r="BJ40" s="477"/>
      <c r="BK40" s="477"/>
      <c r="BL40" s="477"/>
      <c r="BM40" s="477"/>
      <c r="BN40" s="477"/>
      <c r="BO40" s="477"/>
      <c r="BP40" s="477"/>
      <c r="BQ40" s="477"/>
      <c r="BR40" s="477"/>
      <c r="BS40" s="477"/>
      <c r="BT40" s="477"/>
      <c r="BU40" s="477"/>
      <c r="BV40" s="477"/>
      <c r="BW40" s="477"/>
      <c r="BX40" s="477"/>
      <c r="BY40" s="477"/>
      <c r="BZ40" s="477"/>
      <c r="CA40" s="477"/>
      <c r="CB40" s="477"/>
      <c r="CC40" s="477"/>
      <c r="CD40" s="477"/>
      <c r="CE40" s="477"/>
      <c r="CF40" s="477"/>
      <c r="CG40" s="477"/>
      <c r="CH40" s="477"/>
      <c r="CI40" s="477"/>
      <c r="CJ40" s="477"/>
      <c r="CK40" s="626"/>
      <c r="CL40" s="626"/>
      <c r="CM40" s="626"/>
      <c r="CN40" s="626"/>
      <c r="CO40" s="626"/>
      <c r="CP40" s="626"/>
      <c r="CQ40" s="626"/>
      <c r="CR40" s="626"/>
      <c r="CS40" s="626"/>
      <c r="CT40" s="626" t="s">
        <v>112</v>
      </c>
      <c r="CU40" s="626" t="s">
        <v>5237</v>
      </c>
      <c r="CV40" s="626" t="s">
        <v>5242</v>
      </c>
      <c r="CW40" s="626" t="s">
        <v>5249</v>
      </c>
      <c r="CX40" s="626" t="s">
        <v>5259</v>
      </c>
      <c r="CY40" s="626" t="s">
        <v>5264</v>
      </c>
      <c r="CZ40" s="626" t="s">
        <v>5264</v>
      </c>
      <c r="DA40" s="626" t="s">
        <v>5307</v>
      </c>
      <c r="DB40" s="626" t="s">
        <v>5315</v>
      </c>
      <c r="DC40" s="626" t="s">
        <v>5326</v>
      </c>
      <c r="DD40" s="626" t="s">
        <v>5264</v>
      </c>
      <c r="DE40" s="626" t="s">
        <v>5342</v>
      </c>
      <c r="DF40" s="626" t="s">
        <v>5362</v>
      </c>
      <c r="DG40" s="626" t="s">
        <v>5362</v>
      </c>
      <c r="DH40" s="626" t="s">
        <v>5362</v>
      </c>
      <c r="DI40" s="626" t="s">
        <v>5362</v>
      </c>
      <c r="DJ40" s="626" t="s">
        <v>5362</v>
      </c>
      <c r="DK40" s="626" t="s">
        <v>5362</v>
      </c>
      <c r="DL40" s="626" t="s">
        <v>5362</v>
      </c>
      <c r="DM40" s="626" t="s">
        <v>5362</v>
      </c>
      <c r="DN40" s="626" t="s">
        <v>5362</v>
      </c>
      <c r="DO40" s="626" t="s">
        <v>5362</v>
      </c>
      <c r="DP40" s="626" t="s">
        <v>5362</v>
      </c>
      <c r="DQ40" s="626" t="s">
        <v>5362</v>
      </c>
      <c r="DR40" s="626" t="s">
        <v>5362</v>
      </c>
      <c r="DS40" s="626" t="s">
        <v>5362</v>
      </c>
      <c r="DT40" s="626" t="s">
        <v>5362</v>
      </c>
      <c r="DU40" s="626" t="s">
        <v>5362</v>
      </c>
      <c r="DV40" s="626" t="s">
        <v>5362</v>
      </c>
      <c r="DW40" s="122" t="s">
        <v>5822</v>
      </c>
      <c r="DX40" s="122" t="s">
        <v>5822</v>
      </c>
      <c r="DY40" s="122" t="s">
        <v>5822</v>
      </c>
      <c r="DZ40" s="122" t="s">
        <v>5822</v>
      </c>
      <c r="EA40" s="122" t="s">
        <v>5822</v>
      </c>
      <c r="EB40" s="122" t="s">
        <v>5822</v>
      </c>
      <c r="EC40" s="122" t="s">
        <v>5822</v>
      </c>
      <c r="ED40" s="122" t="s">
        <v>5822</v>
      </c>
      <c r="EE40" s="122" t="s">
        <v>5822</v>
      </c>
      <c r="EF40" s="122" t="s">
        <v>5822</v>
      </c>
      <c r="EG40" s="122" t="s">
        <v>5822</v>
      </c>
      <c r="EH40" s="122" t="s">
        <v>5822</v>
      </c>
      <c r="EI40" s="122" t="s">
        <v>6037</v>
      </c>
      <c r="EJ40" s="6" t="s">
        <v>6263</v>
      </c>
      <c r="EK40" s="900" t="s">
        <v>6323</v>
      </c>
      <c r="EL40" s="900" t="s">
        <v>6426</v>
      </c>
      <c r="EM40" s="900" t="s">
        <v>6524</v>
      </c>
      <c r="EN40" s="612" t="s">
        <v>5167</v>
      </c>
      <c r="EO40" s="664">
        <v>44078</v>
      </c>
      <c r="EP40" s="664">
        <f>IF(EN40="NA","NA",Tabela4[[#This Row],[Data de protocolo para cálculo médio]]+(VLOOKUP(Tabela4[[#This Row],[Previsão com fórmula i-Helps tipo de fila]],Formulas!$H$1:$J$13,2,FALSE)*30))</f>
        <v>44177</v>
      </c>
      <c r="EQ40" s="664">
        <f>IF(EN40="NA","NA",Tabela4[[#This Row],[Data de protocolo para cálculo médio]]+(VLOOKUP(Tabela4[[#This Row],[Previsão com fórmula i-Helps tipo de fila]],Formulas!$H$1:$J$13,3,FALSE)*30))</f>
        <v>44453</v>
      </c>
      <c r="ER40" s="501">
        <v>44531</v>
      </c>
      <c r="ES40" s="686" t="s">
        <v>5647</v>
      </c>
      <c r="ET40" s="666" t="s">
        <v>5059</v>
      </c>
      <c r="EU40" s="617" t="s">
        <v>5060</v>
      </c>
      <c r="EV40" s="617" t="s">
        <v>5061</v>
      </c>
    </row>
    <row r="41" spans="1:153" s="556" customFormat="1" ht="306" x14ac:dyDescent="0.2">
      <c r="A41" s="779">
        <v>18</v>
      </c>
      <c r="B41" s="663" t="s">
        <v>5608</v>
      </c>
      <c r="C41" s="477" t="s">
        <v>584</v>
      </c>
      <c r="D41" s="113" t="s">
        <v>3797</v>
      </c>
      <c r="E41" s="477" t="s">
        <v>5230</v>
      </c>
      <c r="F41" s="113" t="s">
        <v>5270</v>
      </c>
      <c r="G41" s="288" t="s">
        <v>5266</v>
      </c>
      <c r="H41" s="6" t="s">
        <v>5267</v>
      </c>
      <c r="I41" s="72" t="s">
        <v>5272</v>
      </c>
      <c r="J41" s="113" t="s">
        <v>5269</v>
      </c>
      <c r="K41" s="6" t="s">
        <v>5268</v>
      </c>
      <c r="L41" s="477" t="s">
        <v>11</v>
      </c>
      <c r="M41" s="122" t="s">
        <v>12</v>
      </c>
      <c r="N41" s="122" t="s">
        <v>2992</v>
      </c>
      <c r="O41" s="643">
        <v>44127</v>
      </c>
      <c r="P41" s="615" t="s">
        <v>5271</v>
      </c>
      <c r="Q41" s="615" t="s">
        <v>112</v>
      </c>
      <c r="R41" s="477" t="s">
        <v>3256</v>
      </c>
      <c r="S41" s="612">
        <v>44377</v>
      </c>
      <c r="T41" s="477" t="s">
        <v>1298</v>
      </c>
      <c r="U41" s="272" t="s">
        <v>6386</v>
      </c>
      <c r="V41" s="122" t="s">
        <v>5963</v>
      </c>
      <c r="W41" s="477" t="s">
        <v>112</v>
      </c>
      <c r="X41" s="477" t="s">
        <v>112</v>
      </c>
      <c r="Y41" s="477" t="s">
        <v>112</v>
      </c>
      <c r="Z41" s="477" t="s">
        <v>112</v>
      </c>
      <c r="AA41" s="612">
        <v>44134</v>
      </c>
      <c r="AB41" s="477">
        <v>157</v>
      </c>
      <c r="AC41" s="617">
        <v>44428</v>
      </c>
      <c r="AD41" s="122" t="s">
        <v>6525</v>
      </c>
      <c r="AE41" s="626"/>
      <c r="AF41" s="477"/>
      <c r="AG41" s="477"/>
      <c r="AH41" s="477"/>
      <c r="AI41" s="477"/>
      <c r="AJ41" s="477"/>
      <c r="AK41" s="477"/>
      <c r="AL41" s="477"/>
      <c r="AM41" s="477"/>
      <c r="AN41" s="477"/>
      <c r="AO41" s="477"/>
      <c r="AP41" s="477"/>
      <c r="AQ41" s="477"/>
      <c r="AR41" s="477"/>
      <c r="AS41" s="477"/>
      <c r="AT41" s="477"/>
      <c r="AU41" s="477"/>
      <c r="AV41" s="477"/>
      <c r="AW41" s="477"/>
      <c r="AX41" s="477"/>
      <c r="AY41" s="477"/>
      <c r="AZ41" s="477"/>
      <c r="BA41" s="477"/>
      <c r="BB41" s="477"/>
      <c r="BC41" s="477"/>
      <c r="BD41" s="477"/>
      <c r="BE41" s="477"/>
      <c r="BF41" s="477"/>
      <c r="BG41" s="477"/>
      <c r="BH41" s="477"/>
      <c r="BI41" s="477"/>
      <c r="BJ41" s="477"/>
      <c r="BK41" s="477"/>
      <c r="BL41" s="477"/>
      <c r="BM41" s="477"/>
      <c r="BN41" s="477"/>
      <c r="BO41" s="477"/>
      <c r="BP41" s="477"/>
      <c r="BQ41" s="477"/>
      <c r="BR41" s="477"/>
      <c r="BS41" s="477"/>
      <c r="BT41" s="477"/>
      <c r="BU41" s="477"/>
      <c r="BV41" s="477"/>
      <c r="BW41" s="477"/>
      <c r="BX41" s="477"/>
      <c r="BY41" s="477"/>
      <c r="BZ41" s="477"/>
      <c r="CA41" s="477"/>
      <c r="CB41" s="477"/>
      <c r="CC41" s="477"/>
      <c r="CD41" s="477"/>
      <c r="CE41" s="477"/>
      <c r="CF41" s="477"/>
      <c r="CG41" s="477"/>
      <c r="CH41" s="477"/>
      <c r="CI41" s="477"/>
      <c r="CJ41" s="477"/>
      <c r="CK41" s="626"/>
      <c r="CL41" s="626"/>
      <c r="CM41" s="626"/>
      <c r="CN41" s="626"/>
      <c r="CO41" s="626"/>
      <c r="CP41" s="626"/>
      <c r="CQ41" s="626"/>
      <c r="CR41" s="626"/>
      <c r="CS41" s="626"/>
      <c r="CT41" s="626"/>
      <c r="CU41" s="626"/>
      <c r="CV41" s="626"/>
      <c r="CW41" s="626"/>
      <c r="CX41" s="626"/>
      <c r="CY41" s="626"/>
      <c r="CZ41" s="626">
        <v>157</v>
      </c>
      <c r="DA41" s="626">
        <v>156</v>
      </c>
      <c r="DB41" s="626">
        <v>154</v>
      </c>
      <c r="DC41" s="626">
        <v>147</v>
      </c>
      <c r="DD41" s="626">
        <v>142</v>
      </c>
      <c r="DE41" s="626">
        <v>142</v>
      </c>
      <c r="DF41" s="626">
        <v>141</v>
      </c>
      <c r="DG41" s="626">
        <v>140</v>
      </c>
      <c r="DH41" s="626">
        <v>134</v>
      </c>
      <c r="DI41" s="626">
        <v>133</v>
      </c>
      <c r="DJ41" s="626">
        <v>130</v>
      </c>
      <c r="DK41" s="626">
        <v>130</v>
      </c>
      <c r="DL41" s="626">
        <v>129</v>
      </c>
      <c r="DM41" s="626">
        <v>123</v>
      </c>
      <c r="DN41" s="626">
        <v>123</v>
      </c>
      <c r="DO41" s="626">
        <v>122</v>
      </c>
      <c r="DP41" s="626">
        <v>121</v>
      </c>
      <c r="DQ41" s="626">
        <v>120</v>
      </c>
      <c r="DR41" s="626">
        <v>118</v>
      </c>
      <c r="DS41" s="626">
        <v>119</v>
      </c>
      <c r="DT41" s="626">
        <v>115</v>
      </c>
      <c r="DU41" s="626">
        <v>110</v>
      </c>
      <c r="DV41" s="626">
        <v>109</v>
      </c>
      <c r="DW41" s="626">
        <v>101</v>
      </c>
      <c r="DX41" s="626">
        <v>97</v>
      </c>
      <c r="DY41" s="626">
        <v>92</v>
      </c>
      <c r="DZ41" s="626">
        <v>89</v>
      </c>
      <c r="EA41" s="626">
        <v>80</v>
      </c>
      <c r="EB41" s="626">
        <v>79</v>
      </c>
      <c r="EC41" s="626">
        <v>77</v>
      </c>
      <c r="ED41" s="626">
        <v>74</v>
      </c>
      <c r="EE41" s="626">
        <v>71</v>
      </c>
      <c r="EF41" s="626" t="s">
        <v>5964</v>
      </c>
      <c r="EG41" s="626" t="s">
        <v>5964</v>
      </c>
      <c r="EH41" s="122" t="s">
        <v>6004</v>
      </c>
      <c r="EI41" s="122" t="s">
        <v>6004</v>
      </c>
      <c r="EJ41" s="122" t="s">
        <v>6210</v>
      </c>
      <c r="EK41" s="122" t="s">
        <v>6324</v>
      </c>
      <c r="EL41" s="122" t="s">
        <v>6420</v>
      </c>
      <c r="EM41" s="122" t="s">
        <v>6525</v>
      </c>
      <c r="EN41" s="612" t="s">
        <v>5063</v>
      </c>
      <c r="EO41" s="664">
        <v>44127</v>
      </c>
      <c r="EP41" s="664">
        <f>IF(EN41="NA","NA",Tabela4[[#This Row],[Data de protocolo para cálculo médio]]+(VLOOKUP(Tabela4[[#This Row],[Previsão com fórmula i-Helps tipo de fila]],Formulas!$H$1:$J$13,2,FALSE)*30))</f>
        <v>44484</v>
      </c>
      <c r="EQ41" s="664">
        <f>IF(EN41="NA","NA",Tabela4[[#This Row],[Data de protocolo para cálculo médio]]+(VLOOKUP(Tabela4[[#This Row],[Previsão com fórmula i-Helps tipo de fila]],Formulas!$H$1:$J$13,3,FALSE)*30))</f>
        <v>44628</v>
      </c>
      <c r="ER41" s="501">
        <v>44652</v>
      </c>
      <c r="ES41" s="688">
        <v>44652</v>
      </c>
      <c r="ET41" s="666" t="s">
        <v>5059</v>
      </c>
      <c r="EU41" s="617" t="s">
        <v>5060</v>
      </c>
      <c r="EV41" s="617" t="s">
        <v>5063</v>
      </c>
    </row>
    <row r="42" spans="1:153" s="556" customFormat="1" ht="114.75" outlineLevel="1" x14ac:dyDescent="0.2">
      <c r="A42" s="779" t="s">
        <v>6147</v>
      </c>
      <c r="B42" s="663" t="s">
        <v>5608</v>
      </c>
      <c r="C42" s="113" t="s">
        <v>584</v>
      </c>
      <c r="D42" s="113" t="s">
        <v>3797</v>
      </c>
      <c r="E42" s="477" t="s">
        <v>5230</v>
      </c>
      <c r="F42" s="113" t="s">
        <v>5270</v>
      </c>
      <c r="G42" s="288" t="s">
        <v>5266</v>
      </c>
      <c r="H42" s="6" t="s">
        <v>5267</v>
      </c>
      <c r="I42" s="72" t="s">
        <v>5272</v>
      </c>
      <c r="J42" s="113" t="s">
        <v>5269</v>
      </c>
      <c r="K42" s="6" t="s">
        <v>5268</v>
      </c>
      <c r="L42" s="477" t="s">
        <v>11</v>
      </c>
      <c r="M42" s="122" t="s">
        <v>12</v>
      </c>
      <c r="N42" s="113" t="s">
        <v>6079</v>
      </c>
      <c r="O42" s="765">
        <v>44306</v>
      </c>
      <c r="P42" s="615" t="s">
        <v>6059</v>
      </c>
      <c r="Q42" s="615" t="s">
        <v>112</v>
      </c>
      <c r="R42" s="113" t="s">
        <v>3256</v>
      </c>
      <c r="S42" s="617">
        <v>44306</v>
      </c>
      <c r="T42" s="113"/>
      <c r="U42" s="113"/>
      <c r="V42" s="113"/>
      <c r="W42" s="113"/>
      <c r="X42" s="113"/>
      <c r="Y42" s="113"/>
      <c r="Z42" s="113"/>
      <c r="AA42" s="617"/>
      <c r="AB42" s="113"/>
      <c r="AC42" s="617">
        <v>44428</v>
      </c>
      <c r="AD42" s="122" t="s">
        <v>6526</v>
      </c>
      <c r="AE42" s="122"/>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22"/>
      <c r="CL42" s="122"/>
      <c r="CM42" s="122"/>
      <c r="CN42" s="122"/>
      <c r="CO42" s="122"/>
      <c r="CP42" s="122"/>
      <c r="CQ42" s="122"/>
      <c r="CR42" s="122"/>
      <c r="CS42" s="122"/>
      <c r="CT42" s="122"/>
      <c r="CU42" s="122"/>
      <c r="CV42" s="122"/>
      <c r="CW42" s="122"/>
      <c r="CX42" s="122"/>
      <c r="CY42" s="122"/>
      <c r="CZ42" s="122"/>
      <c r="DA42" s="122"/>
      <c r="DB42" s="122"/>
      <c r="DC42" s="122"/>
      <c r="DD42" s="122"/>
      <c r="DE42" s="122"/>
      <c r="DF42" s="122"/>
      <c r="DG42" s="122"/>
      <c r="DH42" s="122"/>
      <c r="DI42" s="122"/>
      <c r="DJ42" s="122"/>
      <c r="DK42" s="122"/>
      <c r="DL42" s="122"/>
      <c r="DM42" s="122"/>
      <c r="DN42" s="122"/>
      <c r="DO42" s="122"/>
      <c r="DP42" s="122"/>
      <c r="DQ42" s="122"/>
      <c r="DR42" s="122"/>
      <c r="DS42" s="297"/>
      <c r="DT42" s="297"/>
      <c r="DU42" s="297"/>
      <c r="DV42" s="297"/>
      <c r="DW42" s="626"/>
      <c r="DX42" s="626"/>
      <c r="DY42" s="626"/>
      <c r="DZ42" s="626"/>
      <c r="EA42" s="626"/>
      <c r="EB42" s="297"/>
      <c r="EC42" s="297"/>
      <c r="ED42" s="297"/>
      <c r="EE42" s="297"/>
      <c r="EF42" s="297"/>
      <c r="EG42" s="297"/>
      <c r="EH42" s="297"/>
      <c r="EI42" s="297"/>
      <c r="EJ42" s="122" t="s">
        <v>6211</v>
      </c>
      <c r="EK42" s="122" t="s">
        <v>6325</v>
      </c>
      <c r="EL42" s="122" t="s">
        <v>6421</v>
      </c>
      <c r="EM42" s="122" t="s">
        <v>6526</v>
      </c>
      <c r="EN42" s="617" t="s">
        <v>112</v>
      </c>
      <c r="EO42" s="115"/>
      <c r="EP42" s="115" t="str">
        <f>IF(EN42="NA","NA",Tabela4[[#This Row],[Data de protocolo para cálculo médio]]+(VLOOKUP(Tabela4[[#This Row],[Previsão com fórmula i-Helps tipo de fila]],Formulas!$H$1:$J$13,2,FALSE)*30))</f>
        <v>NA</v>
      </c>
      <c r="EQ42" s="115" t="str">
        <f>IF(EN42="NA","NA",Tabela4[[#This Row],[Data de protocolo para cálculo médio]]+(VLOOKUP(Tabela4[[#This Row],[Previsão com fórmula i-Helps tipo de fila]],Formulas!$H$1:$J$13,3,FALSE)*30))</f>
        <v>NA</v>
      </c>
      <c r="ER42" s="115"/>
      <c r="ES42" s="685"/>
      <c r="ET42" s="666" t="s">
        <v>112</v>
      </c>
      <c r="EU42" s="666" t="s">
        <v>112</v>
      </c>
      <c r="EV42" s="666" t="s">
        <v>112</v>
      </c>
    </row>
    <row r="43" spans="1:153" s="556" customFormat="1" ht="114.75" outlineLevel="1" x14ac:dyDescent="0.2">
      <c r="A43" s="779" t="s">
        <v>6148</v>
      </c>
      <c r="B43" s="663" t="s">
        <v>5608</v>
      </c>
      <c r="C43" s="477" t="s">
        <v>584</v>
      </c>
      <c r="D43" s="113" t="s">
        <v>3797</v>
      </c>
      <c r="E43" s="477" t="s">
        <v>5230</v>
      </c>
      <c r="F43" s="113" t="s">
        <v>5270</v>
      </c>
      <c r="G43" s="288" t="s">
        <v>5266</v>
      </c>
      <c r="H43" s="6" t="s">
        <v>5267</v>
      </c>
      <c r="I43" s="72" t="s">
        <v>5272</v>
      </c>
      <c r="J43" s="113" t="s">
        <v>5269</v>
      </c>
      <c r="K43" s="6" t="s">
        <v>5268</v>
      </c>
      <c r="L43" s="477" t="s">
        <v>11</v>
      </c>
      <c r="M43" s="122" t="s">
        <v>12</v>
      </c>
      <c r="N43" s="113" t="s">
        <v>6080</v>
      </c>
      <c r="O43" s="765">
        <v>44138</v>
      </c>
      <c r="P43" s="615" t="s">
        <v>6060</v>
      </c>
      <c r="Q43" s="615" t="s">
        <v>112</v>
      </c>
      <c r="R43" s="113" t="s">
        <v>2866</v>
      </c>
      <c r="S43" s="617">
        <v>44524</v>
      </c>
      <c r="T43" s="113"/>
      <c r="U43" s="113"/>
      <c r="V43" s="113"/>
      <c r="W43" s="113"/>
      <c r="X43" s="113"/>
      <c r="Y43" s="113"/>
      <c r="Z43" s="113"/>
      <c r="AA43" s="617"/>
      <c r="AB43" s="113"/>
      <c r="AC43" s="617">
        <v>44428</v>
      </c>
      <c r="AD43" s="891" t="s">
        <v>6527</v>
      </c>
      <c r="AE43" s="122"/>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22"/>
      <c r="CL43" s="122"/>
      <c r="CM43" s="122"/>
      <c r="CN43" s="122"/>
      <c r="CO43" s="122"/>
      <c r="CP43" s="122"/>
      <c r="CQ43" s="122"/>
      <c r="CR43" s="122"/>
      <c r="CS43" s="122"/>
      <c r="CT43" s="122"/>
      <c r="CU43" s="122"/>
      <c r="CV43" s="122"/>
      <c r="CW43" s="122"/>
      <c r="CX43" s="122"/>
      <c r="CY43" s="122"/>
      <c r="CZ43" s="122"/>
      <c r="DA43" s="122"/>
      <c r="DB43" s="122"/>
      <c r="DC43" s="122"/>
      <c r="DD43" s="122"/>
      <c r="DE43" s="122"/>
      <c r="DF43" s="122"/>
      <c r="DG43" s="122"/>
      <c r="DH43" s="122"/>
      <c r="DI43" s="122"/>
      <c r="DJ43" s="122"/>
      <c r="DK43" s="122"/>
      <c r="DL43" s="122"/>
      <c r="DM43" s="122"/>
      <c r="DN43" s="122"/>
      <c r="DO43" s="122"/>
      <c r="DP43" s="122"/>
      <c r="DQ43" s="122"/>
      <c r="DR43" s="122"/>
      <c r="DS43" s="882"/>
      <c r="DT43" s="882"/>
      <c r="DU43" s="882"/>
      <c r="DV43" s="882"/>
      <c r="DW43" s="626"/>
      <c r="DX43" s="626"/>
      <c r="DY43" s="626"/>
      <c r="DZ43" s="626"/>
      <c r="EA43" s="626"/>
      <c r="EB43" s="882"/>
      <c r="EC43" s="882"/>
      <c r="ED43" s="882"/>
      <c r="EE43" s="882"/>
      <c r="EF43" s="882"/>
      <c r="EG43" s="882"/>
      <c r="EH43" s="882"/>
      <c r="EI43" s="882"/>
      <c r="EJ43" s="891" t="s">
        <v>6212</v>
      </c>
      <c r="EK43" s="891" t="s">
        <v>6326</v>
      </c>
      <c r="EL43" s="891" t="s">
        <v>6422</v>
      </c>
      <c r="EM43" s="891" t="s">
        <v>6527</v>
      </c>
      <c r="EN43" s="617" t="s">
        <v>112</v>
      </c>
      <c r="EO43" s="115"/>
      <c r="EP43" s="115" t="str">
        <f>IF(EN43="NA","NA",Tabela4[[#This Row],[Data de protocolo para cálculo médio]]+(VLOOKUP(Tabela4[[#This Row],[Previsão com fórmula i-Helps tipo de fila]],Formulas!$H$1:$J$13,2,FALSE)*30))</f>
        <v>NA</v>
      </c>
      <c r="EQ43" s="115" t="str">
        <f>IF(EN43="NA","NA",Tabela4[[#This Row],[Data de protocolo para cálculo médio]]+(VLOOKUP(Tabela4[[#This Row],[Previsão com fórmula i-Helps tipo de fila]],Formulas!$H$1:$J$13,3,FALSE)*30))</f>
        <v>NA</v>
      </c>
      <c r="ER43" s="115"/>
      <c r="ES43" s="685"/>
      <c r="ET43" s="666" t="s">
        <v>112</v>
      </c>
      <c r="EU43" s="666" t="s">
        <v>112</v>
      </c>
      <c r="EV43" s="666" t="s">
        <v>112</v>
      </c>
    </row>
    <row r="44" spans="1:153" s="556" customFormat="1" ht="114.75" outlineLevel="1" x14ac:dyDescent="0.2">
      <c r="A44" s="779" t="s">
        <v>6149</v>
      </c>
      <c r="B44" s="663" t="s">
        <v>5608</v>
      </c>
      <c r="C44" s="477" t="s">
        <v>584</v>
      </c>
      <c r="D44" s="113" t="s">
        <v>3797</v>
      </c>
      <c r="E44" s="477" t="s">
        <v>5230</v>
      </c>
      <c r="F44" s="113" t="s">
        <v>5270</v>
      </c>
      <c r="G44" s="288" t="s">
        <v>5266</v>
      </c>
      <c r="H44" s="6" t="s">
        <v>5267</v>
      </c>
      <c r="I44" s="72" t="s">
        <v>5272</v>
      </c>
      <c r="J44" s="113" t="s">
        <v>5269</v>
      </c>
      <c r="K44" s="6" t="s">
        <v>5268</v>
      </c>
      <c r="L44" s="477" t="s">
        <v>11</v>
      </c>
      <c r="M44" s="122" t="s">
        <v>12</v>
      </c>
      <c r="N44" s="113" t="s">
        <v>6081</v>
      </c>
      <c r="O44" s="765">
        <v>44138</v>
      </c>
      <c r="P44" s="615" t="s">
        <v>6116</v>
      </c>
      <c r="Q44" s="615" t="s">
        <v>112</v>
      </c>
      <c r="R44" s="113" t="s">
        <v>3087</v>
      </c>
      <c r="S44" s="617"/>
      <c r="T44" s="113"/>
      <c r="U44" s="113"/>
      <c r="V44" s="113"/>
      <c r="W44" s="113"/>
      <c r="X44" s="113"/>
      <c r="Y44" s="113"/>
      <c r="Z44" s="113"/>
      <c r="AA44" s="617"/>
      <c r="AB44" s="113"/>
      <c r="AC44" s="617">
        <v>44428</v>
      </c>
      <c r="AD44" s="891" t="s">
        <v>6528</v>
      </c>
      <c r="AE44" s="122"/>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22"/>
      <c r="CL44" s="122"/>
      <c r="CM44" s="122"/>
      <c r="CN44" s="122"/>
      <c r="CO44" s="122"/>
      <c r="CP44" s="122"/>
      <c r="CQ44" s="122"/>
      <c r="CR44" s="122"/>
      <c r="CS44" s="122"/>
      <c r="CT44" s="122"/>
      <c r="CU44" s="122"/>
      <c r="CV44" s="122"/>
      <c r="CW44" s="122"/>
      <c r="CX44" s="122"/>
      <c r="CY44" s="122"/>
      <c r="CZ44" s="122"/>
      <c r="DA44" s="122"/>
      <c r="DB44" s="122"/>
      <c r="DC44" s="122"/>
      <c r="DD44" s="122"/>
      <c r="DE44" s="122"/>
      <c r="DF44" s="122"/>
      <c r="DG44" s="122"/>
      <c r="DH44" s="122"/>
      <c r="DI44" s="122"/>
      <c r="DJ44" s="122"/>
      <c r="DK44" s="122"/>
      <c r="DL44" s="122"/>
      <c r="DM44" s="122"/>
      <c r="DN44" s="122"/>
      <c r="DO44" s="122"/>
      <c r="DP44" s="122"/>
      <c r="DQ44" s="122"/>
      <c r="DR44" s="122"/>
      <c r="DS44" s="297"/>
      <c r="DT44" s="297"/>
      <c r="DU44" s="297"/>
      <c r="DV44" s="297"/>
      <c r="DW44" s="626"/>
      <c r="DX44" s="626"/>
      <c r="DY44" s="626"/>
      <c r="DZ44" s="626"/>
      <c r="EA44" s="626"/>
      <c r="EB44" s="297"/>
      <c r="EC44" s="297"/>
      <c r="ED44" s="297"/>
      <c r="EE44" s="297"/>
      <c r="EF44" s="297"/>
      <c r="EG44" s="297"/>
      <c r="EH44" s="297"/>
      <c r="EI44" s="297"/>
      <c r="EJ44" s="891" t="s">
        <v>6213</v>
      </c>
      <c r="EK44" s="891" t="s">
        <v>6327</v>
      </c>
      <c r="EL44" s="891" t="s">
        <v>6423</v>
      </c>
      <c r="EM44" s="891" t="s">
        <v>6528</v>
      </c>
      <c r="EN44" s="617" t="s">
        <v>112</v>
      </c>
      <c r="EO44" s="115"/>
      <c r="EP44" s="115" t="str">
        <f>IF(EN44="NA","NA",Tabela4[[#This Row],[Data de protocolo para cálculo médio]]+(VLOOKUP(Tabela4[[#This Row],[Previsão com fórmula i-Helps tipo de fila]],Formulas!$H$1:$J$13,2,FALSE)*30))</f>
        <v>NA</v>
      </c>
      <c r="EQ44" s="115" t="str">
        <f>IF(EN44="NA","NA",Tabela4[[#This Row],[Data de protocolo para cálculo médio]]+(VLOOKUP(Tabela4[[#This Row],[Previsão com fórmula i-Helps tipo de fila]],Formulas!$H$1:$J$13,3,FALSE)*30))</f>
        <v>NA</v>
      </c>
      <c r="ER44" s="115"/>
      <c r="ES44" s="685"/>
      <c r="ET44" s="666" t="s">
        <v>112</v>
      </c>
      <c r="EU44" s="666" t="s">
        <v>112</v>
      </c>
      <c r="EV44" s="666" t="s">
        <v>112</v>
      </c>
    </row>
    <row r="45" spans="1:153" s="556" customFormat="1" ht="114.75" outlineLevel="1" x14ac:dyDescent="0.2">
      <c r="A45" s="779" t="s">
        <v>6150</v>
      </c>
      <c r="B45" s="663" t="s">
        <v>5608</v>
      </c>
      <c r="C45" s="477" t="s">
        <v>584</v>
      </c>
      <c r="D45" s="113" t="s">
        <v>3797</v>
      </c>
      <c r="E45" s="477" t="s">
        <v>5230</v>
      </c>
      <c r="F45" s="113" t="s">
        <v>5270</v>
      </c>
      <c r="G45" s="288" t="s">
        <v>5266</v>
      </c>
      <c r="H45" s="6" t="s">
        <v>5267</v>
      </c>
      <c r="I45" s="72" t="s">
        <v>5272</v>
      </c>
      <c r="J45" s="113" t="s">
        <v>5269</v>
      </c>
      <c r="K45" s="6" t="s">
        <v>5268</v>
      </c>
      <c r="L45" s="477" t="s">
        <v>11</v>
      </c>
      <c r="M45" s="122" t="s">
        <v>12</v>
      </c>
      <c r="N45" s="113" t="s">
        <v>6082</v>
      </c>
      <c r="O45" s="765">
        <v>44134</v>
      </c>
      <c r="P45" s="615" t="s">
        <v>6061</v>
      </c>
      <c r="Q45" s="615" t="s">
        <v>112</v>
      </c>
      <c r="R45" s="113" t="s">
        <v>3087</v>
      </c>
      <c r="S45" s="617"/>
      <c r="T45" s="113"/>
      <c r="U45" s="113"/>
      <c r="V45" s="113"/>
      <c r="W45" s="113"/>
      <c r="X45" s="113"/>
      <c r="Y45" s="113"/>
      <c r="Z45" s="113"/>
      <c r="AA45" s="617"/>
      <c r="AB45" s="113"/>
      <c r="AC45" s="617">
        <v>44428</v>
      </c>
      <c r="AD45" s="891" t="s">
        <v>6529</v>
      </c>
      <c r="AE45" s="122"/>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22"/>
      <c r="CL45" s="122"/>
      <c r="CM45" s="122"/>
      <c r="CN45" s="122"/>
      <c r="CO45" s="122"/>
      <c r="CP45" s="122"/>
      <c r="CQ45" s="122"/>
      <c r="CR45" s="122"/>
      <c r="CS45" s="122"/>
      <c r="CT45" s="122"/>
      <c r="CU45" s="122"/>
      <c r="CV45" s="122"/>
      <c r="CW45" s="122"/>
      <c r="CX45" s="122"/>
      <c r="CY45" s="122"/>
      <c r="CZ45" s="122"/>
      <c r="DA45" s="122"/>
      <c r="DB45" s="122"/>
      <c r="DC45" s="122"/>
      <c r="DD45" s="122"/>
      <c r="DE45" s="122"/>
      <c r="DF45" s="122"/>
      <c r="DG45" s="122"/>
      <c r="DH45" s="122"/>
      <c r="DI45" s="122"/>
      <c r="DJ45" s="122"/>
      <c r="DK45" s="122"/>
      <c r="DL45" s="122"/>
      <c r="DM45" s="122"/>
      <c r="DN45" s="122"/>
      <c r="DO45" s="122"/>
      <c r="DP45" s="122"/>
      <c r="DQ45" s="122"/>
      <c r="DR45" s="122"/>
      <c r="DS45" s="297"/>
      <c r="DT45" s="297"/>
      <c r="DU45" s="297"/>
      <c r="DV45" s="297"/>
      <c r="DW45" s="626"/>
      <c r="DX45" s="626"/>
      <c r="DY45" s="626"/>
      <c r="DZ45" s="626"/>
      <c r="EA45" s="626"/>
      <c r="EB45" s="297"/>
      <c r="EC45" s="297"/>
      <c r="ED45" s="297"/>
      <c r="EE45" s="297"/>
      <c r="EF45" s="297"/>
      <c r="EG45" s="297"/>
      <c r="EH45" s="297"/>
      <c r="EI45" s="297"/>
      <c r="EJ45" s="891" t="s">
        <v>6214</v>
      </c>
      <c r="EK45" s="891" t="s">
        <v>6328</v>
      </c>
      <c r="EL45" s="891" t="s">
        <v>6424</v>
      </c>
      <c r="EM45" s="891" t="s">
        <v>6529</v>
      </c>
      <c r="EN45" s="617" t="s">
        <v>112</v>
      </c>
      <c r="EO45" s="115"/>
      <c r="EP45" s="115" t="str">
        <f>IF(EN45="NA","NA",Tabela4[[#This Row],[Data de protocolo para cálculo médio]]+(VLOOKUP(Tabela4[[#This Row],[Previsão com fórmula i-Helps tipo de fila]],Formulas!$H$1:$J$13,2,FALSE)*30))</f>
        <v>NA</v>
      </c>
      <c r="EQ45" s="115" t="str">
        <f>IF(EN45="NA","NA",Tabela4[[#This Row],[Data de protocolo para cálculo médio]]+(VLOOKUP(Tabela4[[#This Row],[Previsão com fórmula i-Helps tipo de fila]],Formulas!$H$1:$J$13,3,FALSE)*30))</f>
        <v>NA</v>
      </c>
      <c r="ER45" s="115"/>
      <c r="ES45" s="685"/>
      <c r="ET45" s="666" t="s">
        <v>112</v>
      </c>
      <c r="EU45" s="666" t="s">
        <v>112</v>
      </c>
      <c r="EV45" s="666" t="s">
        <v>112</v>
      </c>
    </row>
    <row r="46" spans="1:153" s="556" customFormat="1" ht="331.5" x14ac:dyDescent="0.2">
      <c r="A46" s="779">
        <v>19</v>
      </c>
      <c r="B46" s="663" t="s">
        <v>5609</v>
      </c>
      <c r="C46" s="477" t="s">
        <v>584</v>
      </c>
      <c r="D46" s="113" t="s">
        <v>3797</v>
      </c>
      <c r="E46" s="477" t="s">
        <v>5635</v>
      </c>
      <c r="F46" s="477" t="s">
        <v>5321</v>
      </c>
      <c r="G46" s="288" t="s">
        <v>5331</v>
      </c>
      <c r="H46" s="6" t="s">
        <v>5267</v>
      </c>
      <c r="I46" s="72" t="s">
        <v>1806</v>
      </c>
      <c r="J46" s="113" t="s">
        <v>5304</v>
      </c>
      <c r="K46" s="6" t="s">
        <v>5268</v>
      </c>
      <c r="L46" s="477" t="s">
        <v>16</v>
      </c>
      <c r="M46" s="122" t="s">
        <v>12</v>
      </c>
      <c r="N46" s="122" t="s">
        <v>3090</v>
      </c>
      <c r="O46" s="643">
        <v>44138</v>
      </c>
      <c r="P46" s="615" t="s">
        <v>6117</v>
      </c>
      <c r="Q46" s="615" t="s">
        <v>6118</v>
      </c>
      <c r="R46" s="477" t="s">
        <v>4251</v>
      </c>
      <c r="S46" s="612"/>
      <c r="T46" s="477" t="s">
        <v>5248</v>
      </c>
      <c r="U46" s="272"/>
      <c r="V46" s="477"/>
      <c r="W46" s="477" t="s">
        <v>5305</v>
      </c>
      <c r="X46" s="113" t="s">
        <v>5270</v>
      </c>
      <c r="Y46" s="477" t="s">
        <v>112</v>
      </c>
      <c r="Z46" s="477" t="s">
        <v>3084</v>
      </c>
      <c r="AA46" s="612">
        <v>44148</v>
      </c>
      <c r="AB46" s="477">
        <v>59</v>
      </c>
      <c r="AC46" s="617">
        <v>44428</v>
      </c>
      <c r="AD46" s="900" t="s">
        <v>6530</v>
      </c>
      <c r="AE46" s="122"/>
      <c r="AF46" s="477"/>
      <c r="AG46" s="477"/>
      <c r="AH46" s="477"/>
      <c r="AI46" s="477"/>
      <c r="AJ46" s="477"/>
      <c r="AK46" s="477"/>
      <c r="AL46" s="477"/>
      <c r="AM46" s="477"/>
      <c r="AN46" s="477"/>
      <c r="AO46" s="477"/>
      <c r="AP46" s="477"/>
      <c r="AQ46" s="477"/>
      <c r="AR46" s="477"/>
      <c r="AS46" s="477"/>
      <c r="AT46" s="477"/>
      <c r="AU46" s="477"/>
      <c r="AV46" s="477"/>
      <c r="AW46" s="477"/>
      <c r="AX46" s="477"/>
      <c r="AY46" s="477"/>
      <c r="AZ46" s="477"/>
      <c r="BA46" s="477"/>
      <c r="BB46" s="477"/>
      <c r="BC46" s="477"/>
      <c r="BD46" s="477"/>
      <c r="BE46" s="477"/>
      <c r="BF46" s="477"/>
      <c r="BG46" s="477"/>
      <c r="BH46" s="477"/>
      <c r="BI46" s="477"/>
      <c r="BJ46" s="477"/>
      <c r="BK46" s="477"/>
      <c r="BL46" s="477"/>
      <c r="BM46" s="477"/>
      <c r="BN46" s="477"/>
      <c r="BO46" s="477"/>
      <c r="BP46" s="477"/>
      <c r="BQ46" s="477"/>
      <c r="BR46" s="477"/>
      <c r="BS46" s="477"/>
      <c r="BT46" s="477"/>
      <c r="BU46" s="477"/>
      <c r="BV46" s="477"/>
      <c r="BW46" s="477"/>
      <c r="BX46" s="477"/>
      <c r="BY46" s="477"/>
      <c r="BZ46" s="477"/>
      <c r="CA46" s="477"/>
      <c r="CB46" s="477"/>
      <c r="CC46" s="477"/>
      <c r="CD46" s="477"/>
      <c r="CE46" s="477"/>
      <c r="CF46" s="477"/>
      <c r="CG46" s="477"/>
      <c r="CH46" s="477"/>
      <c r="CI46" s="477"/>
      <c r="CJ46" s="477"/>
      <c r="CK46" s="626"/>
      <c r="CL46" s="626"/>
      <c r="CM46" s="626"/>
      <c r="CN46" s="626"/>
      <c r="CO46" s="626"/>
      <c r="CP46" s="626"/>
      <c r="CQ46" s="626"/>
      <c r="CR46" s="626"/>
      <c r="CS46" s="626"/>
      <c r="CT46" s="626"/>
      <c r="CU46" s="626"/>
      <c r="CV46" s="626"/>
      <c r="CW46" s="626"/>
      <c r="CX46" s="626"/>
      <c r="CY46" s="626"/>
      <c r="CZ46" s="626"/>
      <c r="DA46" s="626"/>
      <c r="DB46" s="626">
        <v>59</v>
      </c>
      <c r="DC46" s="626">
        <v>61</v>
      </c>
      <c r="DD46" s="626">
        <v>48</v>
      </c>
      <c r="DE46" s="626">
        <v>41</v>
      </c>
      <c r="DF46" s="626">
        <v>18</v>
      </c>
      <c r="DG46" s="626">
        <v>15</v>
      </c>
      <c r="DH46" s="626" t="s">
        <v>5437</v>
      </c>
      <c r="DI46" s="626" t="s">
        <v>5437</v>
      </c>
      <c r="DJ46" s="626" t="s">
        <v>5437</v>
      </c>
      <c r="DK46" s="626" t="s">
        <v>5437</v>
      </c>
      <c r="DL46" s="626" t="s">
        <v>5437</v>
      </c>
      <c r="DM46" s="626" t="s">
        <v>5437</v>
      </c>
      <c r="DN46" s="626" t="s">
        <v>5437</v>
      </c>
      <c r="DO46" s="626" t="s">
        <v>5437</v>
      </c>
      <c r="DP46" s="626" t="s">
        <v>5437</v>
      </c>
      <c r="DQ46" s="626" t="s">
        <v>5437</v>
      </c>
      <c r="DR46" s="626" t="s">
        <v>5437</v>
      </c>
      <c r="DS46" s="122" t="s">
        <v>5437</v>
      </c>
      <c r="DT46" s="122" t="s">
        <v>5437</v>
      </c>
      <c r="DU46" s="122" t="s">
        <v>5437</v>
      </c>
      <c r="DV46" s="122" t="s">
        <v>5437</v>
      </c>
      <c r="DW46" s="122" t="s">
        <v>5766</v>
      </c>
      <c r="DX46" s="122" t="s">
        <v>5823</v>
      </c>
      <c r="DY46" s="122" t="s">
        <v>5823</v>
      </c>
      <c r="DZ46" s="122" t="s">
        <v>5823</v>
      </c>
      <c r="EA46" s="122" t="s">
        <v>5823</v>
      </c>
      <c r="EB46" s="122" t="s">
        <v>5823</v>
      </c>
      <c r="EC46" s="122" t="s">
        <v>5823</v>
      </c>
      <c r="ED46" s="122" t="s">
        <v>5823</v>
      </c>
      <c r="EE46" s="122" t="s">
        <v>5823</v>
      </c>
      <c r="EF46" s="122" t="s">
        <v>5965</v>
      </c>
      <c r="EG46" s="122" t="s">
        <v>5965</v>
      </c>
      <c r="EH46" s="122" t="s">
        <v>6005</v>
      </c>
      <c r="EI46" s="122" t="s">
        <v>6005</v>
      </c>
      <c r="EJ46" s="891" t="s">
        <v>6215</v>
      </c>
      <c r="EK46" s="900" t="s">
        <v>6329</v>
      </c>
      <c r="EL46" s="900" t="s">
        <v>6425</v>
      </c>
      <c r="EM46" s="900" t="s">
        <v>6530</v>
      </c>
      <c r="EN46" s="612" t="s">
        <v>5165</v>
      </c>
      <c r="EO46" s="664">
        <v>44127</v>
      </c>
      <c r="EP46" s="664">
        <f>IF(EN46="NA","NA",Tabela4[[#This Row],[Data de protocolo para cálculo médio]]+(VLOOKUP(Tabela4[[#This Row],[Previsão com fórmula i-Helps tipo de fila]],Formulas!$H$1:$J$13,2,FALSE)*30))</f>
        <v>44529</v>
      </c>
      <c r="EQ46" s="664">
        <f>IF(EN46="NA","NA",Tabela4[[#This Row],[Data de protocolo para cálculo médio]]+(VLOOKUP(Tabela4[[#This Row],[Previsão com fórmula i-Helps tipo de fila]],Formulas!$H$1:$J$13,3,FALSE)*30))</f>
        <v>44712</v>
      </c>
      <c r="ER46" s="501">
        <v>44713</v>
      </c>
      <c r="ES46" s="688">
        <v>44713</v>
      </c>
      <c r="ET46" s="666" t="s">
        <v>5059</v>
      </c>
      <c r="EU46" s="617" t="s">
        <v>5060</v>
      </c>
      <c r="EV46" s="617" t="s">
        <v>5061</v>
      </c>
      <c r="EW46" s="811"/>
    </row>
    <row r="47" spans="1:153" s="556" customFormat="1" ht="153" x14ac:dyDescent="0.2">
      <c r="A47" s="779">
        <v>20</v>
      </c>
      <c r="B47" s="663" t="s">
        <v>5607</v>
      </c>
      <c r="C47" s="477" t="s">
        <v>1137</v>
      </c>
      <c r="D47" s="113" t="s">
        <v>3798</v>
      </c>
      <c r="E47" s="477" t="s">
        <v>5634</v>
      </c>
      <c r="F47" s="113" t="s">
        <v>5322</v>
      </c>
      <c r="G47" s="288" t="s">
        <v>5316</v>
      </c>
      <c r="H47" s="6" t="s">
        <v>5316</v>
      </c>
      <c r="I47" s="72" t="s">
        <v>5325</v>
      </c>
      <c r="J47" s="113" t="s">
        <v>5318</v>
      </c>
      <c r="K47" s="6" t="s">
        <v>5317</v>
      </c>
      <c r="L47" s="477" t="s">
        <v>16</v>
      </c>
      <c r="M47" s="122" t="s">
        <v>12</v>
      </c>
      <c r="N47" s="122" t="s">
        <v>2992</v>
      </c>
      <c r="O47" s="643">
        <v>44148</v>
      </c>
      <c r="P47" s="615" t="s">
        <v>5377</v>
      </c>
      <c r="Q47" s="615" t="s">
        <v>112</v>
      </c>
      <c r="R47" s="477" t="s">
        <v>3083</v>
      </c>
      <c r="S47" s="612">
        <v>44400</v>
      </c>
      <c r="T47" s="477" t="s">
        <v>1298</v>
      </c>
      <c r="U47" s="272" t="s">
        <v>5343</v>
      </c>
      <c r="V47" s="113" t="s">
        <v>5792</v>
      </c>
      <c r="W47" s="477" t="s">
        <v>112</v>
      </c>
      <c r="X47" s="477" t="s">
        <v>112</v>
      </c>
      <c r="Y47" s="477" t="s">
        <v>112</v>
      </c>
      <c r="Z47" s="477" t="s">
        <v>112</v>
      </c>
      <c r="AA47" s="612">
        <v>44154</v>
      </c>
      <c r="AB47" s="477">
        <v>158</v>
      </c>
      <c r="AC47" s="617">
        <v>44428</v>
      </c>
      <c r="AD47" s="626" t="s">
        <v>6531</v>
      </c>
      <c r="AE47" s="626"/>
      <c r="AF47" s="477"/>
      <c r="AG47" s="477"/>
      <c r="AH47" s="477"/>
      <c r="AI47" s="477"/>
      <c r="AJ47" s="477"/>
      <c r="AK47" s="477"/>
      <c r="AL47" s="477"/>
      <c r="AM47" s="477"/>
      <c r="AN47" s="477"/>
      <c r="AO47" s="477"/>
      <c r="AP47" s="477"/>
      <c r="AQ47" s="477"/>
      <c r="AR47" s="477"/>
      <c r="AS47" s="477"/>
      <c r="AT47" s="477"/>
      <c r="AU47" s="477"/>
      <c r="AV47" s="477"/>
      <c r="AW47" s="477"/>
      <c r="AX47" s="477"/>
      <c r="AY47" s="477"/>
      <c r="AZ47" s="477"/>
      <c r="BA47" s="477"/>
      <c r="BB47" s="477"/>
      <c r="BC47" s="477"/>
      <c r="BD47" s="477"/>
      <c r="BE47" s="477"/>
      <c r="BF47" s="477"/>
      <c r="BG47" s="477"/>
      <c r="BH47" s="477"/>
      <c r="BI47" s="477"/>
      <c r="BJ47" s="477"/>
      <c r="BK47" s="477"/>
      <c r="BL47" s="477"/>
      <c r="BM47" s="477"/>
      <c r="BN47" s="477"/>
      <c r="BO47" s="477"/>
      <c r="BP47" s="477"/>
      <c r="BQ47" s="477"/>
      <c r="BR47" s="477"/>
      <c r="BS47" s="477"/>
      <c r="BT47" s="477"/>
      <c r="BU47" s="477"/>
      <c r="BV47" s="477"/>
      <c r="BW47" s="477"/>
      <c r="BX47" s="477"/>
      <c r="BY47" s="477"/>
      <c r="BZ47" s="477"/>
      <c r="CA47" s="477"/>
      <c r="CB47" s="477"/>
      <c r="CC47" s="477"/>
      <c r="CD47" s="477"/>
      <c r="CE47" s="477"/>
      <c r="CF47" s="477"/>
      <c r="CG47" s="477"/>
      <c r="CH47" s="477"/>
      <c r="CI47" s="477"/>
      <c r="CJ47" s="477"/>
      <c r="CK47" s="626"/>
      <c r="CL47" s="626"/>
      <c r="CM47" s="626"/>
      <c r="CN47" s="626"/>
      <c r="CO47" s="626"/>
      <c r="CP47" s="626"/>
      <c r="CQ47" s="626"/>
      <c r="CR47" s="626"/>
      <c r="CS47" s="626"/>
      <c r="CT47" s="626"/>
      <c r="CU47" s="626"/>
      <c r="CV47" s="626"/>
      <c r="CW47" s="626"/>
      <c r="CX47" s="626"/>
      <c r="CY47" s="626"/>
      <c r="CZ47" s="626"/>
      <c r="DA47" s="626"/>
      <c r="DB47" s="626"/>
      <c r="DC47" s="626">
        <v>158</v>
      </c>
      <c r="DD47" s="626">
        <v>152</v>
      </c>
      <c r="DE47" s="626">
        <v>152</v>
      </c>
      <c r="DF47" s="626">
        <v>151</v>
      </c>
      <c r="DG47" s="626">
        <v>150</v>
      </c>
      <c r="DH47" s="626">
        <v>144</v>
      </c>
      <c r="DI47" s="626">
        <v>143</v>
      </c>
      <c r="DJ47" s="626">
        <v>140</v>
      </c>
      <c r="DK47" s="626">
        <v>140</v>
      </c>
      <c r="DL47" s="626">
        <v>139</v>
      </c>
      <c r="DM47" s="626">
        <v>133</v>
      </c>
      <c r="DN47" s="626">
        <v>133</v>
      </c>
      <c r="DO47" s="626">
        <v>132</v>
      </c>
      <c r="DP47" s="626">
        <v>131</v>
      </c>
      <c r="DQ47" s="626">
        <v>130</v>
      </c>
      <c r="DR47" s="626">
        <v>128</v>
      </c>
      <c r="DS47" s="626">
        <v>129</v>
      </c>
      <c r="DT47" s="626">
        <v>125</v>
      </c>
      <c r="DU47" s="626">
        <v>120</v>
      </c>
      <c r="DV47" s="626">
        <v>119</v>
      </c>
      <c r="DW47" s="626">
        <v>111</v>
      </c>
      <c r="DX47" s="626">
        <v>107</v>
      </c>
      <c r="DY47" s="626">
        <v>102</v>
      </c>
      <c r="DZ47" s="626">
        <v>99</v>
      </c>
      <c r="EA47" s="626">
        <v>90</v>
      </c>
      <c r="EB47" s="626">
        <v>89</v>
      </c>
      <c r="EC47" s="626">
        <v>87</v>
      </c>
      <c r="ED47" s="626">
        <v>84</v>
      </c>
      <c r="EE47" s="626">
        <v>81</v>
      </c>
      <c r="EF47" s="626">
        <v>74</v>
      </c>
      <c r="EG47" s="626">
        <v>71</v>
      </c>
      <c r="EH47" s="626">
        <v>69</v>
      </c>
      <c r="EI47" s="626">
        <v>68</v>
      </c>
      <c r="EJ47" s="626" t="s">
        <v>6216</v>
      </c>
      <c r="EK47" s="626" t="s">
        <v>6330</v>
      </c>
      <c r="EL47" s="626" t="s">
        <v>6427</v>
      </c>
      <c r="EM47" s="626" t="s">
        <v>6531</v>
      </c>
      <c r="EN47" s="612" t="s">
        <v>5063</v>
      </c>
      <c r="EO47" s="664">
        <v>44148</v>
      </c>
      <c r="EP47" s="664">
        <f>IF(EN47="NA","NA",Tabela4[[#This Row],[Data de protocolo para cálculo médio]]+(VLOOKUP(Tabela4[[#This Row],[Previsão com fórmula i-Helps tipo de fila]],Formulas!$H$1:$J$13,2,FALSE)*30))</f>
        <v>44505</v>
      </c>
      <c r="EQ47" s="664">
        <f>IF(EN47="NA","NA",Tabela4[[#This Row],[Data de protocolo para cálculo médio]]+(VLOOKUP(Tabela4[[#This Row],[Previsão com fórmula i-Helps tipo de fila]],Formulas!$H$1:$J$13,3,FALSE)*30))</f>
        <v>44649</v>
      </c>
      <c r="ER47" s="501">
        <v>44652</v>
      </c>
      <c r="ES47" s="113" t="s">
        <v>5324</v>
      </c>
      <c r="ET47" s="666" t="s">
        <v>5059</v>
      </c>
      <c r="EU47" s="617" t="s">
        <v>5060</v>
      </c>
      <c r="EV47" s="617" t="s">
        <v>5063</v>
      </c>
    </row>
    <row r="48" spans="1:153" s="556" customFormat="1" ht="153" outlineLevel="1" x14ac:dyDescent="0.2">
      <c r="A48" s="779" t="s">
        <v>6151</v>
      </c>
      <c r="B48" s="663" t="s">
        <v>5607</v>
      </c>
      <c r="C48" s="477" t="s">
        <v>1137</v>
      </c>
      <c r="D48" s="113" t="s">
        <v>3798</v>
      </c>
      <c r="E48" s="477" t="s">
        <v>5634</v>
      </c>
      <c r="F48" s="113" t="s">
        <v>5322</v>
      </c>
      <c r="G48" s="288" t="s">
        <v>5316</v>
      </c>
      <c r="H48" s="6" t="s">
        <v>5316</v>
      </c>
      <c r="I48" s="72" t="s">
        <v>5325</v>
      </c>
      <c r="J48" s="113" t="s">
        <v>5318</v>
      </c>
      <c r="K48" s="6" t="s">
        <v>5317</v>
      </c>
      <c r="L48" s="477" t="s">
        <v>16</v>
      </c>
      <c r="M48" s="122" t="s">
        <v>12</v>
      </c>
      <c r="N48" s="113" t="s">
        <v>6082</v>
      </c>
      <c r="O48" s="765">
        <v>44154</v>
      </c>
      <c r="P48" s="615" t="s">
        <v>6062</v>
      </c>
      <c r="Q48" s="615" t="s">
        <v>112</v>
      </c>
      <c r="R48" s="113" t="s">
        <v>3087</v>
      </c>
      <c r="S48" s="617"/>
      <c r="T48" s="113"/>
      <c r="U48" s="113"/>
      <c r="V48" s="113"/>
      <c r="W48" s="113"/>
      <c r="X48" s="113"/>
      <c r="Y48" s="113"/>
      <c r="Z48" s="113"/>
      <c r="AA48" s="617"/>
      <c r="AB48" s="113"/>
      <c r="AC48" s="617">
        <v>44428</v>
      </c>
      <c r="AD48" s="626" t="s">
        <v>6532</v>
      </c>
      <c r="AE48" s="122"/>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22"/>
      <c r="CL48" s="122"/>
      <c r="CM48" s="122"/>
      <c r="CN48" s="122"/>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2"/>
      <c r="DR48" s="122"/>
      <c r="DS48" s="297"/>
      <c r="DT48" s="297"/>
      <c r="DU48" s="297"/>
      <c r="DV48" s="297"/>
      <c r="DW48" s="626"/>
      <c r="DX48" s="626"/>
      <c r="DY48" s="626"/>
      <c r="DZ48" s="626"/>
      <c r="EA48" s="626"/>
      <c r="EB48" s="297"/>
      <c r="EC48" s="297"/>
      <c r="ED48" s="297"/>
      <c r="EE48" s="297"/>
      <c r="EF48" s="297"/>
      <c r="EG48" s="297"/>
      <c r="EH48" s="297"/>
      <c r="EI48" s="297"/>
      <c r="EJ48" s="626" t="s">
        <v>6217</v>
      </c>
      <c r="EK48" s="626" t="s">
        <v>6331</v>
      </c>
      <c r="EL48" s="626" t="s">
        <v>6428</v>
      </c>
      <c r="EM48" s="626" t="s">
        <v>6532</v>
      </c>
      <c r="EN48" s="617" t="s">
        <v>112</v>
      </c>
      <c r="EO48" s="115"/>
      <c r="EP48" s="115" t="str">
        <f>IF(EN48="NA","NA",Tabela4[[#This Row],[Data de protocolo para cálculo médio]]+(VLOOKUP(Tabela4[[#This Row],[Previsão com fórmula i-Helps tipo de fila]],Formulas!$H$1:$J$13,2,FALSE)*30))</f>
        <v>NA</v>
      </c>
      <c r="EQ48" s="115" t="str">
        <f>IF(EN48="NA","NA",Tabela4[[#This Row],[Data de protocolo para cálculo médio]]+(VLOOKUP(Tabela4[[#This Row],[Previsão com fórmula i-Helps tipo de fila]],Formulas!$H$1:$J$13,3,FALSE)*30))</f>
        <v>NA</v>
      </c>
      <c r="ER48" s="115"/>
      <c r="ES48" s="685"/>
      <c r="ET48" s="666" t="s">
        <v>112</v>
      </c>
      <c r="EU48" s="666" t="s">
        <v>112</v>
      </c>
      <c r="EV48" s="666" t="s">
        <v>112</v>
      </c>
    </row>
    <row r="49" spans="1:152" s="556" customFormat="1" ht="153" outlineLevel="1" x14ac:dyDescent="0.2">
      <c r="A49" s="779" t="s">
        <v>6152</v>
      </c>
      <c r="B49" s="663" t="s">
        <v>5607</v>
      </c>
      <c r="C49" s="477" t="s">
        <v>1137</v>
      </c>
      <c r="D49" s="113" t="s">
        <v>3798</v>
      </c>
      <c r="E49" s="477" t="s">
        <v>5634</v>
      </c>
      <c r="F49" s="113" t="s">
        <v>5322</v>
      </c>
      <c r="G49" s="288" t="s">
        <v>5316</v>
      </c>
      <c r="H49" s="6" t="s">
        <v>5316</v>
      </c>
      <c r="I49" s="72" t="s">
        <v>5325</v>
      </c>
      <c r="J49" s="113" t="s">
        <v>5318</v>
      </c>
      <c r="K49" s="6" t="s">
        <v>5317</v>
      </c>
      <c r="L49" s="477" t="s">
        <v>16</v>
      </c>
      <c r="M49" s="122" t="s">
        <v>12</v>
      </c>
      <c r="N49" s="113" t="s">
        <v>6080</v>
      </c>
      <c r="O49" s="765">
        <v>44152</v>
      </c>
      <c r="P49" s="615" t="s">
        <v>6063</v>
      </c>
      <c r="Q49" s="615" t="s">
        <v>112</v>
      </c>
      <c r="R49" s="113" t="s">
        <v>2866</v>
      </c>
      <c r="S49" s="617">
        <v>43855</v>
      </c>
      <c r="T49" s="113"/>
      <c r="U49" s="113"/>
      <c r="V49" s="113"/>
      <c r="W49" s="113"/>
      <c r="X49" s="113"/>
      <c r="Y49" s="113"/>
      <c r="Z49" s="113"/>
      <c r="AA49" s="617"/>
      <c r="AB49" s="113"/>
      <c r="AC49" s="617">
        <v>44428</v>
      </c>
      <c r="AD49" s="626" t="s">
        <v>6533</v>
      </c>
      <c r="AE49" s="122"/>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22"/>
      <c r="CL49" s="122"/>
      <c r="CM49" s="122"/>
      <c r="CN49" s="122"/>
      <c r="CO49" s="122"/>
      <c r="CP49" s="122"/>
      <c r="CQ49" s="122"/>
      <c r="CR49" s="122"/>
      <c r="CS49" s="122"/>
      <c r="CT49" s="122"/>
      <c r="CU49" s="122"/>
      <c r="CV49" s="122"/>
      <c r="CW49" s="122"/>
      <c r="CX49" s="122"/>
      <c r="CY49" s="122"/>
      <c r="CZ49" s="122"/>
      <c r="DA49" s="122"/>
      <c r="DB49" s="122"/>
      <c r="DC49" s="122"/>
      <c r="DD49" s="122"/>
      <c r="DE49" s="122"/>
      <c r="DF49" s="122"/>
      <c r="DG49" s="122"/>
      <c r="DH49" s="122"/>
      <c r="DI49" s="122"/>
      <c r="DJ49" s="122"/>
      <c r="DK49" s="122"/>
      <c r="DL49" s="122"/>
      <c r="DM49" s="122"/>
      <c r="DN49" s="122"/>
      <c r="DO49" s="122"/>
      <c r="DP49" s="122"/>
      <c r="DQ49" s="122"/>
      <c r="DR49" s="122"/>
      <c r="DS49" s="297"/>
      <c r="DT49" s="297"/>
      <c r="DU49" s="297"/>
      <c r="DV49" s="297"/>
      <c r="DW49" s="626"/>
      <c r="DX49" s="626"/>
      <c r="DY49" s="626"/>
      <c r="DZ49" s="626"/>
      <c r="EA49" s="626"/>
      <c r="EB49" s="297"/>
      <c r="EC49" s="297"/>
      <c r="ED49" s="297"/>
      <c r="EE49" s="297"/>
      <c r="EF49" s="297"/>
      <c r="EG49" s="297"/>
      <c r="EH49" s="297"/>
      <c r="EI49" s="122"/>
      <c r="EJ49" s="626" t="s">
        <v>6218</v>
      </c>
      <c r="EK49" s="626" t="s">
        <v>6332</v>
      </c>
      <c r="EL49" s="626" t="s">
        <v>6429</v>
      </c>
      <c r="EM49" s="626" t="s">
        <v>6533</v>
      </c>
      <c r="EN49" s="617" t="s">
        <v>112</v>
      </c>
      <c r="EO49" s="115"/>
      <c r="EP49" s="115" t="str">
        <f>IF(EN49="NA","NA",Tabela4[[#This Row],[Data de protocolo para cálculo médio]]+(VLOOKUP(Tabela4[[#This Row],[Previsão com fórmula i-Helps tipo de fila]],Formulas!$H$1:$J$13,2,FALSE)*30))</f>
        <v>NA</v>
      </c>
      <c r="EQ49" s="115" t="str">
        <f>IF(EN49="NA","NA",Tabela4[[#This Row],[Data de protocolo para cálculo médio]]+(VLOOKUP(Tabela4[[#This Row],[Previsão com fórmula i-Helps tipo de fila]],Formulas!$H$1:$J$13,3,FALSE)*30))</f>
        <v>NA</v>
      </c>
      <c r="ER49" s="115"/>
      <c r="ES49" s="685"/>
      <c r="ET49" s="666" t="s">
        <v>112</v>
      </c>
      <c r="EU49" s="666" t="s">
        <v>112</v>
      </c>
      <c r="EV49" s="666" t="s">
        <v>112</v>
      </c>
    </row>
    <row r="50" spans="1:152" s="556" customFormat="1" ht="153" outlineLevel="1" x14ac:dyDescent="0.2">
      <c r="A50" s="779" t="s">
        <v>6153</v>
      </c>
      <c r="B50" s="663" t="s">
        <v>5607</v>
      </c>
      <c r="C50" s="477" t="s">
        <v>1137</v>
      </c>
      <c r="D50" s="113" t="s">
        <v>3798</v>
      </c>
      <c r="E50" s="477" t="s">
        <v>5634</v>
      </c>
      <c r="F50" s="113" t="s">
        <v>5322</v>
      </c>
      <c r="G50" s="288" t="s">
        <v>5316</v>
      </c>
      <c r="H50" s="6" t="s">
        <v>5316</v>
      </c>
      <c r="I50" s="72" t="s">
        <v>5325</v>
      </c>
      <c r="J50" s="113" t="s">
        <v>5318</v>
      </c>
      <c r="K50" s="6" t="s">
        <v>5317</v>
      </c>
      <c r="L50" s="477" t="s">
        <v>16</v>
      </c>
      <c r="M50" s="122" t="s">
        <v>12</v>
      </c>
      <c r="N50" s="113" t="s">
        <v>6081</v>
      </c>
      <c r="O50" s="765">
        <v>44152</v>
      </c>
      <c r="P50" s="615" t="s">
        <v>6064</v>
      </c>
      <c r="Q50" s="615" t="s">
        <v>112</v>
      </c>
      <c r="R50" s="113" t="s">
        <v>3083</v>
      </c>
      <c r="S50" s="617">
        <v>44167</v>
      </c>
      <c r="T50" s="113"/>
      <c r="U50" s="113"/>
      <c r="V50" s="113"/>
      <c r="W50" s="113"/>
      <c r="X50" s="113"/>
      <c r="Y50" s="113"/>
      <c r="Z50" s="113"/>
      <c r="AA50" s="617"/>
      <c r="AB50" s="113"/>
      <c r="AC50" s="617">
        <v>44428</v>
      </c>
      <c r="AD50" s="882" t="s">
        <v>6534</v>
      </c>
      <c r="AE50" s="122"/>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22"/>
      <c r="CL50" s="122"/>
      <c r="CM50" s="122"/>
      <c r="CN50" s="122"/>
      <c r="CO50" s="122"/>
      <c r="CP50" s="122"/>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c r="DO50" s="122"/>
      <c r="DP50" s="122"/>
      <c r="DQ50" s="122"/>
      <c r="DR50" s="122"/>
      <c r="DS50" s="882"/>
      <c r="DT50" s="882"/>
      <c r="DU50" s="882"/>
      <c r="DV50" s="882"/>
      <c r="DW50" s="626"/>
      <c r="DX50" s="626"/>
      <c r="DY50" s="626"/>
      <c r="DZ50" s="626"/>
      <c r="EA50" s="626"/>
      <c r="EB50" s="882"/>
      <c r="EC50" s="882"/>
      <c r="ED50" s="882"/>
      <c r="EE50" s="882"/>
      <c r="EF50" s="882"/>
      <c r="EG50" s="882"/>
      <c r="EH50" s="882"/>
      <c r="EI50" s="122"/>
      <c r="EJ50" s="882" t="s">
        <v>6219</v>
      </c>
      <c r="EK50" s="882" t="s">
        <v>6333</v>
      </c>
      <c r="EL50" s="882" t="s">
        <v>6430</v>
      </c>
      <c r="EM50" s="882" t="s">
        <v>6534</v>
      </c>
      <c r="EN50" s="617" t="s">
        <v>112</v>
      </c>
      <c r="EO50" s="115"/>
      <c r="EP50" s="115" t="str">
        <f>IF(EN50="NA","NA",Tabela4[[#This Row],[Data de protocolo para cálculo médio]]+(VLOOKUP(Tabela4[[#This Row],[Previsão com fórmula i-Helps tipo de fila]],Formulas!$H$1:$J$13,2,FALSE)*30))</f>
        <v>NA</v>
      </c>
      <c r="EQ50" s="115" t="str">
        <f>IF(EN50="NA","NA",Tabela4[[#This Row],[Data de protocolo para cálculo médio]]+(VLOOKUP(Tabela4[[#This Row],[Previsão com fórmula i-Helps tipo de fila]],Formulas!$H$1:$J$13,3,FALSE)*30))</f>
        <v>NA</v>
      </c>
      <c r="ER50" s="115"/>
      <c r="ES50" s="685"/>
      <c r="ET50" s="666" t="s">
        <v>112</v>
      </c>
      <c r="EU50" s="666" t="s">
        <v>112</v>
      </c>
      <c r="EV50" s="666" t="s">
        <v>112</v>
      </c>
    </row>
    <row r="51" spans="1:152" s="556" customFormat="1" ht="114.75" x14ac:dyDescent="0.2">
      <c r="A51" s="779">
        <v>21</v>
      </c>
      <c r="B51" s="663" t="s">
        <v>5610</v>
      </c>
      <c r="C51" s="477" t="s">
        <v>1137</v>
      </c>
      <c r="D51" s="113" t="s">
        <v>3797</v>
      </c>
      <c r="E51" s="477" t="s">
        <v>5635</v>
      </c>
      <c r="F51" s="113" t="s">
        <v>5340</v>
      </c>
      <c r="G51" s="288" t="s">
        <v>5338</v>
      </c>
      <c r="H51" s="6" t="s">
        <v>5338</v>
      </c>
      <c r="I51" s="72" t="s">
        <v>5379</v>
      </c>
      <c r="J51" s="113" t="s">
        <v>5349</v>
      </c>
      <c r="K51" s="6" t="s">
        <v>5339</v>
      </c>
      <c r="L51" s="477" t="s">
        <v>16</v>
      </c>
      <c r="M51" s="122" t="s">
        <v>685</v>
      </c>
      <c r="N51" s="122" t="s">
        <v>2992</v>
      </c>
      <c r="O51" s="643">
        <v>44166</v>
      </c>
      <c r="P51" s="615" t="s">
        <v>5351</v>
      </c>
      <c r="Q51" s="615" t="s">
        <v>112</v>
      </c>
      <c r="R51" s="477" t="s">
        <v>3083</v>
      </c>
      <c r="S51" s="612">
        <v>44400</v>
      </c>
      <c r="T51" s="477" t="s">
        <v>1298</v>
      </c>
      <c r="U51" s="272" t="s">
        <v>5571</v>
      </c>
      <c r="V51" s="477" t="s">
        <v>5705</v>
      </c>
      <c r="W51" s="477" t="s">
        <v>112</v>
      </c>
      <c r="X51" s="477" t="s">
        <v>112</v>
      </c>
      <c r="Y51" s="477" t="s">
        <v>112</v>
      </c>
      <c r="Z51" s="477" t="s">
        <v>112</v>
      </c>
      <c r="AA51" s="612">
        <v>44169</v>
      </c>
      <c r="AB51" s="477">
        <v>162</v>
      </c>
      <c r="AC51" s="617">
        <v>44428</v>
      </c>
      <c r="AD51" s="904" t="s">
        <v>6535</v>
      </c>
      <c r="AE51" s="626"/>
      <c r="AF51" s="477"/>
      <c r="AG51" s="477"/>
      <c r="AH51" s="477"/>
      <c r="AI51" s="477"/>
      <c r="AJ51" s="477"/>
      <c r="AK51" s="477"/>
      <c r="AL51" s="477"/>
      <c r="AM51" s="477"/>
      <c r="AN51" s="477"/>
      <c r="AO51" s="477"/>
      <c r="AP51" s="477"/>
      <c r="AQ51" s="477"/>
      <c r="AR51" s="477"/>
      <c r="AS51" s="477"/>
      <c r="AT51" s="477"/>
      <c r="AU51" s="477"/>
      <c r="AV51" s="477"/>
      <c r="AW51" s="477"/>
      <c r="AX51" s="477"/>
      <c r="AY51" s="477"/>
      <c r="AZ51" s="477"/>
      <c r="BA51" s="477"/>
      <c r="BB51" s="477"/>
      <c r="BC51" s="477"/>
      <c r="BD51" s="477"/>
      <c r="BE51" s="477"/>
      <c r="BF51" s="477"/>
      <c r="BG51" s="477"/>
      <c r="BH51" s="477"/>
      <c r="BI51" s="477"/>
      <c r="BJ51" s="477"/>
      <c r="BK51" s="477"/>
      <c r="BL51" s="477"/>
      <c r="BM51" s="477"/>
      <c r="BN51" s="477"/>
      <c r="BO51" s="477"/>
      <c r="BP51" s="477"/>
      <c r="BQ51" s="477"/>
      <c r="BR51" s="477"/>
      <c r="BS51" s="477"/>
      <c r="BT51" s="477"/>
      <c r="BU51" s="477"/>
      <c r="BV51" s="477"/>
      <c r="BW51" s="477"/>
      <c r="BX51" s="477"/>
      <c r="BY51" s="477"/>
      <c r="BZ51" s="477"/>
      <c r="CA51" s="477"/>
      <c r="CB51" s="477"/>
      <c r="CC51" s="477"/>
      <c r="CD51" s="477"/>
      <c r="CE51" s="477"/>
      <c r="CF51" s="477"/>
      <c r="CG51" s="477"/>
      <c r="CH51" s="477"/>
      <c r="CI51" s="477"/>
      <c r="CJ51" s="477"/>
      <c r="CK51" s="626"/>
      <c r="CL51" s="626"/>
      <c r="CM51" s="626"/>
      <c r="CN51" s="626"/>
      <c r="CO51" s="626"/>
      <c r="CP51" s="626"/>
      <c r="CQ51" s="626"/>
      <c r="CR51" s="626"/>
      <c r="CS51" s="626"/>
      <c r="CT51" s="626"/>
      <c r="CU51" s="626"/>
      <c r="CV51" s="626"/>
      <c r="CW51" s="626"/>
      <c r="CX51" s="626"/>
      <c r="CY51" s="626"/>
      <c r="CZ51" s="626"/>
      <c r="DA51" s="626"/>
      <c r="DB51" s="626"/>
      <c r="DC51" s="626"/>
      <c r="DD51" s="626"/>
      <c r="DE51" s="626">
        <v>162</v>
      </c>
      <c r="DF51" s="626">
        <v>161</v>
      </c>
      <c r="DG51" s="626">
        <v>160</v>
      </c>
      <c r="DH51" s="626">
        <v>154</v>
      </c>
      <c r="DI51" s="626">
        <v>153</v>
      </c>
      <c r="DJ51" s="626">
        <v>150</v>
      </c>
      <c r="DK51" s="626">
        <v>150</v>
      </c>
      <c r="DL51" s="626">
        <v>149</v>
      </c>
      <c r="DM51" s="626">
        <v>143</v>
      </c>
      <c r="DN51" s="626">
        <v>143</v>
      </c>
      <c r="DO51" s="626">
        <v>141</v>
      </c>
      <c r="DP51" s="626">
        <v>140</v>
      </c>
      <c r="DQ51" s="626">
        <v>139</v>
      </c>
      <c r="DR51" s="626">
        <v>137</v>
      </c>
      <c r="DS51" s="626">
        <v>137</v>
      </c>
      <c r="DT51" s="626">
        <v>133</v>
      </c>
      <c r="DU51" s="626">
        <v>128</v>
      </c>
      <c r="DV51" s="626">
        <v>127</v>
      </c>
      <c r="DW51" s="626">
        <v>119</v>
      </c>
      <c r="DX51" s="626">
        <v>115</v>
      </c>
      <c r="DY51" s="626">
        <v>110</v>
      </c>
      <c r="DZ51" s="626">
        <v>107</v>
      </c>
      <c r="EA51" s="626">
        <v>98</v>
      </c>
      <c r="EB51" s="626">
        <v>97</v>
      </c>
      <c r="EC51" s="626">
        <v>95</v>
      </c>
      <c r="ED51" s="626">
        <v>92</v>
      </c>
      <c r="EE51" s="626">
        <v>89</v>
      </c>
      <c r="EF51" s="626">
        <v>82</v>
      </c>
      <c r="EG51" s="626">
        <v>79</v>
      </c>
      <c r="EH51" s="626">
        <v>78</v>
      </c>
      <c r="EI51" s="887">
        <v>76</v>
      </c>
      <c r="EJ51" s="887" t="s">
        <v>6220</v>
      </c>
      <c r="EK51" s="904" t="s">
        <v>6334</v>
      </c>
      <c r="EL51" s="904" t="s">
        <v>6431</v>
      </c>
      <c r="EM51" s="904" t="s">
        <v>6535</v>
      </c>
      <c r="EN51" s="612" t="s">
        <v>5063</v>
      </c>
      <c r="EO51" s="664">
        <v>44166</v>
      </c>
      <c r="EP51" s="664">
        <f>IF(EN51="NA","NA",Tabela4[[#This Row],[Data de protocolo para cálculo médio]]+(VLOOKUP(Tabela4[[#This Row],[Previsão com fórmula i-Helps tipo de fila]],Formulas!$H$1:$J$13,2,FALSE)*30))</f>
        <v>44523</v>
      </c>
      <c r="EQ51" s="664">
        <f>IF(EN51="NA","NA",Tabela4[[#This Row],[Data de protocolo para cálculo médio]]+(VLOOKUP(Tabela4[[#This Row],[Previsão com fórmula i-Helps tipo de fila]],Formulas!$H$1:$J$13,3,FALSE)*30))</f>
        <v>44667</v>
      </c>
      <c r="ER51" s="501">
        <v>44743</v>
      </c>
      <c r="ES51" s="113" t="s">
        <v>5867</v>
      </c>
      <c r="ET51" s="666" t="s">
        <v>5059</v>
      </c>
      <c r="EU51" s="617" t="s">
        <v>5060</v>
      </c>
      <c r="EV51" s="617" t="s">
        <v>5063</v>
      </c>
    </row>
    <row r="52" spans="1:152" s="556" customFormat="1" ht="114.75" outlineLevel="1" x14ac:dyDescent="0.2">
      <c r="A52" s="779" t="s">
        <v>6154</v>
      </c>
      <c r="B52" s="663" t="s">
        <v>5610</v>
      </c>
      <c r="C52" s="477" t="s">
        <v>1137</v>
      </c>
      <c r="D52" s="113" t="s">
        <v>3797</v>
      </c>
      <c r="E52" s="477" t="s">
        <v>5635</v>
      </c>
      <c r="F52" s="113" t="s">
        <v>5340</v>
      </c>
      <c r="G52" s="288" t="s">
        <v>5338</v>
      </c>
      <c r="H52" s="6" t="s">
        <v>5338</v>
      </c>
      <c r="I52" s="72" t="s">
        <v>5379</v>
      </c>
      <c r="J52" s="113" t="s">
        <v>5349</v>
      </c>
      <c r="K52" s="6" t="s">
        <v>5339</v>
      </c>
      <c r="L52" s="477" t="s">
        <v>16</v>
      </c>
      <c r="M52" s="122" t="s">
        <v>685</v>
      </c>
      <c r="N52" s="113" t="s">
        <v>6081</v>
      </c>
      <c r="O52" s="765">
        <v>44176</v>
      </c>
      <c r="P52" s="615" t="s">
        <v>6065</v>
      </c>
      <c r="Q52" s="615" t="s">
        <v>112</v>
      </c>
      <c r="R52" s="113" t="s">
        <v>3087</v>
      </c>
      <c r="S52" s="617"/>
      <c r="T52" s="113"/>
      <c r="U52" s="113"/>
      <c r="V52" s="113"/>
      <c r="W52" s="113"/>
      <c r="X52" s="113"/>
      <c r="Y52" s="113"/>
      <c r="Z52" s="113"/>
      <c r="AA52" s="617"/>
      <c r="AB52" s="113"/>
      <c r="AC52" s="617">
        <v>44428</v>
      </c>
      <c r="AD52" s="626" t="s">
        <v>6536</v>
      </c>
      <c r="AE52" s="122"/>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c r="DO52" s="122"/>
      <c r="DP52" s="122"/>
      <c r="DQ52" s="122"/>
      <c r="DR52" s="122"/>
      <c r="DS52" s="297"/>
      <c r="DT52" s="297"/>
      <c r="DU52" s="297"/>
      <c r="DV52" s="297"/>
      <c r="DW52" s="626"/>
      <c r="DX52" s="626"/>
      <c r="DY52" s="626"/>
      <c r="DZ52" s="626"/>
      <c r="EA52" s="626"/>
      <c r="EB52" s="297"/>
      <c r="EC52" s="297"/>
      <c r="ED52" s="297"/>
      <c r="EE52" s="297"/>
      <c r="EF52" s="297"/>
      <c r="EG52" s="297"/>
      <c r="EH52" s="297"/>
      <c r="EI52" s="626"/>
      <c r="EJ52" s="626" t="s">
        <v>6221</v>
      </c>
      <c r="EK52" s="626" t="s">
        <v>6335</v>
      </c>
      <c r="EL52" s="626" t="s">
        <v>6432</v>
      </c>
      <c r="EM52" s="626" t="s">
        <v>6536</v>
      </c>
      <c r="EN52" s="617" t="s">
        <v>112</v>
      </c>
      <c r="EO52" s="115"/>
      <c r="EP52" s="115" t="str">
        <f>IF(EN52="NA","NA",Tabela4[[#This Row],[Data de protocolo para cálculo médio]]+(VLOOKUP(Tabela4[[#This Row],[Previsão com fórmula i-Helps tipo de fila]],Formulas!$H$1:$J$13,2,FALSE)*30))</f>
        <v>NA</v>
      </c>
      <c r="EQ52" s="115" t="str">
        <f>IF(EN52="NA","NA",Tabela4[[#This Row],[Data de protocolo para cálculo médio]]+(VLOOKUP(Tabela4[[#This Row],[Previsão com fórmula i-Helps tipo de fila]],Formulas!$H$1:$J$13,3,FALSE)*30))</f>
        <v>NA</v>
      </c>
      <c r="ER52" s="115"/>
      <c r="ES52" s="685"/>
      <c r="ET52" s="666" t="s">
        <v>112</v>
      </c>
      <c r="EU52" s="666" t="s">
        <v>112</v>
      </c>
      <c r="EV52" s="666" t="s">
        <v>112</v>
      </c>
    </row>
    <row r="53" spans="1:152" s="556" customFormat="1" ht="89.25" outlineLevel="1" x14ac:dyDescent="0.2">
      <c r="A53" s="779" t="s">
        <v>6155</v>
      </c>
      <c r="B53" s="663" t="s">
        <v>5610</v>
      </c>
      <c r="C53" s="477" t="s">
        <v>1137</v>
      </c>
      <c r="D53" s="113" t="s">
        <v>3797</v>
      </c>
      <c r="E53" s="477" t="s">
        <v>5635</v>
      </c>
      <c r="F53" s="113" t="s">
        <v>5340</v>
      </c>
      <c r="G53" s="288" t="s">
        <v>5338</v>
      </c>
      <c r="H53" s="6" t="s">
        <v>5338</v>
      </c>
      <c r="I53" s="72" t="s">
        <v>5379</v>
      </c>
      <c r="J53" s="113" t="s">
        <v>5349</v>
      </c>
      <c r="K53" s="6" t="s">
        <v>5339</v>
      </c>
      <c r="L53" s="477" t="s">
        <v>16</v>
      </c>
      <c r="M53" s="122" t="s">
        <v>685</v>
      </c>
      <c r="N53" s="113" t="s">
        <v>6082</v>
      </c>
      <c r="O53" s="765">
        <v>44174</v>
      </c>
      <c r="P53" s="615" t="s">
        <v>6066</v>
      </c>
      <c r="Q53" s="615" t="s">
        <v>112</v>
      </c>
      <c r="R53" s="113" t="s">
        <v>3087</v>
      </c>
      <c r="S53" s="617"/>
      <c r="T53" s="113"/>
      <c r="U53" s="113"/>
      <c r="V53" s="113"/>
      <c r="W53" s="113"/>
      <c r="X53" s="113"/>
      <c r="Y53" s="113"/>
      <c r="Z53" s="113"/>
      <c r="AA53" s="617"/>
      <c r="AB53" s="113"/>
      <c r="AC53" s="617">
        <v>44428</v>
      </c>
      <c r="AD53" s="626" t="s">
        <v>6537</v>
      </c>
      <c r="AE53" s="122"/>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2"/>
      <c r="DR53" s="122"/>
      <c r="DS53" s="297"/>
      <c r="DT53" s="297"/>
      <c r="DU53" s="297"/>
      <c r="DV53" s="297"/>
      <c r="DW53" s="626"/>
      <c r="DX53" s="626"/>
      <c r="DY53" s="626"/>
      <c r="DZ53" s="626"/>
      <c r="EA53" s="626"/>
      <c r="EB53" s="297"/>
      <c r="EC53" s="297"/>
      <c r="ED53" s="297"/>
      <c r="EE53" s="297"/>
      <c r="EF53" s="297"/>
      <c r="EG53" s="297"/>
      <c r="EH53" s="297"/>
      <c r="EI53" s="626"/>
      <c r="EJ53" s="626" t="s">
        <v>6222</v>
      </c>
      <c r="EK53" s="626" t="s">
        <v>6336</v>
      </c>
      <c r="EL53" s="626" t="s">
        <v>6433</v>
      </c>
      <c r="EM53" s="626" t="s">
        <v>6537</v>
      </c>
      <c r="EN53" s="617" t="s">
        <v>112</v>
      </c>
      <c r="EO53" s="115"/>
      <c r="EP53" s="115" t="str">
        <f>IF(EN53="NA","NA",Tabela4[[#This Row],[Data de protocolo para cálculo médio]]+(VLOOKUP(Tabela4[[#This Row],[Previsão com fórmula i-Helps tipo de fila]],Formulas!$H$1:$J$13,2,FALSE)*30))</f>
        <v>NA</v>
      </c>
      <c r="EQ53" s="115" t="str">
        <f>IF(EN53="NA","NA",Tabela4[[#This Row],[Data de protocolo para cálculo médio]]+(VLOOKUP(Tabela4[[#This Row],[Previsão com fórmula i-Helps tipo de fila]],Formulas!$H$1:$J$13,3,FALSE)*30))</f>
        <v>NA</v>
      </c>
      <c r="ER53" s="115"/>
      <c r="ES53" s="685"/>
      <c r="ET53" s="666" t="s">
        <v>112</v>
      </c>
      <c r="EU53" s="666" t="s">
        <v>112</v>
      </c>
      <c r="EV53" s="666" t="s">
        <v>112</v>
      </c>
    </row>
    <row r="54" spans="1:152" s="556" customFormat="1" ht="76.5" outlineLevel="1" x14ac:dyDescent="0.2">
      <c r="A54" s="779" t="s">
        <v>6160</v>
      </c>
      <c r="B54" s="663" t="s">
        <v>5610</v>
      </c>
      <c r="C54" s="477" t="s">
        <v>1137</v>
      </c>
      <c r="D54" s="113" t="s">
        <v>3797</v>
      </c>
      <c r="E54" s="477" t="s">
        <v>5635</v>
      </c>
      <c r="F54" s="113" t="s">
        <v>5340</v>
      </c>
      <c r="G54" s="288" t="s">
        <v>5338</v>
      </c>
      <c r="H54" s="6" t="s">
        <v>5338</v>
      </c>
      <c r="I54" s="72" t="s">
        <v>5379</v>
      </c>
      <c r="J54" s="113" t="s">
        <v>5349</v>
      </c>
      <c r="K54" s="6" t="s">
        <v>5339</v>
      </c>
      <c r="L54" s="477" t="s">
        <v>16</v>
      </c>
      <c r="M54" s="122" t="s">
        <v>685</v>
      </c>
      <c r="N54" s="113" t="s">
        <v>6080</v>
      </c>
      <c r="O54" s="765">
        <v>44173</v>
      </c>
      <c r="P54" s="615" t="s">
        <v>6067</v>
      </c>
      <c r="Q54" s="615" t="s">
        <v>112</v>
      </c>
      <c r="R54" s="113" t="s">
        <v>2866</v>
      </c>
      <c r="S54" s="617">
        <v>44237</v>
      </c>
      <c r="T54" s="113"/>
      <c r="U54" s="113"/>
      <c r="V54" s="113"/>
      <c r="W54" s="113"/>
      <c r="X54" s="113"/>
      <c r="Y54" s="113"/>
      <c r="Z54" s="113"/>
      <c r="AA54" s="617"/>
      <c r="AB54" s="113"/>
      <c r="AC54" s="617">
        <v>44428</v>
      </c>
      <c r="AD54" s="626" t="s">
        <v>6538</v>
      </c>
      <c r="AE54" s="122"/>
      <c r="AF54" s="113"/>
      <c r="AG54" s="113"/>
      <c r="AH54" s="113"/>
      <c r="AI54" s="113"/>
      <c r="AJ54" s="113"/>
      <c r="AK54" s="113"/>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22"/>
      <c r="CL54" s="122"/>
      <c r="CM54" s="122"/>
      <c r="CN54" s="122"/>
      <c r="CO54" s="122"/>
      <c r="CP54" s="122"/>
      <c r="CQ54" s="122"/>
      <c r="CR54" s="122"/>
      <c r="CS54" s="122"/>
      <c r="CT54" s="122"/>
      <c r="CU54" s="122"/>
      <c r="CV54" s="122"/>
      <c r="CW54" s="122"/>
      <c r="CX54" s="122"/>
      <c r="CY54" s="122"/>
      <c r="CZ54" s="122"/>
      <c r="DA54" s="122"/>
      <c r="DB54" s="122"/>
      <c r="DC54" s="122"/>
      <c r="DD54" s="122"/>
      <c r="DE54" s="122"/>
      <c r="DF54" s="122"/>
      <c r="DG54" s="122"/>
      <c r="DH54" s="122"/>
      <c r="DI54" s="122"/>
      <c r="DJ54" s="122"/>
      <c r="DK54" s="122"/>
      <c r="DL54" s="122"/>
      <c r="DM54" s="122"/>
      <c r="DN54" s="122"/>
      <c r="DO54" s="122"/>
      <c r="DP54" s="122"/>
      <c r="DQ54" s="122"/>
      <c r="DR54" s="122"/>
      <c r="DS54" s="297"/>
      <c r="DT54" s="297"/>
      <c r="DU54" s="297"/>
      <c r="DV54" s="297"/>
      <c r="DW54" s="626"/>
      <c r="DX54" s="626"/>
      <c r="DY54" s="626"/>
      <c r="DZ54" s="626"/>
      <c r="EA54" s="626"/>
      <c r="EB54" s="297"/>
      <c r="EC54" s="297"/>
      <c r="ED54" s="297"/>
      <c r="EE54" s="297"/>
      <c r="EF54" s="297"/>
      <c r="EG54" s="297"/>
      <c r="EH54" s="297"/>
      <c r="EI54" s="626"/>
      <c r="EJ54" s="626" t="s">
        <v>6223</v>
      </c>
      <c r="EK54" s="626" t="s">
        <v>6337</v>
      </c>
      <c r="EL54" s="626" t="s">
        <v>6434</v>
      </c>
      <c r="EM54" s="626" t="s">
        <v>6538</v>
      </c>
      <c r="EN54" s="617" t="s">
        <v>112</v>
      </c>
      <c r="EO54" s="115"/>
      <c r="EP54" s="115" t="str">
        <f>IF(EN54="NA","NA",Tabela4[[#This Row],[Data de protocolo para cálculo médio]]+(VLOOKUP(Tabela4[[#This Row],[Previsão com fórmula i-Helps tipo de fila]],Formulas!$H$1:$J$13,2,FALSE)*30))</f>
        <v>NA</v>
      </c>
      <c r="EQ54" s="115" t="str">
        <f>IF(EN54="NA","NA",Tabela4[[#This Row],[Data de protocolo para cálculo médio]]+(VLOOKUP(Tabela4[[#This Row],[Previsão com fórmula i-Helps tipo de fila]],Formulas!$H$1:$J$13,3,FALSE)*30))</f>
        <v>NA</v>
      </c>
      <c r="ER54" s="115"/>
      <c r="ES54" s="685"/>
      <c r="ET54" s="666" t="s">
        <v>112</v>
      </c>
      <c r="EU54" s="666" t="s">
        <v>112</v>
      </c>
      <c r="EV54" s="666" t="s">
        <v>112</v>
      </c>
    </row>
    <row r="55" spans="1:152" s="556" customFormat="1" ht="395.25" x14ac:dyDescent="0.2">
      <c r="A55" s="779">
        <v>22</v>
      </c>
      <c r="B55" s="663" t="s">
        <v>5611</v>
      </c>
      <c r="C55" s="477" t="s">
        <v>1137</v>
      </c>
      <c r="D55" s="113" t="s">
        <v>3797</v>
      </c>
      <c r="E55" s="477" t="s">
        <v>5635</v>
      </c>
      <c r="F55" s="113" t="s">
        <v>5348</v>
      </c>
      <c r="G55" s="288" t="s">
        <v>5344</v>
      </c>
      <c r="H55" s="6" t="s">
        <v>5344</v>
      </c>
      <c r="I55" s="72" t="s">
        <v>5380</v>
      </c>
      <c r="J55" s="113" t="s">
        <v>5345</v>
      </c>
      <c r="K55" s="6" t="s">
        <v>51</v>
      </c>
      <c r="L55" s="477" t="s">
        <v>16</v>
      </c>
      <c r="M55" s="122" t="s">
        <v>12</v>
      </c>
      <c r="N55" s="122" t="s">
        <v>2992</v>
      </c>
      <c r="O55" s="643">
        <v>44169</v>
      </c>
      <c r="P55" s="615" t="s">
        <v>6119</v>
      </c>
      <c r="Q55" s="615" t="s">
        <v>112</v>
      </c>
      <c r="R55" s="477" t="s">
        <v>3256</v>
      </c>
      <c r="S55" s="612">
        <v>44174</v>
      </c>
      <c r="T55" s="477" t="s">
        <v>1298</v>
      </c>
      <c r="U55" s="272" t="s">
        <v>6610</v>
      </c>
      <c r="V55" s="122" t="s">
        <v>5904</v>
      </c>
      <c r="W55" s="477" t="s">
        <v>112</v>
      </c>
      <c r="X55" s="477" t="s">
        <v>112</v>
      </c>
      <c r="Y55" s="477" t="s">
        <v>112</v>
      </c>
      <c r="Z55" s="477" t="s">
        <v>112</v>
      </c>
      <c r="AA55" s="612">
        <v>44176</v>
      </c>
      <c r="AB55" s="477">
        <v>162</v>
      </c>
      <c r="AC55" s="617">
        <v>44428</v>
      </c>
      <c r="AD55" s="122" t="s">
        <v>6539</v>
      </c>
      <c r="AE55" s="122"/>
      <c r="AF55" s="477"/>
      <c r="AG55" s="477"/>
      <c r="AH55" s="477"/>
      <c r="AI55" s="477"/>
      <c r="AJ55" s="477"/>
      <c r="AK55" s="477"/>
      <c r="AL55" s="477"/>
      <c r="AM55" s="477"/>
      <c r="AN55" s="477"/>
      <c r="AO55" s="477"/>
      <c r="AP55" s="477"/>
      <c r="AQ55" s="477"/>
      <c r="AR55" s="477"/>
      <c r="AS55" s="477"/>
      <c r="AT55" s="477"/>
      <c r="AU55" s="477"/>
      <c r="AV55" s="477"/>
      <c r="AW55" s="477"/>
      <c r="AX55" s="477"/>
      <c r="AY55" s="477"/>
      <c r="AZ55" s="477"/>
      <c r="BA55" s="477"/>
      <c r="BB55" s="477"/>
      <c r="BC55" s="477"/>
      <c r="BD55" s="477"/>
      <c r="BE55" s="477"/>
      <c r="BF55" s="477"/>
      <c r="BG55" s="477"/>
      <c r="BH55" s="477"/>
      <c r="BI55" s="477"/>
      <c r="BJ55" s="477"/>
      <c r="BK55" s="477"/>
      <c r="BL55" s="477"/>
      <c r="BM55" s="477"/>
      <c r="BN55" s="477"/>
      <c r="BO55" s="477"/>
      <c r="BP55" s="477"/>
      <c r="BQ55" s="477"/>
      <c r="BR55" s="477"/>
      <c r="BS55" s="477"/>
      <c r="BT55" s="477"/>
      <c r="BU55" s="477"/>
      <c r="BV55" s="477"/>
      <c r="BW55" s="477"/>
      <c r="BX55" s="477"/>
      <c r="BY55" s="477"/>
      <c r="BZ55" s="477"/>
      <c r="CA55" s="477"/>
      <c r="CB55" s="477"/>
      <c r="CC55" s="477"/>
      <c r="CD55" s="477"/>
      <c r="CE55" s="477"/>
      <c r="CF55" s="477"/>
      <c r="CG55" s="477"/>
      <c r="CH55" s="477"/>
      <c r="CI55" s="477"/>
      <c r="CJ55" s="477"/>
      <c r="CK55" s="626"/>
      <c r="CL55" s="626"/>
      <c r="CM55" s="626"/>
      <c r="CN55" s="626"/>
      <c r="CO55" s="626"/>
      <c r="CP55" s="626"/>
      <c r="CQ55" s="626"/>
      <c r="CR55" s="626"/>
      <c r="CS55" s="626"/>
      <c r="CT55" s="626"/>
      <c r="CU55" s="626"/>
      <c r="CV55" s="626"/>
      <c r="CW55" s="626"/>
      <c r="CX55" s="626"/>
      <c r="CY55" s="626"/>
      <c r="CZ55" s="626"/>
      <c r="DA55" s="626"/>
      <c r="DB55" s="626"/>
      <c r="DC55" s="626"/>
      <c r="DD55" s="626"/>
      <c r="DE55" s="626"/>
      <c r="DF55" s="626">
        <v>162</v>
      </c>
      <c r="DG55" s="626">
        <v>162</v>
      </c>
      <c r="DH55" s="626">
        <v>156</v>
      </c>
      <c r="DI55" s="626">
        <v>155</v>
      </c>
      <c r="DJ55" s="626">
        <v>152</v>
      </c>
      <c r="DK55" s="626">
        <v>152</v>
      </c>
      <c r="DL55" s="626">
        <v>151</v>
      </c>
      <c r="DM55" s="626">
        <v>145</v>
      </c>
      <c r="DN55" s="626">
        <v>145</v>
      </c>
      <c r="DO55" s="626">
        <v>143</v>
      </c>
      <c r="DP55" s="626">
        <v>142</v>
      </c>
      <c r="DQ55" s="626">
        <v>141</v>
      </c>
      <c r="DR55" s="626">
        <v>139</v>
      </c>
      <c r="DS55" s="626">
        <v>139</v>
      </c>
      <c r="DT55" s="122" t="s">
        <v>5724</v>
      </c>
      <c r="DU55" s="122" t="s">
        <v>5744</v>
      </c>
      <c r="DV55" s="122" t="s">
        <v>5744</v>
      </c>
      <c r="DW55" s="122" t="s">
        <v>5744</v>
      </c>
      <c r="DX55" s="122" t="s">
        <v>5744</v>
      </c>
      <c r="DY55" s="122" t="s">
        <v>5863</v>
      </c>
      <c r="DZ55" s="122" t="s">
        <v>5863</v>
      </c>
      <c r="EA55" s="122" t="s">
        <v>5863</v>
      </c>
      <c r="EB55" s="122" t="s">
        <v>5863</v>
      </c>
      <c r="EC55" s="122" t="s">
        <v>5863</v>
      </c>
      <c r="ED55" s="122" t="s">
        <v>5863</v>
      </c>
      <c r="EE55" s="122" t="s">
        <v>5863</v>
      </c>
      <c r="EF55" s="122" t="s">
        <v>5863</v>
      </c>
      <c r="EG55" s="122" t="s">
        <v>5983</v>
      </c>
      <c r="EH55" s="122" t="s">
        <v>5983</v>
      </c>
      <c r="EI55" s="122" t="s">
        <v>5983</v>
      </c>
      <c r="EJ55" s="122" t="s">
        <v>6224</v>
      </c>
      <c r="EK55" s="122" t="s">
        <v>6338</v>
      </c>
      <c r="EL55" s="122" t="s">
        <v>6435</v>
      </c>
      <c r="EM55" s="122" t="s">
        <v>6539</v>
      </c>
      <c r="EN55" s="612" t="s">
        <v>5063</v>
      </c>
      <c r="EO55" s="664">
        <v>44169</v>
      </c>
      <c r="EP55" s="664">
        <f>IF(EN55="NA","NA",Tabela4[[#This Row],[Data de protocolo para cálculo médio]]+(VLOOKUP(Tabela4[[#This Row],[Previsão com fórmula i-Helps tipo de fila]],Formulas!$H$1:$J$13,2,FALSE)*30))</f>
        <v>44526</v>
      </c>
      <c r="EQ55" s="664">
        <f>IF(EN55="NA","NA",Tabela4[[#This Row],[Data de protocolo para cálculo médio]]+(VLOOKUP(Tabela4[[#This Row],[Previsão com fórmula i-Helps tipo de fila]],Formulas!$H$1:$J$13,3,FALSE)*30))</f>
        <v>44670</v>
      </c>
      <c r="ER55" s="501">
        <v>44682</v>
      </c>
      <c r="ES55" s="667" t="s">
        <v>5749</v>
      </c>
      <c r="ET55" s="666" t="s">
        <v>5059</v>
      </c>
      <c r="EU55" s="617" t="s">
        <v>5060</v>
      </c>
      <c r="EV55" s="617" t="s">
        <v>5063</v>
      </c>
    </row>
    <row r="56" spans="1:152" s="556" customFormat="1" ht="140.25" outlineLevel="1" x14ac:dyDescent="0.2">
      <c r="A56" s="779" t="s">
        <v>6161</v>
      </c>
      <c r="B56" s="663" t="s">
        <v>5611</v>
      </c>
      <c r="C56" s="477" t="s">
        <v>1137</v>
      </c>
      <c r="D56" s="113" t="s">
        <v>3797</v>
      </c>
      <c r="E56" s="477" t="s">
        <v>5635</v>
      </c>
      <c r="F56" s="113" t="s">
        <v>5348</v>
      </c>
      <c r="G56" s="288" t="s">
        <v>5344</v>
      </c>
      <c r="H56" s="6" t="s">
        <v>5344</v>
      </c>
      <c r="I56" s="72" t="s">
        <v>5380</v>
      </c>
      <c r="J56" s="113" t="s">
        <v>5345</v>
      </c>
      <c r="K56" s="6" t="s">
        <v>51</v>
      </c>
      <c r="L56" s="477" t="s">
        <v>16</v>
      </c>
      <c r="M56" s="122" t="s">
        <v>12</v>
      </c>
      <c r="N56" s="113" t="s">
        <v>6081</v>
      </c>
      <c r="O56" s="765">
        <v>44348</v>
      </c>
      <c r="P56" s="615" t="s">
        <v>6068</v>
      </c>
      <c r="Q56" s="615" t="s">
        <v>112</v>
      </c>
      <c r="R56" s="113" t="s">
        <v>3087</v>
      </c>
      <c r="S56" s="617"/>
      <c r="T56" s="113"/>
      <c r="U56" s="113"/>
      <c r="V56" s="113"/>
      <c r="W56" s="113"/>
      <c r="X56" s="113"/>
      <c r="Y56" s="113"/>
      <c r="Z56" s="113"/>
      <c r="AA56" s="617"/>
      <c r="AB56" s="113"/>
      <c r="AC56" s="617">
        <v>44428</v>
      </c>
      <c r="AD56" s="297" t="s">
        <v>6540</v>
      </c>
      <c r="AE56" s="122"/>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22"/>
      <c r="CL56" s="122"/>
      <c r="CM56" s="122"/>
      <c r="CN56" s="122"/>
      <c r="CO56" s="122"/>
      <c r="CP56" s="122"/>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c r="DO56" s="122"/>
      <c r="DP56" s="122"/>
      <c r="DQ56" s="122"/>
      <c r="DR56" s="122"/>
      <c r="DS56" s="297"/>
      <c r="DT56" s="297"/>
      <c r="DU56" s="297"/>
      <c r="DV56" s="297"/>
      <c r="DW56" s="122"/>
      <c r="DX56" s="122"/>
      <c r="DY56" s="122"/>
      <c r="DZ56" s="122"/>
      <c r="EA56" s="122"/>
      <c r="EB56" s="297"/>
      <c r="EC56" s="297"/>
      <c r="ED56" s="297"/>
      <c r="EE56" s="297"/>
      <c r="EF56" s="297"/>
      <c r="EG56" s="297"/>
      <c r="EH56" s="297"/>
      <c r="EI56" s="297"/>
      <c r="EJ56" s="297" t="s">
        <v>6225</v>
      </c>
      <c r="EK56" s="297" t="s">
        <v>6339</v>
      </c>
      <c r="EL56" s="297" t="s">
        <v>6436</v>
      </c>
      <c r="EM56" s="297" t="s">
        <v>6540</v>
      </c>
      <c r="EN56" s="617" t="s">
        <v>112</v>
      </c>
      <c r="EO56" s="115"/>
      <c r="EP56" s="115" t="str">
        <f>IF(EN56="NA","NA",Tabela4[[#This Row],[Data de protocolo para cálculo médio]]+(VLOOKUP(Tabela4[[#This Row],[Previsão com fórmula i-Helps tipo de fila]],Formulas!$H$1:$J$13,2,FALSE)*30))</f>
        <v>NA</v>
      </c>
      <c r="EQ56" s="115" t="str">
        <f>IF(EN56="NA","NA",Tabela4[[#This Row],[Data de protocolo para cálculo médio]]+(VLOOKUP(Tabela4[[#This Row],[Previsão com fórmula i-Helps tipo de fila]],Formulas!$H$1:$J$13,3,FALSE)*30))</f>
        <v>NA</v>
      </c>
      <c r="ER56" s="115"/>
      <c r="ES56" s="888"/>
      <c r="ET56" s="666" t="s">
        <v>112</v>
      </c>
      <c r="EU56" s="666" t="s">
        <v>112</v>
      </c>
      <c r="EV56" s="666" t="s">
        <v>112</v>
      </c>
    </row>
    <row r="57" spans="1:152" s="556" customFormat="1" ht="140.25" outlineLevel="1" x14ac:dyDescent="0.2">
      <c r="A57" s="779" t="s">
        <v>6162</v>
      </c>
      <c r="B57" s="663" t="s">
        <v>5611</v>
      </c>
      <c r="C57" s="113" t="s">
        <v>1137</v>
      </c>
      <c r="D57" s="113" t="s">
        <v>3797</v>
      </c>
      <c r="E57" s="477" t="s">
        <v>5635</v>
      </c>
      <c r="F57" s="113" t="s">
        <v>5348</v>
      </c>
      <c r="G57" s="288" t="s">
        <v>5344</v>
      </c>
      <c r="H57" s="6" t="s">
        <v>5344</v>
      </c>
      <c r="I57" s="72" t="s">
        <v>5380</v>
      </c>
      <c r="J57" s="113" t="s">
        <v>5345</v>
      </c>
      <c r="K57" s="6" t="s">
        <v>51</v>
      </c>
      <c r="L57" s="477" t="s">
        <v>16</v>
      </c>
      <c r="M57" s="122" t="s">
        <v>12</v>
      </c>
      <c r="N57" s="113" t="s">
        <v>6080</v>
      </c>
      <c r="O57" s="765">
        <v>44271</v>
      </c>
      <c r="P57" s="615" t="s">
        <v>6069</v>
      </c>
      <c r="Q57" s="615" t="s">
        <v>112</v>
      </c>
      <c r="R57" s="113" t="s">
        <v>3038</v>
      </c>
      <c r="S57" s="617"/>
      <c r="T57" s="113"/>
      <c r="U57" s="113"/>
      <c r="V57" s="113"/>
      <c r="W57" s="113"/>
      <c r="X57" s="113"/>
      <c r="Y57" s="113"/>
      <c r="Z57" s="113"/>
      <c r="AA57" s="617"/>
      <c r="AB57" s="113"/>
      <c r="AC57" s="617">
        <v>44428</v>
      </c>
      <c r="AD57" s="297" t="s">
        <v>6541</v>
      </c>
      <c r="AE57" s="122"/>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22"/>
      <c r="CL57" s="122"/>
      <c r="CM57" s="122"/>
      <c r="CN57" s="122"/>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2"/>
      <c r="DR57" s="122"/>
      <c r="DS57" s="297"/>
      <c r="DT57" s="297"/>
      <c r="DU57" s="297"/>
      <c r="DV57" s="297"/>
      <c r="DW57" s="122"/>
      <c r="DX57" s="122"/>
      <c r="DY57" s="122"/>
      <c r="DZ57" s="122"/>
      <c r="EA57" s="122"/>
      <c r="EB57" s="297"/>
      <c r="EC57" s="297"/>
      <c r="ED57" s="297"/>
      <c r="EE57" s="297"/>
      <c r="EF57" s="297"/>
      <c r="EG57" s="297"/>
      <c r="EH57" s="297"/>
      <c r="EI57" s="297"/>
      <c r="EJ57" s="297" t="s">
        <v>6226</v>
      </c>
      <c r="EK57" s="297" t="s">
        <v>6340</v>
      </c>
      <c r="EL57" s="297" t="s">
        <v>6437</v>
      </c>
      <c r="EM57" s="297" t="s">
        <v>6541</v>
      </c>
      <c r="EN57" s="617" t="s">
        <v>112</v>
      </c>
      <c r="EO57" s="115"/>
      <c r="EP57" s="115" t="str">
        <f>IF(EN57="NA","NA",Tabela4[[#This Row],[Data de protocolo para cálculo médio]]+(VLOOKUP(Tabela4[[#This Row],[Previsão com fórmula i-Helps tipo de fila]],Formulas!$H$1:$J$13,2,FALSE)*30))</f>
        <v>NA</v>
      </c>
      <c r="EQ57" s="115" t="str">
        <f>IF(EN57="NA","NA",Tabela4[[#This Row],[Data de protocolo para cálculo médio]]+(VLOOKUP(Tabela4[[#This Row],[Previsão com fórmula i-Helps tipo de fila]],Formulas!$H$1:$J$13,3,FALSE)*30))</f>
        <v>NA</v>
      </c>
      <c r="ER57" s="115"/>
      <c r="ES57" s="888"/>
      <c r="ET57" s="666" t="s">
        <v>112</v>
      </c>
      <c r="EU57" s="666" t="s">
        <v>112</v>
      </c>
      <c r="EV57" s="666" t="s">
        <v>112</v>
      </c>
    </row>
    <row r="58" spans="1:152" s="556" customFormat="1" ht="140.25" outlineLevel="1" x14ac:dyDescent="0.2">
      <c r="A58" s="779" t="s">
        <v>6156</v>
      </c>
      <c r="B58" s="663" t="s">
        <v>5611</v>
      </c>
      <c r="C58" s="477" t="s">
        <v>1137</v>
      </c>
      <c r="D58" s="113" t="s">
        <v>3797</v>
      </c>
      <c r="E58" s="477" t="s">
        <v>5635</v>
      </c>
      <c r="F58" s="113" t="s">
        <v>5348</v>
      </c>
      <c r="G58" s="288" t="s">
        <v>5344</v>
      </c>
      <c r="H58" s="6" t="s">
        <v>5344</v>
      </c>
      <c r="I58" s="72" t="s">
        <v>5380</v>
      </c>
      <c r="J58" s="113" t="s">
        <v>5345</v>
      </c>
      <c r="K58" s="6" t="s">
        <v>51</v>
      </c>
      <c r="L58" s="477" t="s">
        <v>16</v>
      </c>
      <c r="M58" s="122" t="s">
        <v>12</v>
      </c>
      <c r="N58" s="113" t="s">
        <v>6079</v>
      </c>
      <c r="O58" s="765">
        <v>44210</v>
      </c>
      <c r="P58" s="615" t="s">
        <v>6070</v>
      </c>
      <c r="Q58" s="615" t="s">
        <v>112</v>
      </c>
      <c r="R58" s="113" t="s">
        <v>1682</v>
      </c>
      <c r="S58" s="617"/>
      <c r="T58" s="113"/>
      <c r="U58" s="113"/>
      <c r="V58" s="113"/>
      <c r="W58" s="113"/>
      <c r="X58" s="113"/>
      <c r="Y58" s="113"/>
      <c r="Z58" s="113"/>
      <c r="AA58" s="617"/>
      <c r="AB58" s="113"/>
      <c r="AC58" s="617">
        <v>44428</v>
      </c>
      <c r="AD58" s="297" t="s">
        <v>6542</v>
      </c>
      <c r="AE58" s="122"/>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22"/>
      <c r="CL58" s="122"/>
      <c r="CM58" s="122"/>
      <c r="CN58" s="122"/>
      <c r="CO58" s="122"/>
      <c r="CP58" s="122"/>
      <c r="CQ58" s="122"/>
      <c r="CR58" s="122"/>
      <c r="CS58" s="122"/>
      <c r="CT58" s="122"/>
      <c r="CU58" s="122"/>
      <c r="CV58" s="122"/>
      <c r="CW58" s="122"/>
      <c r="CX58" s="122"/>
      <c r="CY58" s="122"/>
      <c r="CZ58" s="122"/>
      <c r="DA58" s="122"/>
      <c r="DB58" s="122"/>
      <c r="DC58" s="122"/>
      <c r="DD58" s="122"/>
      <c r="DE58" s="122"/>
      <c r="DF58" s="122"/>
      <c r="DG58" s="122"/>
      <c r="DH58" s="122"/>
      <c r="DI58" s="122"/>
      <c r="DJ58" s="122"/>
      <c r="DK58" s="122"/>
      <c r="DL58" s="122"/>
      <c r="DM58" s="122"/>
      <c r="DN58" s="122"/>
      <c r="DO58" s="122"/>
      <c r="DP58" s="122"/>
      <c r="DQ58" s="122"/>
      <c r="DR58" s="122"/>
      <c r="DS58" s="297"/>
      <c r="DT58" s="297"/>
      <c r="DU58" s="297"/>
      <c r="DV58" s="297"/>
      <c r="DW58" s="122"/>
      <c r="DX58" s="122"/>
      <c r="DY58" s="122"/>
      <c r="DZ58" s="122"/>
      <c r="EA58" s="122"/>
      <c r="EB58" s="297"/>
      <c r="EC58" s="297"/>
      <c r="ED58" s="297"/>
      <c r="EE58" s="297"/>
      <c r="EF58" s="297"/>
      <c r="EG58" s="297"/>
      <c r="EH58" s="297"/>
      <c r="EI58" s="297"/>
      <c r="EJ58" s="297" t="s">
        <v>6227</v>
      </c>
      <c r="EK58" s="297" t="s">
        <v>6341</v>
      </c>
      <c r="EL58" s="297" t="s">
        <v>6438</v>
      </c>
      <c r="EM58" s="297" t="s">
        <v>6542</v>
      </c>
      <c r="EN58" s="617" t="s">
        <v>112</v>
      </c>
      <c r="EO58" s="115"/>
      <c r="EP58" s="115" t="str">
        <f>IF(EN58="NA","NA",Tabela4[[#This Row],[Data de protocolo para cálculo médio]]+(VLOOKUP(Tabela4[[#This Row],[Previsão com fórmula i-Helps tipo de fila]],Formulas!$H$1:$J$13,2,FALSE)*30))</f>
        <v>NA</v>
      </c>
      <c r="EQ58" s="115" t="str">
        <f>IF(EN58="NA","NA",Tabela4[[#This Row],[Data de protocolo para cálculo médio]]+(VLOOKUP(Tabela4[[#This Row],[Previsão com fórmula i-Helps tipo de fila]],Formulas!$H$1:$J$13,3,FALSE)*30))</f>
        <v>NA</v>
      </c>
      <c r="ER58" s="115"/>
      <c r="ES58" s="888"/>
      <c r="ET58" s="666" t="s">
        <v>112</v>
      </c>
      <c r="EU58" s="666" t="s">
        <v>112</v>
      </c>
      <c r="EV58" s="666" t="s">
        <v>112</v>
      </c>
    </row>
    <row r="59" spans="1:152" s="556" customFormat="1" ht="140.25" outlineLevel="1" x14ac:dyDescent="0.2">
      <c r="A59" s="779" t="s">
        <v>6163</v>
      </c>
      <c r="B59" s="663" t="s">
        <v>5611</v>
      </c>
      <c r="C59" s="477" t="s">
        <v>1137</v>
      </c>
      <c r="D59" s="113" t="s">
        <v>3797</v>
      </c>
      <c r="E59" s="477" t="s">
        <v>5635</v>
      </c>
      <c r="F59" s="113" t="s">
        <v>5348</v>
      </c>
      <c r="G59" s="288" t="s">
        <v>5344</v>
      </c>
      <c r="H59" s="6" t="s">
        <v>5344</v>
      </c>
      <c r="I59" s="72" t="s">
        <v>5380</v>
      </c>
      <c r="J59" s="113" t="s">
        <v>5345</v>
      </c>
      <c r="K59" s="6" t="s">
        <v>51</v>
      </c>
      <c r="L59" s="477" t="s">
        <v>16</v>
      </c>
      <c r="M59" s="122" t="s">
        <v>12</v>
      </c>
      <c r="N59" s="113" t="s">
        <v>6082</v>
      </c>
      <c r="O59" s="765">
        <v>44175</v>
      </c>
      <c r="P59" s="615" t="s">
        <v>6071</v>
      </c>
      <c r="Q59" s="615" t="s">
        <v>112</v>
      </c>
      <c r="R59" s="113" t="s">
        <v>3038</v>
      </c>
      <c r="S59" s="617">
        <v>44389</v>
      </c>
      <c r="T59" s="113"/>
      <c r="U59" s="113"/>
      <c r="V59" s="113"/>
      <c r="W59" s="113"/>
      <c r="X59" s="113"/>
      <c r="Y59" s="113"/>
      <c r="Z59" s="113"/>
      <c r="AA59" s="617"/>
      <c r="AB59" s="113"/>
      <c r="AC59" s="617">
        <v>44428</v>
      </c>
      <c r="AD59" s="882" t="s">
        <v>6543</v>
      </c>
      <c r="AE59" s="122"/>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2"/>
      <c r="DR59" s="122"/>
      <c r="DS59" s="882"/>
      <c r="DT59" s="882"/>
      <c r="DU59" s="882"/>
      <c r="DV59" s="882"/>
      <c r="DW59" s="122"/>
      <c r="DX59" s="122"/>
      <c r="DY59" s="122"/>
      <c r="DZ59" s="122"/>
      <c r="EA59" s="122"/>
      <c r="EB59" s="882"/>
      <c r="EC59" s="882"/>
      <c r="ED59" s="882"/>
      <c r="EE59" s="882"/>
      <c r="EF59" s="882"/>
      <c r="EG59" s="882"/>
      <c r="EH59" s="882"/>
      <c r="EI59" s="882"/>
      <c r="EJ59" s="882" t="s">
        <v>6228</v>
      </c>
      <c r="EK59" s="882" t="s">
        <v>6342</v>
      </c>
      <c r="EL59" s="882" t="s">
        <v>6439</v>
      </c>
      <c r="EM59" s="882" t="s">
        <v>6543</v>
      </c>
      <c r="EN59" s="617" t="s">
        <v>112</v>
      </c>
      <c r="EO59" s="115"/>
      <c r="EP59" s="115" t="str">
        <f>IF(EN59="NA","NA",Tabela4[[#This Row],[Data de protocolo para cálculo médio]]+(VLOOKUP(Tabela4[[#This Row],[Previsão com fórmula i-Helps tipo de fila]],Formulas!$H$1:$J$13,2,FALSE)*30))</f>
        <v>NA</v>
      </c>
      <c r="EQ59" s="115" t="str">
        <f>IF(EN59="NA","NA",Tabela4[[#This Row],[Data de protocolo para cálculo médio]]+(VLOOKUP(Tabela4[[#This Row],[Previsão com fórmula i-Helps tipo de fila]],Formulas!$H$1:$J$13,3,FALSE)*30))</f>
        <v>NA</v>
      </c>
      <c r="ER59" s="115"/>
      <c r="ES59" s="888"/>
      <c r="ET59" s="666" t="s">
        <v>112</v>
      </c>
      <c r="EU59" s="666" t="s">
        <v>112</v>
      </c>
      <c r="EV59" s="666" t="s">
        <v>112</v>
      </c>
    </row>
    <row r="60" spans="1:152" s="556" customFormat="1" ht="140.25" outlineLevel="1" x14ac:dyDescent="0.2">
      <c r="A60" s="779" t="s">
        <v>6164</v>
      </c>
      <c r="B60" s="663" t="s">
        <v>5611</v>
      </c>
      <c r="C60" s="477" t="s">
        <v>1137</v>
      </c>
      <c r="D60" s="113" t="s">
        <v>3797</v>
      </c>
      <c r="E60" s="477" t="s">
        <v>5635</v>
      </c>
      <c r="F60" s="113" t="s">
        <v>5348</v>
      </c>
      <c r="G60" s="288" t="s">
        <v>5344</v>
      </c>
      <c r="H60" s="6" t="s">
        <v>5344</v>
      </c>
      <c r="I60" s="72" t="s">
        <v>5380</v>
      </c>
      <c r="J60" s="113" t="s">
        <v>5345</v>
      </c>
      <c r="K60" s="6" t="s">
        <v>51</v>
      </c>
      <c r="L60" s="477" t="s">
        <v>16</v>
      </c>
      <c r="M60" s="122" t="s">
        <v>12</v>
      </c>
      <c r="N60" s="113" t="s">
        <v>6084</v>
      </c>
      <c r="O60" s="765">
        <v>44175</v>
      </c>
      <c r="P60" s="615" t="s">
        <v>6072</v>
      </c>
      <c r="Q60" s="615" t="s">
        <v>112</v>
      </c>
      <c r="R60" s="113" t="s">
        <v>6052</v>
      </c>
      <c r="S60" s="617">
        <v>44207</v>
      </c>
      <c r="T60" s="113"/>
      <c r="U60" s="113"/>
      <c r="V60" s="113"/>
      <c r="W60" s="113"/>
      <c r="X60" s="113"/>
      <c r="Y60" s="113"/>
      <c r="Z60" s="113"/>
      <c r="AA60" s="617"/>
      <c r="AB60" s="113"/>
      <c r="AC60" s="617">
        <v>44428</v>
      </c>
      <c r="AD60" s="297" t="s">
        <v>6544</v>
      </c>
      <c r="AE60" s="122"/>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22"/>
      <c r="CL60" s="122"/>
      <c r="CM60" s="122"/>
      <c r="CN60" s="122"/>
      <c r="CO60" s="122"/>
      <c r="CP60" s="122"/>
      <c r="CQ60" s="122"/>
      <c r="CR60" s="122"/>
      <c r="CS60" s="122"/>
      <c r="CT60" s="122"/>
      <c r="CU60" s="122"/>
      <c r="CV60" s="122"/>
      <c r="CW60" s="122"/>
      <c r="CX60" s="122"/>
      <c r="CY60" s="122"/>
      <c r="CZ60" s="122"/>
      <c r="DA60" s="122"/>
      <c r="DB60" s="122"/>
      <c r="DC60" s="122"/>
      <c r="DD60" s="122"/>
      <c r="DE60" s="122"/>
      <c r="DF60" s="122"/>
      <c r="DG60" s="122"/>
      <c r="DH60" s="122"/>
      <c r="DI60" s="122"/>
      <c r="DJ60" s="122"/>
      <c r="DK60" s="122"/>
      <c r="DL60" s="122"/>
      <c r="DM60" s="122"/>
      <c r="DN60" s="122"/>
      <c r="DO60" s="122"/>
      <c r="DP60" s="122"/>
      <c r="DQ60" s="122"/>
      <c r="DR60" s="122"/>
      <c r="DS60" s="297"/>
      <c r="DT60" s="297"/>
      <c r="DU60" s="297"/>
      <c r="DV60" s="297"/>
      <c r="DW60" s="122"/>
      <c r="DX60" s="122"/>
      <c r="DY60" s="122"/>
      <c r="DZ60" s="122"/>
      <c r="EA60" s="122"/>
      <c r="EB60" s="297"/>
      <c r="EC60" s="297"/>
      <c r="ED60" s="297"/>
      <c r="EE60" s="297"/>
      <c r="EF60" s="297"/>
      <c r="EG60" s="297"/>
      <c r="EH60" s="297"/>
      <c r="EI60" s="297"/>
      <c r="EJ60" s="297" t="s">
        <v>6229</v>
      </c>
      <c r="EK60" s="297" t="s">
        <v>6343</v>
      </c>
      <c r="EL60" s="297" t="s">
        <v>6440</v>
      </c>
      <c r="EM60" s="297" t="s">
        <v>6544</v>
      </c>
      <c r="EN60" s="617" t="s">
        <v>112</v>
      </c>
      <c r="EO60" s="115"/>
      <c r="EP60" s="115" t="str">
        <f>IF(EN60="NA","NA",Tabela4[[#This Row],[Data de protocolo para cálculo médio]]+(VLOOKUP(Tabela4[[#This Row],[Previsão com fórmula i-Helps tipo de fila]],Formulas!$H$1:$J$13,2,FALSE)*30))</f>
        <v>NA</v>
      </c>
      <c r="EQ60" s="115" t="str">
        <f>IF(EN60="NA","NA",Tabela4[[#This Row],[Data de protocolo para cálculo médio]]+(VLOOKUP(Tabela4[[#This Row],[Previsão com fórmula i-Helps tipo de fila]],Formulas!$H$1:$J$13,3,FALSE)*30))</f>
        <v>NA</v>
      </c>
      <c r="ER60" s="115"/>
      <c r="ES60" s="888"/>
      <c r="ET60" s="666" t="s">
        <v>112</v>
      </c>
      <c r="EU60" s="666" t="s">
        <v>112</v>
      </c>
      <c r="EV60" s="666" t="s">
        <v>112</v>
      </c>
    </row>
    <row r="61" spans="1:152" s="556" customFormat="1" ht="140.25" outlineLevel="1" x14ac:dyDescent="0.2">
      <c r="A61" s="779" t="s">
        <v>6165</v>
      </c>
      <c r="B61" s="663" t="s">
        <v>5611</v>
      </c>
      <c r="C61" s="477" t="s">
        <v>1137</v>
      </c>
      <c r="D61" s="113" t="s">
        <v>3797</v>
      </c>
      <c r="E61" s="477" t="s">
        <v>5635</v>
      </c>
      <c r="F61" s="113" t="s">
        <v>5348</v>
      </c>
      <c r="G61" s="288" t="s">
        <v>5344</v>
      </c>
      <c r="H61" s="6" t="s">
        <v>5344</v>
      </c>
      <c r="I61" s="72" t="s">
        <v>5380</v>
      </c>
      <c r="J61" s="113" t="s">
        <v>5345</v>
      </c>
      <c r="K61" s="6" t="s">
        <v>51</v>
      </c>
      <c r="L61" s="477" t="s">
        <v>16</v>
      </c>
      <c r="M61" s="122" t="s">
        <v>12</v>
      </c>
      <c r="N61" s="113" t="s">
        <v>6081</v>
      </c>
      <c r="O61" s="765">
        <v>44173</v>
      </c>
      <c r="P61" s="615" t="s">
        <v>6073</v>
      </c>
      <c r="Q61" s="615" t="s">
        <v>112</v>
      </c>
      <c r="R61" s="113" t="s">
        <v>3087</v>
      </c>
      <c r="S61" s="617"/>
      <c r="T61" s="113"/>
      <c r="U61" s="113"/>
      <c r="V61" s="113"/>
      <c r="W61" s="113"/>
      <c r="X61" s="113"/>
      <c r="Y61" s="113"/>
      <c r="Z61" s="113"/>
      <c r="AA61" s="617"/>
      <c r="AB61" s="113"/>
      <c r="AC61" s="617">
        <v>44428</v>
      </c>
      <c r="AD61" s="297" t="s">
        <v>6545</v>
      </c>
      <c r="AE61" s="122"/>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22"/>
      <c r="CL61" s="122"/>
      <c r="CM61" s="122"/>
      <c r="CN61" s="122"/>
      <c r="CO61" s="122"/>
      <c r="CP61" s="122"/>
      <c r="CQ61" s="122"/>
      <c r="CR61" s="122"/>
      <c r="CS61" s="122"/>
      <c r="CT61" s="122"/>
      <c r="CU61" s="122"/>
      <c r="CV61" s="122"/>
      <c r="CW61" s="122"/>
      <c r="CX61" s="122"/>
      <c r="CY61" s="122"/>
      <c r="CZ61" s="122"/>
      <c r="DA61" s="122"/>
      <c r="DB61" s="122"/>
      <c r="DC61" s="122"/>
      <c r="DD61" s="122"/>
      <c r="DE61" s="122"/>
      <c r="DF61" s="122"/>
      <c r="DG61" s="122"/>
      <c r="DH61" s="122"/>
      <c r="DI61" s="122"/>
      <c r="DJ61" s="122"/>
      <c r="DK61" s="122"/>
      <c r="DL61" s="122"/>
      <c r="DM61" s="122"/>
      <c r="DN61" s="122"/>
      <c r="DO61" s="122"/>
      <c r="DP61" s="122"/>
      <c r="DQ61" s="122"/>
      <c r="DR61" s="122"/>
      <c r="DS61" s="297"/>
      <c r="DT61" s="297"/>
      <c r="DU61" s="297"/>
      <c r="DV61" s="297"/>
      <c r="DW61" s="122"/>
      <c r="DX61" s="122"/>
      <c r="DY61" s="122"/>
      <c r="DZ61" s="122"/>
      <c r="EA61" s="122"/>
      <c r="EB61" s="297"/>
      <c r="EC61" s="297"/>
      <c r="ED61" s="297"/>
      <c r="EE61" s="297"/>
      <c r="EF61" s="297"/>
      <c r="EG61" s="297"/>
      <c r="EH61" s="297"/>
      <c r="EI61" s="297"/>
      <c r="EJ61" s="297" t="s">
        <v>6230</v>
      </c>
      <c r="EK61" s="297" t="s">
        <v>6344</v>
      </c>
      <c r="EL61" s="297" t="s">
        <v>6441</v>
      </c>
      <c r="EM61" s="297" t="s">
        <v>6545</v>
      </c>
      <c r="EN61" s="617" t="s">
        <v>112</v>
      </c>
      <c r="EO61" s="115"/>
      <c r="EP61" s="115" t="str">
        <f>IF(EN61="NA","NA",Tabela4[[#This Row],[Data de protocolo para cálculo médio]]+(VLOOKUP(Tabela4[[#This Row],[Previsão com fórmula i-Helps tipo de fila]],Formulas!$H$1:$J$13,2,FALSE)*30))</f>
        <v>NA</v>
      </c>
      <c r="EQ61" s="115" t="str">
        <f>IF(EN61="NA","NA",Tabela4[[#This Row],[Data de protocolo para cálculo médio]]+(VLOOKUP(Tabela4[[#This Row],[Previsão com fórmula i-Helps tipo de fila]],Formulas!$H$1:$J$13,3,FALSE)*30))</f>
        <v>NA</v>
      </c>
      <c r="ER61" s="115"/>
      <c r="ES61" s="888"/>
      <c r="ET61" s="666" t="s">
        <v>112</v>
      </c>
      <c r="EU61" s="666" t="s">
        <v>112</v>
      </c>
      <c r="EV61" s="666" t="s">
        <v>112</v>
      </c>
    </row>
    <row r="62" spans="1:152" s="556" customFormat="1" ht="246.75" customHeight="1" x14ac:dyDescent="0.2">
      <c r="A62" s="779">
        <v>23</v>
      </c>
      <c r="B62" s="663"/>
      <c r="C62" s="477" t="s">
        <v>584</v>
      </c>
      <c r="D62" s="113" t="s">
        <v>3797</v>
      </c>
      <c r="E62" s="477" t="s">
        <v>5230</v>
      </c>
      <c r="F62" s="113" t="s">
        <v>5394</v>
      </c>
      <c r="G62" s="288" t="s">
        <v>5361</v>
      </c>
      <c r="H62" s="6" t="s">
        <v>5338</v>
      </c>
      <c r="I62" s="72" t="s">
        <v>1806</v>
      </c>
      <c r="J62" s="113" t="s">
        <v>5349</v>
      </c>
      <c r="K62" s="6" t="s">
        <v>5356</v>
      </c>
      <c r="L62" s="477" t="s">
        <v>11</v>
      </c>
      <c r="M62" s="122" t="s">
        <v>685</v>
      </c>
      <c r="N62" s="122" t="s">
        <v>3090</v>
      </c>
      <c r="O62" s="643">
        <v>44174</v>
      </c>
      <c r="P62" s="615" t="s">
        <v>6120</v>
      </c>
      <c r="Q62" s="615" t="s">
        <v>5351</v>
      </c>
      <c r="R62" s="477" t="s">
        <v>4251</v>
      </c>
      <c r="S62" s="612"/>
      <c r="T62" s="477" t="s">
        <v>5061</v>
      </c>
      <c r="U62" s="272" t="s">
        <v>5360</v>
      </c>
      <c r="V62" s="477"/>
      <c r="W62" s="477" t="s">
        <v>5358</v>
      </c>
      <c r="X62" s="113" t="s">
        <v>5357</v>
      </c>
      <c r="Y62" s="477" t="s">
        <v>112</v>
      </c>
      <c r="Z62" s="477" t="s">
        <v>3084</v>
      </c>
      <c r="AA62" s="612">
        <v>44183</v>
      </c>
      <c r="AB62" s="477">
        <v>38</v>
      </c>
      <c r="AC62" s="617">
        <v>44428</v>
      </c>
      <c r="AD62" s="285" t="s">
        <v>6546</v>
      </c>
      <c r="AE62" s="122"/>
      <c r="AF62" s="477"/>
      <c r="AG62" s="477"/>
      <c r="AH62" s="477"/>
      <c r="AI62" s="477"/>
      <c r="AJ62" s="477"/>
      <c r="AK62" s="477"/>
      <c r="AL62" s="477"/>
      <c r="AM62" s="477"/>
      <c r="AN62" s="477"/>
      <c r="AO62" s="477"/>
      <c r="AP62" s="477"/>
      <c r="AQ62" s="477"/>
      <c r="AR62" s="477"/>
      <c r="AS62" s="477"/>
      <c r="AT62" s="477"/>
      <c r="AU62" s="477"/>
      <c r="AV62" s="477"/>
      <c r="AW62" s="477"/>
      <c r="AX62" s="477"/>
      <c r="AY62" s="477"/>
      <c r="AZ62" s="477"/>
      <c r="BA62" s="477"/>
      <c r="BB62" s="477"/>
      <c r="BC62" s="477"/>
      <c r="BD62" s="477"/>
      <c r="BE62" s="477"/>
      <c r="BF62" s="477"/>
      <c r="BG62" s="477"/>
      <c r="BH62" s="477"/>
      <c r="BI62" s="477"/>
      <c r="BJ62" s="477"/>
      <c r="BK62" s="477"/>
      <c r="BL62" s="477"/>
      <c r="BM62" s="477"/>
      <c r="BN62" s="477"/>
      <c r="BO62" s="477"/>
      <c r="BP62" s="477"/>
      <c r="BQ62" s="477"/>
      <c r="BR62" s="477"/>
      <c r="BS62" s="477"/>
      <c r="BT62" s="477"/>
      <c r="BU62" s="477"/>
      <c r="BV62" s="477"/>
      <c r="BW62" s="477"/>
      <c r="BX62" s="477"/>
      <c r="BY62" s="477"/>
      <c r="BZ62" s="477"/>
      <c r="CA62" s="477"/>
      <c r="CB62" s="477"/>
      <c r="CC62" s="477"/>
      <c r="CD62" s="477"/>
      <c r="CE62" s="477"/>
      <c r="CF62" s="477"/>
      <c r="CG62" s="477"/>
      <c r="CH62" s="477"/>
      <c r="CI62" s="477"/>
      <c r="CJ62" s="477"/>
      <c r="CK62" s="626"/>
      <c r="CL62" s="626"/>
      <c r="CM62" s="626"/>
      <c r="CN62" s="626"/>
      <c r="CO62" s="626"/>
      <c r="CP62" s="626"/>
      <c r="CQ62" s="626"/>
      <c r="CR62" s="626"/>
      <c r="CS62" s="626"/>
      <c r="CT62" s="626"/>
      <c r="CU62" s="626"/>
      <c r="CV62" s="626"/>
      <c r="CW62" s="626"/>
      <c r="CX62" s="626"/>
      <c r="CY62" s="626"/>
      <c r="CZ62" s="626"/>
      <c r="DA62" s="626"/>
      <c r="DB62" s="626"/>
      <c r="DC62" s="626"/>
      <c r="DD62" s="626"/>
      <c r="DE62" s="626"/>
      <c r="DF62" s="626"/>
      <c r="DG62" s="626">
        <v>38</v>
      </c>
      <c r="DH62" s="626">
        <v>31</v>
      </c>
      <c r="DI62" s="626">
        <v>31</v>
      </c>
      <c r="DJ62" s="626">
        <v>30</v>
      </c>
      <c r="DK62" s="626">
        <v>29</v>
      </c>
      <c r="DL62" s="626">
        <v>26</v>
      </c>
      <c r="DM62" s="626">
        <v>20</v>
      </c>
      <c r="DN62" s="626">
        <v>22</v>
      </c>
      <c r="DO62" s="626">
        <v>18</v>
      </c>
      <c r="DP62" s="626">
        <v>14</v>
      </c>
      <c r="DQ62" s="626">
        <v>13</v>
      </c>
      <c r="DR62" s="626">
        <v>10</v>
      </c>
      <c r="DS62" s="122" t="s">
        <v>5693</v>
      </c>
      <c r="DT62" s="122" t="s">
        <v>5693</v>
      </c>
      <c r="DU62" s="122" t="s">
        <v>5693</v>
      </c>
      <c r="DV62" s="122" t="s">
        <v>5693</v>
      </c>
      <c r="DW62" s="122" t="s">
        <v>5781</v>
      </c>
      <c r="DX62" s="122" t="s">
        <v>5824</v>
      </c>
      <c r="DY62" s="122" t="s">
        <v>5864</v>
      </c>
      <c r="DZ62" s="122" t="s">
        <v>5870</v>
      </c>
      <c r="EA62" s="122" t="s">
        <v>5886</v>
      </c>
      <c r="EB62" s="122" t="s">
        <v>5891</v>
      </c>
      <c r="EC62" s="122" t="s">
        <v>5910</v>
      </c>
      <c r="ED62" s="122" t="s">
        <v>5933</v>
      </c>
      <c r="EE62" s="122" t="s">
        <v>5952</v>
      </c>
      <c r="EF62" s="122" t="s">
        <v>5966</v>
      </c>
      <c r="EG62" s="122" t="s">
        <v>5984</v>
      </c>
      <c r="EH62" s="122" t="s">
        <v>6038</v>
      </c>
      <c r="EI62" s="122" t="s">
        <v>6039</v>
      </c>
      <c r="EJ62" s="285" t="s">
        <v>6231</v>
      </c>
      <c r="EK62" s="285" t="s">
        <v>6345</v>
      </c>
      <c r="EL62" s="285" t="s">
        <v>6442</v>
      </c>
      <c r="EM62" s="285" t="s">
        <v>6546</v>
      </c>
      <c r="EN62" s="612" t="s">
        <v>5165</v>
      </c>
      <c r="EO62" s="664">
        <v>44166</v>
      </c>
      <c r="EP62" s="664">
        <f>IF(EN62="NA","NA",Tabela4[[#This Row],[Data de protocolo para cálculo médio]]+(VLOOKUP(Tabela4[[#This Row],[Previsão com fórmula i-Helps tipo de fila]],Formulas!$H$1:$J$13,2,FALSE)*30))</f>
        <v>44568</v>
      </c>
      <c r="EQ62" s="664">
        <f>IF(EN62="NA","NA",Tabela4[[#This Row],[Data de protocolo para cálculo médio]]+(VLOOKUP(Tabela4[[#This Row],[Previsão com fórmula i-Helps tipo de fila]],Formulas!$H$1:$J$13,3,FALSE)*30))</f>
        <v>44751</v>
      </c>
      <c r="ER62" s="501">
        <v>44774</v>
      </c>
      <c r="ES62" s="113" t="s">
        <v>5370</v>
      </c>
      <c r="ET62" s="666" t="s">
        <v>5059</v>
      </c>
      <c r="EU62" s="617" t="s">
        <v>5060</v>
      </c>
      <c r="EV62" s="617" t="s">
        <v>5061</v>
      </c>
    </row>
    <row r="63" spans="1:152" s="556" customFormat="1" ht="293.25" x14ac:dyDescent="0.2">
      <c r="A63" s="779">
        <v>24</v>
      </c>
      <c r="B63" s="663" t="s">
        <v>5612</v>
      </c>
      <c r="C63" s="477" t="s">
        <v>1137</v>
      </c>
      <c r="D63" s="113" t="s">
        <v>3797</v>
      </c>
      <c r="E63" s="477" t="s">
        <v>5635</v>
      </c>
      <c r="F63" s="113" t="s">
        <v>5371</v>
      </c>
      <c r="G63" s="288" t="s">
        <v>5382</v>
      </c>
      <c r="H63" s="6" t="s">
        <v>5366</v>
      </c>
      <c r="I63" s="72" t="s">
        <v>5367</v>
      </c>
      <c r="J63" s="113" t="s">
        <v>5369</v>
      </c>
      <c r="K63" s="6" t="s">
        <v>5368</v>
      </c>
      <c r="L63" s="477" t="s">
        <v>16</v>
      </c>
      <c r="M63" s="122" t="s">
        <v>685</v>
      </c>
      <c r="N63" s="122" t="s">
        <v>2992</v>
      </c>
      <c r="O63" s="643">
        <v>44179</v>
      </c>
      <c r="P63" s="615" t="s">
        <v>5511</v>
      </c>
      <c r="Q63" s="615" t="s">
        <v>112</v>
      </c>
      <c r="R63" s="477" t="s">
        <v>3083</v>
      </c>
      <c r="S63" s="612">
        <v>44400</v>
      </c>
      <c r="T63" s="477" t="s">
        <v>1298</v>
      </c>
      <c r="U63" s="272" t="s">
        <v>5770</v>
      </c>
      <c r="V63" s="122" t="s">
        <v>5834</v>
      </c>
      <c r="W63" s="477" t="s">
        <v>112</v>
      </c>
      <c r="X63" s="477" t="s">
        <v>112</v>
      </c>
      <c r="Y63" s="477" t="s">
        <v>112</v>
      </c>
      <c r="Z63" s="477" t="s">
        <v>3084</v>
      </c>
      <c r="AA63" s="612">
        <v>44183</v>
      </c>
      <c r="AB63" s="477">
        <v>167</v>
      </c>
      <c r="AC63" s="617">
        <v>44428</v>
      </c>
      <c r="AD63" s="285" t="s">
        <v>6547</v>
      </c>
      <c r="AE63" s="122"/>
      <c r="AF63" s="477"/>
      <c r="AG63" s="477"/>
      <c r="AH63" s="477"/>
      <c r="AI63" s="477"/>
      <c r="AJ63" s="477"/>
      <c r="AK63" s="477"/>
      <c r="AL63" s="477"/>
      <c r="AM63" s="477"/>
      <c r="AN63" s="477"/>
      <c r="AO63" s="477"/>
      <c r="AP63" s="477"/>
      <c r="AQ63" s="477"/>
      <c r="AR63" s="477"/>
      <c r="AS63" s="477"/>
      <c r="AT63" s="477"/>
      <c r="AU63" s="477"/>
      <c r="AV63" s="477"/>
      <c r="AW63" s="477"/>
      <c r="AX63" s="477"/>
      <c r="AY63" s="477"/>
      <c r="AZ63" s="477"/>
      <c r="BA63" s="477"/>
      <c r="BB63" s="477"/>
      <c r="BC63" s="477"/>
      <c r="BD63" s="477"/>
      <c r="BE63" s="477"/>
      <c r="BF63" s="477"/>
      <c r="BG63" s="477"/>
      <c r="BH63" s="477"/>
      <c r="BI63" s="477"/>
      <c r="BJ63" s="477"/>
      <c r="BK63" s="477"/>
      <c r="BL63" s="477"/>
      <c r="BM63" s="477"/>
      <c r="BN63" s="477"/>
      <c r="BO63" s="477"/>
      <c r="BP63" s="477"/>
      <c r="BQ63" s="477"/>
      <c r="BR63" s="477"/>
      <c r="BS63" s="477"/>
      <c r="BT63" s="477"/>
      <c r="BU63" s="477"/>
      <c r="BV63" s="477"/>
      <c r="BW63" s="477"/>
      <c r="BX63" s="477"/>
      <c r="BY63" s="477"/>
      <c r="BZ63" s="477"/>
      <c r="CA63" s="477"/>
      <c r="CB63" s="477"/>
      <c r="CC63" s="477"/>
      <c r="CD63" s="477"/>
      <c r="CE63" s="477"/>
      <c r="CF63" s="477"/>
      <c r="CG63" s="477"/>
      <c r="CH63" s="477"/>
      <c r="CI63" s="477"/>
      <c r="CJ63" s="477"/>
      <c r="CK63" s="626"/>
      <c r="CL63" s="626"/>
      <c r="CM63" s="626"/>
      <c r="CN63" s="626"/>
      <c r="CO63" s="626"/>
      <c r="CP63" s="626"/>
      <c r="CQ63" s="626"/>
      <c r="CR63" s="626"/>
      <c r="CS63" s="626"/>
      <c r="CT63" s="626"/>
      <c r="CU63" s="626"/>
      <c r="CV63" s="626"/>
      <c r="CW63" s="626"/>
      <c r="CX63" s="626"/>
      <c r="CY63" s="626"/>
      <c r="CZ63" s="626"/>
      <c r="DA63" s="626"/>
      <c r="DB63" s="626"/>
      <c r="DC63" s="626"/>
      <c r="DD63" s="626"/>
      <c r="DE63" s="626"/>
      <c r="DF63" s="626"/>
      <c r="DG63" s="626">
        <v>167</v>
      </c>
      <c r="DH63" s="626">
        <v>161</v>
      </c>
      <c r="DI63" s="626">
        <v>161</v>
      </c>
      <c r="DJ63" s="626">
        <v>158</v>
      </c>
      <c r="DK63" s="626">
        <v>158</v>
      </c>
      <c r="DL63" s="626">
        <v>157</v>
      </c>
      <c r="DM63" s="626">
        <v>151</v>
      </c>
      <c r="DN63" s="626">
        <v>151</v>
      </c>
      <c r="DO63" s="626" t="s">
        <v>5567</v>
      </c>
      <c r="DP63" s="626" t="s">
        <v>5567</v>
      </c>
      <c r="DQ63" s="626" t="s">
        <v>5567</v>
      </c>
      <c r="DR63" s="626" t="s">
        <v>5567</v>
      </c>
      <c r="DS63" s="626">
        <v>145</v>
      </c>
      <c r="DT63" s="626">
        <v>140</v>
      </c>
      <c r="DU63" s="122" t="s">
        <v>5745</v>
      </c>
      <c r="DV63" s="122">
        <v>134</v>
      </c>
      <c r="DW63" s="122">
        <v>126</v>
      </c>
      <c r="DX63" s="122">
        <v>122</v>
      </c>
      <c r="DY63" s="122">
        <v>117</v>
      </c>
      <c r="DZ63" s="122">
        <v>114</v>
      </c>
      <c r="EA63" s="122">
        <v>105</v>
      </c>
      <c r="EB63" s="122">
        <v>104</v>
      </c>
      <c r="EC63" s="122">
        <v>102</v>
      </c>
      <c r="ED63" s="122">
        <v>99</v>
      </c>
      <c r="EE63" s="122">
        <v>96</v>
      </c>
      <c r="EF63" s="122">
        <v>89</v>
      </c>
      <c r="EG63" s="122">
        <v>86</v>
      </c>
      <c r="EH63" s="122">
        <v>85</v>
      </c>
      <c r="EI63" s="122">
        <v>83</v>
      </c>
      <c r="EJ63" s="285" t="s">
        <v>6232</v>
      </c>
      <c r="EK63" s="285" t="s">
        <v>6346</v>
      </c>
      <c r="EL63" s="285" t="s">
        <v>6443</v>
      </c>
      <c r="EM63" s="285" t="s">
        <v>6547</v>
      </c>
      <c r="EN63" s="612" t="s">
        <v>5063</v>
      </c>
      <c r="EO63" s="664">
        <v>44179</v>
      </c>
      <c r="EP63" s="664">
        <f>IF(EN63="NA","NA",Tabela4[[#This Row],[Data de protocolo para cálculo médio]]+(VLOOKUP(Tabela4[[#This Row],[Previsão com fórmula i-Helps tipo de fila]],Formulas!$H$1:$J$13,2,FALSE)*30))</f>
        <v>44536</v>
      </c>
      <c r="EQ63" s="664">
        <f>IF(EN63="NA","NA",Tabela4[[#This Row],[Data de protocolo para cálculo médio]]+(VLOOKUP(Tabela4[[#This Row],[Previsão com fórmula i-Helps tipo de fila]],Formulas!$H$1:$J$13,3,FALSE)*30))</f>
        <v>44680</v>
      </c>
      <c r="ER63" s="501">
        <v>44682</v>
      </c>
      <c r="ES63" s="113" t="s">
        <v>5355</v>
      </c>
      <c r="ET63" s="666" t="s">
        <v>5059</v>
      </c>
      <c r="EU63" s="617" t="s">
        <v>5060</v>
      </c>
      <c r="EV63" s="617" t="s">
        <v>5063</v>
      </c>
    </row>
    <row r="64" spans="1:152" s="556" customFormat="1" ht="293.25" outlineLevel="1" x14ac:dyDescent="0.2">
      <c r="A64" s="779" t="s">
        <v>6166</v>
      </c>
      <c r="B64" s="663" t="s">
        <v>5612</v>
      </c>
      <c r="C64" s="477" t="s">
        <v>1137</v>
      </c>
      <c r="D64" s="113" t="s">
        <v>3797</v>
      </c>
      <c r="E64" s="477" t="s">
        <v>5635</v>
      </c>
      <c r="F64" s="113" t="s">
        <v>5371</v>
      </c>
      <c r="G64" s="288" t="s">
        <v>5382</v>
      </c>
      <c r="H64" s="6" t="s">
        <v>5366</v>
      </c>
      <c r="I64" s="72" t="s">
        <v>5367</v>
      </c>
      <c r="J64" s="113" t="s">
        <v>5369</v>
      </c>
      <c r="K64" s="6" t="s">
        <v>5368</v>
      </c>
      <c r="L64" s="477" t="s">
        <v>16</v>
      </c>
      <c r="M64" s="122" t="s">
        <v>685</v>
      </c>
      <c r="N64" s="113" t="s">
        <v>6081</v>
      </c>
      <c r="O64" s="765">
        <v>44181</v>
      </c>
      <c r="P64" s="615" t="s">
        <v>6074</v>
      </c>
      <c r="Q64" s="615" t="s">
        <v>112</v>
      </c>
      <c r="R64" s="113" t="s">
        <v>3087</v>
      </c>
      <c r="S64" s="617"/>
      <c r="T64" s="113"/>
      <c r="U64" s="113"/>
      <c r="V64" s="113"/>
      <c r="W64" s="113"/>
      <c r="X64" s="113"/>
      <c r="Y64" s="113"/>
      <c r="Z64" s="113"/>
      <c r="AA64" s="617"/>
      <c r="AB64" s="113"/>
      <c r="AC64" s="617">
        <v>44428</v>
      </c>
      <c r="AD64" s="285" t="s">
        <v>6548</v>
      </c>
      <c r="AE64" s="122"/>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22"/>
      <c r="CL64" s="122"/>
      <c r="CM64" s="122"/>
      <c r="CN64" s="122"/>
      <c r="CO64" s="122"/>
      <c r="CP64" s="122"/>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c r="DO64" s="122"/>
      <c r="DP64" s="122"/>
      <c r="DQ64" s="122"/>
      <c r="DR64" s="122"/>
      <c r="DS64" s="297"/>
      <c r="DT64" s="297"/>
      <c r="DU64" s="297"/>
      <c r="DV64" s="297"/>
      <c r="DW64" s="122"/>
      <c r="DX64" s="122"/>
      <c r="DY64" s="122"/>
      <c r="DZ64" s="122"/>
      <c r="EA64" s="122"/>
      <c r="EB64" s="297"/>
      <c r="EC64" s="297"/>
      <c r="ED64" s="297"/>
      <c r="EE64" s="297"/>
      <c r="EF64" s="297"/>
      <c r="EG64" s="297"/>
      <c r="EH64" s="297"/>
      <c r="EI64" s="297"/>
      <c r="EJ64" s="285" t="s">
        <v>6233</v>
      </c>
      <c r="EK64" s="285" t="s">
        <v>6347</v>
      </c>
      <c r="EL64" s="285" t="s">
        <v>6444</v>
      </c>
      <c r="EM64" s="285" t="s">
        <v>6548</v>
      </c>
      <c r="EN64" s="617" t="s">
        <v>112</v>
      </c>
      <c r="EO64" s="115"/>
      <c r="EP64" s="115" t="str">
        <f>IF(EN64="NA","NA",Tabela4[[#This Row],[Data de protocolo para cálculo médio]]+(VLOOKUP(Tabela4[[#This Row],[Previsão com fórmula i-Helps tipo de fila]],Formulas!$H$1:$J$13,2,FALSE)*30))</f>
        <v>NA</v>
      </c>
      <c r="EQ64" s="115" t="str">
        <f>IF(EN64="NA","NA",Tabela4[[#This Row],[Data de protocolo para cálculo médio]]+(VLOOKUP(Tabela4[[#This Row],[Previsão com fórmula i-Helps tipo de fila]],Formulas!$H$1:$J$13,3,FALSE)*30))</f>
        <v>NA</v>
      </c>
      <c r="ER64" s="115"/>
      <c r="ES64" s="685"/>
      <c r="ET64" s="666" t="s">
        <v>112</v>
      </c>
      <c r="EU64" s="666" t="s">
        <v>112</v>
      </c>
      <c r="EV64" s="666" t="s">
        <v>112</v>
      </c>
    </row>
    <row r="65" spans="1:153" s="556" customFormat="1" ht="293.25" outlineLevel="1" x14ac:dyDescent="0.2">
      <c r="A65" s="779" t="s">
        <v>6167</v>
      </c>
      <c r="B65" s="663" t="s">
        <v>5612</v>
      </c>
      <c r="C65" s="477" t="s">
        <v>1137</v>
      </c>
      <c r="D65" s="113" t="s">
        <v>3797</v>
      </c>
      <c r="E65" s="477" t="s">
        <v>5635</v>
      </c>
      <c r="F65" s="113" t="s">
        <v>5371</v>
      </c>
      <c r="G65" s="288" t="s">
        <v>5382</v>
      </c>
      <c r="H65" s="6" t="s">
        <v>5366</v>
      </c>
      <c r="I65" s="72" t="s">
        <v>5367</v>
      </c>
      <c r="J65" s="113" t="s">
        <v>5369</v>
      </c>
      <c r="K65" s="6" t="s">
        <v>5368</v>
      </c>
      <c r="L65" s="477" t="s">
        <v>16</v>
      </c>
      <c r="M65" s="122" t="s">
        <v>685</v>
      </c>
      <c r="N65" s="113" t="s">
        <v>6082</v>
      </c>
      <c r="O65" s="765">
        <v>44181</v>
      </c>
      <c r="P65" s="615" t="s">
        <v>6075</v>
      </c>
      <c r="Q65" s="615" t="s">
        <v>112</v>
      </c>
      <c r="R65" s="113" t="s">
        <v>3087</v>
      </c>
      <c r="S65" s="617"/>
      <c r="T65" s="113"/>
      <c r="U65" s="113"/>
      <c r="V65" s="113"/>
      <c r="W65" s="113"/>
      <c r="X65" s="113"/>
      <c r="Y65" s="113"/>
      <c r="Z65" s="113"/>
      <c r="AA65" s="617"/>
      <c r="AB65" s="113"/>
      <c r="AC65" s="617">
        <v>44428</v>
      </c>
      <c r="AD65" s="902" t="s">
        <v>6549</v>
      </c>
      <c r="AE65" s="122"/>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22"/>
      <c r="CL65" s="122"/>
      <c r="CM65" s="122"/>
      <c r="CN65" s="122"/>
      <c r="CO65" s="122"/>
      <c r="CP65" s="122"/>
      <c r="CQ65" s="122"/>
      <c r="CR65" s="122"/>
      <c r="CS65" s="122"/>
      <c r="CT65" s="122"/>
      <c r="CU65" s="122"/>
      <c r="CV65" s="122"/>
      <c r="CW65" s="122"/>
      <c r="CX65" s="122"/>
      <c r="CY65" s="122"/>
      <c r="CZ65" s="122"/>
      <c r="DA65" s="122"/>
      <c r="DB65" s="122"/>
      <c r="DC65" s="122"/>
      <c r="DD65" s="122"/>
      <c r="DE65" s="122"/>
      <c r="DF65" s="122"/>
      <c r="DG65" s="122"/>
      <c r="DH65" s="122"/>
      <c r="DI65" s="122"/>
      <c r="DJ65" s="122"/>
      <c r="DK65" s="122"/>
      <c r="DL65" s="122"/>
      <c r="DM65" s="122"/>
      <c r="DN65" s="122"/>
      <c r="DO65" s="122"/>
      <c r="DP65" s="122"/>
      <c r="DQ65" s="122"/>
      <c r="DR65" s="122"/>
      <c r="DS65" s="297"/>
      <c r="DT65" s="297"/>
      <c r="DU65" s="297"/>
      <c r="DV65" s="297"/>
      <c r="DW65" s="122"/>
      <c r="DX65" s="122"/>
      <c r="DY65" s="122"/>
      <c r="DZ65" s="122"/>
      <c r="EA65" s="122"/>
      <c r="EB65" s="297"/>
      <c r="EC65" s="297"/>
      <c r="ED65" s="297"/>
      <c r="EE65" s="297"/>
      <c r="EF65" s="297"/>
      <c r="EG65" s="297"/>
      <c r="EH65" s="297"/>
      <c r="EI65" s="297"/>
      <c r="EJ65" s="902" t="s">
        <v>6234</v>
      </c>
      <c r="EK65" s="902" t="s">
        <v>6348</v>
      </c>
      <c r="EL65" s="902" t="s">
        <v>6445</v>
      </c>
      <c r="EM65" s="902" t="s">
        <v>6549</v>
      </c>
      <c r="EN65" s="617" t="s">
        <v>112</v>
      </c>
      <c r="EO65" s="115"/>
      <c r="EP65" s="115" t="str">
        <f>IF(EN65="NA","NA",Tabela4[[#This Row],[Data de protocolo para cálculo médio]]+(VLOOKUP(Tabela4[[#This Row],[Previsão com fórmula i-Helps tipo de fila]],Formulas!$H$1:$J$13,2,FALSE)*30))</f>
        <v>NA</v>
      </c>
      <c r="EQ65" s="115" t="str">
        <f>IF(EN65="NA","NA",Tabela4[[#This Row],[Data de protocolo para cálculo médio]]+(VLOOKUP(Tabela4[[#This Row],[Previsão com fórmula i-Helps tipo de fila]],Formulas!$H$1:$J$13,3,FALSE)*30))</f>
        <v>NA</v>
      </c>
      <c r="ER65" s="115"/>
      <c r="ES65" s="685"/>
      <c r="ET65" s="666" t="s">
        <v>112</v>
      </c>
      <c r="EU65" s="666" t="s">
        <v>112</v>
      </c>
      <c r="EV65" s="666" t="s">
        <v>112</v>
      </c>
    </row>
    <row r="66" spans="1:153" s="556" customFormat="1" ht="293.25" outlineLevel="1" x14ac:dyDescent="0.2">
      <c r="A66" s="779" t="s">
        <v>6168</v>
      </c>
      <c r="B66" s="663" t="s">
        <v>5612</v>
      </c>
      <c r="C66" s="477" t="s">
        <v>1137</v>
      </c>
      <c r="D66" s="113" t="s">
        <v>3797</v>
      </c>
      <c r="E66" s="477" t="s">
        <v>5635</v>
      </c>
      <c r="F66" s="113" t="s">
        <v>5371</v>
      </c>
      <c r="G66" s="288" t="s">
        <v>5382</v>
      </c>
      <c r="H66" s="6" t="s">
        <v>5366</v>
      </c>
      <c r="I66" s="72" t="s">
        <v>5367</v>
      </c>
      <c r="J66" s="113" t="s">
        <v>5369</v>
      </c>
      <c r="K66" s="6" t="s">
        <v>5368</v>
      </c>
      <c r="L66" s="477" t="s">
        <v>16</v>
      </c>
      <c r="M66" s="122" t="s">
        <v>685</v>
      </c>
      <c r="N66" s="113" t="s">
        <v>6080</v>
      </c>
      <c r="O66" s="765">
        <v>44181</v>
      </c>
      <c r="P66" s="615" t="s">
        <v>6121</v>
      </c>
      <c r="Q66" s="615" t="s">
        <v>112</v>
      </c>
      <c r="R66" s="113" t="s">
        <v>2866</v>
      </c>
      <c r="S66" s="617">
        <v>44224</v>
      </c>
      <c r="T66" s="113"/>
      <c r="U66" s="113"/>
      <c r="V66" s="113"/>
      <c r="W66" s="113"/>
      <c r="X66" s="113"/>
      <c r="Y66" s="113"/>
      <c r="Z66" s="113"/>
      <c r="AA66" s="617"/>
      <c r="AB66" s="113"/>
      <c r="AC66" s="617">
        <v>44428</v>
      </c>
      <c r="AD66" s="891" t="s">
        <v>6550</v>
      </c>
      <c r="AE66" s="122"/>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22"/>
      <c r="CL66" s="122"/>
      <c r="CM66" s="122"/>
      <c r="CN66" s="122"/>
      <c r="CO66" s="122"/>
      <c r="CP66" s="122"/>
      <c r="CQ66" s="122"/>
      <c r="CR66" s="122"/>
      <c r="CS66" s="122"/>
      <c r="CT66" s="122"/>
      <c r="CU66" s="122"/>
      <c r="CV66" s="122"/>
      <c r="CW66" s="122"/>
      <c r="CX66" s="122"/>
      <c r="CY66" s="122"/>
      <c r="CZ66" s="122"/>
      <c r="DA66" s="122"/>
      <c r="DB66" s="122"/>
      <c r="DC66" s="122"/>
      <c r="DD66" s="122"/>
      <c r="DE66" s="122"/>
      <c r="DF66" s="122"/>
      <c r="DG66" s="122"/>
      <c r="DH66" s="122"/>
      <c r="DI66" s="122"/>
      <c r="DJ66" s="122"/>
      <c r="DK66" s="122"/>
      <c r="DL66" s="122"/>
      <c r="DM66" s="122"/>
      <c r="DN66" s="122"/>
      <c r="DO66" s="122"/>
      <c r="DP66" s="122"/>
      <c r="DQ66" s="122"/>
      <c r="DR66" s="122"/>
      <c r="DS66" s="297"/>
      <c r="DT66" s="297"/>
      <c r="DU66" s="297"/>
      <c r="DV66" s="297"/>
      <c r="DW66" s="122"/>
      <c r="DX66" s="122"/>
      <c r="DY66" s="122"/>
      <c r="DZ66" s="122"/>
      <c r="EA66" s="122"/>
      <c r="EB66" s="297"/>
      <c r="EC66" s="297"/>
      <c r="ED66" s="297"/>
      <c r="EE66" s="297"/>
      <c r="EF66" s="297"/>
      <c r="EG66" s="297"/>
      <c r="EH66" s="297"/>
      <c r="EI66" s="297"/>
      <c r="EJ66" s="891" t="s">
        <v>6235</v>
      </c>
      <c r="EK66" s="891" t="s">
        <v>6349</v>
      </c>
      <c r="EL66" s="891" t="s">
        <v>6446</v>
      </c>
      <c r="EM66" s="891" t="s">
        <v>6550</v>
      </c>
      <c r="EN66" s="617" t="s">
        <v>112</v>
      </c>
      <c r="EO66" s="115"/>
      <c r="EP66" s="115" t="str">
        <f>IF(EN66="NA","NA",Tabela4[[#This Row],[Data de protocolo para cálculo médio]]+(VLOOKUP(Tabela4[[#This Row],[Previsão com fórmula i-Helps tipo de fila]],Formulas!$H$1:$J$13,2,FALSE)*30))</f>
        <v>NA</v>
      </c>
      <c r="EQ66" s="115" t="str">
        <f>IF(EN66="NA","NA",Tabela4[[#This Row],[Data de protocolo para cálculo médio]]+(VLOOKUP(Tabela4[[#This Row],[Previsão com fórmula i-Helps tipo de fila]],Formulas!$H$1:$J$13,3,FALSE)*30))</f>
        <v>NA</v>
      </c>
      <c r="ER66" s="115"/>
      <c r="ES66" s="685"/>
      <c r="ET66" s="666" t="s">
        <v>112</v>
      </c>
      <c r="EU66" s="666" t="s">
        <v>112</v>
      </c>
      <c r="EV66" s="666" t="s">
        <v>112</v>
      </c>
    </row>
    <row r="67" spans="1:153" s="556" customFormat="1" ht="409.5" x14ac:dyDescent="0.2">
      <c r="A67" s="779">
        <v>25</v>
      </c>
      <c r="B67" s="663" t="s">
        <v>5613</v>
      </c>
      <c r="C67" s="477" t="s">
        <v>1137</v>
      </c>
      <c r="D67" s="113" t="s">
        <v>3797</v>
      </c>
      <c r="E67" s="477" t="s">
        <v>5635</v>
      </c>
      <c r="F67" s="113" t="s">
        <v>5384</v>
      </c>
      <c r="G67" s="288" t="s">
        <v>5383</v>
      </c>
      <c r="H67" s="6" t="s">
        <v>5372</v>
      </c>
      <c r="I67" s="72" t="s">
        <v>5373</v>
      </c>
      <c r="J67" s="113" t="s">
        <v>5381</v>
      </c>
      <c r="K67" s="6" t="s">
        <v>1441</v>
      </c>
      <c r="L67" s="477" t="s">
        <v>16</v>
      </c>
      <c r="M67" s="122" t="s">
        <v>12</v>
      </c>
      <c r="N67" s="122" t="s">
        <v>2992</v>
      </c>
      <c r="O67" s="643">
        <v>44181</v>
      </c>
      <c r="P67" s="615" t="s">
        <v>5512</v>
      </c>
      <c r="Q67" s="615" t="s">
        <v>112</v>
      </c>
      <c r="R67" s="477" t="s">
        <v>3083</v>
      </c>
      <c r="S67" s="612">
        <v>44400</v>
      </c>
      <c r="T67" s="477" t="s">
        <v>1298</v>
      </c>
      <c r="U67" s="272" t="s">
        <v>5411</v>
      </c>
      <c r="V67" s="113" t="s">
        <v>5835</v>
      </c>
      <c r="W67" s="477" t="s">
        <v>112</v>
      </c>
      <c r="X67" s="477" t="s">
        <v>112</v>
      </c>
      <c r="Y67" s="477" t="s">
        <v>112</v>
      </c>
      <c r="Z67" s="477" t="s">
        <v>112</v>
      </c>
      <c r="AA67" s="612">
        <v>44183</v>
      </c>
      <c r="AB67" s="477">
        <v>172</v>
      </c>
      <c r="AC67" s="617">
        <v>44428</v>
      </c>
      <c r="AD67" s="626" t="s">
        <v>6551</v>
      </c>
      <c r="AE67" s="626"/>
      <c r="AF67" s="477"/>
      <c r="AG67" s="477"/>
      <c r="AH67" s="477"/>
      <c r="AI67" s="477"/>
      <c r="AJ67" s="477"/>
      <c r="AK67" s="477"/>
      <c r="AL67" s="477"/>
      <c r="AM67" s="477"/>
      <c r="AN67" s="477"/>
      <c r="AO67" s="477"/>
      <c r="AP67" s="477"/>
      <c r="AQ67" s="477"/>
      <c r="AR67" s="477"/>
      <c r="AS67" s="477"/>
      <c r="AT67" s="477"/>
      <c r="AU67" s="477"/>
      <c r="AV67" s="477"/>
      <c r="AW67" s="477"/>
      <c r="AX67" s="477"/>
      <c r="AY67" s="477"/>
      <c r="AZ67" s="477"/>
      <c r="BA67" s="477"/>
      <c r="BB67" s="477"/>
      <c r="BC67" s="477"/>
      <c r="BD67" s="477"/>
      <c r="BE67" s="477"/>
      <c r="BF67" s="477"/>
      <c r="BG67" s="477"/>
      <c r="BH67" s="477"/>
      <c r="BI67" s="477"/>
      <c r="BJ67" s="477"/>
      <c r="BK67" s="477"/>
      <c r="BL67" s="477"/>
      <c r="BM67" s="477"/>
      <c r="BN67" s="477"/>
      <c r="BO67" s="477"/>
      <c r="BP67" s="477"/>
      <c r="BQ67" s="477"/>
      <c r="BR67" s="477"/>
      <c r="BS67" s="477"/>
      <c r="BT67" s="477"/>
      <c r="BU67" s="477"/>
      <c r="BV67" s="477"/>
      <c r="BW67" s="477"/>
      <c r="BX67" s="477"/>
      <c r="BY67" s="477"/>
      <c r="BZ67" s="477"/>
      <c r="CA67" s="477"/>
      <c r="CB67" s="477"/>
      <c r="CC67" s="477"/>
      <c r="CD67" s="477"/>
      <c r="CE67" s="477"/>
      <c r="CF67" s="477"/>
      <c r="CG67" s="477"/>
      <c r="CH67" s="477"/>
      <c r="CI67" s="477"/>
      <c r="CJ67" s="477"/>
      <c r="CK67" s="626"/>
      <c r="CL67" s="626"/>
      <c r="CM67" s="626"/>
      <c r="CN67" s="626"/>
      <c r="CO67" s="626"/>
      <c r="CP67" s="626"/>
      <c r="CQ67" s="626"/>
      <c r="CR67" s="626"/>
      <c r="CS67" s="626"/>
      <c r="CT67" s="626"/>
      <c r="CU67" s="626"/>
      <c r="CV67" s="626"/>
      <c r="CW67" s="626"/>
      <c r="CX67" s="626"/>
      <c r="CY67" s="626"/>
      <c r="CZ67" s="626"/>
      <c r="DA67" s="626"/>
      <c r="DB67" s="626"/>
      <c r="DC67" s="626"/>
      <c r="DD67" s="626"/>
      <c r="DE67" s="626"/>
      <c r="DF67" s="626"/>
      <c r="DG67" s="626">
        <v>172</v>
      </c>
      <c r="DH67" s="626">
        <v>166</v>
      </c>
      <c r="DI67" s="626">
        <v>166</v>
      </c>
      <c r="DJ67" s="626">
        <v>163</v>
      </c>
      <c r="DK67" s="626">
        <v>163</v>
      </c>
      <c r="DL67" s="626">
        <v>162</v>
      </c>
      <c r="DM67" s="626">
        <v>156</v>
      </c>
      <c r="DN67" s="626">
        <v>156</v>
      </c>
      <c r="DO67" s="626">
        <v>153</v>
      </c>
      <c r="DP67" s="626">
        <v>152</v>
      </c>
      <c r="DQ67" s="626">
        <v>151</v>
      </c>
      <c r="DR67" s="626">
        <v>149</v>
      </c>
      <c r="DS67" s="626">
        <v>150</v>
      </c>
      <c r="DT67" s="626">
        <v>145</v>
      </c>
      <c r="DU67" s="626">
        <v>140</v>
      </c>
      <c r="DV67" s="626">
        <v>139</v>
      </c>
      <c r="DW67" s="626">
        <v>131</v>
      </c>
      <c r="DX67" s="626">
        <v>127</v>
      </c>
      <c r="DY67" s="626">
        <v>122</v>
      </c>
      <c r="DZ67" s="626">
        <v>119</v>
      </c>
      <c r="EA67" s="626">
        <v>110</v>
      </c>
      <c r="EB67" s="626">
        <v>109</v>
      </c>
      <c r="EC67" s="626">
        <v>107</v>
      </c>
      <c r="ED67" s="626">
        <v>104</v>
      </c>
      <c r="EE67" s="626">
        <v>101</v>
      </c>
      <c r="EF67" s="626">
        <v>94</v>
      </c>
      <c r="EG67" s="626">
        <v>91</v>
      </c>
      <c r="EH67" s="626">
        <v>90</v>
      </c>
      <c r="EI67" s="626">
        <v>88</v>
      </c>
      <c r="EJ67" s="626" t="s">
        <v>6236</v>
      </c>
      <c r="EK67" s="626" t="s">
        <v>6350</v>
      </c>
      <c r="EL67" s="626" t="s">
        <v>6447</v>
      </c>
      <c r="EM67" s="626" t="s">
        <v>6551</v>
      </c>
      <c r="EN67" s="612" t="s">
        <v>5063</v>
      </c>
      <c r="EO67" s="664">
        <v>44181</v>
      </c>
      <c r="EP67" s="664">
        <f>IF(EN67="NA","NA",Tabela4[[#This Row],[Data de protocolo para cálculo médio]]+(VLOOKUP(Tabela4[[#This Row],[Previsão com fórmula i-Helps tipo de fila]],Formulas!$H$1:$J$13,2,FALSE)*30))</f>
        <v>44538</v>
      </c>
      <c r="EQ67" s="664">
        <f>IF(EN67="NA","NA",Tabela4[[#This Row],[Data de protocolo para cálculo médio]]+(VLOOKUP(Tabela4[[#This Row],[Previsão com fórmula i-Helps tipo de fila]],Formulas!$H$1:$J$13,3,FALSE)*30))</f>
        <v>44682</v>
      </c>
      <c r="ER67" s="501">
        <v>44713</v>
      </c>
      <c r="ES67" s="113" t="s">
        <v>5323</v>
      </c>
      <c r="ET67" s="666" t="s">
        <v>5059</v>
      </c>
      <c r="EU67" s="617" t="s">
        <v>5060</v>
      </c>
      <c r="EV67" s="617" t="s">
        <v>5063</v>
      </c>
    </row>
    <row r="68" spans="1:153" s="556" customFormat="1" ht="153" outlineLevel="1" x14ac:dyDescent="0.2">
      <c r="A68" s="779" t="s">
        <v>6157</v>
      </c>
      <c r="B68" s="663" t="s">
        <v>5613</v>
      </c>
      <c r="C68" s="477" t="s">
        <v>1137</v>
      </c>
      <c r="D68" s="113" t="s">
        <v>3797</v>
      </c>
      <c r="E68" s="477" t="s">
        <v>5635</v>
      </c>
      <c r="F68" s="113" t="s">
        <v>5384</v>
      </c>
      <c r="G68" s="288" t="s">
        <v>5383</v>
      </c>
      <c r="H68" s="6" t="s">
        <v>5372</v>
      </c>
      <c r="I68" s="72"/>
      <c r="J68" s="113" t="s">
        <v>5381</v>
      </c>
      <c r="K68" s="6" t="s">
        <v>1441</v>
      </c>
      <c r="L68" s="477" t="s">
        <v>16</v>
      </c>
      <c r="M68" s="122" t="s">
        <v>12</v>
      </c>
      <c r="N68" s="2" t="s">
        <v>6082</v>
      </c>
      <c r="O68" s="765">
        <v>44183</v>
      </c>
      <c r="P68" s="615" t="s">
        <v>6076</v>
      </c>
      <c r="Q68" s="615" t="s">
        <v>112</v>
      </c>
      <c r="R68" s="113" t="s">
        <v>3087</v>
      </c>
      <c r="S68" s="617"/>
      <c r="T68" s="113"/>
      <c r="U68" s="113"/>
      <c r="V68" s="113"/>
      <c r="W68" s="113"/>
      <c r="X68" s="113"/>
      <c r="Y68" s="113"/>
      <c r="Z68" s="113"/>
      <c r="AA68" s="617"/>
      <c r="AB68" s="113"/>
      <c r="AC68" s="617">
        <v>44428</v>
      </c>
      <c r="AD68" s="626" t="s">
        <v>6552</v>
      </c>
      <c r="AE68" s="122"/>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2"/>
      <c r="DR68" s="122"/>
      <c r="DS68" s="297"/>
      <c r="DT68" s="297"/>
      <c r="DU68" s="297"/>
      <c r="DV68" s="297"/>
      <c r="DW68" s="626"/>
      <c r="DX68" s="626"/>
      <c r="DY68" s="626"/>
      <c r="DZ68" s="626"/>
      <c r="EA68" s="626"/>
      <c r="EB68" s="297"/>
      <c r="EC68" s="297"/>
      <c r="ED68" s="297"/>
      <c r="EE68" s="297"/>
      <c r="EF68" s="297"/>
      <c r="EG68" s="297"/>
      <c r="EH68" s="297"/>
      <c r="EI68" s="297"/>
      <c r="EJ68" s="626" t="s">
        <v>6237</v>
      </c>
      <c r="EK68" s="626" t="s">
        <v>6351</v>
      </c>
      <c r="EL68" s="626" t="s">
        <v>6448</v>
      </c>
      <c r="EM68" s="626" t="s">
        <v>6552</v>
      </c>
      <c r="EN68" s="617" t="s">
        <v>112</v>
      </c>
      <c r="EO68" s="115"/>
      <c r="EP68" s="115" t="str">
        <f>IF(EN68="NA","NA",Tabela4[[#This Row],[Data de protocolo para cálculo médio]]+(VLOOKUP(Tabela4[[#This Row],[Previsão com fórmula i-Helps tipo de fila]],Formulas!$H$1:$J$13,2,FALSE)*30))</f>
        <v>NA</v>
      </c>
      <c r="EQ68" s="115" t="str">
        <f>IF(EN68="NA","NA",Tabela4[[#This Row],[Data de protocolo para cálculo médio]]+(VLOOKUP(Tabela4[[#This Row],[Previsão com fórmula i-Helps tipo de fila]],Formulas!$H$1:$J$13,3,FALSE)*30))</f>
        <v>NA</v>
      </c>
      <c r="ER68" s="115"/>
      <c r="ES68" s="685"/>
      <c r="ET68" s="666" t="s">
        <v>112</v>
      </c>
      <c r="EU68" s="666" t="s">
        <v>112</v>
      </c>
      <c r="EV68" s="666" t="s">
        <v>112</v>
      </c>
    </row>
    <row r="69" spans="1:153" s="556" customFormat="1" ht="153" outlineLevel="1" x14ac:dyDescent="0.2">
      <c r="A69" s="779" t="s">
        <v>6158</v>
      </c>
      <c r="B69" s="663" t="s">
        <v>5613</v>
      </c>
      <c r="C69" s="477" t="s">
        <v>1137</v>
      </c>
      <c r="D69" s="113" t="s">
        <v>3797</v>
      </c>
      <c r="E69" s="477" t="s">
        <v>5635</v>
      </c>
      <c r="F69" s="113" t="s">
        <v>5384</v>
      </c>
      <c r="G69" s="288" t="s">
        <v>5383</v>
      </c>
      <c r="H69" s="6" t="s">
        <v>5372</v>
      </c>
      <c r="I69" s="72"/>
      <c r="J69" s="113" t="s">
        <v>5381</v>
      </c>
      <c r="K69" s="6" t="s">
        <v>1441</v>
      </c>
      <c r="L69" s="477" t="s">
        <v>16</v>
      </c>
      <c r="M69" s="122" t="s">
        <v>12</v>
      </c>
      <c r="N69" s="113" t="s">
        <v>6080</v>
      </c>
      <c r="O69" s="765">
        <v>44183</v>
      </c>
      <c r="P69" s="615" t="s">
        <v>6077</v>
      </c>
      <c r="Q69" s="615" t="s">
        <v>112</v>
      </c>
      <c r="R69" s="113" t="s">
        <v>2866</v>
      </c>
      <c r="S69" s="617">
        <v>44224</v>
      </c>
      <c r="T69" s="113"/>
      <c r="U69" s="113"/>
      <c r="V69" s="113"/>
      <c r="W69" s="113"/>
      <c r="X69" s="113"/>
      <c r="Y69" s="113"/>
      <c r="Z69" s="113"/>
      <c r="AA69" s="617"/>
      <c r="AB69" s="113"/>
      <c r="AC69" s="617">
        <v>44428</v>
      </c>
      <c r="AD69" s="626" t="s">
        <v>6553</v>
      </c>
      <c r="AE69" s="122"/>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22"/>
      <c r="CL69" s="122"/>
      <c r="CM69" s="122"/>
      <c r="CN69" s="122"/>
      <c r="CO69" s="122"/>
      <c r="CP69" s="122"/>
      <c r="CQ69" s="122"/>
      <c r="CR69" s="122"/>
      <c r="CS69" s="122"/>
      <c r="CT69" s="122"/>
      <c r="CU69" s="122"/>
      <c r="CV69" s="122"/>
      <c r="CW69" s="122"/>
      <c r="CX69" s="122"/>
      <c r="CY69" s="122"/>
      <c r="CZ69" s="122"/>
      <c r="DA69" s="122"/>
      <c r="DB69" s="122"/>
      <c r="DC69" s="122"/>
      <c r="DD69" s="122"/>
      <c r="DE69" s="122"/>
      <c r="DF69" s="122"/>
      <c r="DG69" s="122"/>
      <c r="DH69" s="122"/>
      <c r="DI69" s="122"/>
      <c r="DJ69" s="122"/>
      <c r="DK69" s="122"/>
      <c r="DL69" s="122"/>
      <c r="DM69" s="122"/>
      <c r="DN69" s="122"/>
      <c r="DO69" s="122"/>
      <c r="DP69" s="122"/>
      <c r="DQ69" s="122"/>
      <c r="DR69" s="122"/>
      <c r="DS69" s="297"/>
      <c r="DT69" s="297"/>
      <c r="DU69" s="297"/>
      <c r="DV69" s="297"/>
      <c r="DW69" s="626"/>
      <c r="DX69" s="626"/>
      <c r="DY69" s="626"/>
      <c r="DZ69" s="626"/>
      <c r="EA69" s="626"/>
      <c r="EB69" s="297"/>
      <c r="EC69" s="297"/>
      <c r="ED69" s="297"/>
      <c r="EE69" s="297"/>
      <c r="EF69" s="297"/>
      <c r="EG69" s="297"/>
      <c r="EH69" s="297"/>
      <c r="EI69" s="297"/>
      <c r="EJ69" s="626" t="s">
        <v>6238</v>
      </c>
      <c r="EK69" s="626" t="s">
        <v>6352</v>
      </c>
      <c r="EL69" s="626" t="s">
        <v>6449</v>
      </c>
      <c r="EM69" s="626" t="s">
        <v>6553</v>
      </c>
      <c r="EN69" s="617" t="s">
        <v>112</v>
      </c>
      <c r="EO69" s="115"/>
      <c r="EP69" s="115" t="str">
        <f>IF(EN69="NA","NA",Tabela4[[#This Row],[Data de protocolo para cálculo médio]]+(VLOOKUP(Tabela4[[#This Row],[Previsão com fórmula i-Helps tipo de fila]],Formulas!$H$1:$J$13,2,FALSE)*30))</f>
        <v>NA</v>
      </c>
      <c r="EQ69" s="115" t="str">
        <f>IF(EN69="NA","NA",Tabela4[[#This Row],[Data de protocolo para cálculo médio]]+(VLOOKUP(Tabela4[[#This Row],[Previsão com fórmula i-Helps tipo de fila]],Formulas!$H$1:$J$13,3,FALSE)*30))</f>
        <v>NA</v>
      </c>
      <c r="ER69" s="115"/>
      <c r="ES69" s="685"/>
      <c r="ET69" s="666" t="s">
        <v>112</v>
      </c>
      <c r="EU69" s="666" t="s">
        <v>112</v>
      </c>
      <c r="EV69" s="666" t="s">
        <v>112</v>
      </c>
    </row>
    <row r="70" spans="1:153" s="556" customFormat="1" ht="153" outlineLevel="1" x14ac:dyDescent="0.2">
      <c r="A70" s="779" t="s">
        <v>6159</v>
      </c>
      <c r="B70" s="663" t="s">
        <v>5613</v>
      </c>
      <c r="C70" s="477" t="s">
        <v>1137</v>
      </c>
      <c r="D70" s="113" t="s">
        <v>3797</v>
      </c>
      <c r="E70" s="477" t="s">
        <v>5635</v>
      </c>
      <c r="F70" s="113" t="s">
        <v>5384</v>
      </c>
      <c r="G70" s="288" t="s">
        <v>5383</v>
      </c>
      <c r="H70" s="6" t="s">
        <v>5372</v>
      </c>
      <c r="I70" s="72"/>
      <c r="J70" s="113" t="s">
        <v>5381</v>
      </c>
      <c r="K70" s="6" t="s">
        <v>1441</v>
      </c>
      <c r="L70" s="477" t="s">
        <v>16</v>
      </c>
      <c r="M70" s="122" t="s">
        <v>12</v>
      </c>
      <c r="N70" s="113" t="s">
        <v>6081</v>
      </c>
      <c r="O70" s="765">
        <v>44183</v>
      </c>
      <c r="P70" s="765" t="s">
        <v>6078</v>
      </c>
      <c r="Q70" s="615" t="s">
        <v>112</v>
      </c>
      <c r="R70" s="113" t="s">
        <v>3087</v>
      </c>
      <c r="S70" s="617"/>
      <c r="T70" s="113"/>
      <c r="U70" s="113"/>
      <c r="V70" s="113"/>
      <c r="W70" s="113"/>
      <c r="X70" s="113"/>
      <c r="Y70" s="113"/>
      <c r="Z70" s="113"/>
      <c r="AA70" s="617"/>
      <c r="AB70" s="113"/>
      <c r="AC70" s="617">
        <v>44428</v>
      </c>
      <c r="AD70" s="626" t="s">
        <v>6554</v>
      </c>
      <c r="AE70" s="122"/>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22"/>
      <c r="CL70" s="122"/>
      <c r="CM70" s="122"/>
      <c r="CN70" s="122"/>
      <c r="CO70" s="122"/>
      <c r="CP70" s="122"/>
      <c r="CQ70" s="122"/>
      <c r="CR70" s="122"/>
      <c r="CS70" s="122"/>
      <c r="CT70" s="122"/>
      <c r="CU70" s="122"/>
      <c r="CV70" s="122"/>
      <c r="CW70" s="122"/>
      <c r="CX70" s="122"/>
      <c r="CY70" s="122"/>
      <c r="CZ70" s="122"/>
      <c r="DA70" s="122"/>
      <c r="DB70" s="122"/>
      <c r="DC70" s="122"/>
      <c r="DD70" s="122"/>
      <c r="DE70" s="122"/>
      <c r="DF70" s="122"/>
      <c r="DG70" s="122"/>
      <c r="DH70" s="122"/>
      <c r="DI70" s="122"/>
      <c r="DJ70" s="122"/>
      <c r="DK70" s="122"/>
      <c r="DL70" s="122"/>
      <c r="DM70" s="122"/>
      <c r="DN70" s="122"/>
      <c r="DO70" s="122"/>
      <c r="DP70" s="122"/>
      <c r="DQ70" s="122"/>
      <c r="DR70" s="122"/>
      <c r="DS70" s="297"/>
      <c r="DT70" s="297"/>
      <c r="DU70" s="297"/>
      <c r="DV70" s="297"/>
      <c r="DW70" s="626"/>
      <c r="DX70" s="626"/>
      <c r="DY70" s="626"/>
      <c r="DZ70" s="626"/>
      <c r="EA70" s="626"/>
      <c r="EB70" s="297"/>
      <c r="EC70" s="297"/>
      <c r="ED70" s="297"/>
      <c r="EE70" s="297"/>
      <c r="EF70" s="297"/>
      <c r="EG70" s="297"/>
      <c r="EH70" s="297"/>
      <c r="EI70" s="297"/>
      <c r="EJ70" s="626" t="s">
        <v>6239</v>
      </c>
      <c r="EK70" s="626" t="s">
        <v>6353</v>
      </c>
      <c r="EL70" s="626" t="s">
        <v>6450</v>
      </c>
      <c r="EM70" s="626" t="s">
        <v>6554</v>
      </c>
      <c r="EN70" s="617" t="s">
        <v>112</v>
      </c>
      <c r="EO70" s="115"/>
      <c r="EP70" s="115" t="str">
        <f>IF(EN70="NA","NA",Tabela4[[#This Row],[Data de protocolo para cálculo médio]]+(VLOOKUP(Tabela4[[#This Row],[Previsão com fórmula i-Helps tipo de fila]],Formulas!$H$1:$J$13,2,FALSE)*30))</f>
        <v>NA</v>
      </c>
      <c r="EQ70" s="115" t="str">
        <f>IF(EN70="NA","NA",Tabela4[[#This Row],[Data de protocolo para cálculo médio]]+(VLOOKUP(Tabela4[[#This Row],[Previsão com fórmula i-Helps tipo de fila]],Formulas!$H$1:$J$13,3,FALSE)*30))</f>
        <v>NA</v>
      </c>
      <c r="ER70" s="115"/>
      <c r="ES70" s="685"/>
      <c r="ET70" s="666" t="s">
        <v>112</v>
      </c>
      <c r="EU70" s="666" t="s">
        <v>112</v>
      </c>
      <c r="EV70" s="666" t="s">
        <v>112</v>
      </c>
    </row>
    <row r="71" spans="1:153" s="556" customFormat="1" ht="356.25" customHeight="1" x14ac:dyDescent="0.2">
      <c r="A71" s="779">
        <v>26</v>
      </c>
      <c r="B71" s="663"/>
      <c r="C71" s="477" t="s">
        <v>584</v>
      </c>
      <c r="D71" s="113" t="s">
        <v>3798</v>
      </c>
      <c r="E71" s="477" t="s">
        <v>5234</v>
      </c>
      <c r="F71" s="477" t="s">
        <v>5438</v>
      </c>
      <c r="G71" s="288" t="s">
        <v>5376</v>
      </c>
      <c r="H71" s="6" t="s">
        <v>5374</v>
      </c>
      <c r="I71" s="72" t="s">
        <v>1806</v>
      </c>
      <c r="J71" s="113" t="s">
        <v>5318</v>
      </c>
      <c r="K71" s="6" t="s">
        <v>5317</v>
      </c>
      <c r="L71" s="477" t="s">
        <v>1393</v>
      </c>
      <c r="M71" s="122" t="s">
        <v>12</v>
      </c>
      <c r="N71" s="122" t="s">
        <v>3090</v>
      </c>
      <c r="O71" s="643">
        <v>44182</v>
      </c>
      <c r="P71" s="615" t="s">
        <v>5439</v>
      </c>
      <c r="Q71" s="615" t="s">
        <v>5377</v>
      </c>
      <c r="R71" s="477" t="s">
        <v>4250</v>
      </c>
      <c r="S71" s="612"/>
      <c r="T71" s="477" t="s">
        <v>5061</v>
      </c>
      <c r="U71" s="272" t="s">
        <v>5378</v>
      </c>
      <c r="V71" s="477" t="s">
        <v>5652</v>
      </c>
      <c r="W71" s="477" t="s">
        <v>5358</v>
      </c>
      <c r="X71" s="477" t="s">
        <v>5375</v>
      </c>
      <c r="Y71" s="477" t="s">
        <v>112</v>
      </c>
      <c r="Z71" s="477" t="s">
        <v>3084</v>
      </c>
      <c r="AA71" s="612">
        <v>44211</v>
      </c>
      <c r="AB71" s="477">
        <v>39</v>
      </c>
      <c r="AC71" s="617">
        <v>44428</v>
      </c>
      <c r="AD71" s="285" t="s">
        <v>6555</v>
      </c>
      <c r="AE71" s="868"/>
      <c r="AF71" s="477"/>
      <c r="AG71" s="477"/>
      <c r="AH71" s="477"/>
      <c r="AI71" s="477"/>
      <c r="AJ71" s="477"/>
      <c r="AK71" s="477"/>
      <c r="AL71" s="477"/>
      <c r="AM71" s="477"/>
      <c r="AN71" s="477"/>
      <c r="AO71" s="477"/>
      <c r="AP71" s="477"/>
      <c r="AQ71" s="477"/>
      <c r="AR71" s="477"/>
      <c r="AS71" s="477"/>
      <c r="AT71" s="477"/>
      <c r="AU71" s="477"/>
      <c r="AV71" s="477"/>
      <c r="AW71" s="477"/>
      <c r="AX71" s="477"/>
      <c r="AY71" s="477"/>
      <c r="AZ71" s="477"/>
      <c r="BA71" s="477"/>
      <c r="BB71" s="477"/>
      <c r="BC71" s="477"/>
      <c r="BD71" s="477"/>
      <c r="BE71" s="477"/>
      <c r="BF71" s="477"/>
      <c r="BG71" s="477"/>
      <c r="BH71" s="477"/>
      <c r="BI71" s="477"/>
      <c r="BJ71" s="477"/>
      <c r="BK71" s="477"/>
      <c r="BL71" s="477"/>
      <c r="BM71" s="477"/>
      <c r="BN71" s="477"/>
      <c r="BO71" s="477"/>
      <c r="BP71" s="477"/>
      <c r="BQ71" s="477"/>
      <c r="BR71" s="477"/>
      <c r="BS71" s="477"/>
      <c r="BT71" s="477"/>
      <c r="BU71" s="477"/>
      <c r="BV71" s="477"/>
      <c r="BW71" s="477"/>
      <c r="BX71" s="477"/>
      <c r="BY71" s="477"/>
      <c r="BZ71" s="477"/>
      <c r="CA71" s="477"/>
      <c r="CB71" s="477"/>
      <c r="CC71" s="477"/>
      <c r="CD71" s="477"/>
      <c r="CE71" s="477"/>
      <c r="CF71" s="477"/>
      <c r="CG71" s="477"/>
      <c r="CH71" s="477"/>
      <c r="CI71" s="477"/>
      <c r="CJ71" s="477"/>
      <c r="CK71" s="626"/>
      <c r="CL71" s="626"/>
      <c r="CM71" s="626"/>
      <c r="CN71" s="626"/>
      <c r="CO71" s="626"/>
      <c r="CP71" s="626"/>
      <c r="CQ71" s="626"/>
      <c r="CR71" s="626"/>
      <c r="CS71" s="626"/>
      <c r="CT71" s="626"/>
      <c r="CU71" s="626"/>
      <c r="CV71" s="626"/>
      <c r="CW71" s="626"/>
      <c r="CX71" s="626"/>
      <c r="CY71" s="626"/>
      <c r="CZ71" s="626"/>
      <c r="DA71" s="626"/>
      <c r="DB71" s="626"/>
      <c r="DC71" s="626"/>
      <c r="DD71" s="626"/>
      <c r="DE71" s="626"/>
      <c r="DF71" s="626"/>
      <c r="DG71" s="626"/>
      <c r="DH71" s="626"/>
      <c r="DI71" s="626">
        <v>39</v>
      </c>
      <c r="DJ71" s="626">
        <v>38</v>
      </c>
      <c r="DK71" s="626">
        <v>37</v>
      </c>
      <c r="DL71" s="626">
        <v>34</v>
      </c>
      <c r="DM71" s="626">
        <v>28</v>
      </c>
      <c r="DN71" s="626">
        <v>30</v>
      </c>
      <c r="DO71" s="626">
        <v>26</v>
      </c>
      <c r="DP71" s="626">
        <v>22</v>
      </c>
      <c r="DQ71" s="626">
        <v>16</v>
      </c>
      <c r="DR71" s="626">
        <v>11</v>
      </c>
      <c r="DS71" s="122" t="s">
        <v>5694</v>
      </c>
      <c r="DT71" s="122" t="s">
        <v>5694</v>
      </c>
      <c r="DU71" s="122" t="s">
        <v>5694</v>
      </c>
      <c r="DV71" s="122" t="s">
        <v>5694</v>
      </c>
      <c r="DW71" s="803" t="s">
        <v>5782</v>
      </c>
      <c r="DX71" s="803" t="s">
        <v>5825</v>
      </c>
      <c r="DY71" s="812" t="s">
        <v>5865</v>
      </c>
      <c r="DZ71" s="814" t="s">
        <v>5871</v>
      </c>
      <c r="EA71" s="821" t="s">
        <v>5887</v>
      </c>
      <c r="EB71" s="829" t="s">
        <v>5892</v>
      </c>
      <c r="EC71" s="847" t="s">
        <v>5908</v>
      </c>
      <c r="ED71" s="858" t="s">
        <v>5934</v>
      </c>
      <c r="EE71" s="868" t="s">
        <v>5949</v>
      </c>
      <c r="EF71" s="869" t="s">
        <v>5967</v>
      </c>
      <c r="EG71" s="873" t="s">
        <v>6007</v>
      </c>
      <c r="EH71" s="879" t="s">
        <v>6006</v>
      </c>
      <c r="EI71" s="881" t="s">
        <v>6040</v>
      </c>
      <c r="EJ71" s="122" t="s">
        <v>6240</v>
      </c>
      <c r="EK71" s="285" t="s">
        <v>6354</v>
      </c>
      <c r="EL71" s="285" t="s">
        <v>6451</v>
      </c>
      <c r="EM71" s="285" t="s">
        <v>6555</v>
      </c>
      <c r="EN71" s="612" t="s">
        <v>5165</v>
      </c>
      <c r="EO71" s="664">
        <v>44182</v>
      </c>
      <c r="EP71" s="664">
        <f>IF(EN71="NA","NA",Tabela4[[#This Row],[Data de protocolo para cálculo médio]]+(VLOOKUP(Tabela4[[#This Row],[Previsão com fórmula i-Helps tipo de fila]],Formulas!$H$1:$J$13,2,FALSE)*30))</f>
        <v>44584</v>
      </c>
      <c r="EQ71" s="664">
        <f>IF(EN71="NA","NA",Tabela4[[#This Row],[Data de protocolo para cálculo médio]]+(VLOOKUP(Tabela4[[#This Row],[Previsão com fórmula i-Helps tipo de fila]],Formulas!$H$1:$J$13,3,FALSE)*30))</f>
        <v>44767</v>
      </c>
      <c r="ER71" s="501">
        <v>44743</v>
      </c>
      <c r="ES71" s="113" t="s">
        <v>5440</v>
      </c>
      <c r="ET71" s="666" t="s">
        <v>5059</v>
      </c>
      <c r="EU71" s="617" t="s">
        <v>5060</v>
      </c>
      <c r="EV71" s="617" t="s">
        <v>5061</v>
      </c>
    </row>
    <row r="72" spans="1:153" s="556" customFormat="1" ht="89.25" x14ac:dyDescent="0.2">
      <c r="A72" s="779">
        <v>27</v>
      </c>
      <c r="B72" s="663" t="s">
        <v>5614</v>
      </c>
      <c r="C72" s="477" t="s">
        <v>1137</v>
      </c>
      <c r="D72" s="113" t="s">
        <v>3797</v>
      </c>
      <c r="E72" s="477" t="s">
        <v>5635</v>
      </c>
      <c r="F72" s="113" t="s">
        <v>5427</v>
      </c>
      <c r="G72" s="288" t="s">
        <v>5426</v>
      </c>
      <c r="H72" s="6" t="s">
        <v>5389</v>
      </c>
      <c r="I72" s="72" t="s">
        <v>5393</v>
      </c>
      <c r="J72" s="113" t="s">
        <v>5391</v>
      </c>
      <c r="K72" s="6" t="s">
        <v>5392</v>
      </c>
      <c r="L72" s="477" t="s">
        <v>16</v>
      </c>
      <c r="M72" s="122" t="s">
        <v>5390</v>
      </c>
      <c r="N72" s="122" t="s">
        <v>2992</v>
      </c>
      <c r="O72" s="643">
        <v>44182</v>
      </c>
      <c r="P72" s="615" t="s">
        <v>5499</v>
      </c>
      <c r="Q72" s="615" t="s">
        <v>112</v>
      </c>
      <c r="R72" s="477" t="s">
        <v>3083</v>
      </c>
      <c r="S72" s="612">
        <v>44400</v>
      </c>
      <c r="T72" s="477" t="s">
        <v>1298</v>
      </c>
      <c r="U72" s="272" t="s">
        <v>5434</v>
      </c>
      <c r="V72" s="113" t="s">
        <v>5793</v>
      </c>
      <c r="W72" s="477" t="s">
        <v>112</v>
      </c>
      <c r="X72" s="477" t="s">
        <v>112</v>
      </c>
      <c r="Y72" s="477" t="s">
        <v>112</v>
      </c>
      <c r="Z72" s="477" t="s">
        <v>112</v>
      </c>
      <c r="AA72" s="612">
        <v>44204</v>
      </c>
      <c r="AB72" s="477">
        <v>169</v>
      </c>
      <c r="AC72" s="617">
        <v>44428</v>
      </c>
      <c r="AD72" s="626" t="s">
        <v>6556</v>
      </c>
      <c r="AE72" s="626"/>
      <c r="AF72" s="477"/>
      <c r="AG72" s="477"/>
      <c r="AH72" s="477"/>
      <c r="AI72" s="477"/>
      <c r="AJ72" s="477"/>
      <c r="AK72" s="477"/>
      <c r="AL72" s="477"/>
      <c r="AM72" s="477"/>
      <c r="AN72" s="477"/>
      <c r="AO72" s="477"/>
      <c r="AP72" s="477"/>
      <c r="AQ72" s="477"/>
      <c r="AR72" s="477"/>
      <c r="AS72" s="477"/>
      <c r="AT72" s="477"/>
      <c r="AU72" s="477"/>
      <c r="AV72" s="477"/>
      <c r="AW72" s="477"/>
      <c r="AX72" s="477"/>
      <c r="AY72" s="477"/>
      <c r="AZ72" s="477"/>
      <c r="BA72" s="477"/>
      <c r="BB72" s="477"/>
      <c r="BC72" s="477"/>
      <c r="BD72" s="477"/>
      <c r="BE72" s="477"/>
      <c r="BF72" s="477"/>
      <c r="BG72" s="477"/>
      <c r="BH72" s="477"/>
      <c r="BI72" s="477"/>
      <c r="BJ72" s="477"/>
      <c r="BK72" s="477"/>
      <c r="BL72" s="477"/>
      <c r="BM72" s="477"/>
      <c r="BN72" s="477"/>
      <c r="BO72" s="477"/>
      <c r="BP72" s="477"/>
      <c r="BQ72" s="477"/>
      <c r="BR72" s="477"/>
      <c r="BS72" s="477"/>
      <c r="BT72" s="477"/>
      <c r="BU72" s="477"/>
      <c r="BV72" s="477"/>
      <c r="BW72" s="477"/>
      <c r="BX72" s="477"/>
      <c r="BY72" s="477"/>
      <c r="BZ72" s="477"/>
      <c r="CA72" s="477"/>
      <c r="CB72" s="477"/>
      <c r="CC72" s="477"/>
      <c r="CD72" s="477"/>
      <c r="CE72" s="477"/>
      <c r="CF72" s="477"/>
      <c r="CG72" s="477"/>
      <c r="CH72" s="477"/>
      <c r="CI72" s="477"/>
      <c r="CJ72" s="477"/>
      <c r="CK72" s="626"/>
      <c r="CL72" s="626"/>
      <c r="CM72" s="626"/>
      <c r="CN72" s="626"/>
      <c r="CO72" s="626"/>
      <c r="CP72" s="626"/>
      <c r="CQ72" s="626"/>
      <c r="CR72" s="626"/>
      <c r="CS72" s="626"/>
      <c r="CT72" s="626"/>
      <c r="CU72" s="626"/>
      <c r="CV72" s="626"/>
      <c r="CW72" s="626"/>
      <c r="CX72" s="626"/>
      <c r="CY72" s="626"/>
      <c r="CZ72" s="626"/>
      <c r="DA72" s="626"/>
      <c r="DB72" s="626"/>
      <c r="DC72" s="626"/>
      <c r="DD72" s="626"/>
      <c r="DE72" s="626"/>
      <c r="DF72" s="626"/>
      <c r="DG72" s="626"/>
      <c r="DH72" s="626">
        <v>169</v>
      </c>
      <c r="DI72" s="626">
        <v>169</v>
      </c>
      <c r="DJ72" s="626">
        <v>166</v>
      </c>
      <c r="DK72" s="626">
        <v>166</v>
      </c>
      <c r="DL72" s="626">
        <v>165</v>
      </c>
      <c r="DM72" s="626">
        <v>159</v>
      </c>
      <c r="DN72" s="626">
        <v>159</v>
      </c>
      <c r="DO72" s="626">
        <v>156</v>
      </c>
      <c r="DP72" s="626">
        <v>155</v>
      </c>
      <c r="DQ72" s="626">
        <v>154</v>
      </c>
      <c r="DR72" s="626">
        <v>152</v>
      </c>
      <c r="DS72" s="626">
        <v>153</v>
      </c>
      <c r="DT72" s="626">
        <v>148</v>
      </c>
      <c r="DU72" s="626">
        <v>143</v>
      </c>
      <c r="DV72" s="626">
        <v>142</v>
      </c>
      <c r="DW72" s="626">
        <v>134</v>
      </c>
      <c r="DX72" s="626">
        <v>130</v>
      </c>
      <c r="DY72" s="626">
        <v>125</v>
      </c>
      <c r="DZ72" s="626">
        <v>122</v>
      </c>
      <c r="EA72" s="626">
        <v>113</v>
      </c>
      <c r="EB72" s="626">
        <v>111</v>
      </c>
      <c r="EC72" s="626">
        <v>109</v>
      </c>
      <c r="ED72" s="626">
        <v>107</v>
      </c>
      <c r="EE72" s="626">
        <v>104</v>
      </c>
      <c r="EF72" s="626">
        <v>97</v>
      </c>
      <c r="EG72" s="626">
        <v>94</v>
      </c>
      <c r="EH72" s="626">
        <v>93</v>
      </c>
      <c r="EI72" s="626">
        <v>91</v>
      </c>
      <c r="EJ72" s="626" t="s">
        <v>6241</v>
      </c>
      <c r="EK72" s="626" t="s">
        <v>6355</v>
      </c>
      <c r="EL72" s="626" t="s">
        <v>6452</v>
      </c>
      <c r="EM72" s="626" t="s">
        <v>6556</v>
      </c>
      <c r="EN72" s="612" t="s">
        <v>5063</v>
      </c>
      <c r="EO72" s="664">
        <v>44182</v>
      </c>
      <c r="EP72" s="664">
        <f>IF(EN72="NA","NA",Tabela4[[#This Row],[Data de protocolo para cálculo médio]]+(VLOOKUP(Tabela4[[#This Row],[Previsão com fórmula i-Helps tipo de fila]],Formulas!$H$1:$J$13,2,FALSE)*30))</f>
        <v>44539</v>
      </c>
      <c r="EQ72" s="664">
        <f>IF(EN72="NA","NA",Tabela4[[#This Row],[Data de protocolo para cálculo médio]]+(VLOOKUP(Tabela4[[#This Row],[Previsão com fórmula i-Helps tipo de fila]],Formulas!$H$1:$J$13,3,FALSE)*30))</f>
        <v>44683</v>
      </c>
      <c r="ER72" s="501">
        <v>44713</v>
      </c>
      <c r="ES72" s="113" t="s">
        <v>5323</v>
      </c>
      <c r="ET72" s="666" t="s">
        <v>5059</v>
      </c>
      <c r="EU72" s="617" t="s">
        <v>5060</v>
      </c>
      <c r="EV72" s="617" t="s">
        <v>5063</v>
      </c>
    </row>
    <row r="73" spans="1:153" s="556" customFormat="1" ht="89.25" outlineLevel="1" x14ac:dyDescent="0.2">
      <c r="A73" s="779" t="s">
        <v>6169</v>
      </c>
      <c r="B73" s="663" t="s">
        <v>5614</v>
      </c>
      <c r="C73" s="477" t="s">
        <v>1137</v>
      </c>
      <c r="D73" s="113" t="s">
        <v>3797</v>
      </c>
      <c r="E73" s="477" t="s">
        <v>5635</v>
      </c>
      <c r="F73" s="113" t="s">
        <v>5427</v>
      </c>
      <c r="G73" s="288" t="s">
        <v>5426</v>
      </c>
      <c r="H73" s="6" t="s">
        <v>5389</v>
      </c>
      <c r="I73" s="72" t="s">
        <v>5393</v>
      </c>
      <c r="J73" s="113" t="s">
        <v>5391</v>
      </c>
      <c r="K73" s="6" t="s">
        <v>5392</v>
      </c>
      <c r="L73" s="477" t="s">
        <v>16</v>
      </c>
      <c r="M73" s="122" t="s">
        <v>5390</v>
      </c>
      <c r="N73" s="113" t="s">
        <v>6082</v>
      </c>
      <c r="O73" s="765">
        <v>44201</v>
      </c>
      <c r="P73" s="615" t="s">
        <v>6085</v>
      </c>
      <c r="Q73" s="615" t="s">
        <v>112</v>
      </c>
      <c r="R73" s="113" t="s">
        <v>3087</v>
      </c>
      <c r="S73" s="617"/>
      <c r="T73" s="113"/>
      <c r="U73" s="113"/>
      <c r="V73" s="113"/>
      <c r="W73" s="113"/>
      <c r="X73" s="113"/>
      <c r="Y73" s="113"/>
      <c r="Z73" s="113"/>
      <c r="AA73" s="617"/>
      <c r="AB73" s="113"/>
      <c r="AC73" s="617">
        <v>44428</v>
      </c>
      <c r="AD73" s="626" t="s">
        <v>6557</v>
      </c>
      <c r="AE73" s="122"/>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22"/>
      <c r="CL73" s="122"/>
      <c r="CM73" s="122"/>
      <c r="CN73" s="122"/>
      <c r="CO73" s="122"/>
      <c r="CP73" s="122"/>
      <c r="CQ73" s="122"/>
      <c r="CR73" s="122"/>
      <c r="CS73" s="122"/>
      <c r="CT73" s="122"/>
      <c r="CU73" s="122"/>
      <c r="CV73" s="122"/>
      <c r="CW73" s="122"/>
      <c r="CX73" s="122"/>
      <c r="CY73" s="122"/>
      <c r="CZ73" s="122"/>
      <c r="DA73" s="122"/>
      <c r="DB73" s="122"/>
      <c r="DC73" s="122"/>
      <c r="DD73" s="122"/>
      <c r="DE73" s="122"/>
      <c r="DF73" s="122"/>
      <c r="DG73" s="122"/>
      <c r="DH73" s="122"/>
      <c r="DI73" s="122"/>
      <c r="DJ73" s="122"/>
      <c r="DK73" s="122"/>
      <c r="DL73" s="122"/>
      <c r="DM73" s="122"/>
      <c r="DN73" s="122"/>
      <c r="DO73" s="122"/>
      <c r="DP73" s="122"/>
      <c r="DQ73" s="122"/>
      <c r="DR73" s="122"/>
      <c r="DS73" s="297"/>
      <c r="DT73" s="297"/>
      <c r="DU73" s="297"/>
      <c r="DV73" s="297"/>
      <c r="DW73" s="626"/>
      <c r="DX73" s="626"/>
      <c r="DY73" s="626"/>
      <c r="DZ73" s="626"/>
      <c r="EA73" s="626"/>
      <c r="EB73" s="297"/>
      <c r="EC73" s="297"/>
      <c r="ED73" s="297"/>
      <c r="EE73" s="297"/>
      <c r="EF73" s="297"/>
      <c r="EG73" s="297"/>
      <c r="EH73" s="297"/>
      <c r="EI73" s="297"/>
      <c r="EJ73" s="626" t="s">
        <v>6242</v>
      </c>
      <c r="EK73" s="626" t="s">
        <v>6356</v>
      </c>
      <c r="EL73" s="626" t="s">
        <v>6453</v>
      </c>
      <c r="EM73" s="626" t="s">
        <v>6557</v>
      </c>
      <c r="EN73" s="617" t="s">
        <v>112</v>
      </c>
      <c r="EO73" s="115"/>
      <c r="EP73" s="115" t="str">
        <f>IF(EN73="NA","NA",Tabela4[[#This Row],[Data de protocolo para cálculo médio]]+(VLOOKUP(Tabela4[[#This Row],[Previsão com fórmula i-Helps tipo de fila]],Formulas!$H$1:$J$13,2,FALSE)*30))</f>
        <v>NA</v>
      </c>
      <c r="EQ73" s="115" t="str">
        <f>IF(EN73="NA","NA",Tabela4[[#This Row],[Data de protocolo para cálculo médio]]+(VLOOKUP(Tabela4[[#This Row],[Previsão com fórmula i-Helps tipo de fila]],Formulas!$H$1:$J$13,3,FALSE)*30))</f>
        <v>NA</v>
      </c>
      <c r="ER73" s="115"/>
      <c r="ES73" s="685"/>
      <c r="ET73" s="666" t="s">
        <v>112</v>
      </c>
      <c r="EU73" s="666" t="s">
        <v>112</v>
      </c>
      <c r="EV73" s="666" t="s">
        <v>112</v>
      </c>
    </row>
    <row r="74" spans="1:153" s="556" customFormat="1" ht="114.75" outlineLevel="1" x14ac:dyDescent="0.2">
      <c r="A74" s="779" t="s">
        <v>6170</v>
      </c>
      <c r="B74" s="663" t="s">
        <v>5614</v>
      </c>
      <c r="C74" s="477" t="s">
        <v>1137</v>
      </c>
      <c r="D74" s="113" t="s">
        <v>3797</v>
      </c>
      <c r="E74" s="477" t="s">
        <v>5635</v>
      </c>
      <c r="F74" s="113" t="s">
        <v>5427</v>
      </c>
      <c r="G74" s="288" t="s">
        <v>5426</v>
      </c>
      <c r="H74" s="6" t="s">
        <v>5389</v>
      </c>
      <c r="I74" s="72" t="s">
        <v>5393</v>
      </c>
      <c r="J74" s="113" t="s">
        <v>5391</v>
      </c>
      <c r="K74" s="6" t="s">
        <v>5392</v>
      </c>
      <c r="L74" s="477" t="s">
        <v>16</v>
      </c>
      <c r="M74" s="122" t="s">
        <v>5390</v>
      </c>
      <c r="N74" s="113" t="s">
        <v>6081</v>
      </c>
      <c r="O74" s="765" t="s">
        <v>6086</v>
      </c>
      <c r="P74" s="615" t="s">
        <v>6122</v>
      </c>
      <c r="Q74" s="615" t="s">
        <v>112</v>
      </c>
      <c r="R74" s="113" t="s">
        <v>3087</v>
      </c>
      <c r="S74" s="617"/>
      <c r="T74" s="113"/>
      <c r="U74" s="113"/>
      <c r="V74" s="113"/>
      <c r="W74" s="113"/>
      <c r="X74" s="113"/>
      <c r="Y74" s="113"/>
      <c r="Z74" s="113"/>
      <c r="AA74" s="617"/>
      <c r="AB74" s="113"/>
      <c r="AC74" s="617">
        <v>44428</v>
      </c>
      <c r="AD74" s="626" t="s">
        <v>6558</v>
      </c>
      <c r="AE74" s="122"/>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22"/>
      <c r="CL74" s="122"/>
      <c r="CM74" s="122"/>
      <c r="CN74" s="122"/>
      <c r="CO74" s="122"/>
      <c r="CP74" s="122"/>
      <c r="CQ74" s="122"/>
      <c r="CR74" s="122"/>
      <c r="CS74" s="122"/>
      <c r="CT74" s="122"/>
      <c r="CU74" s="122"/>
      <c r="CV74" s="122"/>
      <c r="CW74" s="122"/>
      <c r="CX74" s="122"/>
      <c r="CY74" s="122"/>
      <c r="CZ74" s="122"/>
      <c r="DA74" s="122"/>
      <c r="DB74" s="122"/>
      <c r="DC74" s="122"/>
      <c r="DD74" s="122"/>
      <c r="DE74" s="122"/>
      <c r="DF74" s="122"/>
      <c r="DG74" s="122"/>
      <c r="DH74" s="122"/>
      <c r="DI74" s="122"/>
      <c r="DJ74" s="122"/>
      <c r="DK74" s="122"/>
      <c r="DL74" s="122"/>
      <c r="DM74" s="122"/>
      <c r="DN74" s="122"/>
      <c r="DO74" s="122"/>
      <c r="DP74" s="122"/>
      <c r="DQ74" s="122"/>
      <c r="DR74" s="122"/>
      <c r="DS74" s="297"/>
      <c r="DT74" s="297"/>
      <c r="DU74" s="297"/>
      <c r="DV74" s="297"/>
      <c r="DW74" s="626"/>
      <c r="DX74" s="626"/>
      <c r="DY74" s="626"/>
      <c r="DZ74" s="626"/>
      <c r="EA74" s="626"/>
      <c r="EB74" s="297"/>
      <c r="EC74" s="297"/>
      <c r="ED74" s="297"/>
      <c r="EE74" s="297"/>
      <c r="EF74" s="297"/>
      <c r="EG74" s="297"/>
      <c r="EH74" s="297"/>
      <c r="EI74" s="297"/>
      <c r="EJ74" s="626" t="s">
        <v>6243</v>
      </c>
      <c r="EK74" s="626" t="s">
        <v>6357</v>
      </c>
      <c r="EL74" s="626" t="s">
        <v>6454</v>
      </c>
      <c r="EM74" s="626" t="s">
        <v>6558</v>
      </c>
      <c r="EN74" s="617" t="s">
        <v>112</v>
      </c>
      <c r="EO74" s="115"/>
      <c r="EP74" s="115" t="str">
        <f>IF(EN74="NA","NA",Tabela4[[#This Row],[Data de protocolo para cálculo médio]]+(VLOOKUP(Tabela4[[#This Row],[Previsão com fórmula i-Helps tipo de fila]],Formulas!$H$1:$J$13,2,FALSE)*30))</f>
        <v>NA</v>
      </c>
      <c r="EQ74" s="115" t="str">
        <f>IF(EN74="NA","NA",Tabela4[[#This Row],[Data de protocolo para cálculo médio]]+(VLOOKUP(Tabela4[[#This Row],[Previsão com fórmula i-Helps tipo de fila]],Formulas!$H$1:$J$13,3,FALSE)*30))</f>
        <v>NA</v>
      </c>
      <c r="ER74" s="115"/>
      <c r="ES74" s="685"/>
      <c r="ET74" s="666" t="s">
        <v>112</v>
      </c>
      <c r="EU74" s="666" t="s">
        <v>112</v>
      </c>
      <c r="EV74" s="666" t="s">
        <v>112</v>
      </c>
    </row>
    <row r="75" spans="1:153" s="556" customFormat="1" ht="89.25" outlineLevel="1" x14ac:dyDescent="0.2">
      <c r="A75" s="779" t="s">
        <v>6171</v>
      </c>
      <c r="B75" s="663" t="s">
        <v>5614</v>
      </c>
      <c r="C75" s="477" t="s">
        <v>1137</v>
      </c>
      <c r="D75" s="113" t="s">
        <v>3797</v>
      </c>
      <c r="E75" s="477" t="s">
        <v>5635</v>
      </c>
      <c r="F75" s="113" t="s">
        <v>5427</v>
      </c>
      <c r="G75" s="288" t="s">
        <v>5426</v>
      </c>
      <c r="H75" s="6" t="s">
        <v>5389</v>
      </c>
      <c r="I75" s="72" t="s">
        <v>5393</v>
      </c>
      <c r="J75" s="113" t="s">
        <v>5391</v>
      </c>
      <c r="K75" s="6" t="s">
        <v>5392</v>
      </c>
      <c r="L75" s="477" t="s">
        <v>16</v>
      </c>
      <c r="M75" s="122" t="s">
        <v>5390</v>
      </c>
      <c r="N75" s="113" t="s">
        <v>6080</v>
      </c>
      <c r="O75" s="765">
        <v>44200</v>
      </c>
      <c r="P75" s="615" t="s">
        <v>6123</v>
      </c>
      <c r="Q75" s="615" t="s">
        <v>112</v>
      </c>
      <c r="R75" s="113" t="s">
        <v>2866</v>
      </c>
      <c r="S75" s="617">
        <v>44224</v>
      </c>
      <c r="T75" s="113"/>
      <c r="U75" s="113"/>
      <c r="V75" s="113"/>
      <c r="W75" s="113"/>
      <c r="X75" s="113"/>
      <c r="Y75" s="113"/>
      <c r="Z75" s="113"/>
      <c r="AA75" s="617"/>
      <c r="AB75" s="113"/>
      <c r="AC75" s="617">
        <v>44428</v>
      </c>
      <c r="AD75" s="626" t="s">
        <v>6559</v>
      </c>
      <c r="AE75" s="122"/>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22"/>
      <c r="CL75" s="122"/>
      <c r="CM75" s="122"/>
      <c r="CN75" s="122"/>
      <c r="CO75" s="122"/>
      <c r="CP75" s="122"/>
      <c r="CQ75" s="122"/>
      <c r="CR75" s="122"/>
      <c r="CS75" s="122"/>
      <c r="CT75" s="122"/>
      <c r="CU75" s="122"/>
      <c r="CV75" s="122"/>
      <c r="CW75" s="122"/>
      <c r="CX75" s="122"/>
      <c r="CY75" s="122"/>
      <c r="CZ75" s="122"/>
      <c r="DA75" s="122"/>
      <c r="DB75" s="122"/>
      <c r="DC75" s="122"/>
      <c r="DD75" s="122"/>
      <c r="DE75" s="122"/>
      <c r="DF75" s="122"/>
      <c r="DG75" s="122"/>
      <c r="DH75" s="122"/>
      <c r="DI75" s="122"/>
      <c r="DJ75" s="122"/>
      <c r="DK75" s="122"/>
      <c r="DL75" s="122"/>
      <c r="DM75" s="122"/>
      <c r="DN75" s="122"/>
      <c r="DO75" s="122"/>
      <c r="DP75" s="122"/>
      <c r="DQ75" s="122"/>
      <c r="DR75" s="122"/>
      <c r="DS75" s="297"/>
      <c r="DT75" s="297"/>
      <c r="DU75" s="297"/>
      <c r="DV75" s="297"/>
      <c r="DW75" s="626"/>
      <c r="DX75" s="626"/>
      <c r="DY75" s="626"/>
      <c r="DZ75" s="626"/>
      <c r="EA75" s="626"/>
      <c r="EB75" s="297"/>
      <c r="EC75" s="297"/>
      <c r="ED75" s="297"/>
      <c r="EE75" s="297"/>
      <c r="EF75" s="297"/>
      <c r="EG75" s="297"/>
      <c r="EH75" s="297"/>
      <c r="EI75" s="297"/>
      <c r="EJ75" s="626" t="s">
        <v>6244</v>
      </c>
      <c r="EK75" s="626" t="s">
        <v>6358</v>
      </c>
      <c r="EL75" s="626" t="s">
        <v>6455</v>
      </c>
      <c r="EM75" s="626" t="s">
        <v>6559</v>
      </c>
      <c r="EN75" s="617" t="s">
        <v>112</v>
      </c>
      <c r="EO75" s="115"/>
      <c r="EP75" s="115" t="str">
        <f>IF(EN75="NA","NA",Tabela4[[#This Row],[Data de protocolo para cálculo médio]]+(VLOOKUP(Tabela4[[#This Row],[Previsão com fórmula i-Helps tipo de fila]],Formulas!$H$1:$J$13,2,FALSE)*30))</f>
        <v>NA</v>
      </c>
      <c r="EQ75" s="115" t="str">
        <f>IF(EN75="NA","NA",Tabela4[[#This Row],[Data de protocolo para cálculo médio]]+(VLOOKUP(Tabela4[[#This Row],[Previsão com fórmula i-Helps tipo de fila]],Formulas!$H$1:$J$13,3,FALSE)*30))</f>
        <v>NA</v>
      </c>
      <c r="ER75" s="115"/>
      <c r="ES75" s="685"/>
      <c r="ET75" s="666" t="s">
        <v>112</v>
      </c>
      <c r="EU75" s="666" t="s">
        <v>112</v>
      </c>
      <c r="EV75" s="666" t="s">
        <v>112</v>
      </c>
    </row>
    <row r="76" spans="1:153" s="556" customFormat="1" ht="344.25" x14ac:dyDescent="0.2">
      <c r="A76" s="779">
        <v>28</v>
      </c>
      <c r="B76" s="663"/>
      <c r="C76" s="477" t="s">
        <v>584</v>
      </c>
      <c r="D76" s="113" t="s">
        <v>3797</v>
      </c>
      <c r="E76" s="477" t="s">
        <v>5333</v>
      </c>
      <c r="F76" s="113" t="s">
        <v>5501</v>
      </c>
      <c r="G76" s="288" t="s">
        <v>5445</v>
      </c>
      <c r="H76" s="6" t="s">
        <v>5366</v>
      </c>
      <c r="I76" s="72" t="s">
        <v>1806</v>
      </c>
      <c r="J76" s="113" t="s">
        <v>5456</v>
      </c>
      <c r="K76" s="6" t="s">
        <v>5368</v>
      </c>
      <c r="L76" s="477" t="s">
        <v>1393</v>
      </c>
      <c r="M76" s="122" t="s">
        <v>685</v>
      </c>
      <c r="N76" s="122" t="s">
        <v>3090</v>
      </c>
      <c r="O76" s="643">
        <v>44211</v>
      </c>
      <c r="P76" s="615" t="s">
        <v>5502</v>
      </c>
      <c r="Q76" s="615" t="s">
        <v>5511</v>
      </c>
      <c r="R76" s="477" t="s">
        <v>4251</v>
      </c>
      <c r="S76" s="612"/>
      <c r="T76" s="477" t="s">
        <v>5061</v>
      </c>
      <c r="U76" s="272" t="s">
        <v>5878</v>
      </c>
      <c r="V76" s="477" t="s">
        <v>5651</v>
      </c>
      <c r="W76" s="477" t="s">
        <v>3337</v>
      </c>
      <c r="X76" s="113" t="s">
        <v>5446</v>
      </c>
      <c r="Y76" s="477" t="s">
        <v>112</v>
      </c>
      <c r="Z76" s="477" t="s">
        <v>3084</v>
      </c>
      <c r="AA76" s="612">
        <v>44232</v>
      </c>
      <c r="AB76" s="477">
        <v>48</v>
      </c>
      <c r="AC76" s="617">
        <v>44428</v>
      </c>
      <c r="AD76" s="285" t="s">
        <v>6560</v>
      </c>
      <c r="AE76" s="868"/>
      <c r="AF76" s="477"/>
      <c r="AG76" s="477"/>
      <c r="AH76" s="477"/>
      <c r="AI76" s="477"/>
      <c r="AJ76" s="477"/>
      <c r="AK76" s="477"/>
      <c r="AL76" s="477"/>
      <c r="AM76" s="477"/>
      <c r="AN76" s="477"/>
      <c r="AO76" s="477"/>
      <c r="AP76" s="477"/>
      <c r="AQ76" s="477"/>
      <c r="AR76" s="477"/>
      <c r="AS76" s="477"/>
      <c r="AT76" s="477"/>
      <c r="AU76" s="477"/>
      <c r="AV76" s="477"/>
      <c r="AW76" s="477"/>
      <c r="AX76" s="477"/>
      <c r="AY76" s="477"/>
      <c r="AZ76" s="477"/>
      <c r="BA76" s="477"/>
      <c r="BB76" s="477"/>
      <c r="BC76" s="477"/>
      <c r="BD76" s="477"/>
      <c r="BE76" s="477"/>
      <c r="BF76" s="477"/>
      <c r="BG76" s="477"/>
      <c r="BH76" s="477"/>
      <c r="BI76" s="477"/>
      <c r="BJ76" s="477"/>
      <c r="BK76" s="477"/>
      <c r="BL76" s="477"/>
      <c r="BM76" s="477"/>
      <c r="BN76" s="477"/>
      <c r="BO76" s="477"/>
      <c r="BP76" s="477"/>
      <c r="BQ76" s="477"/>
      <c r="BR76" s="477"/>
      <c r="BS76" s="477"/>
      <c r="BT76" s="477"/>
      <c r="BU76" s="477"/>
      <c r="BV76" s="477"/>
      <c r="BW76" s="477"/>
      <c r="BX76" s="477"/>
      <c r="BY76" s="477"/>
      <c r="BZ76" s="477"/>
      <c r="CA76" s="477"/>
      <c r="CB76" s="477"/>
      <c r="CC76" s="477"/>
      <c r="CD76" s="477"/>
      <c r="CE76" s="477"/>
      <c r="CF76" s="477"/>
      <c r="CG76" s="477"/>
      <c r="CH76" s="477"/>
      <c r="CI76" s="477"/>
      <c r="CJ76" s="477"/>
      <c r="CK76" s="626"/>
      <c r="CL76" s="626"/>
      <c r="CM76" s="626"/>
      <c r="CN76" s="626"/>
      <c r="CO76" s="626"/>
      <c r="CP76" s="626"/>
      <c r="CQ76" s="626"/>
      <c r="CR76" s="626"/>
      <c r="CS76" s="626"/>
      <c r="CT76" s="626"/>
      <c r="CU76" s="626"/>
      <c r="CV76" s="626"/>
      <c r="CW76" s="626"/>
      <c r="CX76" s="626"/>
      <c r="CY76" s="626"/>
      <c r="CZ76" s="626"/>
      <c r="DA76" s="626"/>
      <c r="DB76" s="626"/>
      <c r="DC76" s="626"/>
      <c r="DD76" s="626"/>
      <c r="DE76" s="626"/>
      <c r="DF76" s="626"/>
      <c r="DG76" s="626"/>
      <c r="DH76" s="626"/>
      <c r="DI76" s="626"/>
      <c r="DJ76" s="626"/>
      <c r="DK76" s="626"/>
      <c r="DL76" s="626">
        <v>48</v>
      </c>
      <c r="DM76" s="626">
        <v>42</v>
      </c>
      <c r="DN76" s="626">
        <v>44</v>
      </c>
      <c r="DO76" s="626">
        <v>40</v>
      </c>
      <c r="DP76" s="626">
        <v>36</v>
      </c>
      <c r="DQ76" s="626">
        <v>30</v>
      </c>
      <c r="DR76" s="626">
        <v>22</v>
      </c>
      <c r="DS76" s="626">
        <v>6</v>
      </c>
      <c r="DT76" s="122" t="s">
        <v>5725</v>
      </c>
      <c r="DU76" s="122" t="s">
        <v>5725</v>
      </c>
      <c r="DV76" s="122" t="s">
        <v>5725</v>
      </c>
      <c r="DW76" s="803" t="s">
        <v>5783</v>
      </c>
      <c r="DX76" s="803" t="s">
        <v>5826</v>
      </c>
      <c r="DY76" s="812" t="s">
        <v>5826</v>
      </c>
      <c r="DZ76" s="814" t="s">
        <v>5826</v>
      </c>
      <c r="EA76" s="821" t="s">
        <v>5826</v>
      </c>
      <c r="EB76" s="829" t="s">
        <v>5893</v>
      </c>
      <c r="EC76" s="847" t="s">
        <v>5893</v>
      </c>
      <c r="ED76" s="858" t="s">
        <v>5935</v>
      </c>
      <c r="EE76" s="868" t="s">
        <v>5951</v>
      </c>
      <c r="EF76" s="870" t="s">
        <v>5968</v>
      </c>
      <c r="EG76" s="873" t="s">
        <v>5985</v>
      </c>
      <c r="EH76" s="879" t="s">
        <v>6042</v>
      </c>
      <c r="EI76" s="881" t="s">
        <v>6041</v>
      </c>
      <c r="EJ76" s="626" t="s">
        <v>6245</v>
      </c>
      <c r="EK76" s="285" t="s">
        <v>6359</v>
      </c>
      <c r="EL76" s="285" t="s">
        <v>6456</v>
      </c>
      <c r="EM76" s="285" t="s">
        <v>6560</v>
      </c>
      <c r="EN76" s="612" t="s">
        <v>5165</v>
      </c>
      <c r="EO76" s="664">
        <v>44179</v>
      </c>
      <c r="EP76" s="664">
        <f>IF(EN76="NA","NA",Tabela4[[#This Row],[Data de protocolo para cálculo médio]]+(VLOOKUP(Tabela4[[#This Row],[Previsão com fórmula i-Helps tipo de fila]],Formulas!$H$1:$J$13,2,FALSE)*30))</f>
        <v>44581</v>
      </c>
      <c r="EQ76" s="664">
        <f>IF(EN76="NA","NA",Tabela4[[#This Row],[Data de protocolo para cálculo médio]]+(VLOOKUP(Tabela4[[#This Row],[Previsão com fórmula i-Helps tipo de fila]],Formulas!$H$1:$J$13,3,FALSE)*30))</f>
        <v>44764</v>
      </c>
      <c r="ER76" s="501">
        <v>44774</v>
      </c>
      <c r="ES76" s="113" t="s">
        <v>5370</v>
      </c>
      <c r="ET76" s="666" t="s">
        <v>5059</v>
      </c>
      <c r="EU76" s="617" t="s">
        <v>5060</v>
      </c>
      <c r="EV76" s="617" t="s">
        <v>5061</v>
      </c>
    </row>
    <row r="77" spans="1:153" s="556" customFormat="1" ht="331.5" x14ac:dyDescent="0.2">
      <c r="A77" s="779">
        <v>29</v>
      </c>
      <c r="B77" s="663"/>
      <c r="C77" s="477" t="s">
        <v>584</v>
      </c>
      <c r="D77" s="113" t="s">
        <v>3797</v>
      </c>
      <c r="E77" s="477" t="s">
        <v>5333</v>
      </c>
      <c r="F77" s="477" t="s">
        <v>5498</v>
      </c>
      <c r="G77" s="288" t="s">
        <v>5451</v>
      </c>
      <c r="H77" s="6" t="s">
        <v>5389</v>
      </c>
      <c r="I77" s="72" t="s">
        <v>1806</v>
      </c>
      <c r="J77" s="113" t="s">
        <v>5449</v>
      </c>
      <c r="K77" s="6" t="s">
        <v>5448</v>
      </c>
      <c r="L77" s="477" t="s">
        <v>1393</v>
      </c>
      <c r="M77" s="122" t="s">
        <v>5390</v>
      </c>
      <c r="N77" s="122" t="s">
        <v>3090</v>
      </c>
      <c r="O77" s="643">
        <v>44214</v>
      </c>
      <c r="P77" s="615" t="s">
        <v>5552</v>
      </c>
      <c r="Q77" s="615" t="s">
        <v>5499</v>
      </c>
      <c r="R77" s="477" t="s">
        <v>4250</v>
      </c>
      <c r="S77" s="612"/>
      <c r="T77" s="477" t="s">
        <v>5061</v>
      </c>
      <c r="U77" s="272"/>
      <c r="V77" s="477" t="s">
        <v>5652</v>
      </c>
      <c r="W77" s="477" t="s">
        <v>3337</v>
      </c>
      <c r="X77" s="113" t="s">
        <v>5450</v>
      </c>
      <c r="Y77" s="477" t="s">
        <v>112</v>
      </c>
      <c r="Z77" s="477" t="s">
        <v>3084</v>
      </c>
      <c r="AA77" s="612">
        <v>44225</v>
      </c>
      <c r="AB77" s="477">
        <v>57</v>
      </c>
      <c r="AC77" s="617">
        <v>44428</v>
      </c>
      <c r="AD77" s="18" t="s">
        <v>6561</v>
      </c>
      <c r="AE77" s="868"/>
      <c r="AF77" s="477"/>
      <c r="AG77" s="477"/>
      <c r="AH77" s="477"/>
      <c r="AI77" s="477"/>
      <c r="AJ77" s="477"/>
      <c r="AK77" s="477"/>
      <c r="AL77" s="477"/>
      <c r="AM77" s="477"/>
      <c r="AN77" s="477"/>
      <c r="AO77" s="477"/>
      <c r="AP77" s="477"/>
      <c r="AQ77" s="477"/>
      <c r="AR77" s="477"/>
      <c r="AS77" s="477"/>
      <c r="AT77" s="477"/>
      <c r="AU77" s="477"/>
      <c r="AV77" s="477"/>
      <c r="AW77" s="477"/>
      <c r="AX77" s="477"/>
      <c r="AY77" s="477"/>
      <c r="AZ77" s="477"/>
      <c r="BA77" s="477"/>
      <c r="BB77" s="477"/>
      <c r="BC77" s="477"/>
      <c r="BD77" s="477"/>
      <c r="BE77" s="477"/>
      <c r="BF77" s="477"/>
      <c r="BG77" s="477"/>
      <c r="BH77" s="477"/>
      <c r="BI77" s="477"/>
      <c r="BJ77" s="477"/>
      <c r="BK77" s="477"/>
      <c r="BL77" s="477"/>
      <c r="BM77" s="477"/>
      <c r="BN77" s="477"/>
      <c r="BO77" s="477"/>
      <c r="BP77" s="477"/>
      <c r="BQ77" s="477"/>
      <c r="BR77" s="477"/>
      <c r="BS77" s="477"/>
      <c r="BT77" s="477"/>
      <c r="BU77" s="477"/>
      <c r="BV77" s="477"/>
      <c r="BW77" s="477"/>
      <c r="BX77" s="477"/>
      <c r="BY77" s="477"/>
      <c r="BZ77" s="477"/>
      <c r="CA77" s="477"/>
      <c r="CB77" s="477"/>
      <c r="CC77" s="477"/>
      <c r="CD77" s="477"/>
      <c r="CE77" s="477"/>
      <c r="CF77" s="477"/>
      <c r="CG77" s="477"/>
      <c r="CH77" s="477"/>
      <c r="CI77" s="477"/>
      <c r="CJ77" s="477"/>
      <c r="CK77" s="626"/>
      <c r="CL77" s="626"/>
      <c r="CM77" s="626"/>
      <c r="CN77" s="626"/>
      <c r="CO77" s="626"/>
      <c r="CP77" s="626"/>
      <c r="CQ77" s="626"/>
      <c r="CR77" s="626"/>
      <c r="CS77" s="626"/>
      <c r="CT77" s="626"/>
      <c r="CU77" s="626"/>
      <c r="CV77" s="626"/>
      <c r="CW77" s="626"/>
      <c r="CX77" s="626"/>
      <c r="CY77" s="626"/>
      <c r="CZ77" s="626"/>
      <c r="DA77" s="626"/>
      <c r="DB77" s="626"/>
      <c r="DC77" s="626"/>
      <c r="DD77" s="626"/>
      <c r="DE77" s="626"/>
      <c r="DF77" s="626"/>
      <c r="DG77" s="626"/>
      <c r="DH77" s="626"/>
      <c r="DI77" s="626"/>
      <c r="DJ77" s="626"/>
      <c r="DK77" s="626">
        <v>57</v>
      </c>
      <c r="DL77" s="626">
        <v>55</v>
      </c>
      <c r="DM77" s="626">
        <v>49</v>
      </c>
      <c r="DN77" s="626">
        <v>51</v>
      </c>
      <c r="DO77" s="626">
        <v>47</v>
      </c>
      <c r="DP77" s="626">
        <v>43</v>
      </c>
      <c r="DQ77" s="626">
        <v>37</v>
      </c>
      <c r="DR77" s="626">
        <v>29</v>
      </c>
      <c r="DS77" s="122" t="s">
        <v>5695</v>
      </c>
      <c r="DT77" s="122" t="s">
        <v>5695</v>
      </c>
      <c r="DU77" s="122" t="s">
        <v>5695</v>
      </c>
      <c r="DV77" s="122" t="s">
        <v>5695</v>
      </c>
      <c r="DW77" s="803" t="s">
        <v>5785</v>
      </c>
      <c r="DX77" s="803" t="s">
        <v>5829</v>
      </c>
      <c r="DY77" s="812" t="s">
        <v>5829</v>
      </c>
      <c r="DZ77" s="814" t="s">
        <v>5829</v>
      </c>
      <c r="EA77" s="821" t="s">
        <v>5829</v>
      </c>
      <c r="EB77" s="829" t="s">
        <v>5829</v>
      </c>
      <c r="EC77" s="847" t="s">
        <v>5829</v>
      </c>
      <c r="ED77" s="858" t="s">
        <v>5936</v>
      </c>
      <c r="EE77" s="868" t="s">
        <v>5950</v>
      </c>
      <c r="EF77" s="870" t="s">
        <v>5969</v>
      </c>
      <c r="EG77" s="873" t="s">
        <v>5986</v>
      </c>
      <c r="EH77" s="879" t="s">
        <v>6008</v>
      </c>
      <c r="EI77" s="881" t="s">
        <v>6043</v>
      </c>
      <c r="EJ77" s="892" t="s">
        <v>6246</v>
      </c>
      <c r="EK77" s="18" t="s">
        <v>6360</v>
      </c>
      <c r="EL77" s="18" t="s">
        <v>6457</v>
      </c>
      <c r="EM77" s="18" t="s">
        <v>6561</v>
      </c>
      <c r="EN77" s="612" t="s">
        <v>5165</v>
      </c>
      <c r="EO77" s="664">
        <v>44182</v>
      </c>
      <c r="EP77" s="664">
        <f>IF(EN77="NA","NA",Tabela4[[#This Row],[Data de protocolo para cálculo médio]]+(VLOOKUP(Tabela4[[#This Row],[Previsão com fórmula i-Helps tipo de fila]],Formulas!$H$1:$J$13,2,FALSE)*30))</f>
        <v>44584</v>
      </c>
      <c r="EQ77" s="664">
        <f>IF(EN77="NA","NA",Tabela4[[#This Row],[Data de protocolo para cálculo médio]]+(VLOOKUP(Tabela4[[#This Row],[Previsão com fórmula i-Helps tipo de fila]],Formulas!$H$1:$J$13,3,FALSE)*30))</f>
        <v>44767</v>
      </c>
      <c r="ER77" s="501">
        <v>44774</v>
      </c>
      <c r="ES77" s="113" t="s">
        <v>5370</v>
      </c>
      <c r="ET77" s="666" t="s">
        <v>5059</v>
      </c>
      <c r="EU77" s="617" t="s">
        <v>5060</v>
      </c>
      <c r="EV77" s="617" t="s">
        <v>5061</v>
      </c>
    </row>
    <row r="78" spans="1:153" s="556" customFormat="1" ht="280.5" x14ac:dyDescent="0.2">
      <c r="A78" s="779">
        <v>30</v>
      </c>
      <c r="B78" s="663" t="s">
        <v>5613</v>
      </c>
      <c r="C78" s="477" t="s">
        <v>1137</v>
      </c>
      <c r="D78" s="113" t="s">
        <v>3797</v>
      </c>
      <c r="E78" s="477" t="s">
        <v>5635</v>
      </c>
      <c r="F78" s="113" t="s">
        <v>5550</v>
      </c>
      <c r="G78" s="288" t="s">
        <v>5454</v>
      </c>
      <c r="H78" s="6" t="s">
        <v>5372</v>
      </c>
      <c r="I78" s="72" t="s">
        <v>1806</v>
      </c>
      <c r="J78" s="113" t="s">
        <v>5453</v>
      </c>
      <c r="K78" s="6" t="s">
        <v>5452</v>
      </c>
      <c r="L78" s="477" t="s">
        <v>1393</v>
      </c>
      <c r="M78" s="122" t="s">
        <v>12</v>
      </c>
      <c r="N78" s="122" t="s">
        <v>3090</v>
      </c>
      <c r="O78" s="643">
        <v>44215</v>
      </c>
      <c r="P78" s="615" t="s">
        <v>5551</v>
      </c>
      <c r="Q78" s="615" t="s">
        <v>5512</v>
      </c>
      <c r="R78" s="477" t="s">
        <v>4250</v>
      </c>
      <c r="S78" s="612"/>
      <c r="T78" s="477" t="s">
        <v>5061</v>
      </c>
      <c r="U78" s="272"/>
      <c r="V78" s="477" t="s">
        <v>5652</v>
      </c>
      <c r="W78" s="477" t="s">
        <v>3337</v>
      </c>
      <c r="X78" s="113" t="s">
        <v>5455</v>
      </c>
      <c r="Y78" s="477" t="s">
        <v>112</v>
      </c>
      <c r="Z78" s="477" t="s">
        <v>3084</v>
      </c>
      <c r="AA78" s="612">
        <v>44246</v>
      </c>
      <c r="AB78" s="477">
        <v>63</v>
      </c>
      <c r="AC78" s="617">
        <v>44428</v>
      </c>
      <c r="AD78" s="18" t="s">
        <v>6562</v>
      </c>
      <c r="AE78" s="122"/>
      <c r="AF78" s="477"/>
      <c r="AG78" s="477"/>
      <c r="AH78" s="477"/>
      <c r="AI78" s="477"/>
      <c r="AJ78" s="477"/>
      <c r="AK78" s="477"/>
      <c r="AL78" s="477"/>
      <c r="AM78" s="477"/>
      <c r="AN78" s="477"/>
      <c r="AO78" s="477"/>
      <c r="AP78" s="477"/>
      <c r="AQ78" s="477"/>
      <c r="AR78" s="477"/>
      <c r="AS78" s="477"/>
      <c r="AT78" s="477"/>
      <c r="AU78" s="477"/>
      <c r="AV78" s="477"/>
      <c r="AW78" s="477"/>
      <c r="AX78" s="477"/>
      <c r="AY78" s="477"/>
      <c r="AZ78" s="477"/>
      <c r="BA78" s="477"/>
      <c r="BB78" s="477"/>
      <c r="BC78" s="477"/>
      <c r="BD78" s="477"/>
      <c r="BE78" s="477"/>
      <c r="BF78" s="477"/>
      <c r="BG78" s="477"/>
      <c r="BH78" s="477"/>
      <c r="BI78" s="477"/>
      <c r="BJ78" s="477"/>
      <c r="BK78" s="477"/>
      <c r="BL78" s="477"/>
      <c r="BM78" s="477"/>
      <c r="BN78" s="477"/>
      <c r="BO78" s="477"/>
      <c r="BP78" s="477"/>
      <c r="BQ78" s="477"/>
      <c r="BR78" s="477"/>
      <c r="BS78" s="477"/>
      <c r="BT78" s="477"/>
      <c r="BU78" s="477"/>
      <c r="BV78" s="477"/>
      <c r="BW78" s="477"/>
      <c r="BX78" s="477"/>
      <c r="BY78" s="477"/>
      <c r="BZ78" s="477"/>
      <c r="CA78" s="477"/>
      <c r="CB78" s="477"/>
      <c r="CC78" s="477"/>
      <c r="CD78" s="477"/>
      <c r="CE78" s="477"/>
      <c r="CF78" s="477"/>
      <c r="CG78" s="477"/>
      <c r="CH78" s="477"/>
      <c r="CI78" s="477"/>
      <c r="CJ78" s="477"/>
      <c r="CK78" s="626"/>
      <c r="CL78" s="626"/>
      <c r="CM78" s="626"/>
      <c r="CN78" s="626"/>
      <c r="CO78" s="626"/>
      <c r="CP78" s="626"/>
      <c r="CQ78" s="626"/>
      <c r="CR78" s="626"/>
      <c r="CS78" s="626"/>
      <c r="CT78" s="626"/>
      <c r="CU78" s="626"/>
      <c r="CV78" s="626"/>
      <c r="CW78" s="626"/>
      <c r="CX78" s="626"/>
      <c r="CY78" s="626"/>
      <c r="CZ78" s="626"/>
      <c r="DA78" s="626"/>
      <c r="DB78" s="626"/>
      <c r="DC78" s="626"/>
      <c r="DD78" s="626"/>
      <c r="DE78" s="626"/>
      <c r="DF78" s="626"/>
      <c r="DG78" s="626"/>
      <c r="DH78" s="626"/>
      <c r="DI78" s="626"/>
      <c r="DJ78" s="626"/>
      <c r="DK78" s="626"/>
      <c r="DL78" s="626"/>
      <c r="DM78" s="626"/>
      <c r="DN78" s="626">
        <v>63</v>
      </c>
      <c r="DO78" s="626">
        <v>59</v>
      </c>
      <c r="DP78" s="626">
        <v>55</v>
      </c>
      <c r="DQ78" s="626">
        <v>49</v>
      </c>
      <c r="DR78" s="626">
        <v>41</v>
      </c>
      <c r="DS78" s="626">
        <v>17</v>
      </c>
      <c r="DT78" s="626">
        <v>13</v>
      </c>
      <c r="DU78" s="626">
        <v>13</v>
      </c>
      <c r="DV78" s="626">
        <v>11</v>
      </c>
      <c r="DW78" s="122" t="s">
        <v>5784</v>
      </c>
      <c r="DX78" s="122" t="s">
        <v>5830</v>
      </c>
      <c r="DY78" s="122" t="s">
        <v>5830</v>
      </c>
      <c r="DZ78" s="122" t="s">
        <v>5830</v>
      </c>
      <c r="EA78" s="122" t="s">
        <v>5830</v>
      </c>
      <c r="EB78" s="122" t="s">
        <v>5830</v>
      </c>
      <c r="EC78" s="122" t="s">
        <v>5830</v>
      </c>
      <c r="ED78" s="122" t="s">
        <v>5830</v>
      </c>
      <c r="EE78" s="122" t="s">
        <v>5830</v>
      </c>
      <c r="EF78" s="122" t="s">
        <v>5830</v>
      </c>
      <c r="EG78" s="122" t="s">
        <v>5830</v>
      </c>
      <c r="EH78" s="122" t="s">
        <v>6009</v>
      </c>
      <c r="EI78" s="122" t="s">
        <v>6044</v>
      </c>
      <c r="EJ78" s="892" t="s">
        <v>6247</v>
      </c>
      <c r="EK78" s="18" t="s">
        <v>6361</v>
      </c>
      <c r="EL78" s="18" t="s">
        <v>6458</v>
      </c>
      <c r="EM78" s="18" t="s">
        <v>6562</v>
      </c>
      <c r="EN78" s="612" t="s">
        <v>5165</v>
      </c>
      <c r="EO78" s="664">
        <v>44181</v>
      </c>
      <c r="EP78" s="664">
        <f>IF(EN78="NA","NA",Tabela4[[#This Row],[Data de protocolo para cálculo médio]]+(VLOOKUP(Tabela4[[#This Row],[Previsão com fórmula i-Helps tipo de fila]],Formulas!$H$1:$J$13,2,FALSE)*30))</f>
        <v>44583</v>
      </c>
      <c r="EQ78" s="664">
        <f>IF(EN78="NA","NA",Tabela4[[#This Row],[Data de protocolo para cálculo médio]]+(VLOOKUP(Tabela4[[#This Row],[Previsão com fórmula i-Helps tipo de fila]],Formulas!$H$1:$J$13,3,FALSE)*30))</f>
        <v>44766</v>
      </c>
      <c r="ER78" s="501">
        <v>44774</v>
      </c>
      <c r="ES78" s="113" t="s">
        <v>5370</v>
      </c>
      <c r="ET78" s="666" t="s">
        <v>5059</v>
      </c>
      <c r="EU78" s="617" t="s">
        <v>5060</v>
      </c>
      <c r="EV78" s="617" t="s">
        <v>5061</v>
      </c>
    </row>
    <row r="79" spans="1:153" s="556" customFormat="1" ht="204" x14ac:dyDescent="0.2">
      <c r="A79" s="779">
        <v>31</v>
      </c>
      <c r="B79" s="663" t="s">
        <v>5621</v>
      </c>
      <c r="C79" s="477" t="s">
        <v>584</v>
      </c>
      <c r="D79" s="113" t="s">
        <v>3797</v>
      </c>
      <c r="E79" s="113" t="s">
        <v>5232</v>
      </c>
      <c r="F79" s="113" t="s">
        <v>5494</v>
      </c>
      <c r="G79" s="288" t="s">
        <v>5466</v>
      </c>
      <c r="H79" s="6" t="s">
        <v>5039</v>
      </c>
      <c r="I79" s="72"/>
      <c r="J79" s="113" t="s">
        <v>5467</v>
      </c>
      <c r="K79" s="6" t="s">
        <v>5468</v>
      </c>
      <c r="L79" s="477" t="s">
        <v>454</v>
      </c>
      <c r="M79" s="122" t="s">
        <v>3468</v>
      </c>
      <c r="N79" s="122" t="s">
        <v>2992</v>
      </c>
      <c r="O79" s="643">
        <v>44218</v>
      </c>
      <c r="P79" s="615" t="s">
        <v>5495</v>
      </c>
      <c r="Q79" s="615" t="s">
        <v>112</v>
      </c>
      <c r="R79" s="477" t="s">
        <v>3256</v>
      </c>
      <c r="S79" s="612"/>
      <c r="T79" s="477" t="s">
        <v>5517</v>
      </c>
      <c r="U79" s="272" t="s">
        <v>6015</v>
      </c>
      <c r="V79" s="113" t="s">
        <v>5836</v>
      </c>
      <c r="W79" s="477" t="s">
        <v>112</v>
      </c>
      <c r="X79" s="477" t="s">
        <v>112</v>
      </c>
      <c r="Y79" s="477" t="s">
        <v>112</v>
      </c>
      <c r="Z79" s="477" t="s">
        <v>112</v>
      </c>
      <c r="AA79" s="612">
        <v>44225</v>
      </c>
      <c r="AB79" s="477">
        <v>40</v>
      </c>
      <c r="AC79" s="617">
        <v>44428</v>
      </c>
      <c r="AD79" s="626">
        <v>8</v>
      </c>
      <c r="AE79" s="626"/>
      <c r="AF79" s="477"/>
      <c r="AG79" s="477"/>
      <c r="AH79" s="477"/>
      <c r="AI79" s="477"/>
      <c r="AJ79" s="477"/>
      <c r="AK79" s="477"/>
      <c r="AL79" s="477"/>
      <c r="AM79" s="477"/>
      <c r="AN79" s="477"/>
      <c r="AO79" s="477"/>
      <c r="AP79" s="477"/>
      <c r="AQ79" s="477"/>
      <c r="AR79" s="477"/>
      <c r="AS79" s="477"/>
      <c r="AT79" s="477"/>
      <c r="AU79" s="477"/>
      <c r="AV79" s="477"/>
      <c r="AW79" s="477"/>
      <c r="AX79" s="477"/>
      <c r="AY79" s="477"/>
      <c r="AZ79" s="477"/>
      <c r="BA79" s="477"/>
      <c r="BB79" s="477"/>
      <c r="BC79" s="477"/>
      <c r="BD79" s="477"/>
      <c r="BE79" s="477"/>
      <c r="BF79" s="477"/>
      <c r="BG79" s="477"/>
      <c r="BH79" s="477"/>
      <c r="BI79" s="477"/>
      <c r="BJ79" s="477"/>
      <c r="BK79" s="477"/>
      <c r="BL79" s="477"/>
      <c r="BM79" s="477"/>
      <c r="BN79" s="477"/>
      <c r="BO79" s="477"/>
      <c r="BP79" s="477"/>
      <c r="BQ79" s="477"/>
      <c r="BR79" s="477"/>
      <c r="BS79" s="477"/>
      <c r="BT79" s="477"/>
      <c r="BU79" s="477"/>
      <c r="BV79" s="477"/>
      <c r="BW79" s="477"/>
      <c r="BX79" s="477"/>
      <c r="BY79" s="477"/>
      <c r="BZ79" s="477"/>
      <c r="CA79" s="477"/>
      <c r="CB79" s="477"/>
      <c r="CC79" s="477"/>
      <c r="CD79" s="477"/>
      <c r="CE79" s="477"/>
      <c r="CF79" s="477"/>
      <c r="CG79" s="477"/>
      <c r="CH79" s="477"/>
      <c r="CI79" s="477"/>
      <c r="CJ79" s="477"/>
      <c r="CK79" s="626"/>
      <c r="CL79" s="626"/>
      <c r="CM79" s="626"/>
      <c r="CN79" s="626"/>
      <c r="CO79" s="626"/>
      <c r="CP79" s="626"/>
      <c r="CQ79" s="626"/>
      <c r="CR79" s="626"/>
      <c r="CS79" s="626"/>
      <c r="CT79" s="626"/>
      <c r="CU79" s="626"/>
      <c r="CV79" s="626"/>
      <c r="CW79" s="626"/>
      <c r="CX79" s="626"/>
      <c r="CY79" s="626"/>
      <c r="CZ79" s="626"/>
      <c r="DA79" s="626"/>
      <c r="DB79" s="626"/>
      <c r="DC79" s="626"/>
      <c r="DD79" s="626"/>
      <c r="DE79" s="626"/>
      <c r="DF79" s="626"/>
      <c r="DG79" s="626"/>
      <c r="DH79" s="626"/>
      <c r="DI79" s="626"/>
      <c r="DJ79" s="626"/>
      <c r="DK79" s="626">
        <v>40</v>
      </c>
      <c r="DL79" s="626">
        <v>39</v>
      </c>
      <c r="DM79" s="626">
        <v>39</v>
      </c>
      <c r="DN79" s="626">
        <v>39</v>
      </c>
      <c r="DO79" s="626">
        <v>37</v>
      </c>
      <c r="DP79" s="626">
        <v>36</v>
      </c>
      <c r="DQ79" s="626">
        <v>36</v>
      </c>
      <c r="DR79" s="626">
        <v>36</v>
      </c>
      <c r="DS79" s="626">
        <v>34</v>
      </c>
      <c r="DT79" s="626">
        <v>33</v>
      </c>
      <c r="DU79" s="626">
        <v>33</v>
      </c>
      <c r="DV79" s="626">
        <v>33</v>
      </c>
      <c r="DW79" s="626">
        <v>32</v>
      </c>
      <c r="DX79" s="626">
        <v>31</v>
      </c>
      <c r="DY79" s="626">
        <v>31</v>
      </c>
      <c r="DZ79" s="626">
        <v>29</v>
      </c>
      <c r="EA79" s="626">
        <v>28</v>
      </c>
      <c r="EB79" s="626">
        <v>28</v>
      </c>
      <c r="EC79" s="626">
        <v>28</v>
      </c>
      <c r="ED79" s="626">
        <v>27</v>
      </c>
      <c r="EE79" s="626">
        <v>25</v>
      </c>
      <c r="EF79" s="626">
        <v>23</v>
      </c>
      <c r="EG79" s="626">
        <v>23</v>
      </c>
      <c r="EH79" s="626">
        <v>23</v>
      </c>
      <c r="EI79" s="626">
        <v>22</v>
      </c>
      <c r="EJ79" s="626">
        <v>9</v>
      </c>
      <c r="EK79" s="626">
        <v>9</v>
      </c>
      <c r="EL79" s="626">
        <v>8</v>
      </c>
      <c r="EM79" s="626">
        <v>8</v>
      </c>
      <c r="EN79" s="612" t="s">
        <v>5064</v>
      </c>
      <c r="EO79" s="664">
        <v>44218</v>
      </c>
      <c r="EP79" s="664">
        <f>IF(EN79="NA","NA",Tabela4[[#This Row],[Data de protocolo para cálculo médio]]+(VLOOKUP(Tabela4[[#This Row],[Previsão com fórmula i-Helps tipo de fila]],Formulas!$H$1:$J$13,2,FALSE)*30))</f>
        <v>44458</v>
      </c>
      <c r="EQ79" s="664">
        <f>IF(EN79="NA","NA",Tabela4[[#This Row],[Data de protocolo para cálculo médio]]+(VLOOKUP(Tabela4[[#This Row],[Previsão com fórmula i-Helps tipo de fila]],Formulas!$H$1:$J$13,3,FALSE)*30))</f>
        <v>44788</v>
      </c>
      <c r="ER79" s="501">
        <v>44805</v>
      </c>
      <c r="ES79" s="113" t="s">
        <v>5492</v>
      </c>
      <c r="ET79" s="666" t="s">
        <v>5059</v>
      </c>
      <c r="EU79" s="617" t="s">
        <v>5060</v>
      </c>
      <c r="EV79" s="617" t="s">
        <v>5064</v>
      </c>
      <c r="EW79" s="811"/>
    </row>
    <row r="80" spans="1:153" s="556" customFormat="1" ht="76.5" outlineLevel="1" x14ac:dyDescent="0.2">
      <c r="A80" s="779" t="s">
        <v>6172</v>
      </c>
      <c r="B80" s="663" t="s">
        <v>5621</v>
      </c>
      <c r="C80" s="477" t="s">
        <v>584</v>
      </c>
      <c r="D80" s="113" t="s">
        <v>3797</v>
      </c>
      <c r="E80" s="113" t="s">
        <v>5232</v>
      </c>
      <c r="F80" s="113" t="s">
        <v>5494</v>
      </c>
      <c r="G80" s="288" t="s">
        <v>5466</v>
      </c>
      <c r="H80" s="6" t="s">
        <v>5039</v>
      </c>
      <c r="I80" s="72"/>
      <c r="J80" s="113" t="s">
        <v>5467</v>
      </c>
      <c r="K80" s="6" t="s">
        <v>5468</v>
      </c>
      <c r="L80" s="477" t="s">
        <v>454</v>
      </c>
      <c r="M80" s="122" t="s">
        <v>3468</v>
      </c>
      <c r="N80" s="113" t="s">
        <v>6083</v>
      </c>
      <c r="O80" s="765">
        <v>44279</v>
      </c>
      <c r="P80" s="615" t="s">
        <v>6087</v>
      </c>
      <c r="Q80" s="615" t="s">
        <v>112</v>
      </c>
      <c r="R80" s="113" t="s">
        <v>3087</v>
      </c>
      <c r="S80" s="617"/>
      <c r="T80" s="113"/>
      <c r="U80" s="113"/>
      <c r="V80" s="113"/>
      <c r="W80" s="113"/>
      <c r="X80" s="113"/>
      <c r="Y80" s="113"/>
      <c r="Z80" s="113"/>
      <c r="AA80" s="617"/>
      <c r="AB80" s="113"/>
      <c r="AC80" s="617">
        <v>44428</v>
      </c>
      <c r="AD80" s="626" t="s">
        <v>6563</v>
      </c>
      <c r="AE80" s="122"/>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22"/>
      <c r="CL80" s="122"/>
      <c r="CM80" s="122"/>
      <c r="CN80" s="122"/>
      <c r="CO80" s="122"/>
      <c r="CP80" s="122"/>
      <c r="CQ80" s="122"/>
      <c r="CR80" s="122"/>
      <c r="CS80" s="122"/>
      <c r="CT80" s="122"/>
      <c r="CU80" s="122"/>
      <c r="CV80" s="122"/>
      <c r="CW80" s="122"/>
      <c r="CX80" s="122"/>
      <c r="CY80" s="122"/>
      <c r="CZ80" s="122"/>
      <c r="DA80" s="122"/>
      <c r="DB80" s="122"/>
      <c r="DC80" s="122"/>
      <c r="DD80" s="122"/>
      <c r="DE80" s="122"/>
      <c r="DF80" s="122"/>
      <c r="DG80" s="122"/>
      <c r="DH80" s="122"/>
      <c r="DI80" s="122"/>
      <c r="DJ80" s="122"/>
      <c r="DK80" s="122"/>
      <c r="DL80" s="122"/>
      <c r="DM80" s="122"/>
      <c r="DN80" s="122"/>
      <c r="DO80" s="122"/>
      <c r="DP80" s="122"/>
      <c r="DQ80" s="122"/>
      <c r="DR80" s="122"/>
      <c r="DS80" s="297"/>
      <c r="DT80" s="297"/>
      <c r="DU80" s="297"/>
      <c r="DV80" s="297"/>
      <c r="DW80" s="626"/>
      <c r="DX80" s="626"/>
      <c r="DY80" s="626"/>
      <c r="DZ80" s="626"/>
      <c r="EA80" s="626"/>
      <c r="EB80" s="297"/>
      <c r="EC80" s="297"/>
      <c r="ED80" s="297"/>
      <c r="EE80" s="297"/>
      <c r="EF80" s="297"/>
      <c r="EG80" s="297"/>
      <c r="EH80" s="297"/>
      <c r="EI80" s="297"/>
      <c r="EJ80" s="626" t="s">
        <v>6248</v>
      </c>
      <c r="EK80" s="626" t="s">
        <v>6362</v>
      </c>
      <c r="EL80" s="626" t="s">
        <v>6459</v>
      </c>
      <c r="EM80" s="626" t="s">
        <v>6563</v>
      </c>
      <c r="EN80" s="617" t="s">
        <v>112</v>
      </c>
      <c r="EO80" s="115"/>
      <c r="EP80" s="115" t="str">
        <f>IF(EN80="NA","NA",Tabela4[[#This Row],[Data de protocolo para cálculo médio]]+(VLOOKUP(Tabela4[[#This Row],[Previsão com fórmula i-Helps tipo de fila]],Formulas!$H$1:$J$13,2,FALSE)*30))</f>
        <v>NA</v>
      </c>
      <c r="EQ80" s="115" t="str">
        <f>IF(EN80="NA","NA",Tabela4[[#This Row],[Data de protocolo para cálculo médio]]+(VLOOKUP(Tabela4[[#This Row],[Previsão com fórmula i-Helps tipo de fila]],Formulas!$H$1:$J$13,3,FALSE)*30))</f>
        <v>NA</v>
      </c>
      <c r="ER80" s="115"/>
      <c r="ES80" s="685"/>
      <c r="ET80" s="666" t="s">
        <v>112</v>
      </c>
      <c r="EU80" s="666" t="s">
        <v>112</v>
      </c>
      <c r="EV80" s="666" t="s">
        <v>112</v>
      </c>
      <c r="EW80" s="811"/>
    </row>
    <row r="81" spans="1:153" s="556" customFormat="1" ht="76.5" outlineLevel="1" x14ac:dyDescent="0.2">
      <c r="A81" s="779" t="s">
        <v>6173</v>
      </c>
      <c r="B81" s="663" t="s">
        <v>5621</v>
      </c>
      <c r="C81" s="477" t="s">
        <v>584</v>
      </c>
      <c r="D81" s="113" t="s">
        <v>3797</v>
      </c>
      <c r="E81" s="113" t="s">
        <v>5232</v>
      </c>
      <c r="F81" s="113" t="s">
        <v>5494</v>
      </c>
      <c r="G81" s="288" t="s">
        <v>5466</v>
      </c>
      <c r="H81" s="6" t="s">
        <v>5039</v>
      </c>
      <c r="I81" s="72"/>
      <c r="J81" s="113" t="s">
        <v>5467</v>
      </c>
      <c r="K81" s="6" t="s">
        <v>5468</v>
      </c>
      <c r="L81" s="477" t="s">
        <v>454</v>
      </c>
      <c r="M81" s="122" t="s">
        <v>3468</v>
      </c>
      <c r="N81" s="113" t="s">
        <v>6080</v>
      </c>
      <c r="O81" s="765">
        <v>44279</v>
      </c>
      <c r="P81" s="615" t="s">
        <v>6088</v>
      </c>
      <c r="Q81" s="615" t="s">
        <v>112</v>
      </c>
      <c r="R81" s="113" t="s">
        <v>3087</v>
      </c>
      <c r="S81" s="617"/>
      <c r="T81" s="113"/>
      <c r="U81" s="113"/>
      <c r="V81" s="113"/>
      <c r="W81" s="113"/>
      <c r="X81" s="113"/>
      <c r="Y81" s="113"/>
      <c r="Z81" s="113"/>
      <c r="AA81" s="617"/>
      <c r="AB81" s="113"/>
      <c r="AC81" s="617">
        <v>44428</v>
      </c>
      <c r="AD81" s="626" t="s">
        <v>6564</v>
      </c>
      <c r="AE81" s="122"/>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22"/>
      <c r="CL81" s="122"/>
      <c r="CM81" s="122"/>
      <c r="CN81" s="122"/>
      <c r="CO81" s="122"/>
      <c r="CP81" s="122"/>
      <c r="CQ81" s="122"/>
      <c r="CR81" s="122"/>
      <c r="CS81" s="122"/>
      <c r="CT81" s="122"/>
      <c r="CU81" s="122"/>
      <c r="CV81" s="122"/>
      <c r="CW81" s="122"/>
      <c r="CX81" s="122"/>
      <c r="CY81" s="122"/>
      <c r="CZ81" s="122"/>
      <c r="DA81" s="122"/>
      <c r="DB81" s="122"/>
      <c r="DC81" s="122"/>
      <c r="DD81" s="122"/>
      <c r="DE81" s="122"/>
      <c r="DF81" s="122"/>
      <c r="DG81" s="122"/>
      <c r="DH81" s="122"/>
      <c r="DI81" s="122"/>
      <c r="DJ81" s="122"/>
      <c r="DK81" s="122"/>
      <c r="DL81" s="122"/>
      <c r="DM81" s="122"/>
      <c r="DN81" s="122"/>
      <c r="DO81" s="122"/>
      <c r="DP81" s="122"/>
      <c r="DQ81" s="122"/>
      <c r="DR81" s="122"/>
      <c r="DS81" s="297"/>
      <c r="DT81" s="297"/>
      <c r="DU81" s="297"/>
      <c r="DV81" s="297"/>
      <c r="DW81" s="626"/>
      <c r="DX81" s="626"/>
      <c r="DY81" s="626"/>
      <c r="DZ81" s="626"/>
      <c r="EA81" s="626"/>
      <c r="EB81" s="297"/>
      <c r="EC81" s="297"/>
      <c r="ED81" s="297"/>
      <c r="EE81" s="297"/>
      <c r="EF81" s="297"/>
      <c r="EG81" s="297"/>
      <c r="EH81" s="297"/>
      <c r="EI81" s="297"/>
      <c r="EJ81" s="626" t="s">
        <v>6249</v>
      </c>
      <c r="EK81" s="626" t="s">
        <v>6363</v>
      </c>
      <c r="EL81" s="626" t="s">
        <v>6460</v>
      </c>
      <c r="EM81" s="626" t="s">
        <v>6564</v>
      </c>
      <c r="EN81" s="617" t="s">
        <v>112</v>
      </c>
      <c r="EO81" s="115"/>
      <c r="EP81" s="115" t="str">
        <f>IF(EN81="NA","NA",Tabela4[[#This Row],[Data de protocolo para cálculo médio]]+(VLOOKUP(Tabela4[[#This Row],[Previsão com fórmula i-Helps tipo de fila]],Formulas!$H$1:$J$13,2,FALSE)*30))</f>
        <v>NA</v>
      </c>
      <c r="EQ81" s="115" t="str">
        <f>IF(EN81="NA","NA",Tabela4[[#This Row],[Data de protocolo para cálculo médio]]+(VLOOKUP(Tabela4[[#This Row],[Previsão com fórmula i-Helps tipo de fila]],Formulas!$H$1:$J$13,3,FALSE)*30))</f>
        <v>NA</v>
      </c>
      <c r="ER81" s="115"/>
      <c r="ES81" s="685"/>
      <c r="ET81" s="666" t="s">
        <v>112</v>
      </c>
      <c r="EU81" s="666" t="s">
        <v>112</v>
      </c>
      <c r="EV81" s="666" t="s">
        <v>112</v>
      </c>
      <c r="EW81" s="811"/>
    </row>
    <row r="82" spans="1:153" s="556" customFormat="1" ht="89.25" outlineLevel="1" x14ac:dyDescent="0.2">
      <c r="A82" s="779" t="s">
        <v>6174</v>
      </c>
      <c r="B82" s="663" t="s">
        <v>5621</v>
      </c>
      <c r="C82" s="477" t="s">
        <v>584</v>
      </c>
      <c r="D82" s="113" t="s">
        <v>3797</v>
      </c>
      <c r="E82" s="113" t="s">
        <v>5232</v>
      </c>
      <c r="F82" s="113" t="s">
        <v>5494</v>
      </c>
      <c r="G82" s="288" t="s">
        <v>5466</v>
      </c>
      <c r="H82" s="6" t="s">
        <v>5039</v>
      </c>
      <c r="I82" s="72"/>
      <c r="J82" s="113" t="s">
        <v>5467</v>
      </c>
      <c r="K82" s="6" t="s">
        <v>5468</v>
      </c>
      <c r="L82" s="477" t="s">
        <v>454</v>
      </c>
      <c r="M82" s="122" t="s">
        <v>3468</v>
      </c>
      <c r="N82" s="113" t="s">
        <v>6082</v>
      </c>
      <c r="O82" s="765">
        <v>44228</v>
      </c>
      <c r="P82" s="615" t="s">
        <v>6089</v>
      </c>
      <c r="Q82" s="615" t="s">
        <v>112</v>
      </c>
      <c r="R82" s="113" t="s">
        <v>3087</v>
      </c>
      <c r="S82" s="617"/>
      <c r="T82" s="113"/>
      <c r="U82" s="113"/>
      <c r="V82" s="113"/>
      <c r="W82" s="113"/>
      <c r="X82" s="113"/>
      <c r="Y82" s="113"/>
      <c r="Z82" s="113"/>
      <c r="AA82" s="617"/>
      <c r="AB82" s="113"/>
      <c r="AC82" s="617">
        <v>44428</v>
      </c>
      <c r="AD82" s="626" t="s">
        <v>6565</v>
      </c>
      <c r="AE82" s="122"/>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22"/>
      <c r="CL82" s="122"/>
      <c r="CM82" s="122"/>
      <c r="CN82" s="122"/>
      <c r="CO82" s="122"/>
      <c r="CP82" s="122"/>
      <c r="CQ82" s="122"/>
      <c r="CR82" s="122"/>
      <c r="CS82" s="122"/>
      <c r="CT82" s="122"/>
      <c r="CU82" s="122"/>
      <c r="CV82" s="122"/>
      <c r="CW82" s="122"/>
      <c r="CX82" s="122"/>
      <c r="CY82" s="122"/>
      <c r="CZ82" s="122"/>
      <c r="DA82" s="122"/>
      <c r="DB82" s="122"/>
      <c r="DC82" s="122"/>
      <c r="DD82" s="122"/>
      <c r="DE82" s="122"/>
      <c r="DF82" s="122"/>
      <c r="DG82" s="122"/>
      <c r="DH82" s="122"/>
      <c r="DI82" s="122"/>
      <c r="DJ82" s="122"/>
      <c r="DK82" s="122"/>
      <c r="DL82" s="122"/>
      <c r="DM82" s="122"/>
      <c r="DN82" s="122"/>
      <c r="DO82" s="122"/>
      <c r="DP82" s="122"/>
      <c r="DQ82" s="122"/>
      <c r="DR82" s="122"/>
      <c r="DS82" s="297"/>
      <c r="DT82" s="297"/>
      <c r="DU82" s="297"/>
      <c r="DV82" s="297"/>
      <c r="DW82" s="626"/>
      <c r="DX82" s="626"/>
      <c r="DY82" s="626"/>
      <c r="DZ82" s="626"/>
      <c r="EA82" s="626"/>
      <c r="EB82" s="297"/>
      <c r="EC82" s="297"/>
      <c r="ED82" s="297"/>
      <c r="EE82" s="297"/>
      <c r="EF82" s="297"/>
      <c r="EG82" s="297"/>
      <c r="EH82" s="297"/>
      <c r="EI82" s="297"/>
      <c r="EJ82" s="626" t="s">
        <v>6250</v>
      </c>
      <c r="EK82" s="626" t="s">
        <v>6364</v>
      </c>
      <c r="EL82" s="626" t="s">
        <v>6461</v>
      </c>
      <c r="EM82" s="626" t="s">
        <v>6565</v>
      </c>
      <c r="EN82" s="617" t="s">
        <v>112</v>
      </c>
      <c r="EO82" s="115"/>
      <c r="EP82" s="115" t="str">
        <f>IF(EN82="NA","NA",Tabela4[[#This Row],[Data de protocolo para cálculo médio]]+(VLOOKUP(Tabela4[[#This Row],[Previsão com fórmula i-Helps tipo de fila]],Formulas!$H$1:$J$13,2,FALSE)*30))</f>
        <v>NA</v>
      </c>
      <c r="EQ82" s="115" t="str">
        <f>IF(EN82="NA","NA",Tabela4[[#This Row],[Data de protocolo para cálculo médio]]+(VLOOKUP(Tabela4[[#This Row],[Previsão com fórmula i-Helps tipo de fila]],Formulas!$H$1:$J$13,3,FALSE)*30))</f>
        <v>NA</v>
      </c>
      <c r="ER82" s="115"/>
      <c r="ES82" s="685"/>
      <c r="ET82" s="666" t="s">
        <v>112</v>
      </c>
      <c r="EU82" s="666" t="s">
        <v>112</v>
      </c>
      <c r="EV82" s="666" t="s">
        <v>112</v>
      </c>
      <c r="EW82" s="811"/>
    </row>
    <row r="83" spans="1:153" s="556" customFormat="1" ht="114.75" outlineLevel="1" x14ac:dyDescent="0.2">
      <c r="A83" s="779" t="s">
        <v>6175</v>
      </c>
      <c r="B83" s="663" t="s">
        <v>5621</v>
      </c>
      <c r="C83" s="477" t="s">
        <v>584</v>
      </c>
      <c r="D83" s="113" t="s">
        <v>3797</v>
      </c>
      <c r="E83" s="113" t="s">
        <v>5232</v>
      </c>
      <c r="F83" s="113" t="s">
        <v>5494</v>
      </c>
      <c r="G83" s="288" t="s">
        <v>5466</v>
      </c>
      <c r="H83" s="6" t="s">
        <v>5039</v>
      </c>
      <c r="I83" s="72"/>
      <c r="J83" s="113" t="s">
        <v>5467</v>
      </c>
      <c r="K83" s="6" t="s">
        <v>5468</v>
      </c>
      <c r="L83" s="477" t="s">
        <v>454</v>
      </c>
      <c r="M83" s="122" t="s">
        <v>3468</v>
      </c>
      <c r="N83" s="113" t="s">
        <v>6081</v>
      </c>
      <c r="O83" s="765">
        <v>44223</v>
      </c>
      <c r="P83" s="615" t="s">
        <v>6090</v>
      </c>
      <c r="Q83" s="615" t="s">
        <v>112</v>
      </c>
      <c r="R83" s="113" t="s">
        <v>3087</v>
      </c>
      <c r="S83" s="617"/>
      <c r="T83" s="113"/>
      <c r="U83" s="113"/>
      <c r="V83" s="113"/>
      <c r="W83" s="113"/>
      <c r="X83" s="113"/>
      <c r="Y83" s="113"/>
      <c r="Z83" s="113"/>
      <c r="AA83" s="617"/>
      <c r="AB83" s="113"/>
      <c r="AC83" s="617">
        <v>44428</v>
      </c>
      <c r="AD83" s="626" t="s">
        <v>6566</v>
      </c>
      <c r="AE83" s="122"/>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22"/>
      <c r="CL83" s="122"/>
      <c r="CM83" s="122"/>
      <c r="CN83" s="122"/>
      <c r="CO83" s="122"/>
      <c r="CP83" s="122"/>
      <c r="CQ83" s="122"/>
      <c r="CR83" s="122"/>
      <c r="CS83" s="122"/>
      <c r="CT83" s="122"/>
      <c r="CU83" s="122"/>
      <c r="CV83" s="122"/>
      <c r="CW83" s="122"/>
      <c r="CX83" s="122"/>
      <c r="CY83" s="122"/>
      <c r="CZ83" s="122"/>
      <c r="DA83" s="122"/>
      <c r="DB83" s="122"/>
      <c r="DC83" s="122"/>
      <c r="DD83" s="122"/>
      <c r="DE83" s="122"/>
      <c r="DF83" s="122"/>
      <c r="DG83" s="122"/>
      <c r="DH83" s="122"/>
      <c r="DI83" s="122"/>
      <c r="DJ83" s="122"/>
      <c r="DK83" s="122"/>
      <c r="DL83" s="122"/>
      <c r="DM83" s="122"/>
      <c r="DN83" s="122"/>
      <c r="DO83" s="122"/>
      <c r="DP83" s="122"/>
      <c r="DQ83" s="122"/>
      <c r="DR83" s="122"/>
      <c r="DS83" s="297"/>
      <c r="DT83" s="297"/>
      <c r="DU83" s="297"/>
      <c r="DV83" s="297"/>
      <c r="DW83" s="626"/>
      <c r="DX83" s="626"/>
      <c r="DY83" s="626"/>
      <c r="DZ83" s="626"/>
      <c r="EA83" s="626"/>
      <c r="EB83" s="297"/>
      <c r="EC83" s="297"/>
      <c r="ED83" s="297"/>
      <c r="EE83" s="297"/>
      <c r="EF83" s="297"/>
      <c r="EG83" s="297"/>
      <c r="EH83" s="297"/>
      <c r="EI83" s="297"/>
      <c r="EJ83" s="626" t="s">
        <v>6251</v>
      </c>
      <c r="EK83" s="626" t="s">
        <v>6365</v>
      </c>
      <c r="EL83" s="626" t="s">
        <v>6462</v>
      </c>
      <c r="EM83" s="626" t="s">
        <v>6566</v>
      </c>
      <c r="EN83" s="617" t="s">
        <v>112</v>
      </c>
      <c r="EO83" s="115"/>
      <c r="EP83" s="115" t="str">
        <f>IF(EN83="NA","NA",Tabela4[[#This Row],[Data de protocolo para cálculo médio]]+(VLOOKUP(Tabela4[[#This Row],[Previsão com fórmula i-Helps tipo de fila]],Formulas!$H$1:$J$13,2,FALSE)*30))</f>
        <v>NA</v>
      </c>
      <c r="EQ83" s="115" t="str">
        <f>IF(EN83="NA","NA",Tabela4[[#This Row],[Data de protocolo para cálculo médio]]+(VLOOKUP(Tabela4[[#This Row],[Previsão com fórmula i-Helps tipo de fila]],Formulas!$H$1:$J$13,3,FALSE)*30))</f>
        <v>NA</v>
      </c>
      <c r="ER83" s="115"/>
      <c r="ES83" s="685"/>
      <c r="ET83" s="666" t="s">
        <v>112</v>
      </c>
      <c r="EU83" s="666" t="s">
        <v>112</v>
      </c>
      <c r="EV83" s="666" t="s">
        <v>112</v>
      </c>
      <c r="EW83" s="811"/>
    </row>
    <row r="84" spans="1:153" s="556" customFormat="1" ht="306" x14ac:dyDescent="0.2">
      <c r="A84" s="779">
        <v>32</v>
      </c>
      <c r="B84" s="663" t="s">
        <v>5625</v>
      </c>
      <c r="C84" s="477" t="s">
        <v>1137</v>
      </c>
      <c r="D84" s="113" t="s">
        <v>3798</v>
      </c>
      <c r="E84" s="113" t="s">
        <v>5636</v>
      </c>
      <c r="F84" s="477" t="s">
        <v>5509</v>
      </c>
      <c r="G84" s="802" t="s">
        <v>5486</v>
      </c>
      <c r="H84" s="6" t="s">
        <v>5485</v>
      </c>
      <c r="I84" s="72" t="s">
        <v>1806</v>
      </c>
      <c r="J84" s="113" t="s">
        <v>5487</v>
      </c>
      <c r="K84" s="6" t="s">
        <v>5488</v>
      </c>
      <c r="L84" s="477" t="s">
        <v>16</v>
      </c>
      <c r="M84" s="122" t="s">
        <v>12</v>
      </c>
      <c r="N84" s="122" t="s">
        <v>3090</v>
      </c>
      <c r="O84" s="643">
        <v>44217</v>
      </c>
      <c r="P84" s="615" t="s">
        <v>5510</v>
      </c>
      <c r="Q84" s="615" t="s">
        <v>5513</v>
      </c>
      <c r="R84" s="477" t="s">
        <v>4250</v>
      </c>
      <c r="S84" s="612"/>
      <c r="T84" s="477" t="s">
        <v>5061</v>
      </c>
      <c r="U84" s="272" t="s">
        <v>5937</v>
      </c>
      <c r="V84" s="113" t="s">
        <v>5941</v>
      </c>
      <c r="W84" s="477" t="s">
        <v>5483</v>
      </c>
      <c r="X84" s="477" t="s">
        <v>5491</v>
      </c>
      <c r="Y84" s="477" t="s">
        <v>3084</v>
      </c>
      <c r="Z84" s="477" t="s">
        <v>3084</v>
      </c>
      <c r="AA84" s="612">
        <v>44232</v>
      </c>
      <c r="AB84" s="477">
        <v>51</v>
      </c>
      <c r="AC84" s="617">
        <v>44428</v>
      </c>
      <c r="AD84" s="6" t="s">
        <v>6567</v>
      </c>
      <c r="AE84" s="868"/>
      <c r="AF84" s="477"/>
      <c r="AG84" s="477"/>
      <c r="AH84" s="477"/>
      <c r="AI84" s="477"/>
      <c r="AJ84" s="477"/>
      <c r="AK84" s="477"/>
      <c r="AL84" s="477"/>
      <c r="AM84" s="477"/>
      <c r="AN84" s="477"/>
      <c r="AO84" s="477"/>
      <c r="AP84" s="477"/>
      <c r="AQ84" s="477"/>
      <c r="AR84" s="477"/>
      <c r="AS84" s="477"/>
      <c r="AT84" s="477"/>
      <c r="AU84" s="477"/>
      <c r="AV84" s="477"/>
      <c r="AW84" s="477"/>
      <c r="AX84" s="477"/>
      <c r="AY84" s="477"/>
      <c r="AZ84" s="477"/>
      <c r="BA84" s="477"/>
      <c r="BB84" s="477"/>
      <c r="BC84" s="477"/>
      <c r="BD84" s="477"/>
      <c r="BE84" s="477"/>
      <c r="BF84" s="477"/>
      <c r="BG84" s="477"/>
      <c r="BH84" s="477"/>
      <c r="BI84" s="477"/>
      <c r="BJ84" s="477"/>
      <c r="BK84" s="477"/>
      <c r="BL84" s="477"/>
      <c r="BM84" s="477"/>
      <c r="BN84" s="477"/>
      <c r="BO84" s="477"/>
      <c r="BP84" s="477"/>
      <c r="BQ84" s="477"/>
      <c r="BR84" s="477"/>
      <c r="BS84" s="477"/>
      <c r="BT84" s="477"/>
      <c r="BU84" s="477"/>
      <c r="BV84" s="477"/>
      <c r="BW84" s="477"/>
      <c r="BX84" s="477"/>
      <c r="BY84" s="477"/>
      <c r="BZ84" s="477"/>
      <c r="CA84" s="477"/>
      <c r="CB84" s="477"/>
      <c r="CC84" s="477"/>
      <c r="CD84" s="477"/>
      <c r="CE84" s="477"/>
      <c r="CF84" s="477"/>
      <c r="CG84" s="477"/>
      <c r="CH84" s="477"/>
      <c r="CI84" s="477"/>
      <c r="CJ84" s="477"/>
      <c r="CK84" s="626"/>
      <c r="CL84" s="626"/>
      <c r="CM84" s="626"/>
      <c r="CN84" s="626"/>
      <c r="CO84" s="626"/>
      <c r="CP84" s="626"/>
      <c r="CQ84" s="626"/>
      <c r="CR84" s="626"/>
      <c r="CS84" s="626"/>
      <c r="CT84" s="626"/>
      <c r="CU84" s="626"/>
      <c r="CV84" s="626"/>
      <c r="CW84" s="626"/>
      <c r="CX84" s="626"/>
      <c r="CY84" s="626"/>
      <c r="CZ84" s="626"/>
      <c r="DA84" s="626"/>
      <c r="DB84" s="626"/>
      <c r="DC84" s="626"/>
      <c r="DD84" s="626"/>
      <c r="DE84" s="626"/>
      <c r="DF84" s="626"/>
      <c r="DG84" s="626"/>
      <c r="DH84" s="626"/>
      <c r="DI84" s="626"/>
      <c r="DJ84" s="626"/>
      <c r="DK84" s="626"/>
      <c r="DL84" s="626">
        <v>51</v>
      </c>
      <c r="DM84" s="626">
        <v>45</v>
      </c>
      <c r="DN84" s="626">
        <v>47</v>
      </c>
      <c r="DO84" s="626">
        <v>43</v>
      </c>
      <c r="DP84" s="626">
        <v>39</v>
      </c>
      <c r="DQ84" s="626">
        <v>33</v>
      </c>
      <c r="DR84" s="626">
        <v>25</v>
      </c>
      <c r="DS84" s="122" t="s">
        <v>5696</v>
      </c>
      <c r="DT84" s="122" t="s">
        <v>5696</v>
      </c>
      <c r="DU84" s="122" t="s">
        <v>5696</v>
      </c>
      <c r="DV84" s="122" t="s">
        <v>5696</v>
      </c>
      <c r="DW84" s="803" t="s">
        <v>5828</v>
      </c>
      <c r="DX84" s="803" t="s">
        <v>5827</v>
      </c>
      <c r="DY84" s="812" t="s">
        <v>5827</v>
      </c>
      <c r="DZ84" s="814" t="s">
        <v>5827</v>
      </c>
      <c r="EA84" s="821" t="s">
        <v>5827</v>
      </c>
      <c r="EB84" s="829" t="s">
        <v>5827</v>
      </c>
      <c r="EC84" s="847" t="s">
        <v>5827</v>
      </c>
      <c r="ED84" s="858" t="s">
        <v>5827</v>
      </c>
      <c r="EE84" s="868" t="s">
        <v>5827</v>
      </c>
      <c r="EF84" s="870" t="s">
        <v>5970</v>
      </c>
      <c r="EG84" s="873" t="s">
        <v>5970</v>
      </c>
      <c r="EH84" s="879" t="s">
        <v>5970</v>
      </c>
      <c r="EI84" s="881" t="s">
        <v>5970</v>
      </c>
      <c r="EJ84" s="892" t="s">
        <v>6252</v>
      </c>
      <c r="EK84" s="6" t="s">
        <v>6366</v>
      </c>
      <c r="EL84" s="6" t="s">
        <v>6463</v>
      </c>
      <c r="EM84" s="6" t="s">
        <v>6567</v>
      </c>
      <c r="EN84" s="612" t="s">
        <v>5165</v>
      </c>
      <c r="EO84" s="664">
        <v>43867</v>
      </c>
      <c r="EP84" s="664">
        <f>IF(EN84="NA","NA",Tabela4[[#This Row],[Data de protocolo para cálculo médio]]+(VLOOKUP(Tabela4[[#This Row],[Previsão com fórmula i-Helps tipo de fila]],Formulas!$H$1:$J$13,2,FALSE)*30))</f>
        <v>44269</v>
      </c>
      <c r="EQ84" s="664">
        <f>IF(EN84="NA","NA",Tabela4[[#This Row],[Data de protocolo para cálculo médio]]+(VLOOKUP(Tabela4[[#This Row],[Previsão com fórmula i-Helps tipo de fila]],Formulas!$H$1:$J$13,3,FALSE)*30))</f>
        <v>44452</v>
      </c>
      <c r="ER84" s="501">
        <v>44621</v>
      </c>
      <c r="ES84" s="113" t="s">
        <v>5493</v>
      </c>
      <c r="ET84" s="666" t="s">
        <v>5059</v>
      </c>
      <c r="EU84" s="617" t="s">
        <v>5060</v>
      </c>
      <c r="EV84" s="617" t="s">
        <v>5061</v>
      </c>
    </row>
    <row r="85" spans="1:153" s="556" customFormat="1" ht="315.75" customHeight="1" x14ac:dyDescent="0.2">
      <c r="A85" s="779">
        <v>33</v>
      </c>
      <c r="B85" s="779" t="s">
        <v>5684</v>
      </c>
      <c r="C85" s="779" t="s">
        <v>584</v>
      </c>
      <c r="D85" s="779" t="s">
        <v>3798</v>
      </c>
      <c r="E85" s="779" t="s">
        <v>5728</v>
      </c>
      <c r="F85" s="113" t="s">
        <v>5735</v>
      </c>
      <c r="G85" s="288" t="s">
        <v>5699</v>
      </c>
      <c r="H85" s="6" t="s">
        <v>5686</v>
      </c>
      <c r="I85" s="6"/>
      <c r="J85" s="6" t="s">
        <v>5685</v>
      </c>
      <c r="K85" s="6" t="s">
        <v>355</v>
      </c>
      <c r="L85" s="477" t="s">
        <v>11</v>
      </c>
      <c r="M85" s="6" t="s">
        <v>1454</v>
      </c>
      <c r="N85" s="6" t="s">
        <v>3090</v>
      </c>
      <c r="O85" s="787">
        <v>44279</v>
      </c>
      <c r="P85" s="6" t="s">
        <v>5736</v>
      </c>
      <c r="Q85" s="6" t="s">
        <v>5732</v>
      </c>
      <c r="R85" s="6" t="s">
        <v>3038</v>
      </c>
      <c r="S85" s="787">
        <v>44344</v>
      </c>
      <c r="T85" s="6" t="s">
        <v>5061</v>
      </c>
      <c r="U85" s="6" t="s">
        <v>5894</v>
      </c>
      <c r="V85" s="6" t="s">
        <v>5807</v>
      </c>
      <c r="W85" s="6" t="s">
        <v>5700</v>
      </c>
      <c r="X85" s="6" t="s">
        <v>5687</v>
      </c>
      <c r="Y85" s="6" t="s">
        <v>112</v>
      </c>
      <c r="Z85" s="6" t="s">
        <v>3084</v>
      </c>
      <c r="AA85" s="617">
        <v>44295</v>
      </c>
      <c r="AB85" s="6">
        <v>44</v>
      </c>
      <c r="AC85" s="617">
        <v>44428</v>
      </c>
      <c r="AD85" s="6" t="s">
        <v>6606</v>
      </c>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c r="DD85" s="6"/>
      <c r="DE85" s="6"/>
      <c r="DF85" s="6"/>
      <c r="DG85" s="6"/>
      <c r="DH85" s="6"/>
      <c r="DI85" s="6"/>
      <c r="DJ85" s="6"/>
      <c r="DK85" s="6"/>
      <c r="DL85" s="6"/>
      <c r="DM85" s="6"/>
      <c r="DN85" s="6"/>
      <c r="DO85" s="6"/>
      <c r="DP85" s="6"/>
      <c r="DQ85" s="6"/>
      <c r="DR85" s="6"/>
      <c r="DS85" s="6"/>
      <c r="DT85" s="6"/>
      <c r="DU85" s="6">
        <v>44</v>
      </c>
      <c r="DV85" s="6">
        <v>38</v>
      </c>
      <c r="DW85" s="6">
        <v>26</v>
      </c>
      <c r="DX85" s="6">
        <v>26</v>
      </c>
      <c r="DY85" s="6">
        <v>16</v>
      </c>
      <c r="DZ85" s="6">
        <v>6</v>
      </c>
      <c r="EA85" s="6">
        <v>6</v>
      </c>
      <c r="EB85" s="6" t="s">
        <v>5895</v>
      </c>
      <c r="EC85" s="6" t="s">
        <v>5895</v>
      </c>
      <c r="ED85" s="6" t="s">
        <v>5895</v>
      </c>
      <c r="EE85" s="6" t="s">
        <v>5895</v>
      </c>
      <c r="EF85" s="6" t="s">
        <v>5895</v>
      </c>
      <c r="EG85" s="6" t="s">
        <v>5895</v>
      </c>
      <c r="EH85" s="6" t="s">
        <v>5895</v>
      </c>
      <c r="EI85" s="6" t="s">
        <v>5895</v>
      </c>
      <c r="EJ85" s="6" t="s">
        <v>6254</v>
      </c>
      <c r="EK85" s="6" t="s">
        <v>6367</v>
      </c>
      <c r="EL85" s="6" t="s">
        <v>6469</v>
      </c>
      <c r="EM85" s="6" t="s">
        <v>6606</v>
      </c>
      <c r="EN85" s="830" t="s">
        <v>5061</v>
      </c>
      <c r="EO85" s="831">
        <v>44248</v>
      </c>
      <c r="EP85" s="832">
        <f>IF(EN85="NA","NA",Tabela4[[#This Row],[Data de protocolo para cálculo médio]]+(VLOOKUP(Tabela4[[#This Row],[Previsão com fórmula i-Helps tipo de fila]],Formulas!$H$1:$J$13,2,FALSE)*30))</f>
        <v>44293</v>
      </c>
      <c r="EQ85" s="832">
        <f>IF(EN85="NA","NA",Tabela4[[#This Row],[Data de protocolo para cálculo médio]]+(VLOOKUP(Tabela4[[#This Row],[Previsão com fórmula i-Helps tipo de fila]],Formulas!$H$1:$J$13,3,FALSE)*30))</f>
        <v>44332</v>
      </c>
      <c r="ER85" s="833">
        <v>44348</v>
      </c>
      <c r="ES85" s="846" t="s">
        <v>5940</v>
      </c>
      <c r="ET85" s="834" t="s">
        <v>5059</v>
      </c>
      <c r="EU85" s="834" t="s">
        <v>5060</v>
      </c>
      <c r="EV85" s="834" t="s">
        <v>5061</v>
      </c>
    </row>
    <row r="86" spans="1:153" s="556" customFormat="1" ht="129.75" customHeight="1" x14ac:dyDescent="0.2">
      <c r="A86" s="779">
        <v>34</v>
      </c>
      <c r="B86" s="773" t="s">
        <v>5794</v>
      </c>
      <c r="C86" s="788" t="s">
        <v>584</v>
      </c>
      <c r="D86" s="433" t="s">
        <v>3798</v>
      </c>
      <c r="E86" s="773" t="s">
        <v>5728</v>
      </c>
      <c r="F86" s="793" t="s">
        <v>5805</v>
      </c>
      <c r="G86" s="777" t="s">
        <v>5729</v>
      </c>
      <c r="H86" s="773" t="s">
        <v>5686</v>
      </c>
      <c r="I86" s="297" t="s">
        <v>5734</v>
      </c>
      <c r="J86" s="788" t="s">
        <v>5727</v>
      </c>
      <c r="K86" s="773" t="s">
        <v>5730</v>
      </c>
      <c r="L86" s="477" t="s">
        <v>454</v>
      </c>
      <c r="M86" s="297" t="s">
        <v>1454</v>
      </c>
      <c r="N86" s="788" t="s">
        <v>2992</v>
      </c>
      <c r="O86" s="794">
        <v>44286</v>
      </c>
      <c r="P86" s="774" t="s">
        <v>5846</v>
      </c>
      <c r="Q86" s="774" t="s">
        <v>112</v>
      </c>
      <c r="R86" s="788" t="s">
        <v>3087</v>
      </c>
      <c r="S86" s="775"/>
      <c r="T86" s="773" t="s">
        <v>5064</v>
      </c>
      <c r="U86" s="797" t="s">
        <v>5815</v>
      </c>
      <c r="V86" s="613" t="s">
        <v>5939</v>
      </c>
      <c r="W86" s="773" t="s">
        <v>112</v>
      </c>
      <c r="X86" s="773" t="s">
        <v>112</v>
      </c>
      <c r="Y86" s="773" t="s">
        <v>112</v>
      </c>
      <c r="Z86" s="773" t="s">
        <v>112</v>
      </c>
      <c r="AA86" s="775">
        <v>44286</v>
      </c>
      <c r="AB86" s="773">
        <v>43</v>
      </c>
      <c r="AC86" s="617">
        <v>44428</v>
      </c>
      <c r="AD86" s="297">
        <v>17</v>
      </c>
      <c r="AE86" s="297"/>
      <c r="AF86" s="773"/>
      <c r="AG86" s="773"/>
      <c r="AH86" s="773"/>
      <c r="AI86" s="773"/>
      <c r="AJ86" s="773"/>
      <c r="AK86" s="773"/>
      <c r="AL86" s="773"/>
      <c r="AM86" s="773"/>
      <c r="AN86" s="773"/>
      <c r="AO86" s="773"/>
      <c r="AP86" s="773"/>
      <c r="AQ86" s="773"/>
      <c r="AR86" s="773"/>
      <c r="AS86" s="773"/>
      <c r="AT86" s="773"/>
      <c r="AU86" s="773"/>
      <c r="AV86" s="773"/>
      <c r="AW86" s="773"/>
      <c r="AX86" s="773"/>
      <c r="AY86" s="773"/>
      <c r="AZ86" s="773"/>
      <c r="BA86" s="773"/>
      <c r="BB86" s="773"/>
      <c r="BC86" s="773"/>
      <c r="BD86" s="773"/>
      <c r="BE86" s="773"/>
      <c r="BF86" s="773"/>
      <c r="BG86" s="773"/>
      <c r="BH86" s="773"/>
      <c r="BI86" s="773"/>
      <c r="BJ86" s="773"/>
      <c r="BK86" s="773"/>
      <c r="BL86" s="773"/>
      <c r="BM86" s="773"/>
      <c r="BN86" s="773"/>
      <c r="BO86" s="773"/>
      <c r="BP86" s="773"/>
      <c r="BQ86" s="773"/>
      <c r="BR86" s="773"/>
      <c r="BS86" s="773"/>
      <c r="BT86" s="773"/>
      <c r="BU86" s="773"/>
      <c r="BV86" s="773"/>
      <c r="BW86" s="773"/>
      <c r="BX86" s="773"/>
      <c r="BY86" s="773"/>
      <c r="BZ86" s="773"/>
      <c r="CA86" s="773"/>
      <c r="CB86" s="773"/>
      <c r="CC86" s="773"/>
      <c r="CD86" s="773"/>
      <c r="CE86" s="773"/>
      <c r="CF86" s="773"/>
      <c r="CG86" s="773"/>
      <c r="CH86" s="773"/>
      <c r="CI86" s="773"/>
      <c r="CJ86" s="773"/>
      <c r="CK86" s="297"/>
      <c r="CL86" s="297"/>
      <c r="CM86" s="297"/>
      <c r="CN86" s="297"/>
      <c r="CO86" s="297"/>
      <c r="CP86" s="297"/>
      <c r="CQ86" s="297"/>
      <c r="CR86" s="297"/>
      <c r="CS86" s="297"/>
      <c r="CT86" s="297"/>
      <c r="CU86" s="297"/>
      <c r="CV86" s="297"/>
      <c r="CW86" s="297"/>
      <c r="CX86" s="297"/>
      <c r="CY86" s="297"/>
      <c r="CZ86" s="297"/>
      <c r="DA86" s="297"/>
      <c r="DB86" s="297"/>
      <c r="DC86" s="297"/>
      <c r="DD86" s="297"/>
      <c r="DE86" s="297"/>
      <c r="DF86" s="297"/>
      <c r="DG86" s="297"/>
      <c r="DH86" s="297"/>
      <c r="DI86" s="297"/>
      <c r="DJ86" s="297"/>
      <c r="DK86" s="297"/>
      <c r="DL86" s="297"/>
      <c r="DM86" s="297"/>
      <c r="DN86" s="297"/>
      <c r="DO86" s="297"/>
      <c r="DP86" s="297"/>
      <c r="DQ86" s="297"/>
      <c r="DR86" s="297"/>
      <c r="DS86" s="297"/>
      <c r="DT86" s="297"/>
      <c r="DU86" s="297">
        <v>43</v>
      </c>
      <c r="DV86" s="297">
        <v>43</v>
      </c>
      <c r="DW86" s="297">
        <v>41</v>
      </c>
      <c r="DX86" s="297">
        <v>41</v>
      </c>
      <c r="DY86" s="297">
        <v>41</v>
      </c>
      <c r="DZ86" s="297">
        <v>39</v>
      </c>
      <c r="EA86" s="297">
        <v>38</v>
      </c>
      <c r="EB86" s="297">
        <v>38</v>
      </c>
      <c r="EC86" s="297">
        <v>38</v>
      </c>
      <c r="ED86" s="297">
        <v>37</v>
      </c>
      <c r="EE86" s="297">
        <v>35</v>
      </c>
      <c r="EF86" s="297">
        <v>33</v>
      </c>
      <c r="EG86" s="297">
        <v>33</v>
      </c>
      <c r="EH86" s="297">
        <v>33</v>
      </c>
      <c r="EI86" s="297">
        <v>32</v>
      </c>
      <c r="EJ86" s="297">
        <v>18</v>
      </c>
      <c r="EK86" s="297">
        <v>18</v>
      </c>
      <c r="EL86" s="297">
        <v>17</v>
      </c>
      <c r="EM86" s="297">
        <v>17</v>
      </c>
      <c r="EN86" s="775" t="s">
        <v>5064</v>
      </c>
      <c r="EO86" s="643">
        <v>44251</v>
      </c>
      <c r="EP86" s="776">
        <f>IF(EN86="NA","NA",Tabela4[[#This Row],[Data de protocolo para cálculo médio]]+(VLOOKUP(Tabela4[[#This Row],[Previsão com fórmula i-Helps tipo de fila]],Formulas!$H$1:$J$13,2,FALSE)*30))</f>
        <v>44491</v>
      </c>
      <c r="EQ86" s="776">
        <f>IF(EN86="NA","NA",Tabela4[[#This Row],[Data de protocolo para cálculo médio]]+(VLOOKUP(Tabela4[[#This Row],[Previsão com fórmula i-Helps tipo de fila]],Formulas!$H$1:$J$13,3,FALSE)*30))</f>
        <v>44821</v>
      </c>
      <c r="ER86" s="795" t="s">
        <v>5731</v>
      </c>
      <c r="ES86" s="796" t="s">
        <v>5731</v>
      </c>
      <c r="ET86" s="617" t="s">
        <v>5059</v>
      </c>
      <c r="EU86" s="617" t="s">
        <v>5060</v>
      </c>
      <c r="EV86" s="617" t="s">
        <v>5064</v>
      </c>
    </row>
    <row r="87" spans="1:153" s="556" customFormat="1" ht="88.5" customHeight="1" outlineLevel="1" x14ac:dyDescent="0.2">
      <c r="A87" s="779" t="s">
        <v>6381</v>
      </c>
      <c r="B87" s="773" t="s">
        <v>5794</v>
      </c>
      <c r="C87" s="788" t="s">
        <v>584</v>
      </c>
      <c r="D87" s="433" t="s">
        <v>3798</v>
      </c>
      <c r="E87" s="773" t="s">
        <v>5728</v>
      </c>
      <c r="F87" s="793" t="s">
        <v>5805</v>
      </c>
      <c r="G87" s="777" t="s">
        <v>5729</v>
      </c>
      <c r="H87" s="773" t="s">
        <v>5686</v>
      </c>
      <c r="I87" s="297" t="s">
        <v>5734</v>
      </c>
      <c r="J87" s="788" t="s">
        <v>5727</v>
      </c>
      <c r="K87" s="773" t="s">
        <v>5730</v>
      </c>
      <c r="L87" s="477" t="s">
        <v>454</v>
      </c>
      <c r="M87" s="297" t="s">
        <v>1454</v>
      </c>
      <c r="N87" s="113" t="s">
        <v>6091</v>
      </c>
      <c r="O87" s="794">
        <v>44347</v>
      </c>
      <c r="P87" s="615" t="s">
        <v>6092</v>
      </c>
      <c r="Q87" s="615" t="s">
        <v>112</v>
      </c>
      <c r="R87" s="113" t="s">
        <v>2866</v>
      </c>
      <c r="S87" s="617">
        <v>44348</v>
      </c>
      <c r="T87" s="113"/>
      <c r="U87" s="113"/>
      <c r="V87" s="113"/>
      <c r="W87" s="113"/>
      <c r="X87" s="113"/>
      <c r="Y87" s="113"/>
      <c r="Z87" s="113"/>
      <c r="AA87" s="617"/>
      <c r="AB87" s="113"/>
      <c r="AC87" s="617">
        <v>44428</v>
      </c>
      <c r="AD87" s="297" t="s">
        <v>6568</v>
      </c>
      <c r="AE87" s="122"/>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22"/>
      <c r="CL87" s="122"/>
      <c r="CM87" s="122"/>
      <c r="CN87" s="122"/>
      <c r="CO87" s="122"/>
      <c r="CP87" s="122"/>
      <c r="CQ87" s="122"/>
      <c r="CR87" s="122"/>
      <c r="CS87" s="122"/>
      <c r="CT87" s="122"/>
      <c r="CU87" s="122"/>
      <c r="CV87" s="122"/>
      <c r="CW87" s="122"/>
      <c r="CX87" s="122"/>
      <c r="CY87" s="122"/>
      <c r="CZ87" s="122"/>
      <c r="DA87" s="122"/>
      <c r="DB87" s="122"/>
      <c r="DC87" s="122"/>
      <c r="DD87" s="122"/>
      <c r="DE87" s="122"/>
      <c r="DF87" s="122"/>
      <c r="DG87" s="122"/>
      <c r="DH87" s="122"/>
      <c r="DI87" s="122"/>
      <c r="DJ87" s="122"/>
      <c r="DK87" s="122"/>
      <c r="DL87" s="122"/>
      <c r="DM87" s="122"/>
      <c r="DN87" s="122"/>
      <c r="DO87" s="122"/>
      <c r="DP87" s="122"/>
      <c r="DQ87" s="122"/>
      <c r="DR87" s="122"/>
      <c r="DS87" s="297"/>
      <c r="DT87" s="297"/>
      <c r="DU87" s="297"/>
      <c r="DV87" s="297"/>
      <c r="DW87" s="297"/>
      <c r="DX87" s="297"/>
      <c r="DY87" s="297"/>
      <c r="DZ87" s="297"/>
      <c r="EA87" s="297"/>
      <c r="EB87" s="297"/>
      <c r="EC87" s="297"/>
      <c r="ED87" s="297"/>
      <c r="EE87" s="297"/>
      <c r="EF87" s="297"/>
      <c r="EG87" s="297"/>
      <c r="EH87" s="297"/>
      <c r="EI87" s="297"/>
      <c r="EJ87" s="297" t="s">
        <v>6255</v>
      </c>
      <c r="EK87" s="297" t="s">
        <v>6368</v>
      </c>
      <c r="EL87" s="297" t="s">
        <v>6464</v>
      </c>
      <c r="EM87" s="297" t="s">
        <v>6568</v>
      </c>
      <c r="EN87" s="617"/>
      <c r="EO87" s="115"/>
      <c r="EP87" s="115" t="e">
        <f>IF(EN87="NA","NA",Tabela4[[#This Row],[Data de protocolo para cálculo médio]]+(VLOOKUP(Tabela4[[#This Row],[Previsão com fórmula i-Helps tipo de fila]],Formulas!$H$1:$J$13,2,FALSE)*30))</f>
        <v>#N/A</v>
      </c>
      <c r="EQ87" s="115" t="e">
        <f>IF(EN87="NA","NA",Tabela4[[#This Row],[Data de protocolo para cálculo médio]]+(VLOOKUP(Tabela4[[#This Row],[Previsão com fórmula i-Helps tipo de fila]],Formulas!$H$1:$J$13,3,FALSE)*30))</f>
        <v>#N/A</v>
      </c>
      <c r="ER87" s="842"/>
      <c r="ES87" s="888"/>
      <c r="ET87" s="666" t="s">
        <v>112</v>
      </c>
      <c r="EU87" s="666" t="s">
        <v>112</v>
      </c>
      <c r="EV87" s="666" t="s">
        <v>112</v>
      </c>
    </row>
    <row r="88" spans="1:153" s="556" customFormat="1" ht="91.5" customHeight="1" outlineLevel="1" x14ac:dyDescent="0.2">
      <c r="A88" s="779" t="s">
        <v>6382</v>
      </c>
      <c r="B88" s="773" t="s">
        <v>5794</v>
      </c>
      <c r="C88" s="788" t="s">
        <v>584</v>
      </c>
      <c r="D88" s="433" t="s">
        <v>3798</v>
      </c>
      <c r="E88" s="773" t="s">
        <v>5728</v>
      </c>
      <c r="F88" s="793" t="s">
        <v>5805</v>
      </c>
      <c r="G88" s="777" t="s">
        <v>5729</v>
      </c>
      <c r="H88" s="773" t="s">
        <v>5686</v>
      </c>
      <c r="I88" s="297" t="s">
        <v>5734</v>
      </c>
      <c r="J88" s="788" t="s">
        <v>5727</v>
      </c>
      <c r="K88" s="773" t="s">
        <v>5730</v>
      </c>
      <c r="L88" s="477" t="s">
        <v>454</v>
      </c>
      <c r="M88" s="297" t="s">
        <v>1454</v>
      </c>
      <c r="N88" s="113" t="s">
        <v>6083</v>
      </c>
      <c r="O88" s="765">
        <v>44320</v>
      </c>
      <c r="P88" s="615" t="s">
        <v>6093</v>
      </c>
      <c r="Q88" s="615"/>
      <c r="R88" s="113" t="s">
        <v>3087</v>
      </c>
      <c r="S88" s="617"/>
      <c r="T88" s="113"/>
      <c r="U88" s="113"/>
      <c r="V88" s="113"/>
      <c r="W88" s="113"/>
      <c r="X88" s="113"/>
      <c r="Y88" s="113"/>
      <c r="Z88" s="113"/>
      <c r="AA88" s="617"/>
      <c r="AB88" s="113"/>
      <c r="AC88" s="617">
        <v>44428</v>
      </c>
      <c r="AD88" s="297" t="s">
        <v>6569</v>
      </c>
      <c r="AE88" s="122"/>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22"/>
      <c r="CL88" s="122"/>
      <c r="CM88" s="122"/>
      <c r="CN88" s="122"/>
      <c r="CO88" s="122"/>
      <c r="CP88" s="122"/>
      <c r="CQ88" s="122"/>
      <c r="CR88" s="122"/>
      <c r="CS88" s="122"/>
      <c r="CT88" s="122"/>
      <c r="CU88" s="122"/>
      <c r="CV88" s="122"/>
      <c r="CW88" s="122"/>
      <c r="CX88" s="122"/>
      <c r="CY88" s="122"/>
      <c r="CZ88" s="122"/>
      <c r="DA88" s="122"/>
      <c r="DB88" s="122"/>
      <c r="DC88" s="122"/>
      <c r="DD88" s="122"/>
      <c r="DE88" s="122"/>
      <c r="DF88" s="122"/>
      <c r="DG88" s="122"/>
      <c r="DH88" s="122"/>
      <c r="DI88" s="122"/>
      <c r="DJ88" s="122"/>
      <c r="DK88" s="122"/>
      <c r="DL88" s="122"/>
      <c r="DM88" s="122"/>
      <c r="DN88" s="122"/>
      <c r="DO88" s="122"/>
      <c r="DP88" s="122"/>
      <c r="DQ88" s="122"/>
      <c r="DR88" s="122"/>
      <c r="DS88" s="297"/>
      <c r="DT88" s="297"/>
      <c r="DU88" s="297"/>
      <c r="DV88" s="297"/>
      <c r="DW88" s="297"/>
      <c r="DX88" s="297"/>
      <c r="DY88" s="297"/>
      <c r="DZ88" s="297"/>
      <c r="EA88" s="297"/>
      <c r="EB88" s="297"/>
      <c r="EC88" s="297"/>
      <c r="ED88" s="297"/>
      <c r="EE88" s="297"/>
      <c r="EF88" s="297"/>
      <c r="EG88" s="297"/>
      <c r="EH88" s="297"/>
      <c r="EI88" s="297"/>
      <c r="EJ88" s="297" t="s">
        <v>6264</v>
      </c>
      <c r="EK88" s="297" t="s">
        <v>6369</v>
      </c>
      <c r="EL88" s="297" t="s">
        <v>6465</v>
      </c>
      <c r="EM88" s="297" t="s">
        <v>6569</v>
      </c>
      <c r="EN88" s="617" t="s">
        <v>112</v>
      </c>
      <c r="EO88" s="115"/>
      <c r="EP88" s="115" t="str">
        <f>IF(EN88="NA","NA",Tabela4[[#This Row],[Data de protocolo para cálculo médio]]+(VLOOKUP(Tabela4[[#This Row],[Previsão com fórmula i-Helps tipo de fila]],Formulas!$H$1:$J$13,2,FALSE)*30))</f>
        <v>NA</v>
      </c>
      <c r="EQ88" s="115" t="str">
        <f>IF(EN88="NA","NA",Tabela4[[#This Row],[Data de protocolo para cálculo médio]]+(VLOOKUP(Tabela4[[#This Row],[Previsão com fórmula i-Helps tipo de fila]],Formulas!$H$1:$J$13,3,FALSE)*30))</f>
        <v>NA</v>
      </c>
      <c r="ER88" s="842"/>
      <c r="ES88" s="888"/>
      <c r="ET88" s="666" t="s">
        <v>112</v>
      </c>
      <c r="EU88" s="666" t="s">
        <v>112</v>
      </c>
      <c r="EV88" s="666" t="s">
        <v>112</v>
      </c>
    </row>
    <row r="89" spans="1:153" s="556" customFormat="1" ht="102" customHeight="1" outlineLevel="1" x14ac:dyDescent="0.2">
      <c r="A89" s="779" t="s">
        <v>6383</v>
      </c>
      <c r="B89" s="773" t="s">
        <v>5794</v>
      </c>
      <c r="C89" s="788" t="s">
        <v>584</v>
      </c>
      <c r="D89" s="433" t="s">
        <v>3798</v>
      </c>
      <c r="E89" s="773" t="s">
        <v>5728</v>
      </c>
      <c r="F89" s="793" t="s">
        <v>5805</v>
      </c>
      <c r="G89" s="777" t="s">
        <v>5729</v>
      </c>
      <c r="H89" s="773" t="s">
        <v>5686</v>
      </c>
      <c r="I89" s="297" t="s">
        <v>5734</v>
      </c>
      <c r="J89" s="788" t="s">
        <v>5727</v>
      </c>
      <c r="K89" s="773" t="s">
        <v>5730</v>
      </c>
      <c r="L89" s="477" t="s">
        <v>454</v>
      </c>
      <c r="M89" s="297" t="s">
        <v>1454</v>
      </c>
      <c r="N89" s="113" t="s">
        <v>6081</v>
      </c>
      <c r="O89" s="765">
        <v>44295</v>
      </c>
      <c r="P89" s="615" t="s">
        <v>6094</v>
      </c>
      <c r="Q89" s="615" t="s">
        <v>112</v>
      </c>
      <c r="R89" s="113" t="s">
        <v>3087</v>
      </c>
      <c r="S89" s="617"/>
      <c r="T89" s="113"/>
      <c r="U89" s="113"/>
      <c r="V89" s="113"/>
      <c r="W89" s="113"/>
      <c r="X89" s="113"/>
      <c r="Y89" s="113"/>
      <c r="Z89" s="113"/>
      <c r="AA89" s="617"/>
      <c r="AB89" s="113"/>
      <c r="AC89" s="617">
        <v>44428</v>
      </c>
      <c r="AD89" s="297" t="s">
        <v>6570</v>
      </c>
      <c r="AE89" s="122"/>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22"/>
      <c r="CL89" s="122"/>
      <c r="CM89" s="122"/>
      <c r="CN89" s="122"/>
      <c r="CO89" s="122"/>
      <c r="CP89" s="122"/>
      <c r="CQ89" s="122"/>
      <c r="CR89" s="122"/>
      <c r="CS89" s="122"/>
      <c r="CT89" s="122"/>
      <c r="CU89" s="122"/>
      <c r="CV89" s="122"/>
      <c r="CW89" s="122"/>
      <c r="CX89" s="122"/>
      <c r="CY89" s="122"/>
      <c r="CZ89" s="122"/>
      <c r="DA89" s="122"/>
      <c r="DB89" s="122"/>
      <c r="DC89" s="122"/>
      <c r="DD89" s="122"/>
      <c r="DE89" s="122"/>
      <c r="DF89" s="122"/>
      <c r="DG89" s="122"/>
      <c r="DH89" s="122"/>
      <c r="DI89" s="122"/>
      <c r="DJ89" s="122"/>
      <c r="DK89" s="122"/>
      <c r="DL89" s="122"/>
      <c r="DM89" s="122"/>
      <c r="DN89" s="122"/>
      <c r="DO89" s="122"/>
      <c r="DP89" s="122"/>
      <c r="DQ89" s="122"/>
      <c r="DR89" s="122"/>
      <c r="DS89" s="297"/>
      <c r="DT89" s="297"/>
      <c r="DU89" s="297"/>
      <c r="DV89" s="297"/>
      <c r="DW89" s="297"/>
      <c r="DX89" s="297"/>
      <c r="DY89" s="297"/>
      <c r="DZ89" s="297"/>
      <c r="EA89" s="297"/>
      <c r="EB89" s="297"/>
      <c r="EC89" s="297"/>
      <c r="ED89" s="297"/>
      <c r="EE89" s="297"/>
      <c r="EF89" s="297"/>
      <c r="EG89" s="297"/>
      <c r="EH89" s="297"/>
      <c r="EI89" s="297"/>
      <c r="EJ89" s="297" t="s">
        <v>6265</v>
      </c>
      <c r="EK89" s="297" t="s">
        <v>6370</v>
      </c>
      <c r="EL89" s="297" t="s">
        <v>6466</v>
      </c>
      <c r="EM89" s="297" t="s">
        <v>6570</v>
      </c>
      <c r="EN89" s="617" t="s">
        <v>112</v>
      </c>
      <c r="EO89" s="115"/>
      <c r="EP89" s="115" t="str">
        <f>IF(EN89="NA","NA",Tabela4[[#This Row],[Data de protocolo para cálculo médio]]+(VLOOKUP(Tabela4[[#This Row],[Previsão com fórmula i-Helps tipo de fila]],Formulas!$H$1:$J$13,2,FALSE)*30))</f>
        <v>NA</v>
      </c>
      <c r="EQ89" s="115" t="str">
        <f>IF(EN89="NA","NA",Tabela4[[#This Row],[Data de protocolo para cálculo médio]]+(VLOOKUP(Tabela4[[#This Row],[Previsão com fórmula i-Helps tipo de fila]],Formulas!$H$1:$J$13,3,FALSE)*30))</f>
        <v>NA</v>
      </c>
      <c r="ER89" s="842"/>
      <c r="ES89" s="888"/>
      <c r="ET89" s="666" t="s">
        <v>112</v>
      </c>
      <c r="EU89" s="666" t="s">
        <v>112</v>
      </c>
      <c r="EV89" s="666" t="s">
        <v>112</v>
      </c>
    </row>
    <row r="90" spans="1:153" s="556" customFormat="1" ht="88.5" customHeight="1" outlineLevel="1" x14ac:dyDescent="0.2">
      <c r="A90" s="779" t="s">
        <v>6384</v>
      </c>
      <c r="B90" s="773" t="s">
        <v>5794</v>
      </c>
      <c r="C90" s="788" t="s">
        <v>584</v>
      </c>
      <c r="D90" s="433" t="s">
        <v>3798</v>
      </c>
      <c r="E90" s="773" t="s">
        <v>5728</v>
      </c>
      <c r="F90" s="793" t="s">
        <v>5805</v>
      </c>
      <c r="G90" s="777" t="s">
        <v>5729</v>
      </c>
      <c r="H90" s="773" t="s">
        <v>5686</v>
      </c>
      <c r="I90" s="297" t="s">
        <v>5734</v>
      </c>
      <c r="J90" s="788" t="s">
        <v>5727</v>
      </c>
      <c r="K90" s="773" t="s">
        <v>5730</v>
      </c>
      <c r="L90" s="477" t="s">
        <v>454</v>
      </c>
      <c r="M90" s="297" t="s">
        <v>1454</v>
      </c>
      <c r="N90" s="113" t="s">
        <v>6082</v>
      </c>
      <c r="O90" s="765">
        <v>44295</v>
      </c>
      <c r="P90" s="615" t="s">
        <v>6095</v>
      </c>
      <c r="Q90" s="615" t="s">
        <v>112</v>
      </c>
      <c r="R90" s="113" t="s">
        <v>3087</v>
      </c>
      <c r="S90" s="617"/>
      <c r="T90" s="113"/>
      <c r="U90" s="113"/>
      <c r="V90" s="113"/>
      <c r="W90" s="113"/>
      <c r="X90" s="113"/>
      <c r="Y90" s="113"/>
      <c r="Z90" s="113"/>
      <c r="AA90" s="617"/>
      <c r="AB90" s="113"/>
      <c r="AC90" s="617">
        <v>44428</v>
      </c>
      <c r="AD90" s="297" t="s">
        <v>6571</v>
      </c>
      <c r="AE90" s="122"/>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22"/>
      <c r="CL90" s="122"/>
      <c r="CM90" s="122"/>
      <c r="CN90" s="122"/>
      <c r="CO90" s="122"/>
      <c r="CP90" s="122"/>
      <c r="CQ90" s="122"/>
      <c r="CR90" s="122"/>
      <c r="CS90" s="122"/>
      <c r="CT90" s="122"/>
      <c r="CU90" s="122"/>
      <c r="CV90" s="122"/>
      <c r="CW90" s="122"/>
      <c r="CX90" s="122"/>
      <c r="CY90" s="122"/>
      <c r="CZ90" s="122"/>
      <c r="DA90" s="122"/>
      <c r="DB90" s="122"/>
      <c r="DC90" s="122"/>
      <c r="DD90" s="122"/>
      <c r="DE90" s="122"/>
      <c r="DF90" s="122"/>
      <c r="DG90" s="122"/>
      <c r="DH90" s="122"/>
      <c r="DI90" s="122"/>
      <c r="DJ90" s="122"/>
      <c r="DK90" s="122"/>
      <c r="DL90" s="122"/>
      <c r="DM90" s="122"/>
      <c r="DN90" s="122"/>
      <c r="DO90" s="122"/>
      <c r="DP90" s="122"/>
      <c r="DQ90" s="122"/>
      <c r="DR90" s="122"/>
      <c r="DS90" s="297"/>
      <c r="DT90" s="297"/>
      <c r="DU90" s="297"/>
      <c r="DV90" s="297"/>
      <c r="DW90" s="297"/>
      <c r="DX90" s="297"/>
      <c r="DY90" s="297"/>
      <c r="DZ90" s="297"/>
      <c r="EA90" s="297"/>
      <c r="EB90" s="297"/>
      <c r="EC90" s="297"/>
      <c r="ED90" s="297"/>
      <c r="EE90" s="297"/>
      <c r="EF90" s="297"/>
      <c r="EG90" s="297"/>
      <c r="EH90" s="297"/>
      <c r="EI90" s="297"/>
      <c r="EJ90" s="297" t="s">
        <v>6266</v>
      </c>
      <c r="EK90" s="297" t="s">
        <v>6371</v>
      </c>
      <c r="EL90" s="297" t="s">
        <v>6467</v>
      </c>
      <c r="EM90" s="297" t="s">
        <v>6571</v>
      </c>
      <c r="EN90" s="617" t="s">
        <v>112</v>
      </c>
      <c r="EO90" s="115"/>
      <c r="EP90" s="115" t="str">
        <f>IF(EN90="NA","NA",Tabela4[[#This Row],[Data de protocolo para cálculo médio]]+(VLOOKUP(Tabela4[[#This Row],[Previsão com fórmula i-Helps tipo de fila]],Formulas!$H$1:$J$13,2,FALSE)*30))</f>
        <v>NA</v>
      </c>
      <c r="EQ90" s="115" t="str">
        <f>IF(EN90="NA","NA",Tabela4[[#This Row],[Data de protocolo para cálculo médio]]+(VLOOKUP(Tabela4[[#This Row],[Previsão com fórmula i-Helps tipo de fila]],Formulas!$H$1:$J$13,3,FALSE)*30))</f>
        <v>NA</v>
      </c>
      <c r="ER90" s="842"/>
      <c r="ES90" s="888"/>
      <c r="ET90" s="666" t="s">
        <v>112</v>
      </c>
      <c r="EU90" s="666" t="s">
        <v>112</v>
      </c>
      <c r="EV90" s="666" t="s">
        <v>112</v>
      </c>
    </row>
    <row r="91" spans="1:153" s="556" customFormat="1" ht="409.5" x14ac:dyDescent="0.2">
      <c r="A91" s="779">
        <v>35</v>
      </c>
      <c r="B91" s="848" t="s">
        <v>5856</v>
      </c>
      <c r="C91" s="848" t="s">
        <v>1137</v>
      </c>
      <c r="D91" s="848" t="s">
        <v>3797</v>
      </c>
      <c r="E91" s="848" t="s">
        <v>5714</v>
      </c>
      <c r="F91" s="880" t="s">
        <v>5994</v>
      </c>
      <c r="G91" s="848" t="s">
        <v>5855</v>
      </c>
      <c r="H91" s="848" t="s">
        <v>2735</v>
      </c>
      <c r="I91" s="850"/>
      <c r="J91" s="848" t="s">
        <v>5853</v>
      </c>
      <c r="K91" s="848" t="s">
        <v>5852</v>
      </c>
      <c r="L91" s="477" t="s">
        <v>11</v>
      </c>
      <c r="M91" s="850" t="s">
        <v>1454</v>
      </c>
      <c r="N91" s="849" t="s">
        <v>3090</v>
      </c>
      <c r="O91" s="851">
        <v>44329</v>
      </c>
      <c r="P91" s="852" t="s">
        <v>5897</v>
      </c>
      <c r="Q91" s="853" t="s">
        <v>112</v>
      </c>
      <c r="R91" s="848" t="s">
        <v>3038</v>
      </c>
      <c r="S91" s="854">
        <v>44362</v>
      </c>
      <c r="T91" s="848" t="s">
        <v>5061</v>
      </c>
      <c r="U91" s="848" t="s">
        <v>5918</v>
      </c>
      <c r="V91" s="848"/>
      <c r="W91" s="848" t="s">
        <v>3337</v>
      </c>
      <c r="X91" s="848" t="s">
        <v>5854</v>
      </c>
      <c r="Y91" s="848" t="s">
        <v>112</v>
      </c>
      <c r="Z91" s="848" t="s">
        <v>5429</v>
      </c>
      <c r="AA91" s="854">
        <v>44344</v>
      </c>
      <c r="AB91" s="848">
        <v>24</v>
      </c>
      <c r="AC91" s="617">
        <v>44428</v>
      </c>
      <c r="AD91" s="850" t="s">
        <v>6572</v>
      </c>
      <c r="AE91" s="850"/>
      <c r="AF91" s="848"/>
      <c r="AG91" s="848"/>
      <c r="AH91" s="848"/>
      <c r="AI91" s="848"/>
      <c r="AJ91" s="848"/>
      <c r="AK91" s="848"/>
      <c r="AL91" s="848"/>
      <c r="AM91" s="848"/>
      <c r="AN91" s="848"/>
      <c r="AO91" s="848"/>
      <c r="AP91" s="848"/>
      <c r="AQ91" s="848"/>
      <c r="AR91" s="848"/>
      <c r="AS91" s="848"/>
      <c r="AT91" s="848"/>
      <c r="AU91" s="848"/>
      <c r="AV91" s="848"/>
      <c r="AW91" s="848"/>
      <c r="AX91" s="848"/>
      <c r="AY91" s="848"/>
      <c r="AZ91" s="848"/>
      <c r="BA91" s="848"/>
      <c r="BB91" s="848"/>
      <c r="BC91" s="848"/>
      <c r="BD91" s="848"/>
      <c r="BE91" s="848"/>
      <c r="BF91" s="848"/>
      <c r="BG91" s="848"/>
      <c r="BH91" s="848"/>
      <c r="BI91" s="848"/>
      <c r="BJ91" s="848"/>
      <c r="BK91" s="848"/>
      <c r="BL91" s="848"/>
      <c r="BM91" s="848"/>
      <c r="BN91" s="848"/>
      <c r="BO91" s="848"/>
      <c r="BP91" s="848"/>
      <c r="BQ91" s="848"/>
      <c r="BR91" s="848"/>
      <c r="BS91" s="848"/>
      <c r="BT91" s="848"/>
      <c r="BU91" s="848"/>
      <c r="BV91" s="848"/>
      <c r="BW91" s="848"/>
      <c r="BX91" s="848"/>
      <c r="BY91" s="848"/>
      <c r="BZ91" s="848"/>
      <c r="CA91" s="848"/>
      <c r="CB91" s="848"/>
      <c r="CC91" s="848"/>
      <c r="CD91" s="848"/>
      <c r="CE91" s="848"/>
      <c r="CF91" s="848"/>
      <c r="CG91" s="848"/>
      <c r="CH91" s="848"/>
      <c r="CI91" s="848"/>
      <c r="CJ91" s="848"/>
      <c r="CK91" s="850"/>
      <c r="CL91" s="850"/>
      <c r="CM91" s="850"/>
      <c r="CN91" s="850"/>
      <c r="CO91" s="850"/>
      <c r="CP91" s="850"/>
      <c r="CQ91" s="850"/>
      <c r="CR91" s="850"/>
      <c r="CS91" s="850"/>
      <c r="CT91" s="850"/>
      <c r="CU91" s="850"/>
      <c r="CV91" s="850"/>
      <c r="CW91" s="850"/>
      <c r="CX91" s="850"/>
      <c r="CY91" s="850"/>
      <c r="CZ91" s="850"/>
      <c r="DA91" s="850"/>
      <c r="DB91" s="850"/>
      <c r="DC91" s="850"/>
      <c r="DD91" s="850"/>
      <c r="DE91" s="850"/>
      <c r="DF91" s="850"/>
      <c r="DG91" s="850"/>
      <c r="DH91" s="850"/>
      <c r="DI91" s="850"/>
      <c r="DJ91" s="850"/>
      <c r="DK91" s="850"/>
      <c r="DL91" s="850"/>
      <c r="DM91" s="850"/>
      <c r="DN91" s="850"/>
      <c r="DO91" s="850"/>
      <c r="DP91" s="850"/>
      <c r="DQ91" s="850"/>
      <c r="DR91" s="850"/>
      <c r="DS91" s="850"/>
      <c r="DT91" s="850"/>
      <c r="DU91" s="850"/>
      <c r="DV91" s="850"/>
      <c r="DW91" s="856"/>
      <c r="DX91" s="856"/>
      <c r="DY91" s="856"/>
      <c r="DZ91" s="856"/>
      <c r="EA91" s="855">
        <v>24</v>
      </c>
      <c r="EB91" s="855">
        <v>19</v>
      </c>
      <c r="EC91" s="855">
        <v>16</v>
      </c>
      <c r="ED91" s="850" t="s">
        <v>5942</v>
      </c>
      <c r="EE91" s="850" t="s">
        <v>5942</v>
      </c>
      <c r="EF91" s="850" t="s">
        <v>5942</v>
      </c>
      <c r="EG91" s="850" t="s">
        <v>5942</v>
      </c>
      <c r="EH91" s="850" t="s">
        <v>5942</v>
      </c>
      <c r="EI91" s="850" t="s">
        <v>5942</v>
      </c>
      <c r="EJ91" s="850" t="s">
        <v>5942</v>
      </c>
      <c r="EK91" s="850" t="s">
        <v>6372</v>
      </c>
      <c r="EL91" s="850" t="s">
        <v>6470</v>
      </c>
      <c r="EM91" s="850" t="s">
        <v>6572</v>
      </c>
      <c r="EN91" s="830" t="s">
        <v>5061</v>
      </c>
      <c r="EO91" s="856">
        <v>44329</v>
      </c>
      <c r="EP91" s="856">
        <f>IF(EN91="NA","NA",Tabela4[[#This Row],[Data de protocolo para cálculo médio]]+(VLOOKUP(Tabela4[[#This Row],[Previsão com fórmula i-Helps tipo de fila]],Formulas!$H$1:$J$13,2,FALSE)*30))</f>
        <v>44374</v>
      </c>
      <c r="EQ91" s="856">
        <f>IF(EN91="NA","NA",Tabela4[[#This Row],[Data de protocolo para cálculo médio]]+(VLOOKUP(Tabela4[[#This Row],[Previsão com fórmula i-Helps tipo de fila]],Formulas!$H$1:$J$13,3,FALSE)*30))</f>
        <v>44413</v>
      </c>
      <c r="ER91" s="856">
        <v>44409</v>
      </c>
      <c r="ES91" s="857" t="s">
        <v>5896</v>
      </c>
      <c r="ET91" s="854" t="s">
        <v>5059</v>
      </c>
      <c r="EU91" s="854" t="s">
        <v>5060</v>
      </c>
      <c r="EV91" s="854" t="s">
        <v>5061</v>
      </c>
    </row>
    <row r="92" spans="1:153" s="556" customFormat="1" ht="51" x14ac:dyDescent="0.2">
      <c r="A92" s="779">
        <v>36</v>
      </c>
      <c r="B92" s="773" t="s">
        <v>5664</v>
      </c>
      <c r="C92" s="773" t="s">
        <v>584</v>
      </c>
      <c r="D92" s="788" t="s">
        <v>3797</v>
      </c>
      <c r="E92" s="773" t="s">
        <v>5568</v>
      </c>
      <c r="F92" s="773" t="s">
        <v>5726</v>
      </c>
      <c r="G92" s="777" t="s">
        <v>5667</v>
      </c>
      <c r="H92" s="773" t="s">
        <v>4642</v>
      </c>
      <c r="I92" s="297"/>
      <c r="J92" s="773" t="s">
        <v>5917</v>
      </c>
      <c r="K92" s="773" t="s">
        <v>735</v>
      </c>
      <c r="L92" s="477" t="s">
        <v>11</v>
      </c>
      <c r="M92" s="297" t="s">
        <v>1454</v>
      </c>
      <c r="N92" s="788" t="s">
        <v>3081</v>
      </c>
      <c r="O92" s="794">
        <v>44362</v>
      </c>
      <c r="P92" s="774" t="s">
        <v>5961</v>
      </c>
      <c r="Q92" s="774" t="s">
        <v>112</v>
      </c>
      <c r="R92" s="773" t="s">
        <v>3087</v>
      </c>
      <c r="S92" s="775"/>
      <c r="T92" s="773"/>
      <c r="U92" s="773" t="s">
        <v>5977</v>
      </c>
      <c r="V92" s="773"/>
      <c r="W92" s="773" t="s">
        <v>112</v>
      </c>
      <c r="X92" s="773" t="s">
        <v>112</v>
      </c>
      <c r="Y92" s="773" t="s">
        <v>112</v>
      </c>
      <c r="Z92" s="773" t="s">
        <v>112</v>
      </c>
      <c r="AA92" s="775">
        <v>44379</v>
      </c>
      <c r="AB92" s="773">
        <v>55</v>
      </c>
      <c r="AC92" s="617">
        <v>44428</v>
      </c>
      <c r="AD92" s="297">
        <v>16</v>
      </c>
      <c r="AE92" s="297"/>
      <c r="AF92" s="773"/>
      <c r="AG92" s="773"/>
      <c r="AH92" s="773"/>
      <c r="AI92" s="773"/>
      <c r="AJ92" s="773"/>
      <c r="AK92" s="773"/>
      <c r="AL92" s="773"/>
      <c r="AM92" s="773"/>
      <c r="AN92" s="773"/>
      <c r="AO92" s="773"/>
      <c r="AP92" s="773"/>
      <c r="AQ92" s="773"/>
      <c r="AR92" s="773"/>
      <c r="AS92" s="773"/>
      <c r="AT92" s="773"/>
      <c r="AU92" s="773"/>
      <c r="AV92" s="773"/>
      <c r="AW92" s="773"/>
      <c r="AX92" s="773"/>
      <c r="AY92" s="773"/>
      <c r="AZ92" s="773"/>
      <c r="BA92" s="773"/>
      <c r="BB92" s="773"/>
      <c r="BC92" s="773"/>
      <c r="BD92" s="773"/>
      <c r="BE92" s="773"/>
      <c r="BF92" s="773"/>
      <c r="BG92" s="773"/>
      <c r="BH92" s="773"/>
      <c r="BI92" s="773"/>
      <c r="BJ92" s="773"/>
      <c r="BK92" s="773"/>
      <c r="BL92" s="773"/>
      <c r="BM92" s="773"/>
      <c r="BN92" s="773"/>
      <c r="BO92" s="773"/>
      <c r="BP92" s="773"/>
      <c r="BQ92" s="773"/>
      <c r="BR92" s="773"/>
      <c r="BS92" s="773"/>
      <c r="BT92" s="773"/>
      <c r="BU92" s="773"/>
      <c r="BV92" s="773"/>
      <c r="BW92" s="773"/>
      <c r="BX92" s="773"/>
      <c r="BY92" s="773"/>
      <c r="BZ92" s="773"/>
      <c r="CA92" s="773"/>
      <c r="CB92" s="773"/>
      <c r="CC92" s="773"/>
      <c r="CD92" s="773"/>
      <c r="CE92" s="773"/>
      <c r="CF92" s="773"/>
      <c r="CG92" s="773"/>
      <c r="CH92" s="773"/>
      <c r="CI92" s="773"/>
      <c r="CJ92" s="773"/>
      <c r="CK92" s="297"/>
      <c r="CL92" s="297"/>
      <c r="CM92" s="297"/>
      <c r="CN92" s="297"/>
      <c r="CO92" s="297"/>
      <c r="CP92" s="297"/>
      <c r="CQ92" s="297"/>
      <c r="CR92" s="297"/>
      <c r="CS92" s="297"/>
      <c r="CT92" s="297"/>
      <c r="CU92" s="297"/>
      <c r="CV92" s="297"/>
      <c r="CW92" s="297"/>
      <c r="CX92" s="297"/>
      <c r="CY92" s="297"/>
      <c r="CZ92" s="297"/>
      <c r="DA92" s="297"/>
      <c r="DB92" s="297"/>
      <c r="DC92" s="297"/>
      <c r="DD92" s="297"/>
      <c r="DE92" s="297"/>
      <c r="DF92" s="297"/>
      <c r="DG92" s="297"/>
      <c r="DH92" s="297"/>
      <c r="DI92" s="297"/>
      <c r="DJ92" s="297"/>
      <c r="DK92" s="297"/>
      <c r="DL92" s="297"/>
      <c r="DM92" s="297"/>
      <c r="DN92" s="297"/>
      <c r="DO92" s="297"/>
      <c r="DP92" s="297"/>
      <c r="DQ92" s="297"/>
      <c r="DR92" s="297"/>
      <c r="DS92" s="297"/>
      <c r="DT92" s="297"/>
      <c r="DU92" s="297"/>
      <c r="DV92" s="297"/>
      <c r="DW92" s="776"/>
      <c r="DX92" s="776"/>
      <c r="DY92" s="776"/>
      <c r="DZ92" s="776"/>
      <c r="EA92" s="776"/>
      <c r="EB92" s="297"/>
      <c r="EC92" s="297"/>
      <c r="ED92" s="297"/>
      <c r="EE92" s="297"/>
      <c r="EF92" s="297">
        <v>55</v>
      </c>
      <c r="EG92" s="297">
        <v>49</v>
      </c>
      <c r="EH92" s="297">
        <v>33</v>
      </c>
      <c r="EI92" s="297">
        <v>29</v>
      </c>
      <c r="EJ92" s="297">
        <v>24</v>
      </c>
      <c r="EK92" s="297">
        <v>20</v>
      </c>
      <c r="EL92" s="297">
        <v>16</v>
      </c>
      <c r="EM92" s="297">
        <v>16</v>
      </c>
      <c r="EN92" s="775" t="s">
        <v>112</v>
      </c>
      <c r="EO92" s="776">
        <v>44362</v>
      </c>
      <c r="EP92" s="776" t="str">
        <f>IF(EN92="NA","NA",Tabela4[[#This Row],[Data de protocolo para cálculo médio]]+(VLOOKUP(Tabela4[[#This Row],[Previsão com fórmula i-Helps tipo de fila]],Formulas!$H$1:$J$13,2,FALSE)*30))</f>
        <v>NA</v>
      </c>
      <c r="EQ92" s="776" t="str">
        <f>IF(EN92="NA","NA",Tabela4[[#This Row],[Data de protocolo para cálculo médio]]+(VLOOKUP(Tabela4[[#This Row],[Previsão com fórmula i-Helps tipo de fila]],Formulas!$H$1:$J$13,3,FALSE)*30))</f>
        <v>NA</v>
      </c>
      <c r="ER92" s="796" t="s">
        <v>5896</v>
      </c>
      <c r="ES92" s="796" t="s">
        <v>5896</v>
      </c>
      <c r="ET92" s="281" t="s">
        <v>5059</v>
      </c>
      <c r="EU92" s="281" t="s">
        <v>5068</v>
      </c>
      <c r="EV92" s="281" t="s">
        <v>5733</v>
      </c>
    </row>
    <row r="93" spans="1:153" s="556" customFormat="1" ht="138" customHeight="1" x14ac:dyDescent="0.2">
      <c r="A93" s="779">
        <v>37</v>
      </c>
      <c r="B93" s="773" t="s">
        <v>5943</v>
      </c>
      <c r="C93" s="773" t="s">
        <v>1137</v>
      </c>
      <c r="D93" s="788" t="s">
        <v>3797</v>
      </c>
      <c r="E93" s="773" t="s">
        <v>5714</v>
      </c>
      <c r="F93" s="773" t="s">
        <v>6019</v>
      </c>
      <c r="G93" s="773" t="s">
        <v>5946</v>
      </c>
      <c r="H93" s="773" t="s">
        <v>5944</v>
      </c>
      <c r="I93" s="297"/>
      <c r="J93" s="773" t="s">
        <v>5945</v>
      </c>
      <c r="K93" s="773" t="s">
        <v>960</v>
      </c>
      <c r="L93" s="788" t="s">
        <v>16</v>
      </c>
      <c r="M93" s="773" t="s">
        <v>685</v>
      </c>
      <c r="N93" s="788" t="s">
        <v>3090</v>
      </c>
      <c r="O93" s="794">
        <v>44368</v>
      </c>
      <c r="P93" s="774" t="s">
        <v>6020</v>
      </c>
      <c r="Q93" s="774" t="s">
        <v>112</v>
      </c>
      <c r="R93" s="773" t="s">
        <v>3087</v>
      </c>
      <c r="S93" s="775"/>
      <c r="T93" s="773"/>
      <c r="U93" s="773"/>
      <c r="V93" s="773"/>
      <c r="W93" s="773" t="s">
        <v>959</v>
      </c>
      <c r="X93" s="773" t="s">
        <v>5947</v>
      </c>
      <c r="Y93" s="773" t="s">
        <v>112</v>
      </c>
      <c r="Z93" s="773" t="s">
        <v>3085</v>
      </c>
      <c r="AA93" s="775">
        <v>44389</v>
      </c>
      <c r="AB93" s="773">
        <v>43</v>
      </c>
      <c r="AC93" s="617">
        <v>44428</v>
      </c>
      <c r="AD93" s="297">
        <v>26</v>
      </c>
      <c r="AE93" s="297"/>
      <c r="AF93" s="773"/>
      <c r="AG93" s="773"/>
      <c r="AH93" s="773"/>
      <c r="AI93" s="773"/>
      <c r="AJ93" s="773"/>
      <c r="AK93" s="773"/>
      <c r="AL93" s="773"/>
      <c r="AM93" s="773"/>
      <c r="AN93" s="773"/>
      <c r="AO93" s="773"/>
      <c r="AP93" s="773"/>
      <c r="AQ93" s="773"/>
      <c r="AR93" s="773"/>
      <c r="AS93" s="773"/>
      <c r="AT93" s="773"/>
      <c r="AU93" s="773"/>
      <c r="AV93" s="773"/>
      <c r="AW93" s="773"/>
      <c r="AX93" s="773"/>
      <c r="AY93" s="773"/>
      <c r="AZ93" s="773"/>
      <c r="BA93" s="773"/>
      <c r="BB93" s="773"/>
      <c r="BC93" s="773"/>
      <c r="BD93" s="773"/>
      <c r="BE93" s="773"/>
      <c r="BF93" s="773"/>
      <c r="BG93" s="773"/>
      <c r="BH93" s="773"/>
      <c r="BI93" s="773"/>
      <c r="BJ93" s="773"/>
      <c r="BK93" s="773"/>
      <c r="BL93" s="773"/>
      <c r="BM93" s="773"/>
      <c r="BN93" s="773"/>
      <c r="BO93" s="773"/>
      <c r="BP93" s="773"/>
      <c r="BQ93" s="773"/>
      <c r="BR93" s="773"/>
      <c r="BS93" s="773"/>
      <c r="BT93" s="773"/>
      <c r="BU93" s="773"/>
      <c r="BV93" s="773"/>
      <c r="BW93" s="773"/>
      <c r="BX93" s="773"/>
      <c r="BY93" s="773"/>
      <c r="BZ93" s="773"/>
      <c r="CA93" s="773"/>
      <c r="CB93" s="773"/>
      <c r="CC93" s="773"/>
      <c r="CD93" s="773"/>
      <c r="CE93" s="773"/>
      <c r="CF93" s="773"/>
      <c r="CG93" s="773"/>
      <c r="CH93" s="773"/>
      <c r="CI93" s="773"/>
      <c r="CJ93" s="773"/>
      <c r="CK93" s="297"/>
      <c r="CL93" s="297"/>
      <c r="CM93" s="297"/>
      <c r="CN93" s="297"/>
      <c r="CO93" s="297"/>
      <c r="CP93" s="297"/>
      <c r="CQ93" s="297"/>
      <c r="CR93" s="297"/>
      <c r="CS93" s="297"/>
      <c r="CT93" s="297"/>
      <c r="CU93" s="297"/>
      <c r="CV93" s="297"/>
      <c r="CW93" s="297"/>
      <c r="CX93" s="297"/>
      <c r="CY93" s="297"/>
      <c r="CZ93" s="297"/>
      <c r="DA93" s="297"/>
      <c r="DB93" s="297"/>
      <c r="DC93" s="297"/>
      <c r="DD93" s="297"/>
      <c r="DE93" s="297"/>
      <c r="DF93" s="297"/>
      <c r="DG93" s="297"/>
      <c r="DH93" s="297"/>
      <c r="DI93" s="297"/>
      <c r="DJ93" s="297"/>
      <c r="DK93" s="297"/>
      <c r="DL93" s="297"/>
      <c r="DM93" s="297"/>
      <c r="DN93" s="297"/>
      <c r="DO93" s="297"/>
      <c r="DP93" s="297"/>
      <c r="DQ93" s="297"/>
      <c r="DR93" s="297"/>
      <c r="DS93" s="297"/>
      <c r="DT93" s="297"/>
      <c r="DU93" s="297"/>
      <c r="DV93" s="297"/>
      <c r="DW93" s="776"/>
      <c r="DX93" s="776"/>
      <c r="DY93" s="776"/>
      <c r="DZ93" s="776"/>
      <c r="EA93" s="776"/>
      <c r="EB93" s="297"/>
      <c r="EC93" s="297"/>
      <c r="ED93" s="297"/>
      <c r="EE93" s="297"/>
      <c r="EF93" s="297"/>
      <c r="EG93" s="297"/>
      <c r="EH93" s="297">
        <v>43</v>
      </c>
      <c r="EI93" s="297">
        <v>42</v>
      </c>
      <c r="EJ93" s="297">
        <v>37</v>
      </c>
      <c r="EK93" s="297">
        <v>32</v>
      </c>
      <c r="EL93" s="297">
        <v>26</v>
      </c>
      <c r="EM93" s="297">
        <v>26</v>
      </c>
      <c r="EN93" s="775" t="s">
        <v>5061</v>
      </c>
      <c r="EO93" s="776">
        <v>44386</v>
      </c>
      <c r="EP93" s="776">
        <f>IF(EN93="NA","NA",Tabela4[[#This Row],[Data de protocolo para cálculo médio]]+(VLOOKUP(Tabela4[[#This Row],[Previsão com fórmula i-Helps tipo de fila]],Formulas!$H$1:$J$13,2,FALSE)*30))</f>
        <v>44431</v>
      </c>
      <c r="EQ93" s="776">
        <f>IF(EN93="NA","NA",Tabela4[[#This Row],[Data de protocolo para cálculo médio]]+(VLOOKUP(Tabela4[[#This Row],[Previsão com fórmula i-Helps tipo de fila]],Formulas!$H$1:$J$13,3,FALSE)*30))</f>
        <v>44470</v>
      </c>
      <c r="ER93" s="796" t="s">
        <v>5896</v>
      </c>
      <c r="ES93" s="796">
        <v>44440</v>
      </c>
      <c r="ET93" s="446" t="s">
        <v>5059</v>
      </c>
      <c r="EU93" s="775" t="s">
        <v>5060</v>
      </c>
      <c r="EV93" s="775" t="s">
        <v>5061</v>
      </c>
    </row>
    <row r="94" spans="1:153" s="556" customFormat="1" ht="51" x14ac:dyDescent="0.2">
      <c r="A94" s="779">
        <v>38</v>
      </c>
      <c r="B94" s="477" t="s">
        <v>5953</v>
      </c>
      <c r="C94" s="477" t="s">
        <v>584</v>
      </c>
      <c r="D94" s="433" t="s">
        <v>3798</v>
      </c>
      <c r="E94" s="113" t="s">
        <v>5728</v>
      </c>
      <c r="F94" s="113" t="s">
        <v>5957</v>
      </c>
      <c r="G94" s="613" t="s">
        <v>6180</v>
      </c>
      <c r="H94" s="113" t="s">
        <v>5954</v>
      </c>
      <c r="I94" s="875"/>
      <c r="J94" s="113" t="s">
        <v>5955</v>
      </c>
      <c r="K94" s="113" t="s">
        <v>5956</v>
      </c>
      <c r="L94" s="477" t="s">
        <v>11</v>
      </c>
      <c r="M94" s="477" t="s">
        <v>1475</v>
      </c>
      <c r="N94" s="477" t="s">
        <v>2992</v>
      </c>
      <c r="O94" s="643">
        <v>44376</v>
      </c>
      <c r="P94" s="615" t="s">
        <v>5962</v>
      </c>
      <c r="Q94" s="615" t="s">
        <v>112</v>
      </c>
      <c r="R94" s="477" t="s">
        <v>3087</v>
      </c>
      <c r="S94" s="612"/>
      <c r="T94" s="477"/>
      <c r="U94" s="113" t="s">
        <v>5974</v>
      </c>
      <c r="V94" s="477"/>
      <c r="W94" s="113" t="s">
        <v>112</v>
      </c>
      <c r="X94" s="113" t="s">
        <v>112</v>
      </c>
      <c r="Y94" s="113" t="s">
        <v>112</v>
      </c>
      <c r="Z94" s="113" t="s">
        <v>112</v>
      </c>
      <c r="AA94" s="612">
        <v>44379</v>
      </c>
      <c r="AB94" s="477">
        <v>158</v>
      </c>
      <c r="AC94" s="617">
        <v>44428</v>
      </c>
      <c r="AD94" s="285">
        <v>64</v>
      </c>
      <c r="AE94" s="875"/>
      <c r="AF94" s="477"/>
      <c r="AG94" s="477"/>
      <c r="AH94" s="477"/>
      <c r="AI94" s="477"/>
      <c r="AJ94" s="477"/>
      <c r="AK94" s="477"/>
      <c r="AL94" s="477"/>
      <c r="AM94" s="477"/>
      <c r="AN94" s="477"/>
      <c r="AO94" s="477"/>
      <c r="AP94" s="477"/>
      <c r="AQ94" s="477"/>
      <c r="AR94" s="477"/>
      <c r="AS94" s="477"/>
      <c r="AT94" s="477"/>
      <c r="AU94" s="477"/>
      <c r="AV94" s="477"/>
      <c r="AW94" s="477"/>
      <c r="AX94" s="477"/>
      <c r="AY94" s="477"/>
      <c r="AZ94" s="477"/>
      <c r="BA94" s="477"/>
      <c r="BB94" s="477"/>
      <c r="BC94" s="477"/>
      <c r="BD94" s="477"/>
      <c r="BE94" s="477"/>
      <c r="BF94" s="477"/>
      <c r="BG94" s="477"/>
      <c r="BH94" s="477"/>
      <c r="BI94" s="477"/>
      <c r="BJ94" s="477"/>
      <c r="BK94" s="477"/>
      <c r="BL94" s="477"/>
      <c r="BM94" s="477"/>
      <c r="BN94" s="477"/>
      <c r="BO94" s="477"/>
      <c r="BP94" s="477"/>
      <c r="BQ94" s="477"/>
      <c r="BR94" s="477"/>
      <c r="BS94" s="477"/>
      <c r="BT94" s="477"/>
      <c r="BU94" s="477"/>
      <c r="BV94" s="477"/>
      <c r="BW94" s="477"/>
      <c r="BX94" s="477"/>
      <c r="BY94" s="477"/>
      <c r="BZ94" s="477"/>
      <c r="CA94" s="477"/>
      <c r="CB94" s="477"/>
      <c r="CC94" s="477"/>
      <c r="CD94" s="477"/>
      <c r="CE94" s="477"/>
      <c r="CF94" s="477"/>
      <c r="CG94" s="477"/>
      <c r="CH94" s="477"/>
      <c r="CI94" s="477"/>
      <c r="CJ94" s="477"/>
      <c r="CK94" s="875"/>
      <c r="CL94" s="875"/>
      <c r="CM94" s="875"/>
      <c r="CN94" s="875"/>
      <c r="CO94" s="875"/>
      <c r="CP94" s="875"/>
      <c r="CQ94" s="875"/>
      <c r="CR94" s="875"/>
      <c r="CS94" s="875"/>
      <c r="CT94" s="875"/>
      <c r="CU94" s="875"/>
      <c r="CV94" s="875"/>
      <c r="CW94" s="875"/>
      <c r="CX94" s="875"/>
      <c r="CY94" s="875"/>
      <c r="CZ94" s="875"/>
      <c r="DA94" s="875"/>
      <c r="DB94" s="875"/>
      <c r="DC94" s="875"/>
      <c r="DD94" s="875"/>
      <c r="DE94" s="875"/>
      <c r="DF94" s="875"/>
      <c r="DG94" s="875"/>
      <c r="DH94" s="875"/>
      <c r="DI94" s="875"/>
      <c r="DJ94" s="875"/>
      <c r="DK94" s="875"/>
      <c r="DL94" s="875"/>
      <c r="DM94" s="875"/>
      <c r="DN94" s="875"/>
      <c r="DO94" s="875"/>
      <c r="DP94" s="875"/>
      <c r="DQ94" s="875"/>
      <c r="DR94" s="875"/>
      <c r="DS94" s="875"/>
      <c r="DT94" s="875"/>
      <c r="DU94" s="875"/>
      <c r="DV94" s="875"/>
      <c r="DW94" s="115"/>
      <c r="DX94" s="115"/>
      <c r="DY94" s="115"/>
      <c r="DZ94" s="115"/>
      <c r="EA94" s="115"/>
      <c r="EB94" s="875"/>
      <c r="EC94" s="875"/>
      <c r="ED94" s="875"/>
      <c r="EE94" s="875"/>
      <c r="EF94" s="122">
        <v>158</v>
      </c>
      <c r="EG94" s="122">
        <v>155</v>
      </c>
      <c r="EH94" s="122">
        <v>153</v>
      </c>
      <c r="EI94" s="122">
        <v>150</v>
      </c>
      <c r="EJ94" s="122">
        <v>76</v>
      </c>
      <c r="EK94" s="285">
        <v>80</v>
      </c>
      <c r="EL94" s="285">
        <v>72</v>
      </c>
      <c r="EM94" s="285">
        <v>64</v>
      </c>
      <c r="EN94" s="612" t="s">
        <v>5063</v>
      </c>
      <c r="EO94" s="876">
        <v>44376</v>
      </c>
      <c r="EP94" s="876">
        <f>IF(EN94="NA","NA",Tabela4[[#This Row],[Data de protocolo para cálculo médio]]+(VLOOKUP(Tabela4[[#This Row],[Previsão com fórmula i-Helps tipo de fila]],Formulas!$H$1:$J$13,2,FALSE)*30))</f>
        <v>44733</v>
      </c>
      <c r="EQ94" s="876">
        <f>IF(EN94="NA","NA",Tabela4[[#This Row],[Data de protocolo para cálculo médio]]+(VLOOKUP(Tabela4[[#This Row],[Previsão com fórmula i-Helps tipo de fila]],Formulas!$H$1:$J$13,3,FALSE)*30))</f>
        <v>44877</v>
      </c>
      <c r="ER94" s="115" t="s">
        <v>5971</v>
      </c>
      <c r="ES94" s="614">
        <v>44866</v>
      </c>
      <c r="ET94" s="281" t="s">
        <v>5059</v>
      </c>
      <c r="EU94" s="617" t="s">
        <v>5060</v>
      </c>
      <c r="EV94" s="617" t="s">
        <v>5063</v>
      </c>
    </row>
    <row r="95" spans="1:153" s="556" customFormat="1" ht="102" outlineLevel="1" x14ac:dyDescent="0.2">
      <c r="A95" s="779" t="s">
        <v>6581</v>
      </c>
      <c r="B95" s="477" t="s">
        <v>5953</v>
      </c>
      <c r="C95" s="477" t="s">
        <v>584</v>
      </c>
      <c r="D95" s="433" t="s">
        <v>3798</v>
      </c>
      <c r="E95" s="113" t="s">
        <v>5728</v>
      </c>
      <c r="F95" s="113" t="s">
        <v>5957</v>
      </c>
      <c r="G95" s="613" t="s">
        <v>6180</v>
      </c>
      <c r="H95" s="113" t="s">
        <v>5954</v>
      </c>
      <c r="I95" s="875"/>
      <c r="J95" s="113" t="s">
        <v>5955</v>
      </c>
      <c r="K95" s="113" t="s">
        <v>5956</v>
      </c>
      <c r="L95" s="477" t="s">
        <v>11</v>
      </c>
      <c r="M95" s="477" t="s">
        <v>1475</v>
      </c>
      <c r="N95" s="113" t="s">
        <v>6082</v>
      </c>
      <c r="O95" s="765">
        <v>44385</v>
      </c>
      <c r="P95" s="615" t="s">
        <v>6096</v>
      </c>
      <c r="Q95" s="615" t="s">
        <v>112</v>
      </c>
      <c r="R95" s="113" t="s">
        <v>3087</v>
      </c>
      <c r="S95" s="617"/>
      <c r="T95" s="113"/>
      <c r="U95" s="113"/>
      <c r="V95" s="113"/>
      <c r="W95" s="113"/>
      <c r="X95" s="113"/>
      <c r="Y95" s="113"/>
      <c r="Z95" s="113"/>
      <c r="AA95" s="617"/>
      <c r="AB95" s="113"/>
      <c r="AC95" s="617">
        <v>44428</v>
      </c>
      <c r="AD95" s="297" t="s">
        <v>6573</v>
      </c>
      <c r="AE95" s="122"/>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22"/>
      <c r="CL95" s="122"/>
      <c r="CM95" s="122"/>
      <c r="CN95" s="122"/>
      <c r="CO95" s="122"/>
      <c r="CP95" s="122"/>
      <c r="CQ95" s="122"/>
      <c r="CR95" s="122"/>
      <c r="CS95" s="122"/>
      <c r="CT95" s="122"/>
      <c r="CU95" s="122"/>
      <c r="CV95" s="122"/>
      <c r="CW95" s="122"/>
      <c r="CX95" s="122"/>
      <c r="CY95" s="122"/>
      <c r="CZ95" s="122"/>
      <c r="DA95" s="122"/>
      <c r="DB95" s="122"/>
      <c r="DC95" s="122"/>
      <c r="DD95" s="122"/>
      <c r="DE95" s="122"/>
      <c r="DF95" s="122"/>
      <c r="DG95" s="122"/>
      <c r="DH95" s="122"/>
      <c r="DI95" s="122"/>
      <c r="DJ95" s="122"/>
      <c r="DK95" s="122"/>
      <c r="DL95" s="122"/>
      <c r="DM95" s="122"/>
      <c r="DN95" s="122"/>
      <c r="DO95" s="122"/>
      <c r="DP95" s="122"/>
      <c r="DQ95" s="122"/>
      <c r="DR95" s="122"/>
      <c r="DS95" s="297"/>
      <c r="DT95" s="297"/>
      <c r="DU95" s="297"/>
      <c r="DV95" s="297"/>
      <c r="DW95" s="776"/>
      <c r="DX95" s="776"/>
      <c r="DY95" s="776"/>
      <c r="DZ95" s="776"/>
      <c r="EA95" s="776"/>
      <c r="EB95" s="297"/>
      <c r="EC95" s="297"/>
      <c r="ED95" s="297"/>
      <c r="EE95" s="297"/>
      <c r="EF95" s="297"/>
      <c r="EG95" s="297"/>
      <c r="EH95" s="297"/>
      <c r="EI95" s="297"/>
      <c r="EJ95" s="297" t="s">
        <v>6267</v>
      </c>
      <c r="EK95" s="297" t="s">
        <v>6373</v>
      </c>
      <c r="EL95" s="297" t="s">
        <v>6471</v>
      </c>
      <c r="EM95" s="297" t="s">
        <v>6573</v>
      </c>
      <c r="EN95" s="617" t="s">
        <v>112</v>
      </c>
      <c r="EO95" s="115"/>
      <c r="EP95" s="115" t="str">
        <f>IF(EN95="NA","NA",Tabela4[[#This Row],[Data de protocolo para cálculo médio]]+(VLOOKUP(Tabela4[[#This Row],[Previsão com fórmula i-Helps tipo de fila]],Formulas!$H$1:$J$13,2,FALSE)*30))</f>
        <v>NA</v>
      </c>
      <c r="EQ95" s="115" t="str">
        <f>IF(EN95="NA","NA",Tabela4[[#This Row],[Data de protocolo para cálculo médio]]+(VLOOKUP(Tabela4[[#This Row],[Previsão com fórmula i-Helps tipo de fila]],Formulas!$H$1:$J$13,3,FALSE)*30))</f>
        <v>NA</v>
      </c>
      <c r="ER95" s="115"/>
      <c r="ES95" s="888"/>
      <c r="ET95" s="666" t="s">
        <v>112</v>
      </c>
      <c r="EU95" s="666" t="s">
        <v>112</v>
      </c>
      <c r="EV95" s="666" t="s">
        <v>112</v>
      </c>
    </row>
    <row r="96" spans="1:153" s="556" customFormat="1" ht="89.25" outlineLevel="1" x14ac:dyDescent="0.2">
      <c r="A96" s="779" t="s">
        <v>6582</v>
      </c>
      <c r="B96" s="477" t="s">
        <v>5953</v>
      </c>
      <c r="C96" s="477" t="s">
        <v>584</v>
      </c>
      <c r="D96" s="433" t="s">
        <v>3798</v>
      </c>
      <c r="E96" s="113" t="s">
        <v>5728</v>
      </c>
      <c r="F96" s="113" t="s">
        <v>5957</v>
      </c>
      <c r="G96" s="613" t="s">
        <v>6180</v>
      </c>
      <c r="H96" s="113" t="s">
        <v>5954</v>
      </c>
      <c r="I96" s="875"/>
      <c r="J96" s="113" t="s">
        <v>5955</v>
      </c>
      <c r="K96" s="113" t="s">
        <v>5956</v>
      </c>
      <c r="L96" s="477" t="s">
        <v>11</v>
      </c>
      <c r="M96" s="477" t="s">
        <v>1475</v>
      </c>
      <c r="N96" s="113" t="s">
        <v>6080</v>
      </c>
      <c r="O96" s="765">
        <v>44382</v>
      </c>
      <c r="P96" s="615" t="s">
        <v>6097</v>
      </c>
      <c r="Q96" s="615" t="s">
        <v>112</v>
      </c>
      <c r="R96" s="113" t="s">
        <v>3087</v>
      </c>
      <c r="S96" s="617"/>
      <c r="T96" s="113"/>
      <c r="U96" s="113"/>
      <c r="V96" s="113"/>
      <c r="W96" s="113"/>
      <c r="X96" s="113"/>
      <c r="Y96" s="113"/>
      <c r="Z96" s="113"/>
      <c r="AA96" s="617"/>
      <c r="AB96" s="113"/>
      <c r="AC96" s="617">
        <v>44428</v>
      </c>
      <c r="AD96" s="297" t="s">
        <v>6574</v>
      </c>
      <c r="AE96" s="122"/>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22"/>
      <c r="CL96" s="122"/>
      <c r="CM96" s="122"/>
      <c r="CN96" s="122"/>
      <c r="CO96" s="122"/>
      <c r="CP96" s="122"/>
      <c r="CQ96" s="122"/>
      <c r="CR96" s="122"/>
      <c r="CS96" s="122"/>
      <c r="CT96" s="122"/>
      <c r="CU96" s="122"/>
      <c r="CV96" s="122"/>
      <c r="CW96" s="122"/>
      <c r="CX96" s="122"/>
      <c r="CY96" s="122"/>
      <c r="CZ96" s="122"/>
      <c r="DA96" s="122"/>
      <c r="DB96" s="122"/>
      <c r="DC96" s="122"/>
      <c r="DD96" s="122"/>
      <c r="DE96" s="122"/>
      <c r="DF96" s="122"/>
      <c r="DG96" s="122"/>
      <c r="DH96" s="122"/>
      <c r="DI96" s="122"/>
      <c r="DJ96" s="122"/>
      <c r="DK96" s="122"/>
      <c r="DL96" s="122"/>
      <c r="DM96" s="122"/>
      <c r="DN96" s="122"/>
      <c r="DO96" s="122"/>
      <c r="DP96" s="122"/>
      <c r="DQ96" s="122"/>
      <c r="DR96" s="122"/>
      <c r="DS96" s="297"/>
      <c r="DT96" s="297"/>
      <c r="DU96" s="297"/>
      <c r="DV96" s="297"/>
      <c r="DW96" s="776"/>
      <c r="DX96" s="776"/>
      <c r="DY96" s="776"/>
      <c r="DZ96" s="776"/>
      <c r="EA96" s="776"/>
      <c r="EB96" s="297"/>
      <c r="EC96" s="297"/>
      <c r="ED96" s="297"/>
      <c r="EE96" s="297"/>
      <c r="EF96" s="297"/>
      <c r="EG96" s="297"/>
      <c r="EH96" s="297"/>
      <c r="EI96" s="297"/>
      <c r="EJ96" s="297" t="s">
        <v>6268</v>
      </c>
      <c r="EK96" s="297" t="s">
        <v>6374</v>
      </c>
      <c r="EL96" s="297" t="s">
        <v>6472</v>
      </c>
      <c r="EM96" s="297" t="s">
        <v>6574</v>
      </c>
      <c r="EN96" s="617" t="s">
        <v>112</v>
      </c>
      <c r="EO96" s="115"/>
      <c r="EP96" s="115" t="str">
        <f>IF(EN96="NA","NA",Tabela4[[#This Row],[Data de protocolo para cálculo médio]]+(VLOOKUP(Tabela4[[#This Row],[Previsão com fórmula i-Helps tipo de fila]],Formulas!$H$1:$J$13,2,FALSE)*30))</f>
        <v>NA</v>
      </c>
      <c r="EQ96" s="115" t="str">
        <f>IF(EN96="NA","NA",Tabela4[[#This Row],[Data de protocolo para cálculo médio]]+(VLOOKUP(Tabela4[[#This Row],[Previsão com fórmula i-Helps tipo de fila]],Formulas!$H$1:$J$13,3,FALSE)*30))</f>
        <v>NA</v>
      </c>
      <c r="ER96" s="115"/>
      <c r="ES96" s="888"/>
      <c r="ET96" s="666" t="s">
        <v>112</v>
      </c>
      <c r="EU96" s="666" t="s">
        <v>112</v>
      </c>
      <c r="EV96" s="666" t="s">
        <v>112</v>
      </c>
    </row>
    <row r="97" spans="1:152" s="556" customFormat="1" ht="114.75" outlineLevel="1" x14ac:dyDescent="0.2">
      <c r="A97" s="779" t="s">
        <v>6583</v>
      </c>
      <c r="B97" s="477" t="s">
        <v>5953</v>
      </c>
      <c r="C97" s="477" t="s">
        <v>584</v>
      </c>
      <c r="D97" s="433" t="s">
        <v>3798</v>
      </c>
      <c r="E97" s="113" t="s">
        <v>5728</v>
      </c>
      <c r="F97" s="113" t="s">
        <v>5957</v>
      </c>
      <c r="G97" s="613" t="s">
        <v>6180</v>
      </c>
      <c r="H97" s="113" t="s">
        <v>5954</v>
      </c>
      <c r="I97" s="875"/>
      <c r="J97" s="113" t="s">
        <v>5955</v>
      </c>
      <c r="K97" s="113" t="s">
        <v>5956</v>
      </c>
      <c r="L97" s="477" t="s">
        <v>11</v>
      </c>
      <c r="M97" s="477" t="s">
        <v>1475</v>
      </c>
      <c r="N97" s="113" t="s">
        <v>6081</v>
      </c>
      <c r="O97" s="765">
        <v>44379</v>
      </c>
      <c r="P97" s="615" t="s">
        <v>6124</v>
      </c>
      <c r="Q97" s="615" t="s">
        <v>112</v>
      </c>
      <c r="R97" s="113" t="s">
        <v>3087</v>
      </c>
      <c r="S97" s="617"/>
      <c r="T97" s="113"/>
      <c r="U97" s="113"/>
      <c r="V97" s="113"/>
      <c r="W97" s="113"/>
      <c r="X97" s="113"/>
      <c r="Y97" s="113"/>
      <c r="Z97" s="113"/>
      <c r="AA97" s="617"/>
      <c r="AB97" s="113"/>
      <c r="AC97" s="617">
        <v>44428</v>
      </c>
      <c r="AD97" s="297" t="s">
        <v>6575</v>
      </c>
      <c r="AE97" s="122"/>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22"/>
      <c r="CL97" s="122"/>
      <c r="CM97" s="122"/>
      <c r="CN97" s="122"/>
      <c r="CO97" s="122"/>
      <c r="CP97" s="122"/>
      <c r="CQ97" s="122"/>
      <c r="CR97" s="122"/>
      <c r="CS97" s="122"/>
      <c r="CT97" s="122"/>
      <c r="CU97" s="122"/>
      <c r="CV97" s="122"/>
      <c r="CW97" s="122"/>
      <c r="CX97" s="122"/>
      <c r="CY97" s="122"/>
      <c r="CZ97" s="122"/>
      <c r="DA97" s="122"/>
      <c r="DB97" s="122"/>
      <c r="DC97" s="122"/>
      <c r="DD97" s="122"/>
      <c r="DE97" s="122"/>
      <c r="DF97" s="122"/>
      <c r="DG97" s="122"/>
      <c r="DH97" s="122"/>
      <c r="DI97" s="122"/>
      <c r="DJ97" s="122"/>
      <c r="DK97" s="122"/>
      <c r="DL97" s="122"/>
      <c r="DM97" s="122"/>
      <c r="DN97" s="122"/>
      <c r="DO97" s="122"/>
      <c r="DP97" s="122"/>
      <c r="DQ97" s="122"/>
      <c r="DR97" s="122"/>
      <c r="DS97" s="297"/>
      <c r="DT97" s="297"/>
      <c r="DU97" s="297"/>
      <c r="DV97" s="297"/>
      <c r="DW97" s="776"/>
      <c r="DX97" s="776"/>
      <c r="DY97" s="776"/>
      <c r="DZ97" s="776"/>
      <c r="EA97" s="776"/>
      <c r="EB97" s="297"/>
      <c r="EC97" s="297"/>
      <c r="ED97" s="297"/>
      <c r="EE97" s="297"/>
      <c r="EF97" s="297"/>
      <c r="EG97" s="297"/>
      <c r="EH97" s="297"/>
      <c r="EI97" s="297"/>
      <c r="EJ97" s="297" t="s">
        <v>6269</v>
      </c>
      <c r="EK97" s="297" t="s">
        <v>6375</v>
      </c>
      <c r="EL97" s="297" t="s">
        <v>6473</v>
      </c>
      <c r="EM97" s="297" t="s">
        <v>6575</v>
      </c>
      <c r="EN97" s="617" t="s">
        <v>112</v>
      </c>
      <c r="EO97" s="115"/>
      <c r="EP97" s="115" t="str">
        <f>IF(EN97="NA","NA",Tabela4[[#This Row],[Data de protocolo para cálculo médio]]+(VLOOKUP(Tabela4[[#This Row],[Previsão com fórmula i-Helps tipo de fila]],Formulas!$H$1:$J$13,2,FALSE)*30))</f>
        <v>NA</v>
      </c>
      <c r="EQ97" s="115" t="str">
        <f>IF(EN97="NA","NA",Tabela4[[#This Row],[Data de protocolo para cálculo médio]]+(VLOOKUP(Tabela4[[#This Row],[Previsão com fórmula i-Helps tipo de fila]],Formulas!$H$1:$J$13,3,FALSE)*30))</f>
        <v>NA</v>
      </c>
      <c r="ER97" s="115"/>
      <c r="ES97" s="888"/>
      <c r="ET97" s="666" t="s">
        <v>112</v>
      </c>
      <c r="EU97" s="666" t="s">
        <v>112</v>
      </c>
      <c r="EV97" s="666" t="s">
        <v>112</v>
      </c>
    </row>
    <row r="98" spans="1:152" s="556" customFormat="1" ht="63.75" x14ac:dyDescent="0.2">
      <c r="A98" s="779">
        <v>39</v>
      </c>
      <c r="B98" s="773" t="s">
        <v>5993</v>
      </c>
      <c r="C98" s="788" t="s">
        <v>1137</v>
      </c>
      <c r="D98" s="433" t="s">
        <v>3798</v>
      </c>
      <c r="E98" s="773" t="s">
        <v>5568</v>
      </c>
      <c r="F98" s="773" t="s">
        <v>6017</v>
      </c>
      <c r="G98" s="773" t="s">
        <v>6045</v>
      </c>
      <c r="H98" s="788" t="s">
        <v>5988</v>
      </c>
      <c r="I98" s="877"/>
      <c r="J98" s="788" t="s">
        <v>5989</v>
      </c>
      <c r="K98" s="788" t="s">
        <v>5990</v>
      </c>
      <c r="L98" s="477" t="s">
        <v>3578</v>
      </c>
      <c r="M98" s="788" t="s">
        <v>1616</v>
      </c>
      <c r="N98" s="477" t="s">
        <v>3090</v>
      </c>
      <c r="O98" s="789">
        <v>44389</v>
      </c>
      <c r="P98" s="774" t="s">
        <v>6018</v>
      </c>
      <c r="Q98" s="774" t="s">
        <v>112</v>
      </c>
      <c r="R98" s="788" t="s">
        <v>3087</v>
      </c>
      <c r="S98" s="790"/>
      <c r="T98" s="788"/>
      <c r="U98" s="788"/>
      <c r="V98" s="788"/>
      <c r="W98" s="773" t="s">
        <v>5992</v>
      </c>
      <c r="X98" s="788" t="s">
        <v>5991</v>
      </c>
      <c r="Y98" s="788" t="s">
        <v>112</v>
      </c>
      <c r="Z98" s="788" t="s">
        <v>3085</v>
      </c>
      <c r="AA98" s="790">
        <v>44400</v>
      </c>
      <c r="AB98" s="788">
        <v>49</v>
      </c>
      <c r="AC98" s="617">
        <v>44428</v>
      </c>
      <c r="AD98" s="297">
        <v>33</v>
      </c>
      <c r="AE98" s="877"/>
      <c r="AF98" s="788"/>
      <c r="AG98" s="788"/>
      <c r="AH98" s="788"/>
      <c r="AI98" s="788"/>
      <c r="AJ98" s="788"/>
      <c r="AK98" s="788"/>
      <c r="AL98" s="788"/>
      <c r="AM98" s="788"/>
      <c r="AN98" s="788"/>
      <c r="AO98" s="788"/>
      <c r="AP98" s="788"/>
      <c r="AQ98" s="788"/>
      <c r="AR98" s="788"/>
      <c r="AS98" s="788"/>
      <c r="AT98" s="788"/>
      <c r="AU98" s="788"/>
      <c r="AV98" s="788"/>
      <c r="AW98" s="788"/>
      <c r="AX98" s="788"/>
      <c r="AY98" s="788"/>
      <c r="AZ98" s="788"/>
      <c r="BA98" s="788"/>
      <c r="BB98" s="788"/>
      <c r="BC98" s="788"/>
      <c r="BD98" s="788"/>
      <c r="BE98" s="788"/>
      <c r="BF98" s="788"/>
      <c r="BG98" s="788"/>
      <c r="BH98" s="788"/>
      <c r="BI98" s="788"/>
      <c r="BJ98" s="788"/>
      <c r="BK98" s="788"/>
      <c r="BL98" s="788"/>
      <c r="BM98" s="788"/>
      <c r="BN98" s="788"/>
      <c r="BO98" s="788"/>
      <c r="BP98" s="788"/>
      <c r="BQ98" s="788"/>
      <c r="BR98" s="788"/>
      <c r="BS98" s="788"/>
      <c r="BT98" s="788"/>
      <c r="BU98" s="788"/>
      <c r="BV98" s="788"/>
      <c r="BW98" s="788"/>
      <c r="BX98" s="788"/>
      <c r="BY98" s="788"/>
      <c r="BZ98" s="788"/>
      <c r="CA98" s="788"/>
      <c r="CB98" s="788"/>
      <c r="CC98" s="788"/>
      <c r="CD98" s="788"/>
      <c r="CE98" s="788"/>
      <c r="CF98" s="788"/>
      <c r="CG98" s="788"/>
      <c r="CH98" s="788"/>
      <c r="CI98" s="788"/>
      <c r="CJ98" s="788"/>
      <c r="CK98" s="877"/>
      <c r="CL98" s="877"/>
      <c r="CM98" s="877"/>
      <c r="CN98" s="877"/>
      <c r="CO98" s="877"/>
      <c r="CP98" s="877"/>
      <c r="CQ98" s="877"/>
      <c r="CR98" s="877"/>
      <c r="CS98" s="877"/>
      <c r="CT98" s="877"/>
      <c r="CU98" s="877"/>
      <c r="CV98" s="877"/>
      <c r="CW98" s="877"/>
      <c r="CX98" s="877"/>
      <c r="CY98" s="877"/>
      <c r="CZ98" s="877"/>
      <c r="DA98" s="877"/>
      <c r="DB98" s="877"/>
      <c r="DC98" s="877"/>
      <c r="DD98" s="877"/>
      <c r="DE98" s="877"/>
      <c r="DF98" s="877"/>
      <c r="DG98" s="877"/>
      <c r="DH98" s="877"/>
      <c r="DI98" s="877"/>
      <c r="DJ98" s="877"/>
      <c r="DK98" s="877"/>
      <c r="DL98" s="877"/>
      <c r="DM98" s="877"/>
      <c r="DN98" s="877"/>
      <c r="DO98" s="877"/>
      <c r="DP98" s="877"/>
      <c r="DQ98" s="877"/>
      <c r="DR98" s="877"/>
      <c r="DS98" s="877"/>
      <c r="DT98" s="877"/>
      <c r="DU98" s="877"/>
      <c r="DV98" s="877"/>
      <c r="DW98" s="776"/>
      <c r="DX98" s="776"/>
      <c r="DY98" s="776"/>
      <c r="DZ98" s="776"/>
      <c r="EA98" s="776"/>
      <c r="EB98" s="877"/>
      <c r="EC98" s="877"/>
      <c r="ED98" s="877"/>
      <c r="EE98" s="877"/>
      <c r="EF98" s="877"/>
      <c r="EG98" s="877"/>
      <c r="EH98" s="122"/>
      <c r="EI98" s="297">
        <v>49</v>
      </c>
      <c r="EJ98" s="297">
        <v>44</v>
      </c>
      <c r="EK98" s="297">
        <v>39</v>
      </c>
      <c r="EL98" s="297">
        <v>33</v>
      </c>
      <c r="EM98" s="297">
        <v>33</v>
      </c>
      <c r="EN98" s="790" t="s">
        <v>5061</v>
      </c>
      <c r="EO98" s="878">
        <v>44389</v>
      </c>
      <c r="EP98" s="878">
        <f>IF(EN98="NA","NA",Tabela4[[#This Row],[Data de protocolo para cálculo médio]]+(VLOOKUP(Tabela4[[#This Row],[Previsão com fórmula i-Helps tipo de fila]],Formulas!$H$1:$J$13,2,FALSE)*30))</f>
        <v>44434</v>
      </c>
      <c r="EQ98" s="878">
        <f>IF(EN98="NA","NA",Tabela4[[#This Row],[Data de protocolo para cálculo médio]]+(VLOOKUP(Tabela4[[#This Row],[Previsão com fórmula i-Helps tipo de fila]],Formulas!$H$1:$J$13,3,FALSE)*30))</f>
        <v>44473</v>
      </c>
      <c r="ER98" s="796" t="s">
        <v>5896</v>
      </c>
      <c r="ES98" s="796" t="s">
        <v>5896</v>
      </c>
      <c r="ET98" s="446" t="s">
        <v>5059</v>
      </c>
      <c r="EU98" s="775" t="s">
        <v>5060</v>
      </c>
      <c r="EV98" s="775" t="s">
        <v>5061</v>
      </c>
    </row>
    <row r="99" spans="1:152" s="556" customFormat="1" ht="127.5" x14ac:dyDescent="0.2">
      <c r="A99" s="779">
        <v>40</v>
      </c>
      <c r="B99" s="113" t="s">
        <v>5996</v>
      </c>
      <c r="C99" s="788" t="s">
        <v>1137</v>
      </c>
      <c r="D99" s="433" t="s">
        <v>3798</v>
      </c>
      <c r="E99" s="113" t="s">
        <v>5714</v>
      </c>
      <c r="F99" s="113" t="s">
        <v>5998</v>
      </c>
      <c r="G99" s="613" t="s">
        <v>5995</v>
      </c>
      <c r="H99" s="113" t="s">
        <v>5995</v>
      </c>
      <c r="I99" s="122" t="s">
        <v>5999</v>
      </c>
      <c r="J99" s="113" t="s">
        <v>5997</v>
      </c>
      <c r="K99" s="113" t="s">
        <v>414</v>
      </c>
      <c r="L99" s="477" t="s">
        <v>16</v>
      </c>
      <c r="M99" s="477" t="s">
        <v>685</v>
      </c>
      <c r="N99" s="477" t="s">
        <v>2992</v>
      </c>
      <c r="O99" s="765">
        <v>44391</v>
      </c>
      <c r="P99" s="615" t="s">
        <v>6000</v>
      </c>
      <c r="Q99" s="615" t="s">
        <v>112</v>
      </c>
      <c r="R99" s="113" t="s">
        <v>3087</v>
      </c>
      <c r="S99" s="617"/>
      <c r="T99" s="113"/>
      <c r="U99" s="113" t="s">
        <v>6104</v>
      </c>
      <c r="V99" s="113"/>
      <c r="W99" s="113" t="s">
        <v>112</v>
      </c>
      <c r="X99" s="113" t="s">
        <v>112</v>
      </c>
      <c r="Y99" s="113" t="s">
        <v>112</v>
      </c>
      <c r="Z99" s="113" t="s">
        <v>112</v>
      </c>
      <c r="AA99" s="617">
        <v>44393</v>
      </c>
      <c r="AB99" s="113">
        <v>11</v>
      </c>
      <c r="AC99" s="617">
        <v>44428</v>
      </c>
      <c r="AD99" s="285">
        <v>69</v>
      </c>
      <c r="AE99" s="122"/>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c r="BS99" s="113"/>
      <c r="BT99" s="113"/>
      <c r="BU99" s="113"/>
      <c r="BV99" s="113"/>
      <c r="BW99" s="113"/>
      <c r="BX99" s="113"/>
      <c r="BY99" s="113"/>
      <c r="BZ99" s="113"/>
      <c r="CA99" s="113"/>
      <c r="CB99" s="113"/>
      <c r="CC99" s="113"/>
      <c r="CD99" s="113"/>
      <c r="CE99" s="113"/>
      <c r="CF99" s="113"/>
      <c r="CG99" s="113"/>
      <c r="CH99" s="113"/>
      <c r="CI99" s="113"/>
      <c r="CJ99" s="113"/>
      <c r="CK99" s="122"/>
      <c r="CL99" s="122"/>
      <c r="CM99" s="122"/>
      <c r="CN99" s="122"/>
      <c r="CO99" s="122"/>
      <c r="CP99" s="122"/>
      <c r="CQ99" s="122"/>
      <c r="CR99" s="122"/>
      <c r="CS99" s="122"/>
      <c r="CT99" s="122"/>
      <c r="CU99" s="122"/>
      <c r="CV99" s="122"/>
      <c r="CW99" s="122"/>
      <c r="CX99" s="122"/>
      <c r="CY99" s="122"/>
      <c r="CZ99" s="122"/>
      <c r="DA99" s="122"/>
      <c r="DB99" s="122"/>
      <c r="DC99" s="122"/>
      <c r="DD99" s="122"/>
      <c r="DE99" s="122"/>
      <c r="DF99" s="122"/>
      <c r="DG99" s="122"/>
      <c r="DH99" s="122"/>
      <c r="DI99" s="122"/>
      <c r="DJ99" s="122"/>
      <c r="DK99" s="122"/>
      <c r="DL99" s="122"/>
      <c r="DM99" s="122"/>
      <c r="DN99" s="122"/>
      <c r="DO99" s="122"/>
      <c r="DP99" s="122"/>
      <c r="DQ99" s="122"/>
      <c r="DR99" s="122"/>
      <c r="DS99" s="122"/>
      <c r="DT99" s="122"/>
      <c r="DU99" s="122"/>
      <c r="DV99" s="122"/>
      <c r="DW99" s="115"/>
      <c r="DX99" s="115"/>
      <c r="DY99" s="115"/>
      <c r="DZ99" s="115"/>
      <c r="EA99" s="115"/>
      <c r="EB99" s="122"/>
      <c r="EC99" s="122"/>
      <c r="ED99" s="122"/>
      <c r="EE99" s="122"/>
      <c r="EF99" s="122"/>
      <c r="EG99" s="122"/>
      <c r="EH99" s="122">
        <v>11</v>
      </c>
      <c r="EI99" s="122">
        <v>156</v>
      </c>
      <c r="EJ99" s="122">
        <v>82</v>
      </c>
      <c r="EK99" s="285">
        <v>86</v>
      </c>
      <c r="EL99" s="285">
        <v>77</v>
      </c>
      <c r="EM99" s="285">
        <v>69</v>
      </c>
      <c r="EN99" s="612" t="s">
        <v>5063</v>
      </c>
      <c r="EO99" s="115">
        <v>44392</v>
      </c>
      <c r="EP99" s="115">
        <f>IF(EN99="NA","NA",Tabela4[[#This Row],[Data de protocolo para cálculo médio]]+(VLOOKUP(Tabela4[[#This Row],[Previsão com fórmula i-Helps tipo de fila]],Formulas!$H$1:$J$13,2,FALSE)*30))</f>
        <v>44749</v>
      </c>
      <c r="EQ99" s="115">
        <f>IF(EN99="NA","NA",Tabela4[[#This Row],[Data de protocolo para cálculo médio]]+(VLOOKUP(Tabela4[[#This Row],[Previsão com fórmula i-Helps tipo de fila]],Formulas!$H$1:$J$13,3,FALSE)*30))</f>
        <v>44893</v>
      </c>
      <c r="ER99" s="115" t="s">
        <v>5971</v>
      </c>
      <c r="ES99" s="113" t="s">
        <v>6103</v>
      </c>
      <c r="ET99" s="446" t="s">
        <v>5059</v>
      </c>
      <c r="EU99" s="775" t="s">
        <v>5060</v>
      </c>
      <c r="EV99" s="617" t="s">
        <v>5063</v>
      </c>
    </row>
    <row r="100" spans="1:152" s="556" customFormat="1" ht="102" outlineLevel="1" x14ac:dyDescent="0.2">
      <c r="A100" s="779" t="s">
        <v>6584</v>
      </c>
      <c r="B100" s="773" t="s">
        <v>5996</v>
      </c>
      <c r="C100" s="773" t="s">
        <v>1137</v>
      </c>
      <c r="D100" s="773" t="s">
        <v>3798</v>
      </c>
      <c r="E100" s="773" t="s">
        <v>5714</v>
      </c>
      <c r="F100" s="773" t="s">
        <v>5998</v>
      </c>
      <c r="G100" s="777" t="s">
        <v>5995</v>
      </c>
      <c r="H100" s="773" t="s">
        <v>5995</v>
      </c>
      <c r="I100" s="297" t="s">
        <v>5999</v>
      </c>
      <c r="J100" s="773" t="s">
        <v>5997</v>
      </c>
      <c r="K100" s="773" t="s">
        <v>414</v>
      </c>
      <c r="L100" s="773" t="s">
        <v>16</v>
      </c>
      <c r="M100" s="773" t="s">
        <v>685</v>
      </c>
      <c r="N100" s="773" t="s">
        <v>6082</v>
      </c>
      <c r="O100" s="794">
        <v>44397</v>
      </c>
      <c r="P100" s="774" t="s">
        <v>6098</v>
      </c>
      <c r="Q100" s="774" t="s">
        <v>112</v>
      </c>
      <c r="R100" s="113" t="s">
        <v>3087</v>
      </c>
      <c r="S100" s="775"/>
      <c r="T100" s="773"/>
      <c r="U100" s="773"/>
      <c r="V100" s="773"/>
      <c r="W100" s="773"/>
      <c r="X100" s="773"/>
      <c r="Y100" s="773"/>
      <c r="Z100" s="773"/>
      <c r="AA100" s="775"/>
      <c r="AB100" s="773"/>
      <c r="AC100" s="617">
        <v>44428</v>
      </c>
      <c r="AD100" s="122" t="s">
        <v>6576</v>
      </c>
      <c r="AE100" s="297"/>
      <c r="AF100" s="773"/>
      <c r="AG100" s="773"/>
      <c r="AH100" s="773"/>
      <c r="AI100" s="773"/>
      <c r="AJ100" s="773"/>
      <c r="AK100" s="773"/>
      <c r="AL100" s="773"/>
      <c r="AM100" s="773"/>
      <c r="AN100" s="773"/>
      <c r="AO100" s="773"/>
      <c r="AP100" s="773"/>
      <c r="AQ100" s="773"/>
      <c r="AR100" s="773"/>
      <c r="AS100" s="773"/>
      <c r="AT100" s="773"/>
      <c r="AU100" s="773"/>
      <c r="AV100" s="773"/>
      <c r="AW100" s="773"/>
      <c r="AX100" s="773"/>
      <c r="AY100" s="773"/>
      <c r="AZ100" s="773"/>
      <c r="BA100" s="773"/>
      <c r="BB100" s="773"/>
      <c r="BC100" s="773"/>
      <c r="BD100" s="773"/>
      <c r="BE100" s="773"/>
      <c r="BF100" s="773"/>
      <c r="BG100" s="773"/>
      <c r="BH100" s="773"/>
      <c r="BI100" s="773"/>
      <c r="BJ100" s="773"/>
      <c r="BK100" s="773"/>
      <c r="BL100" s="773"/>
      <c r="BM100" s="773"/>
      <c r="BN100" s="773"/>
      <c r="BO100" s="773"/>
      <c r="BP100" s="773"/>
      <c r="BQ100" s="773"/>
      <c r="BR100" s="773"/>
      <c r="BS100" s="773"/>
      <c r="BT100" s="773"/>
      <c r="BU100" s="773"/>
      <c r="BV100" s="773"/>
      <c r="BW100" s="773"/>
      <c r="BX100" s="773"/>
      <c r="BY100" s="773"/>
      <c r="BZ100" s="773"/>
      <c r="CA100" s="773"/>
      <c r="CB100" s="773"/>
      <c r="CC100" s="773"/>
      <c r="CD100" s="773"/>
      <c r="CE100" s="773"/>
      <c r="CF100" s="773"/>
      <c r="CG100" s="773"/>
      <c r="CH100" s="773"/>
      <c r="CI100" s="773"/>
      <c r="CJ100" s="773"/>
      <c r="CK100" s="297"/>
      <c r="CL100" s="297"/>
      <c r="CM100" s="297"/>
      <c r="CN100" s="297"/>
      <c r="CO100" s="297"/>
      <c r="CP100" s="297"/>
      <c r="CQ100" s="297"/>
      <c r="CR100" s="297"/>
      <c r="CS100" s="297"/>
      <c r="CT100" s="297"/>
      <c r="CU100" s="297"/>
      <c r="CV100" s="297"/>
      <c r="CW100" s="297"/>
      <c r="CX100" s="297"/>
      <c r="CY100" s="297"/>
      <c r="CZ100" s="297"/>
      <c r="DA100" s="297"/>
      <c r="DB100" s="297"/>
      <c r="DC100" s="297"/>
      <c r="DD100" s="297"/>
      <c r="DE100" s="297"/>
      <c r="DF100" s="297"/>
      <c r="DG100" s="297"/>
      <c r="DH100" s="297"/>
      <c r="DI100" s="297"/>
      <c r="DJ100" s="297"/>
      <c r="DK100" s="297"/>
      <c r="DL100" s="297"/>
      <c r="DM100" s="297"/>
      <c r="DN100" s="297"/>
      <c r="DO100" s="297"/>
      <c r="DP100" s="297"/>
      <c r="DQ100" s="297"/>
      <c r="DR100" s="297"/>
      <c r="DS100" s="297"/>
      <c r="DT100" s="297"/>
      <c r="DU100" s="297"/>
      <c r="DV100" s="297"/>
      <c r="DW100" s="776"/>
      <c r="DX100" s="776"/>
      <c r="DY100" s="776"/>
      <c r="DZ100" s="776"/>
      <c r="EA100" s="776"/>
      <c r="EB100" s="297"/>
      <c r="EC100" s="297"/>
      <c r="ED100" s="297"/>
      <c r="EE100" s="297"/>
      <c r="EF100" s="297"/>
      <c r="EG100" s="297"/>
      <c r="EH100" s="297"/>
      <c r="EI100" s="297"/>
      <c r="EJ100" s="122" t="s">
        <v>6270</v>
      </c>
      <c r="EK100" s="122" t="s">
        <v>6376</v>
      </c>
      <c r="EL100" s="122" t="s">
        <v>6474</v>
      </c>
      <c r="EM100" s="122" t="s">
        <v>6576</v>
      </c>
      <c r="EN100" s="775" t="s">
        <v>112</v>
      </c>
      <c r="EO100" s="115"/>
      <c r="EP100" s="776" t="str">
        <f>IF(EN100="NA","NA",Tabela4[[#This Row],[Data de protocolo para cálculo médio]]+(VLOOKUP(Tabela4[[#This Row],[Previsão com fórmula i-Helps tipo de fila]],Formulas!$H$1:$J$13,2,FALSE)*30))</f>
        <v>NA</v>
      </c>
      <c r="EQ100" s="776" t="str">
        <f>IF(EN100="NA","NA",Tabela4[[#This Row],[Data de protocolo para cálculo médio]]+(VLOOKUP(Tabela4[[#This Row],[Previsão com fórmula i-Helps tipo de fila]],Formulas!$H$1:$J$13,3,FALSE)*30))</f>
        <v>NA</v>
      </c>
      <c r="ER100" s="776"/>
      <c r="ES100" s="889"/>
      <c r="ET100" s="666" t="s">
        <v>112</v>
      </c>
      <c r="EU100" s="666" t="s">
        <v>112</v>
      </c>
      <c r="EV100" s="666" t="s">
        <v>112</v>
      </c>
    </row>
    <row r="101" spans="1:152" s="556" customFormat="1" ht="89.25" outlineLevel="1" x14ac:dyDescent="0.2">
      <c r="A101" s="779" t="s">
        <v>6585</v>
      </c>
      <c r="B101" s="773" t="s">
        <v>5996</v>
      </c>
      <c r="C101" s="773" t="s">
        <v>1137</v>
      </c>
      <c r="D101" s="773" t="s">
        <v>3798</v>
      </c>
      <c r="E101" s="773" t="s">
        <v>5714</v>
      </c>
      <c r="F101" s="773" t="s">
        <v>5998</v>
      </c>
      <c r="G101" s="777" t="s">
        <v>5995</v>
      </c>
      <c r="H101" s="773" t="s">
        <v>5995</v>
      </c>
      <c r="I101" s="297" t="s">
        <v>5999</v>
      </c>
      <c r="J101" s="773" t="s">
        <v>5997</v>
      </c>
      <c r="K101" s="773" t="s">
        <v>414</v>
      </c>
      <c r="L101" s="773" t="s">
        <v>16</v>
      </c>
      <c r="M101" s="773" t="s">
        <v>685</v>
      </c>
      <c r="N101" s="773" t="s">
        <v>6080</v>
      </c>
      <c r="O101" s="794">
        <v>44396</v>
      </c>
      <c r="P101" s="774" t="s">
        <v>6100</v>
      </c>
      <c r="Q101" s="774" t="s">
        <v>112</v>
      </c>
      <c r="R101" s="113" t="s">
        <v>3087</v>
      </c>
      <c r="S101" s="775"/>
      <c r="T101" s="773"/>
      <c r="U101" s="773"/>
      <c r="V101" s="773"/>
      <c r="W101" s="773"/>
      <c r="X101" s="773"/>
      <c r="Y101" s="773"/>
      <c r="Z101" s="773"/>
      <c r="AA101" s="775"/>
      <c r="AB101" s="773"/>
      <c r="AC101" s="617">
        <v>44428</v>
      </c>
      <c r="AD101" s="122" t="s">
        <v>6577</v>
      </c>
      <c r="AE101" s="297"/>
      <c r="AF101" s="773"/>
      <c r="AG101" s="773"/>
      <c r="AH101" s="773"/>
      <c r="AI101" s="773"/>
      <c r="AJ101" s="773"/>
      <c r="AK101" s="773"/>
      <c r="AL101" s="773"/>
      <c r="AM101" s="773"/>
      <c r="AN101" s="773"/>
      <c r="AO101" s="773"/>
      <c r="AP101" s="773"/>
      <c r="AQ101" s="773"/>
      <c r="AR101" s="773"/>
      <c r="AS101" s="773"/>
      <c r="AT101" s="773"/>
      <c r="AU101" s="773"/>
      <c r="AV101" s="773"/>
      <c r="AW101" s="773"/>
      <c r="AX101" s="773"/>
      <c r="AY101" s="773"/>
      <c r="AZ101" s="773"/>
      <c r="BA101" s="773"/>
      <c r="BB101" s="773"/>
      <c r="BC101" s="773"/>
      <c r="BD101" s="773"/>
      <c r="BE101" s="773"/>
      <c r="BF101" s="773"/>
      <c r="BG101" s="773"/>
      <c r="BH101" s="773"/>
      <c r="BI101" s="773"/>
      <c r="BJ101" s="773"/>
      <c r="BK101" s="773"/>
      <c r="BL101" s="773"/>
      <c r="BM101" s="773"/>
      <c r="BN101" s="773"/>
      <c r="BO101" s="773"/>
      <c r="BP101" s="773"/>
      <c r="BQ101" s="773"/>
      <c r="BR101" s="773"/>
      <c r="BS101" s="773"/>
      <c r="BT101" s="773"/>
      <c r="BU101" s="773"/>
      <c r="BV101" s="773"/>
      <c r="BW101" s="773"/>
      <c r="BX101" s="773"/>
      <c r="BY101" s="773"/>
      <c r="BZ101" s="773"/>
      <c r="CA101" s="773"/>
      <c r="CB101" s="773"/>
      <c r="CC101" s="773"/>
      <c r="CD101" s="773"/>
      <c r="CE101" s="773"/>
      <c r="CF101" s="773"/>
      <c r="CG101" s="773"/>
      <c r="CH101" s="773"/>
      <c r="CI101" s="773"/>
      <c r="CJ101" s="773"/>
      <c r="CK101" s="297"/>
      <c r="CL101" s="297"/>
      <c r="CM101" s="297"/>
      <c r="CN101" s="297"/>
      <c r="CO101" s="297"/>
      <c r="CP101" s="297"/>
      <c r="CQ101" s="297"/>
      <c r="CR101" s="297"/>
      <c r="CS101" s="297"/>
      <c r="CT101" s="297"/>
      <c r="CU101" s="297"/>
      <c r="CV101" s="297"/>
      <c r="CW101" s="297"/>
      <c r="CX101" s="297"/>
      <c r="CY101" s="297"/>
      <c r="CZ101" s="297"/>
      <c r="DA101" s="297"/>
      <c r="DB101" s="297"/>
      <c r="DC101" s="297"/>
      <c r="DD101" s="297"/>
      <c r="DE101" s="297"/>
      <c r="DF101" s="297"/>
      <c r="DG101" s="297"/>
      <c r="DH101" s="297"/>
      <c r="DI101" s="297"/>
      <c r="DJ101" s="297"/>
      <c r="DK101" s="297"/>
      <c r="DL101" s="297"/>
      <c r="DM101" s="297"/>
      <c r="DN101" s="297"/>
      <c r="DO101" s="297"/>
      <c r="DP101" s="297"/>
      <c r="DQ101" s="297"/>
      <c r="DR101" s="297"/>
      <c r="DS101" s="297"/>
      <c r="DT101" s="297"/>
      <c r="DU101" s="297"/>
      <c r="DV101" s="297"/>
      <c r="DW101" s="776"/>
      <c r="DX101" s="776"/>
      <c r="DY101" s="776"/>
      <c r="DZ101" s="776"/>
      <c r="EA101" s="776"/>
      <c r="EB101" s="297"/>
      <c r="EC101" s="297"/>
      <c r="ED101" s="297"/>
      <c r="EE101" s="297"/>
      <c r="EF101" s="297"/>
      <c r="EG101" s="297"/>
      <c r="EH101" s="297"/>
      <c r="EI101" s="297"/>
      <c r="EJ101" s="122" t="s">
        <v>6271</v>
      </c>
      <c r="EK101" s="122" t="s">
        <v>6377</v>
      </c>
      <c r="EL101" s="122" t="s">
        <v>6475</v>
      </c>
      <c r="EM101" s="122" t="s">
        <v>6577</v>
      </c>
      <c r="EN101" s="775" t="s">
        <v>112</v>
      </c>
      <c r="EO101" s="115"/>
      <c r="EP101" s="776" t="str">
        <f>IF(EN101="NA","NA",Tabela4[[#This Row],[Data de protocolo para cálculo médio]]+(VLOOKUP(Tabela4[[#This Row],[Previsão com fórmula i-Helps tipo de fila]],Formulas!$H$1:$J$13,2,FALSE)*30))</f>
        <v>NA</v>
      </c>
      <c r="EQ101" s="776" t="str">
        <f>IF(EN101="NA","NA",Tabela4[[#This Row],[Data de protocolo para cálculo médio]]+(VLOOKUP(Tabela4[[#This Row],[Previsão com fórmula i-Helps tipo de fila]],Formulas!$H$1:$J$13,3,FALSE)*30))</f>
        <v>NA</v>
      </c>
      <c r="ER101" s="776"/>
      <c r="ES101" s="889"/>
      <c r="ET101" s="666" t="s">
        <v>112</v>
      </c>
      <c r="EU101" s="666" t="s">
        <v>112</v>
      </c>
      <c r="EV101" s="666" t="s">
        <v>112</v>
      </c>
    </row>
    <row r="102" spans="1:152" s="556" customFormat="1" ht="114.75" outlineLevel="1" x14ac:dyDescent="0.2">
      <c r="A102" s="779" t="s">
        <v>6586</v>
      </c>
      <c r="B102" s="773" t="s">
        <v>5996</v>
      </c>
      <c r="C102" s="773" t="s">
        <v>1137</v>
      </c>
      <c r="D102" s="773" t="s">
        <v>3798</v>
      </c>
      <c r="E102" s="773" t="s">
        <v>5714</v>
      </c>
      <c r="F102" s="773" t="s">
        <v>5998</v>
      </c>
      <c r="G102" s="777" t="s">
        <v>5995</v>
      </c>
      <c r="H102" s="773" t="s">
        <v>5995</v>
      </c>
      <c r="I102" s="297" t="s">
        <v>5999</v>
      </c>
      <c r="J102" s="773" t="s">
        <v>5997</v>
      </c>
      <c r="K102" s="773" t="s">
        <v>414</v>
      </c>
      <c r="L102" s="773" t="s">
        <v>16</v>
      </c>
      <c r="M102" s="773" t="s">
        <v>685</v>
      </c>
      <c r="N102" s="773" t="s">
        <v>6081</v>
      </c>
      <c r="O102" s="794">
        <v>44393</v>
      </c>
      <c r="P102" s="774" t="s">
        <v>6099</v>
      </c>
      <c r="Q102" s="774" t="s">
        <v>112</v>
      </c>
      <c r="R102" s="113" t="s">
        <v>3087</v>
      </c>
      <c r="S102" s="775"/>
      <c r="T102" s="773"/>
      <c r="U102" s="773"/>
      <c r="V102" s="773"/>
      <c r="W102" s="773"/>
      <c r="X102" s="773"/>
      <c r="Y102" s="773"/>
      <c r="Z102" s="773"/>
      <c r="AA102" s="775"/>
      <c r="AB102" s="773"/>
      <c r="AC102" s="617">
        <v>44428</v>
      </c>
      <c r="AD102" s="122" t="s">
        <v>6578</v>
      </c>
      <c r="AE102" s="297"/>
      <c r="AF102" s="773"/>
      <c r="AG102" s="773"/>
      <c r="AH102" s="773"/>
      <c r="AI102" s="773"/>
      <c r="AJ102" s="773"/>
      <c r="AK102" s="773"/>
      <c r="AL102" s="773"/>
      <c r="AM102" s="773"/>
      <c r="AN102" s="773"/>
      <c r="AO102" s="773"/>
      <c r="AP102" s="773"/>
      <c r="AQ102" s="773"/>
      <c r="AR102" s="773"/>
      <c r="AS102" s="773"/>
      <c r="AT102" s="773"/>
      <c r="AU102" s="773"/>
      <c r="AV102" s="773"/>
      <c r="AW102" s="773"/>
      <c r="AX102" s="773"/>
      <c r="AY102" s="773"/>
      <c r="AZ102" s="773"/>
      <c r="BA102" s="773"/>
      <c r="BB102" s="773"/>
      <c r="BC102" s="773"/>
      <c r="BD102" s="773"/>
      <c r="BE102" s="773"/>
      <c r="BF102" s="773"/>
      <c r="BG102" s="773"/>
      <c r="BH102" s="773"/>
      <c r="BI102" s="773"/>
      <c r="BJ102" s="773"/>
      <c r="BK102" s="773"/>
      <c r="BL102" s="773"/>
      <c r="BM102" s="773"/>
      <c r="BN102" s="773"/>
      <c r="BO102" s="773"/>
      <c r="BP102" s="773"/>
      <c r="BQ102" s="773"/>
      <c r="BR102" s="773"/>
      <c r="BS102" s="773"/>
      <c r="BT102" s="773"/>
      <c r="BU102" s="773"/>
      <c r="BV102" s="773"/>
      <c r="BW102" s="773"/>
      <c r="BX102" s="773"/>
      <c r="BY102" s="773"/>
      <c r="BZ102" s="773"/>
      <c r="CA102" s="773"/>
      <c r="CB102" s="773"/>
      <c r="CC102" s="773"/>
      <c r="CD102" s="773"/>
      <c r="CE102" s="773"/>
      <c r="CF102" s="773"/>
      <c r="CG102" s="773"/>
      <c r="CH102" s="773"/>
      <c r="CI102" s="773"/>
      <c r="CJ102" s="773"/>
      <c r="CK102" s="297"/>
      <c r="CL102" s="297"/>
      <c r="CM102" s="297"/>
      <c r="CN102" s="297"/>
      <c r="CO102" s="297"/>
      <c r="CP102" s="297"/>
      <c r="CQ102" s="297"/>
      <c r="CR102" s="297"/>
      <c r="CS102" s="297"/>
      <c r="CT102" s="297"/>
      <c r="CU102" s="297"/>
      <c r="CV102" s="297"/>
      <c r="CW102" s="297"/>
      <c r="CX102" s="297"/>
      <c r="CY102" s="297"/>
      <c r="CZ102" s="297"/>
      <c r="DA102" s="297"/>
      <c r="DB102" s="297"/>
      <c r="DC102" s="297"/>
      <c r="DD102" s="297"/>
      <c r="DE102" s="297"/>
      <c r="DF102" s="297"/>
      <c r="DG102" s="297"/>
      <c r="DH102" s="297"/>
      <c r="DI102" s="297"/>
      <c r="DJ102" s="297"/>
      <c r="DK102" s="297"/>
      <c r="DL102" s="297"/>
      <c r="DM102" s="297"/>
      <c r="DN102" s="297"/>
      <c r="DO102" s="297"/>
      <c r="DP102" s="297"/>
      <c r="DQ102" s="297"/>
      <c r="DR102" s="297"/>
      <c r="DS102" s="297"/>
      <c r="DT102" s="297"/>
      <c r="DU102" s="297"/>
      <c r="DV102" s="297"/>
      <c r="DW102" s="776"/>
      <c r="DX102" s="776"/>
      <c r="DY102" s="776"/>
      <c r="DZ102" s="776"/>
      <c r="EA102" s="776"/>
      <c r="EB102" s="297"/>
      <c r="EC102" s="297"/>
      <c r="ED102" s="297"/>
      <c r="EE102" s="297"/>
      <c r="EF102" s="297"/>
      <c r="EG102" s="297"/>
      <c r="EH102" s="297"/>
      <c r="EI102" s="297"/>
      <c r="EJ102" s="122" t="s">
        <v>6272</v>
      </c>
      <c r="EK102" s="122" t="s">
        <v>6378</v>
      </c>
      <c r="EL102" s="122" t="s">
        <v>6476</v>
      </c>
      <c r="EM102" s="122" t="s">
        <v>6578</v>
      </c>
      <c r="EN102" s="775" t="s">
        <v>112</v>
      </c>
      <c r="EO102" s="115"/>
      <c r="EP102" s="776" t="str">
        <f>IF(EN102="NA","NA",Tabela4[[#This Row],[Data de protocolo para cálculo médio]]+(VLOOKUP(Tabela4[[#This Row],[Previsão com fórmula i-Helps tipo de fila]],Formulas!$H$1:$J$13,2,FALSE)*30))</f>
        <v>NA</v>
      </c>
      <c r="EQ102" s="776" t="str">
        <f>IF(EN102="NA","NA",Tabela4[[#This Row],[Data de protocolo para cálculo médio]]+(VLOOKUP(Tabela4[[#This Row],[Previsão com fórmula i-Helps tipo de fila]],Formulas!$H$1:$J$13,3,FALSE)*30))</f>
        <v>NA</v>
      </c>
      <c r="ER102" s="776"/>
      <c r="ES102" s="889"/>
      <c r="ET102" s="666" t="s">
        <v>112</v>
      </c>
      <c r="EU102" s="666" t="s">
        <v>112</v>
      </c>
      <c r="EV102" s="666" t="s">
        <v>112</v>
      </c>
    </row>
    <row r="103" spans="1:152" s="556" customFormat="1" ht="165.75" x14ac:dyDescent="0.2">
      <c r="A103" s="893">
        <v>41</v>
      </c>
      <c r="B103" s="773" t="s">
        <v>6275</v>
      </c>
      <c r="C103" s="773" t="s">
        <v>584</v>
      </c>
      <c r="D103" s="773" t="s">
        <v>3797</v>
      </c>
      <c r="E103" s="773" t="s">
        <v>5728</v>
      </c>
      <c r="F103" s="773" t="s">
        <v>6282</v>
      </c>
      <c r="G103" s="777" t="s">
        <v>6276</v>
      </c>
      <c r="H103" s="773" t="s">
        <v>6277</v>
      </c>
      <c r="I103" s="297"/>
      <c r="J103" s="773" t="s">
        <v>6278</v>
      </c>
      <c r="K103" s="773" t="s">
        <v>6279</v>
      </c>
      <c r="L103" s="773" t="s">
        <v>454</v>
      </c>
      <c r="M103" s="113" t="s">
        <v>3417</v>
      </c>
      <c r="N103" s="773" t="s">
        <v>2992</v>
      </c>
      <c r="O103" s="794">
        <v>44407</v>
      </c>
      <c r="P103" s="774" t="s">
        <v>6283</v>
      </c>
      <c r="Q103" s="774" t="s">
        <v>112</v>
      </c>
      <c r="R103" s="773" t="s">
        <v>3087</v>
      </c>
      <c r="S103" s="775"/>
      <c r="T103" s="773" t="s">
        <v>5064</v>
      </c>
      <c r="U103" s="773" t="s">
        <v>6489</v>
      </c>
      <c r="V103" s="773"/>
      <c r="W103" s="773" t="s">
        <v>112</v>
      </c>
      <c r="X103" s="773" t="s">
        <v>112</v>
      </c>
      <c r="Y103" s="773" t="s">
        <v>112</v>
      </c>
      <c r="Z103" s="773" t="s">
        <v>112</v>
      </c>
      <c r="AA103" s="775">
        <v>44414</v>
      </c>
      <c r="AB103" s="115" t="s">
        <v>6379</v>
      </c>
      <c r="AC103" s="773"/>
      <c r="AD103" s="115" t="s">
        <v>6579</v>
      </c>
      <c r="AE103" s="297"/>
      <c r="AF103" s="773"/>
      <c r="AG103" s="773"/>
      <c r="AH103" s="773"/>
      <c r="AI103" s="773"/>
      <c r="AJ103" s="773"/>
      <c r="AK103" s="773"/>
      <c r="AL103" s="773"/>
      <c r="AM103" s="773"/>
      <c r="AN103" s="773"/>
      <c r="AO103" s="773"/>
      <c r="AP103" s="773"/>
      <c r="AQ103" s="773"/>
      <c r="AR103" s="773"/>
      <c r="AS103" s="773"/>
      <c r="AT103" s="773"/>
      <c r="AU103" s="773"/>
      <c r="AV103" s="773"/>
      <c r="AW103" s="773"/>
      <c r="AX103" s="773"/>
      <c r="AY103" s="773"/>
      <c r="AZ103" s="773"/>
      <c r="BA103" s="773"/>
      <c r="BB103" s="773"/>
      <c r="BC103" s="773"/>
      <c r="BD103" s="773"/>
      <c r="BE103" s="773"/>
      <c r="BF103" s="773"/>
      <c r="BG103" s="773"/>
      <c r="BH103" s="773"/>
      <c r="BI103" s="773"/>
      <c r="BJ103" s="773"/>
      <c r="BK103" s="773"/>
      <c r="BL103" s="773"/>
      <c r="BM103" s="773"/>
      <c r="BN103" s="773"/>
      <c r="BO103" s="773"/>
      <c r="BP103" s="773"/>
      <c r="BQ103" s="773"/>
      <c r="BR103" s="773"/>
      <c r="BS103" s="773"/>
      <c r="BT103" s="773"/>
      <c r="BU103" s="773"/>
      <c r="BV103" s="773"/>
      <c r="BW103" s="773"/>
      <c r="BX103" s="773"/>
      <c r="BY103" s="773"/>
      <c r="BZ103" s="773"/>
      <c r="CA103" s="773"/>
      <c r="CB103" s="773"/>
      <c r="CC103" s="773"/>
      <c r="CD103" s="773"/>
      <c r="CE103" s="773"/>
      <c r="CF103" s="773"/>
      <c r="CG103" s="773"/>
      <c r="CH103" s="773"/>
      <c r="CI103" s="773"/>
      <c r="CJ103" s="773"/>
      <c r="CK103" s="297"/>
      <c r="CL103" s="297"/>
      <c r="CM103" s="297"/>
      <c r="CN103" s="297"/>
      <c r="CO103" s="297"/>
      <c r="CP103" s="297"/>
      <c r="CQ103" s="297"/>
      <c r="CR103" s="297"/>
      <c r="CS103" s="297"/>
      <c r="CT103" s="297"/>
      <c r="CU103" s="297"/>
      <c r="CV103" s="297"/>
      <c r="CW103" s="297"/>
      <c r="CX103" s="297"/>
      <c r="CY103" s="297"/>
      <c r="CZ103" s="297"/>
      <c r="DA103" s="297"/>
      <c r="DB103" s="297"/>
      <c r="DC103" s="297"/>
      <c r="DD103" s="297"/>
      <c r="DE103" s="297"/>
      <c r="DF103" s="297"/>
      <c r="DG103" s="297"/>
      <c r="DH103" s="297"/>
      <c r="DI103" s="297"/>
      <c r="DJ103" s="297"/>
      <c r="DK103" s="297"/>
      <c r="DL103" s="297"/>
      <c r="DM103" s="297"/>
      <c r="DN103" s="297"/>
      <c r="DO103" s="297"/>
      <c r="DP103" s="297"/>
      <c r="DQ103" s="297"/>
      <c r="DR103" s="297"/>
      <c r="DS103" s="297"/>
      <c r="DT103" s="297"/>
      <c r="DU103" s="297"/>
      <c r="DV103" s="297"/>
      <c r="DW103" s="558"/>
      <c r="DX103" s="558"/>
      <c r="DY103" s="558"/>
      <c r="DZ103" s="558"/>
      <c r="EA103" s="558"/>
      <c r="EB103" s="297"/>
      <c r="EC103" s="297"/>
      <c r="ED103" s="297"/>
      <c r="EE103" s="297"/>
      <c r="EF103" s="297"/>
      <c r="EG103" s="297"/>
      <c r="EH103" s="297"/>
      <c r="EI103" s="297"/>
      <c r="EJ103" s="297"/>
      <c r="EK103" s="115" t="s">
        <v>6379</v>
      </c>
      <c r="EL103" s="115" t="s">
        <v>6580</v>
      </c>
      <c r="EM103" s="115" t="s">
        <v>6579</v>
      </c>
      <c r="EN103" s="775" t="s">
        <v>5064</v>
      </c>
      <c r="EO103" s="115">
        <v>44407</v>
      </c>
      <c r="EP103" s="776">
        <f>IF(EN103="NA","NA",Tabela4[[#This Row],[Data de protocolo para cálculo médio]]+(VLOOKUP(Tabela4[[#This Row],[Previsão com fórmula i-Helps tipo de fila]],Formulas!$H$1:$J$13,2,FALSE)*30))</f>
        <v>44647</v>
      </c>
      <c r="EQ103" s="776">
        <f>IF(EN103="NA","NA",Tabela4[[#This Row],[Data de protocolo para cálculo médio]]+(VLOOKUP(Tabela4[[#This Row],[Previsão com fórmula i-Helps tipo de fila]],Formulas!$H$1:$J$13,3,FALSE)*30))</f>
        <v>44977</v>
      </c>
      <c r="ER103" s="776" t="s">
        <v>6280</v>
      </c>
      <c r="ES103" s="773" t="s">
        <v>6280</v>
      </c>
      <c r="ET103" s="446" t="s">
        <v>5059</v>
      </c>
      <c r="EU103" s="775" t="s">
        <v>5060</v>
      </c>
      <c r="EV103" s="617" t="s">
        <v>6490</v>
      </c>
    </row>
    <row r="104" spans="1:152" s="556" customFormat="1" ht="165.75" x14ac:dyDescent="0.2">
      <c r="A104" s="893" t="s">
        <v>6273</v>
      </c>
      <c r="B104" s="773" t="s">
        <v>6275</v>
      </c>
      <c r="C104" s="773" t="s">
        <v>584</v>
      </c>
      <c r="D104" s="773" t="s">
        <v>3797</v>
      </c>
      <c r="E104" s="773" t="s">
        <v>5728</v>
      </c>
      <c r="F104" s="773" t="s">
        <v>6282</v>
      </c>
      <c r="G104" s="777" t="s">
        <v>6276</v>
      </c>
      <c r="H104" s="773" t="s">
        <v>6277</v>
      </c>
      <c r="I104" s="297"/>
      <c r="J104" s="773" t="s">
        <v>6278</v>
      </c>
      <c r="K104" s="773" t="s">
        <v>6279</v>
      </c>
      <c r="L104" s="773" t="s">
        <v>454</v>
      </c>
      <c r="M104" s="113" t="s">
        <v>3417</v>
      </c>
      <c r="N104" s="773" t="s">
        <v>6082</v>
      </c>
      <c r="O104" s="794">
        <v>44412</v>
      </c>
      <c r="P104" s="774" t="s">
        <v>6284</v>
      </c>
      <c r="Q104" s="774" t="s">
        <v>112</v>
      </c>
      <c r="R104" s="773" t="s">
        <v>3087</v>
      </c>
      <c r="S104" s="775"/>
      <c r="T104" s="773"/>
      <c r="U104" s="773"/>
      <c r="V104" s="773"/>
      <c r="W104" s="773"/>
      <c r="X104" s="773"/>
      <c r="Y104" s="773"/>
      <c r="Z104" s="773"/>
      <c r="AA104" s="775"/>
      <c r="AB104" s="773"/>
      <c r="AC104" s="773"/>
      <c r="AD104" s="115" t="s">
        <v>6380</v>
      </c>
      <c r="AE104" s="297"/>
      <c r="AF104" s="773"/>
      <c r="AG104" s="773"/>
      <c r="AH104" s="773"/>
      <c r="AI104" s="773"/>
      <c r="AJ104" s="773"/>
      <c r="AK104" s="773"/>
      <c r="AL104" s="773"/>
      <c r="AM104" s="773"/>
      <c r="AN104" s="773"/>
      <c r="AO104" s="773"/>
      <c r="AP104" s="773"/>
      <c r="AQ104" s="773"/>
      <c r="AR104" s="773"/>
      <c r="AS104" s="773"/>
      <c r="AT104" s="773"/>
      <c r="AU104" s="773"/>
      <c r="AV104" s="773"/>
      <c r="AW104" s="773"/>
      <c r="AX104" s="773"/>
      <c r="AY104" s="773"/>
      <c r="AZ104" s="773"/>
      <c r="BA104" s="773"/>
      <c r="BB104" s="773"/>
      <c r="BC104" s="773"/>
      <c r="BD104" s="773"/>
      <c r="BE104" s="773"/>
      <c r="BF104" s="773"/>
      <c r="BG104" s="773"/>
      <c r="BH104" s="773"/>
      <c r="BI104" s="773"/>
      <c r="BJ104" s="773"/>
      <c r="BK104" s="773"/>
      <c r="BL104" s="773"/>
      <c r="BM104" s="773"/>
      <c r="BN104" s="773"/>
      <c r="BO104" s="773"/>
      <c r="BP104" s="773"/>
      <c r="BQ104" s="773"/>
      <c r="BR104" s="773"/>
      <c r="BS104" s="773"/>
      <c r="BT104" s="773"/>
      <c r="BU104" s="773"/>
      <c r="BV104" s="773"/>
      <c r="BW104" s="773"/>
      <c r="BX104" s="773"/>
      <c r="BY104" s="773"/>
      <c r="BZ104" s="773"/>
      <c r="CA104" s="773"/>
      <c r="CB104" s="773"/>
      <c r="CC104" s="773"/>
      <c r="CD104" s="773"/>
      <c r="CE104" s="773"/>
      <c r="CF104" s="773"/>
      <c r="CG104" s="773"/>
      <c r="CH104" s="773"/>
      <c r="CI104" s="773"/>
      <c r="CJ104" s="773"/>
      <c r="CK104" s="297"/>
      <c r="CL104" s="297"/>
      <c r="CM104" s="297"/>
      <c r="CN104" s="297"/>
      <c r="CO104" s="297"/>
      <c r="CP104" s="297"/>
      <c r="CQ104" s="297"/>
      <c r="CR104" s="297"/>
      <c r="CS104" s="297"/>
      <c r="CT104" s="297"/>
      <c r="CU104" s="297"/>
      <c r="CV104" s="297"/>
      <c r="CW104" s="297"/>
      <c r="CX104" s="297"/>
      <c r="CY104" s="297"/>
      <c r="CZ104" s="297"/>
      <c r="DA104" s="297"/>
      <c r="DB104" s="297"/>
      <c r="DC104" s="297"/>
      <c r="DD104" s="297"/>
      <c r="DE104" s="297"/>
      <c r="DF104" s="297"/>
      <c r="DG104" s="297"/>
      <c r="DH104" s="297"/>
      <c r="DI104" s="297"/>
      <c r="DJ104" s="297"/>
      <c r="DK104" s="297"/>
      <c r="DL104" s="297"/>
      <c r="DM104" s="297"/>
      <c r="DN104" s="297"/>
      <c r="DO104" s="297"/>
      <c r="DP104" s="297"/>
      <c r="DQ104" s="297"/>
      <c r="DR104" s="297"/>
      <c r="DS104" s="297"/>
      <c r="DT104" s="297"/>
      <c r="DU104" s="297"/>
      <c r="DV104" s="297"/>
      <c r="DW104" s="558"/>
      <c r="DX104" s="558"/>
      <c r="DY104" s="558"/>
      <c r="DZ104" s="558"/>
      <c r="EA104" s="558"/>
      <c r="EB104" s="297"/>
      <c r="EC104" s="297"/>
      <c r="ED104" s="297"/>
      <c r="EE104" s="297"/>
      <c r="EF104" s="297"/>
      <c r="EG104" s="297"/>
      <c r="EH104" s="297"/>
      <c r="EI104" s="297"/>
      <c r="EJ104" s="297"/>
      <c r="EK104" s="115" t="s">
        <v>6380</v>
      </c>
      <c r="EL104" s="115" t="s">
        <v>6380</v>
      </c>
      <c r="EM104" s="115" t="s">
        <v>6380</v>
      </c>
      <c r="EN104" s="775" t="s">
        <v>112</v>
      </c>
      <c r="EO104" s="776"/>
      <c r="EP104" s="776" t="str">
        <f>IF(EN104="NA","NA",Tabela4[[#This Row],[Data de protocolo para cálculo médio]]+(VLOOKUP(Tabela4[[#This Row],[Previsão com fórmula i-Helps tipo de fila]],Formulas!$H$1:$J$13,2,FALSE)*30))</f>
        <v>NA</v>
      </c>
      <c r="EQ104" s="776" t="str">
        <f>IF(EN104="NA","NA",Tabela4[[#This Row],[Data de protocolo para cálculo médio]]+(VLOOKUP(Tabela4[[#This Row],[Previsão com fórmula i-Helps tipo de fila]],Formulas!$H$1:$J$13,3,FALSE)*30))</f>
        <v>NA</v>
      </c>
      <c r="ER104" s="776"/>
      <c r="ES104" s="889"/>
      <c r="ET104" s="666" t="s">
        <v>112</v>
      </c>
      <c r="EU104" s="666" t="s">
        <v>112</v>
      </c>
      <c r="EV104" s="666" t="s">
        <v>112</v>
      </c>
    </row>
    <row r="105" spans="1:152" s="556" customFormat="1" ht="165.75" x14ac:dyDescent="0.2">
      <c r="A105" s="905" t="s">
        <v>6587</v>
      </c>
      <c r="B105" s="773" t="s">
        <v>6275</v>
      </c>
      <c r="C105" s="773" t="s">
        <v>584</v>
      </c>
      <c r="D105" s="773" t="s">
        <v>3797</v>
      </c>
      <c r="E105" s="773" t="s">
        <v>5728</v>
      </c>
      <c r="F105" s="773" t="s">
        <v>6282</v>
      </c>
      <c r="G105" s="777" t="s">
        <v>6276</v>
      </c>
      <c r="H105" s="773" t="s">
        <v>6277</v>
      </c>
      <c r="I105" s="906"/>
      <c r="J105" s="773" t="s">
        <v>6278</v>
      </c>
      <c r="K105" s="773" t="s">
        <v>6279</v>
      </c>
      <c r="L105" s="773" t="s">
        <v>454</v>
      </c>
      <c r="M105" s="113" t="s">
        <v>3417</v>
      </c>
      <c r="N105" s="113" t="s">
        <v>6083</v>
      </c>
      <c r="O105" s="643">
        <v>44417</v>
      </c>
      <c r="P105" s="615" t="s">
        <v>6487</v>
      </c>
      <c r="Q105" s="774" t="s">
        <v>112</v>
      </c>
      <c r="R105" s="773" t="s">
        <v>3087</v>
      </c>
      <c r="S105" s="612"/>
      <c r="T105" s="477"/>
      <c r="U105" s="477"/>
      <c r="V105" s="477"/>
      <c r="W105" s="477"/>
      <c r="X105" s="477"/>
      <c r="Y105" s="477"/>
      <c r="Z105" s="477"/>
      <c r="AA105" s="612"/>
      <c r="AB105" s="477"/>
      <c r="AC105" s="477"/>
      <c r="AD105" s="297" t="s">
        <v>6477</v>
      </c>
      <c r="AE105" s="906"/>
      <c r="AF105" s="477"/>
      <c r="AG105" s="477"/>
      <c r="AH105" s="477"/>
      <c r="AI105" s="477"/>
      <c r="AJ105" s="477"/>
      <c r="AK105" s="477"/>
      <c r="AL105" s="477"/>
      <c r="AM105" s="477"/>
      <c r="AN105" s="477"/>
      <c r="AO105" s="477"/>
      <c r="AP105" s="477"/>
      <c r="AQ105" s="477"/>
      <c r="AR105" s="477"/>
      <c r="AS105" s="477"/>
      <c r="AT105" s="477"/>
      <c r="AU105" s="477"/>
      <c r="AV105" s="477"/>
      <c r="AW105" s="477"/>
      <c r="AX105" s="477"/>
      <c r="AY105" s="477"/>
      <c r="AZ105" s="477"/>
      <c r="BA105" s="477"/>
      <c r="BB105" s="477"/>
      <c r="BC105" s="477"/>
      <c r="BD105" s="477"/>
      <c r="BE105" s="477"/>
      <c r="BF105" s="477"/>
      <c r="BG105" s="477"/>
      <c r="BH105" s="477"/>
      <c r="BI105" s="477"/>
      <c r="BJ105" s="477"/>
      <c r="BK105" s="477"/>
      <c r="BL105" s="477"/>
      <c r="BM105" s="477"/>
      <c r="BN105" s="477"/>
      <c r="BO105" s="477"/>
      <c r="BP105" s="477"/>
      <c r="BQ105" s="477"/>
      <c r="BR105" s="477"/>
      <c r="BS105" s="477"/>
      <c r="BT105" s="477"/>
      <c r="BU105" s="477"/>
      <c r="BV105" s="477"/>
      <c r="BW105" s="477"/>
      <c r="BX105" s="477"/>
      <c r="BY105" s="477"/>
      <c r="BZ105" s="477"/>
      <c r="CA105" s="477"/>
      <c r="CB105" s="477"/>
      <c r="CC105" s="477"/>
      <c r="CD105" s="477"/>
      <c r="CE105" s="477"/>
      <c r="CF105" s="477"/>
      <c r="CG105" s="477"/>
      <c r="CH105" s="477"/>
      <c r="CI105" s="477"/>
      <c r="CJ105" s="477"/>
      <c r="CK105" s="906"/>
      <c r="CL105" s="906"/>
      <c r="CM105" s="906"/>
      <c r="CN105" s="906"/>
      <c r="CO105" s="906"/>
      <c r="CP105" s="906"/>
      <c r="CQ105" s="906"/>
      <c r="CR105" s="906"/>
      <c r="CS105" s="906"/>
      <c r="CT105" s="906"/>
      <c r="CU105" s="906"/>
      <c r="CV105" s="906"/>
      <c r="CW105" s="906"/>
      <c r="CX105" s="906"/>
      <c r="CY105" s="906"/>
      <c r="CZ105" s="906"/>
      <c r="DA105" s="906"/>
      <c r="DB105" s="906"/>
      <c r="DC105" s="906"/>
      <c r="DD105" s="906"/>
      <c r="DE105" s="906"/>
      <c r="DF105" s="906"/>
      <c r="DG105" s="906"/>
      <c r="DH105" s="906"/>
      <c r="DI105" s="906"/>
      <c r="DJ105" s="906"/>
      <c r="DK105" s="906"/>
      <c r="DL105" s="906"/>
      <c r="DM105" s="906"/>
      <c r="DN105" s="906"/>
      <c r="DO105" s="906"/>
      <c r="DP105" s="906"/>
      <c r="DQ105" s="906"/>
      <c r="DR105" s="906"/>
      <c r="DS105" s="894"/>
      <c r="DT105" s="894"/>
      <c r="DU105" s="894"/>
      <c r="DV105" s="894"/>
      <c r="DW105" s="558"/>
      <c r="DX105" s="558"/>
      <c r="DY105" s="558"/>
      <c r="DZ105" s="558"/>
      <c r="EA105" s="558"/>
      <c r="EB105" s="894"/>
      <c r="EC105" s="894"/>
      <c r="ED105" s="894"/>
      <c r="EE105" s="894"/>
      <c r="EF105" s="894"/>
      <c r="EG105" s="894"/>
      <c r="EH105" s="894"/>
      <c r="EI105" s="894"/>
      <c r="EJ105" s="894"/>
      <c r="EK105" s="894"/>
      <c r="EL105" s="297" t="s">
        <v>6477</v>
      </c>
      <c r="EM105" s="297" t="s">
        <v>6477</v>
      </c>
      <c r="EN105" s="617" t="s">
        <v>112</v>
      </c>
      <c r="EO105" s="907"/>
      <c r="EP105" s="907" t="str">
        <f>IF(EN105="NA","NA",Tabela4[[#This Row],[Data de protocolo para cálculo médio]]+(VLOOKUP(Tabela4[[#This Row],[Previsão com fórmula i-Helps tipo de fila]],Formulas!$H$1:$J$13,2,FALSE)*30))</f>
        <v>NA</v>
      </c>
      <c r="EQ105" s="907" t="str">
        <f>IF(EN105="NA","NA",Tabela4[[#This Row],[Data de protocolo para cálculo médio]]+(VLOOKUP(Tabela4[[#This Row],[Previsão com fórmula i-Helps tipo de fila]],Formulas!$H$1:$J$13,3,FALSE)*30))</f>
        <v>NA</v>
      </c>
      <c r="ER105" s="907"/>
      <c r="ES105" s="908"/>
      <c r="ET105" s="612" t="s">
        <v>112</v>
      </c>
      <c r="EU105" s="612" t="s">
        <v>112</v>
      </c>
      <c r="EV105" s="612" t="s">
        <v>112</v>
      </c>
    </row>
    <row r="106" spans="1:152" s="556" customFormat="1" ht="165.75" x14ac:dyDescent="0.2">
      <c r="A106" s="905" t="s">
        <v>6274</v>
      </c>
      <c r="B106" s="773" t="s">
        <v>6275</v>
      </c>
      <c r="C106" s="773" t="s">
        <v>584</v>
      </c>
      <c r="D106" s="773" t="s">
        <v>3797</v>
      </c>
      <c r="E106" s="773" t="s">
        <v>5728</v>
      </c>
      <c r="F106" s="773" t="s">
        <v>6282</v>
      </c>
      <c r="G106" s="777" t="s">
        <v>6276</v>
      </c>
      <c r="H106" s="773" t="s">
        <v>6277</v>
      </c>
      <c r="I106" s="906"/>
      <c r="J106" s="773" t="s">
        <v>6278</v>
      </c>
      <c r="K106" s="773" t="s">
        <v>6279</v>
      </c>
      <c r="L106" s="773" t="s">
        <v>454</v>
      </c>
      <c r="M106" s="113" t="s">
        <v>3417</v>
      </c>
      <c r="N106" s="477" t="s">
        <v>6081</v>
      </c>
      <c r="O106" s="643">
        <v>44418</v>
      </c>
      <c r="P106" s="615" t="s">
        <v>6486</v>
      </c>
      <c r="Q106" s="774" t="s">
        <v>112</v>
      </c>
      <c r="R106" s="773" t="s">
        <v>3087</v>
      </c>
      <c r="S106" s="612"/>
      <c r="T106" s="477"/>
      <c r="U106" s="477"/>
      <c r="V106" s="477"/>
      <c r="W106" s="477"/>
      <c r="X106" s="477"/>
      <c r="Y106" s="477"/>
      <c r="Z106" s="477"/>
      <c r="AA106" s="612"/>
      <c r="AB106" s="477"/>
      <c r="AC106" s="477"/>
      <c r="AD106" s="297" t="s">
        <v>6478</v>
      </c>
      <c r="AE106" s="906"/>
      <c r="AF106" s="477"/>
      <c r="AG106" s="477"/>
      <c r="AH106" s="477"/>
      <c r="AI106" s="477"/>
      <c r="AJ106" s="477"/>
      <c r="AK106" s="477"/>
      <c r="AL106" s="477"/>
      <c r="AM106" s="477"/>
      <c r="AN106" s="477"/>
      <c r="AO106" s="477"/>
      <c r="AP106" s="477"/>
      <c r="AQ106" s="477"/>
      <c r="AR106" s="477"/>
      <c r="AS106" s="477"/>
      <c r="AT106" s="477"/>
      <c r="AU106" s="477"/>
      <c r="AV106" s="477"/>
      <c r="AW106" s="477"/>
      <c r="AX106" s="477"/>
      <c r="AY106" s="477"/>
      <c r="AZ106" s="477"/>
      <c r="BA106" s="477"/>
      <c r="BB106" s="477"/>
      <c r="BC106" s="477"/>
      <c r="BD106" s="477"/>
      <c r="BE106" s="477"/>
      <c r="BF106" s="477"/>
      <c r="BG106" s="477"/>
      <c r="BH106" s="477"/>
      <c r="BI106" s="477"/>
      <c r="BJ106" s="477"/>
      <c r="BK106" s="477"/>
      <c r="BL106" s="477"/>
      <c r="BM106" s="477"/>
      <c r="BN106" s="477"/>
      <c r="BO106" s="477"/>
      <c r="BP106" s="477"/>
      <c r="BQ106" s="477"/>
      <c r="BR106" s="477"/>
      <c r="BS106" s="477"/>
      <c r="BT106" s="477"/>
      <c r="BU106" s="477"/>
      <c r="BV106" s="477"/>
      <c r="BW106" s="477"/>
      <c r="BX106" s="477"/>
      <c r="BY106" s="477"/>
      <c r="BZ106" s="477"/>
      <c r="CA106" s="477"/>
      <c r="CB106" s="477"/>
      <c r="CC106" s="477"/>
      <c r="CD106" s="477"/>
      <c r="CE106" s="477"/>
      <c r="CF106" s="477"/>
      <c r="CG106" s="477"/>
      <c r="CH106" s="477"/>
      <c r="CI106" s="477"/>
      <c r="CJ106" s="477"/>
      <c r="CK106" s="906"/>
      <c r="CL106" s="906"/>
      <c r="CM106" s="906"/>
      <c r="CN106" s="906"/>
      <c r="CO106" s="906"/>
      <c r="CP106" s="906"/>
      <c r="CQ106" s="906"/>
      <c r="CR106" s="906"/>
      <c r="CS106" s="906"/>
      <c r="CT106" s="906"/>
      <c r="CU106" s="906"/>
      <c r="CV106" s="906"/>
      <c r="CW106" s="906"/>
      <c r="CX106" s="906"/>
      <c r="CY106" s="906"/>
      <c r="CZ106" s="906"/>
      <c r="DA106" s="906"/>
      <c r="DB106" s="906"/>
      <c r="DC106" s="906"/>
      <c r="DD106" s="906"/>
      <c r="DE106" s="906"/>
      <c r="DF106" s="906"/>
      <c r="DG106" s="906"/>
      <c r="DH106" s="906"/>
      <c r="DI106" s="906"/>
      <c r="DJ106" s="906"/>
      <c r="DK106" s="906"/>
      <c r="DL106" s="906"/>
      <c r="DM106" s="906"/>
      <c r="DN106" s="906"/>
      <c r="DO106" s="906"/>
      <c r="DP106" s="906"/>
      <c r="DQ106" s="906"/>
      <c r="DR106" s="906"/>
      <c r="DS106" s="894"/>
      <c r="DT106" s="894"/>
      <c r="DU106" s="894"/>
      <c r="DV106" s="894"/>
      <c r="DW106" s="558"/>
      <c r="DX106" s="558"/>
      <c r="DY106" s="558"/>
      <c r="DZ106" s="558"/>
      <c r="EA106" s="558"/>
      <c r="EB106" s="894"/>
      <c r="EC106" s="894"/>
      <c r="ED106" s="894"/>
      <c r="EE106" s="894"/>
      <c r="EF106" s="894"/>
      <c r="EG106" s="894"/>
      <c r="EH106" s="894"/>
      <c r="EI106" s="894"/>
      <c r="EJ106" s="894"/>
      <c r="EK106" s="894"/>
      <c r="EL106" s="297" t="s">
        <v>6478</v>
      </c>
      <c r="EM106" s="297" t="s">
        <v>6478</v>
      </c>
      <c r="EN106" s="617" t="s">
        <v>112</v>
      </c>
      <c r="EO106" s="907"/>
      <c r="EP106" s="907" t="str">
        <f>IF(EN106="NA","NA",Tabela4[[#This Row],[Data de protocolo para cálculo médio]]+(VLOOKUP(Tabela4[[#This Row],[Previsão com fórmula i-Helps tipo de fila]],Formulas!$H$1:$J$13,2,FALSE)*30))</f>
        <v>NA</v>
      </c>
      <c r="EQ106" s="907" t="str">
        <f>IF(EN106="NA","NA",Tabela4[[#This Row],[Data de protocolo para cálculo médio]]+(VLOOKUP(Tabela4[[#This Row],[Previsão com fórmula i-Helps tipo de fila]],Formulas!$H$1:$J$13,3,FALSE)*30))</f>
        <v>NA</v>
      </c>
      <c r="ER106" s="907"/>
      <c r="ES106" s="908"/>
      <c r="ET106" s="612" t="s">
        <v>112</v>
      </c>
      <c r="EU106" s="612" t="s">
        <v>112</v>
      </c>
      <c r="EV106" s="612" t="s">
        <v>112</v>
      </c>
    </row>
    <row r="107" spans="1:152" s="556" customFormat="1" ht="165.75" x14ac:dyDescent="0.2">
      <c r="A107" s="895" t="s">
        <v>6274</v>
      </c>
      <c r="B107" s="773" t="s">
        <v>6275</v>
      </c>
      <c r="C107" s="773" t="s">
        <v>584</v>
      </c>
      <c r="D107" s="773" t="s">
        <v>3797</v>
      </c>
      <c r="E107" s="773" t="s">
        <v>5728</v>
      </c>
      <c r="F107" s="773" t="s">
        <v>6282</v>
      </c>
      <c r="G107" s="777" t="s">
        <v>6276</v>
      </c>
      <c r="H107" s="773" t="s">
        <v>6277</v>
      </c>
      <c r="I107" s="894"/>
      <c r="J107" s="773" t="s">
        <v>6278</v>
      </c>
      <c r="K107" s="773" t="s">
        <v>6279</v>
      </c>
      <c r="L107" s="773" t="s">
        <v>454</v>
      </c>
      <c r="M107" s="113" t="s">
        <v>3417</v>
      </c>
      <c r="N107" s="788" t="s">
        <v>6080</v>
      </c>
      <c r="O107" s="789">
        <v>44417</v>
      </c>
      <c r="P107" s="774" t="s">
        <v>6485</v>
      </c>
      <c r="Q107" s="774" t="s">
        <v>112</v>
      </c>
      <c r="R107" s="773" t="s">
        <v>3087</v>
      </c>
      <c r="S107" s="790"/>
      <c r="T107" s="788"/>
      <c r="U107" s="788"/>
      <c r="V107" s="788"/>
      <c r="W107" s="788"/>
      <c r="X107" s="788"/>
      <c r="Y107" s="788"/>
      <c r="Z107" s="788"/>
      <c r="AA107" s="790"/>
      <c r="AB107" s="788"/>
      <c r="AC107" s="788"/>
      <c r="AD107" s="297" t="s">
        <v>6477</v>
      </c>
      <c r="AE107" s="894"/>
      <c r="AF107" s="788"/>
      <c r="AG107" s="788"/>
      <c r="AH107" s="788"/>
      <c r="AI107" s="788"/>
      <c r="AJ107" s="788"/>
      <c r="AK107" s="788"/>
      <c r="AL107" s="788"/>
      <c r="AM107" s="788"/>
      <c r="AN107" s="788"/>
      <c r="AO107" s="788"/>
      <c r="AP107" s="788"/>
      <c r="AQ107" s="788"/>
      <c r="AR107" s="788"/>
      <c r="AS107" s="788"/>
      <c r="AT107" s="788"/>
      <c r="AU107" s="788"/>
      <c r="AV107" s="788"/>
      <c r="AW107" s="788"/>
      <c r="AX107" s="788"/>
      <c r="AY107" s="788"/>
      <c r="AZ107" s="788"/>
      <c r="BA107" s="788"/>
      <c r="BB107" s="788"/>
      <c r="BC107" s="788"/>
      <c r="BD107" s="788"/>
      <c r="BE107" s="788"/>
      <c r="BF107" s="788"/>
      <c r="BG107" s="788"/>
      <c r="BH107" s="788"/>
      <c r="BI107" s="788"/>
      <c r="BJ107" s="788"/>
      <c r="BK107" s="788"/>
      <c r="BL107" s="788"/>
      <c r="BM107" s="788"/>
      <c r="BN107" s="788"/>
      <c r="BO107" s="788"/>
      <c r="BP107" s="788"/>
      <c r="BQ107" s="788"/>
      <c r="BR107" s="788"/>
      <c r="BS107" s="788"/>
      <c r="BT107" s="788"/>
      <c r="BU107" s="788"/>
      <c r="BV107" s="788"/>
      <c r="BW107" s="788"/>
      <c r="BX107" s="788"/>
      <c r="BY107" s="788"/>
      <c r="BZ107" s="788"/>
      <c r="CA107" s="788"/>
      <c r="CB107" s="788"/>
      <c r="CC107" s="788"/>
      <c r="CD107" s="788"/>
      <c r="CE107" s="788"/>
      <c r="CF107" s="788"/>
      <c r="CG107" s="788"/>
      <c r="CH107" s="788"/>
      <c r="CI107" s="788"/>
      <c r="CJ107" s="788"/>
      <c r="CK107" s="894"/>
      <c r="CL107" s="894"/>
      <c r="CM107" s="894"/>
      <c r="CN107" s="894"/>
      <c r="CO107" s="894"/>
      <c r="CP107" s="894"/>
      <c r="CQ107" s="894"/>
      <c r="CR107" s="894"/>
      <c r="CS107" s="894"/>
      <c r="CT107" s="894"/>
      <c r="CU107" s="894"/>
      <c r="CV107" s="894"/>
      <c r="CW107" s="894"/>
      <c r="CX107" s="894"/>
      <c r="CY107" s="894"/>
      <c r="CZ107" s="894"/>
      <c r="DA107" s="894"/>
      <c r="DB107" s="894"/>
      <c r="DC107" s="894"/>
      <c r="DD107" s="894"/>
      <c r="DE107" s="894"/>
      <c r="DF107" s="894"/>
      <c r="DG107" s="894"/>
      <c r="DH107" s="894"/>
      <c r="DI107" s="894"/>
      <c r="DJ107" s="894"/>
      <c r="DK107" s="894"/>
      <c r="DL107" s="894"/>
      <c r="DM107" s="894"/>
      <c r="DN107" s="894"/>
      <c r="DO107" s="894"/>
      <c r="DP107" s="894"/>
      <c r="DQ107" s="894"/>
      <c r="DR107" s="894"/>
      <c r="DS107" s="894"/>
      <c r="DT107" s="894"/>
      <c r="DU107" s="894"/>
      <c r="DV107" s="894"/>
      <c r="DW107" s="558"/>
      <c r="DX107" s="558"/>
      <c r="DY107" s="558"/>
      <c r="DZ107" s="558"/>
      <c r="EA107" s="558"/>
      <c r="EB107" s="894"/>
      <c r="EC107" s="894"/>
      <c r="ED107" s="894"/>
      <c r="EE107" s="894"/>
      <c r="EF107" s="894"/>
      <c r="EG107" s="894"/>
      <c r="EH107" s="894"/>
      <c r="EI107" s="894"/>
      <c r="EJ107" s="894"/>
      <c r="EK107" s="894"/>
      <c r="EL107" s="297" t="s">
        <v>6477</v>
      </c>
      <c r="EM107" s="297" t="s">
        <v>6477</v>
      </c>
      <c r="EN107" s="775" t="s">
        <v>112</v>
      </c>
      <c r="EO107" s="896"/>
      <c r="EP107" s="896" t="str">
        <f>IF(EN107="NA","NA",Tabela4[[#This Row],[Data de protocolo para cálculo médio]]+(VLOOKUP(Tabela4[[#This Row],[Previsão com fórmula i-Helps tipo de fila]],Formulas!$H$1:$J$13,2,FALSE)*30))</f>
        <v>NA</v>
      </c>
      <c r="EQ107" s="896" t="str">
        <f>IF(EN107="NA","NA",Tabela4[[#This Row],[Data de protocolo para cálculo médio]]+(VLOOKUP(Tabela4[[#This Row],[Previsão com fórmula i-Helps tipo de fila]],Formulas!$H$1:$J$13,3,FALSE)*30))</f>
        <v>NA</v>
      </c>
      <c r="ER107" s="896"/>
      <c r="ES107" s="897"/>
      <c r="ET107" s="666" t="s">
        <v>112</v>
      </c>
      <c r="EU107" s="666" t="s">
        <v>112</v>
      </c>
      <c r="EV107" s="666" t="s">
        <v>112</v>
      </c>
    </row>
    <row r="108" spans="1:152" s="556" customFormat="1" ht="114.75" x14ac:dyDescent="0.2">
      <c r="A108" s="477">
        <v>42</v>
      </c>
      <c r="B108" s="477" t="s">
        <v>5608</v>
      </c>
      <c r="C108" s="477" t="s">
        <v>1137</v>
      </c>
      <c r="D108" s="113" t="s">
        <v>3797</v>
      </c>
      <c r="E108" s="477" t="s">
        <v>5714</v>
      </c>
      <c r="F108" s="113" t="s">
        <v>6385</v>
      </c>
      <c r="G108" s="613" t="s">
        <v>6286</v>
      </c>
      <c r="H108" s="477" t="s">
        <v>6287</v>
      </c>
      <c r="I108" s="906"/>
      <c r="J108" s="477" t="s">
        <v>5304</v>
      </c>
      <c r="K108" s="477" t="s">
        <v>6288</v>
      </c>
      <c r="L108" s="113" t="s">
        <v>11</v>
      </c>
      <c r="M108" s="477" t="s">
        <v>12</v>
      </c>
      <c r="N108" s="477" t="s">
        <v>3090</v>
      </c>
      <c r="O108" s="643">
        <v>44413</v>
      </c>
      <c r="P108" s="615" t="s">
        <v>6484</v>
      </c>
      <c r="Q108" s="615" t="s">
        <v>5271</v>
      </c>
      <c r="R108" s="113" t="s">
        <v>3087</v>
      </c>
      <c r="S108" s="612"/>
      <c r="T108" s="477" t="s">
        <v>5165</v>
      </c>
      <c r="U108" s="477" t="s">
        <v>6289</v>
      </c>
      <c r="V108" s="477"/>
      <c r="W108" s="113" t="s">
        <v>5305</v>
      </c>
      <c r="X108" s="113" t="s">
        <v>5270</v>
      </c>
      <c r="Y108" s="477"/>
      <c r="Z108" s="113" t="s">
        <v>3084</v>
      </c>
      <c r="AA108" s="612"/>
      <c r="AB108" s="477"/>
      <c r="AC108" s="477"/>
      <c r="AD108" s="842" t="s">
        <v>6479</v>
      </c>
      <c r="AE108" s="906"/>
      <c r="AF108" s="477"/>
      <c r="AG108" s="477"/>
      <c r="AH108" s="477"/>
      <c r="AI108" s="477"/>
      <c r="AJ108" s="477"/>
      <c r="AK108" s="477"/>
      <c r="AL108" s="477"/>
      <c r="AM108" s="477"/>
      <c r="AN108" s="477"/>
      <c r="AO108" s="477"/>
      <c r="AP108" s="477"/>
      <c r="AQ108" s="477"/>
      <c r="AR108" s="477"/>
      <c r="AS108" s="477"/>
      <c r="AT108" s="477"/>
      <c r="AU108" s="477"/>
      <c r="AV108" s="477"/>
      <c r="AW108" s="477"/>
      <c r="AX108" s="477"/>
      <c r="AY108" s="477"/>
      <c r="AZ108" s="477"/>
      <c r="BA108" s="477"/>
      <c r="BB108" s="477"/>
      <c r="BC108" s="477"/>
      <c r="BD108" s="477"/>
      <c r="BE108" s="477"/>
      <c r="BF108" s="477"/>
      <c r="BG108" s="477"/>
      <c r="BH108" s="477"/>
      <c r="BI108" s="477"/>
      <c r="BJ108" s="477"/>
      <c r="BK108" s="477"/>
      <c r="BL108" s="477"/>
      <c r="BM108" s="477"/>
      <c r="BN108" s="477"/>
      <c r="BO108" s="477"/>
      <c r="BP108" s="477"/>
      <c r="BQ108" s="477"/>
      <c r="BR108" s="477"/>
      <c r="BS108" s="477"/>
      <c r="BT108" s="477"/>
      <c r="BU108" s="477"/>
      <c r="BV108" s="477"/>
      <c r="BW108" s="477"/>
      <c r="BX108" s="477"/>
      <c r="BY108" s="477"/>
      <c r="BZ108" s="477"/>
      <c r="CA108" s="477"/>
      <c r="CB108" s="477"/>
      <c r="CC108" s="477"/>
      <c r="CD108" s="477"/>
      <c r="CE108" s="477"/>
      <c r="CF108" s="477"/>
      <c r="CG108" s="477"/>
      <c r="CH108" s="477"/>
      <c r="CI108" s="477"/>
      <c r="CJ108" s="477"/>
      <c r="CK108" s="906"/>
      <c r="CL108" s="906"/>
      <c r="CM108" s="906"/>
      <c r="CN108" s="906"/>
      <c r="CO108" s="906"/>
      <c r="CP108" s="906"/>
      <c r="CQ108" s="906"/>
      <c r="CR108" s="906"/>
      <c r="CS108" s="906"/>
      <c r="CT108" s="906"/>
      <c r="CU108" s="906"/>
      <c r="CV108" s="906"/>
      <c r="CW108" s="906"/>
      <c r="CX108" s="906"/>
      <c r="CY108" s="906"/>
      <c r="CZ108" s="906"/>
      <c r="DA108" s="906"/>
      <c r="DB108" s="906"/>
      <c r="DC108" s="906"/>
      <c r="DD108" s="906"/>
      <c r="DE108" s="906"/>
      <c r="DF108" s="906"/>
      <c r="DG108" s="906"/>
      <c r="DH108" s="906"/>
      <c r="DI108" s="906"/>
      <c r="DJ108" s="906"/>
      <c r="DK108" s="906"/>
      <c r="DL108" s="906"/>
      <c r="DM108" s="906"/>
      <c r="DN108" s="906"/>
      <c r="DO108" s="906"/>
      <c r="DP108" s="906"/>
      <c r="DQ108" s="906"/>
      <c r="DR108" s="906"/>
      <c r="DS108" s="906"/>
      <c r="DT108" s="906"/>
      <c r="DU108" s="906"/>
      <c r="DV108" s="906"/>
      <c r="DW108" s="115"/>
      <c r="DX108" s="115"/>
      <c r="DY108" s="115"/>
      <c r="DZ108" s="115"/>
      <c r="EA108" s="115"/>
      <c r="EB108" s="906"/>
      <c r="EC108" s="906"/>
      <c r="ED108" s="906"/>
      <c r="EE108" s="906"/>
      <c r="EF108" s="906"/>
      <c r="EG108" s="906"/>
      <c r="EH108" s="906"/>
      <c r="EI108" s="906"/>
      <c r="EJ108" s="906"/>
      <c r="EK108" s="906"/>
      <c r="EL108" s="842" t="s">
        <v>6479</v>
      </c>
      <c r="EM108" s="842" t="s">
        <v>6479</v>
      </c>
      <c r="EN108" s="612" t="s">
        <v>5165</v>
      </c>
      <c r="EO108" s="907"/>
      <c r="EP108" s="907">
        <f>IF(EN108="NA","NA",Tabela4[[#This Row],[Data de protocolo para cálculo médio]]+(VLOOKUP(Tabela4[[#This Row],[Previsão com fórmula i-Helps tipo de fila]],Formulas!$H$1:$J$13,2,FALSE)*30))</f>
        <v>402</v>
      </c>
      <c r="EQ108" s="907">
        <f>IF(EN108="NA","NA",Tabela4[[#This Row],[Data de protocolo para cálculo médio]]+(VLOOKUP(Tabela4[[#This Row],[Previsão com fórmula i-Helps tipo de fila]],Formulas!$H$1:$J$13,3,FALSE)*30))</f>
        <v>585</v>
      </c>
      <c r="ER108" s="907"/>
      <c r="ES108" s="908"/>
      <c r="ET108" s="281" t="s">
        <v>5059</v>
      </c>
      <c r="EU108" s="617" t="s">
        <v>5060</v>
      </c>
      <c r="EV108" s="617" t="s">
        <v>5061</v>
      </c>
    </row>
    <row r="109" spans="1:152" s="556" customFormat="1" ht="165.75" x14ac:dyDescent="0.2">
      <c r="A109" s="895">
        <v>43</v>
      </c>
      <c r="B109" s="788" t="s">
        <v>6275</v>
      </c>
      <c r="C109" s="788" t="s">
        <v>1137</v>
      </c>
      <c r="D109" s="788" t="s">
        <v>3797</v>
      </c>
      <c r="E109" s="788" t="s">
        <v>5714</v>
      </c>
      <c r="F109" s="773" t="s">
        <v>6482</v>
      </c>
      <c r="G109" s="788" t="s">
        <v>6277</v>
      </c>
      <c r="H109" s="788" t="s">
        <v>6277</v>
      </c>
      <c r="I109" s="894"/>
      <c r="J109" s="788" t="s">
        <v>6278</v>
      </c>
      <c r="K109" s="788" t="s">
        <v>338</v>
      </c>
      <c r="L109" s="788" t="s">
        <v>16</v>
      </c>
      <c r="M109" s="788" t="s">
        <v>3417</v>
      </c>
      <c r="N109" s="788" t="s">
        <v>3090</v>
      </c>
      <c r="O109" s="789">
        <v>44411</v>
      </c>
      <c r="P109" s="774" t="s">
        <v>6483</v>
      </c>
      <c r="Q109" s="774" t="s">
        <v>6283</v>
      </c>
      <c r="R109" s="788" t="s">
        <v>3087</v>
      </c>
      <c r="S109" s="790"/>
      <c r="T109" s="788"/>
      <c r="U109" s="788"/>
      <c r="V109" s="788"/>
      <c r="W109" s="773" t="s">
        <v>6276</v>
      </c>
      <c r="X109" s="773" t="s">
        <v>6282</v>
      </c>
      <c r="Y109" s="773" t="s">
        <v>112</v>
      </c>
      <c r="Z109" s="773" t="s">
        <v>3084</v>
      </c>
      <c r="AA109" s="790"/>
      <c r="AB109" s="788"/>
      <c r="AC109" s="788"/>
      <c r="AD109" s="896">
        <v>59</v>
      </c>
      <c r="AE109" s="894"/>
      <c r="AF109" s="788"/>
      <c r="AG109" s="788"/>
      <c r="AH109" s="788"/>
      <c r="AI109" s="788"/>
      <c r="AJ109" s="788"/>
      <c r="AK109" s="788"/>
      <c r="AL109" s="788"/>
      <c r="AM109" s="788"/>
      <c r="AN109" s="788"/>
      <c r="AO109" s="788"/>
      <c r="AP109" s="788"/>
      <c r="AQ109" s="788"/>
      <c r="AR109" s="788"/>
      <c r="AS109" s="788"/>
      <c r="AT109" s="788"/>
      <c r="AU109" s="788"/>
      <c r="AV109" s="788"/>
      <c r="AW109" s="788"/>
      <c r="AX109" s="788"/>
      <c r="AY109" s="788"/>
      <c r="AZ109" s="788"/>
      <c r="BA109" s="788"/>
      <c r="BB109" s="788"/>
      <c r="BC109" s="788"/>
      <c r="BD109" s="788"/>
      <c r="BE109" s="788"/>
      <c r="BF109" s="788"/>
      <c r="BG109" s="788"/>
      <c r="BH109" s="788"/>
      <c r="BI109" s="788"/>
      <c r="BJ109" s="788"/>
      <c r="BK109" s="788"/>
      <c r="BL109" s="788"/>
      <c r="BM109" s="788"/>
      <c r="BN109" s="788"/>
      <c r="BO109" s="788"/>
      <c r="BP109" s="788"/>
      <c r="BQ109" s="788"/>
      <c r="BR109" s="788"/>
      <c r="BS109" s="788"/>
      <c r="BT109" s="788"/>
      <c r="BU109" s="788"/>
      <c r="BV109" s="788"/>
      <c r="BW109" s="788"/>
      <c r="BX109" s="788"/>
      <c r="BY109" s="788"/>
      <c r="BZ109" s="788"/>
      <c r="CA109" s="788"/>
      <c r="CB109" s="788"/>
      <c r="CC109" s="788"/>
      <c r="CD109" s="788"/>
      <c r="CE109" s="788"/>
      <c r="CF109" s="788"/>
      <c r="CG109" s="788"/>
      <c r="CH109" s="788"/>
      <c r="CI109" s="788"/>
      <c r="CJ109" s="788"/>
      <c r="CK109" s="894"/>
      <c r="CL109" s="894"/>
      <c r="CM109" s="894"/>
      <c r="CN109" s="894"/>
      <c r="CO109" s="894"/>
      <c r="CP109" s="894"/>
      <c r="CQ109" s="894"/>
      <c r="CR109" s="894"/>
      <c r="CS109" s="894"/>
      <c r="CT109" s="894"/>
      <c r="CU109" s="894"/>
      <c r="CV109" s="894"/>
      <c r="CW109" s="894"/>
      <c r="CX109" s="894"/>
      <c r="CY109" s="894"/>
      <c r="CZ109" s="894"/>
      <c r="DA109" s="894"/>
      <c r="DB109" s="894"/>
      <c r="DC109" s="894"/>
      <c r="DD109" s="894"/>
      <c r="DE109" s="894"/>
      <c r="DF109" s="894"/>
      <c r="DG109" s="894"/>
      <c r="DH109" s="894"/>
      <c r="DI109" s="894"/>
      <c r="DJ109" s="894"/>
      <c r="DK109" s="894"/>
      <c r="DL109" s="894"/>
      <c r="DM109" s="894"/>
      <c r="DN109" s="894"/>
      <c r="DO109" s="894"/>
      <c r="DP109" s="894"/>
      <c r="DQ109" s="894"/>
      <c r="DR109" s="894"/>
      <c r="DS109" s="894"/>
      <c r="DT109" s="894"/>
      <c r="DU109" s="894"/>
      <c r="DV109" s="894"/>
      <c r="DW109" s="776"/>
      <c r="DX109" s="776"/>
      <c r="DY109" s="776"/>
      <c r="DZ109" s="776"/>
      <c r="EA109" s="776"/>
      <c r="EB109" s="894"/>
      <c r="EC109" s="894"/>
      <c r="ED109" s="894"/>
      <c r="EE109" s="894"/>
      <c r="EF109" s="894"/>
      <c r="EG109" s="894"/>
      <c r="EH109" s="894"/>
      <c r="EI109" s="894"/>
      <c r="EJ109" s="894"/>
      <c r="EK109" s="894"/>
      <c r="EL109" s="894"/>
      <c r="EM109" s="896">
        <v>59</v>
      </c>
      <c r="EN109" s="790" t="s">
        <v>5165</v>
      </c>
      <c r="EO109" s="896"/>
      <c r="EP109" s="896">
        <f>IF(EN109="NA","NA",Tabela4[[#This Row],[Data de protocolo para cálculo médio]]+(VLOOKUP(Tabela4[[#This Row],[Previsão com fórmula i-Helps tipo de fila]],Formulas!$H$1:$J$13,2,FALSE)*30))</f>
        <v>402</v>
      </c>
      <c r="EQ109" s="896">
        <f>IF(EN109="NA","NA",Tabela4[[#This Row],[Data de protocolo para cálculo médio]]+(VLOOKUP(Tabela4[[#This Row],[Previsão com fórmula i-Helps tipo de fila]],Formulas!$H$1:$J$13,3,FALSE)*30))</f>
        <v>585</v>
      </c>
      <c r="ER109" s="896"/>
      <c r="ES109" s="897"/>
      <c r="ET109" s="281" t="s">
        <v>5059</v>
      </c>
      <c r="EU109" s="617" t="s">
        <v>5060</v>
      </c>
      <c r="EV109" s="617" t="s">
        <v>5061</v>
      </c>
    </row>
    <row r="110" spans="1:152" s="556" customFormat="1" x14ac:dyDescent="0.2">
      <c r="D110" s="110"/>
      <c r="O110" s="669"/>
      <c r="P110" s="670"/>
      <c r="Q110" s="670"/>
      <c r="S110" s="674"/>
      <c r="AA110" s="674"/>
      <c r="AF110" s="305"/>
      <c r="AG110" s="305"/>
      <c r="AH110" s="305"/>
      <c r="AI110" s="305"/>
      <c r="AJ110" s="305"/>
      <c r="AK110" s="305"/>
      <c r="AL110" s="305"/>
      <c r="AM110" s="305"/>
      <c r="AN110" s="305"/>
      <c r="AO110" s="305"/>
      <c r="AP110" s="305"/>
      <c r="AQ110" s="305"/>
      <c r="AR110" s="305"/>
      <c r="AS110" s="305"/>
      <c r="AT110" s="305"/>
      <c r="AU110" s="305"/>
      <c r="AV110" s="305"/>
      <c r="AW110" s="305"/>
      <c r="AX110" s="305"/>
      <c r="AY110" s="305"/>
      <c r="AZ110" s="305"/>
      <c r="BA110" s="305"/>
      <c r="BB110" s="305"/>
      <c r="BC110" s="305"/>
      <c r="BD110" s="305"/>
      <c r="BE110" s="305"/>
      <c r="BF110" s="305"/>
      <c r="BG110" s="305"/>
      <c r="BH110" s="305"/>
      <c r="BI110" s="305"/>
      <c r="BJ110" s="305"/>
      <c r="BK110" s="305"/>
      <c r="BL110" s="305"/>
      <c r="BM110" s="305"/>
      <c r="BN110" s="305"/>
      <c r="BO110" s="305"/>
      <c r="BP110" s="305"/>
      <c r="BQ110" s="305"/>
      <c r="BR110" s="305"/>
      <c r="BS110" s="305"/>
      <c r="BT110" s="305"/>
      <c r="BU110" s="305"/>
      <c r="BV110" s="305"/>
      <c r="BW110" s="305"/>
      <c r="BX110" s="305"/>
      <c r="BY110" s="305"/>
      <c r="BZ110" s="305"/>
      <c r="CA110" s="305"/>
      <c r="CB110" s="305"/>
      <c r="CC110" s="305"/>
      <c r="CD110" s="305"/>
      <c r="CE110" s="305"/>
      <c r="CF110" s="305"/>
      <c r="CG110" s="305"/>
      <c r="CH110" s="305"/>
      <c r="CI110" s="305"/>
      <c r="CJ110" s="305"/>
      <c r="CK110" s="305"/>
      <c r="CL110" s="305"/>
      <c r="CM110" s="305"/>
      <c r="CN110" s="305"/>
      <c r="CO110" s="305"/>
      <c r="CP110" s="305"/>
      <c r="CQ110" s="305"/>
      <c r="CR110" s="305"/>
      <c r="CS110" s="305"/>
      <c r="CT110" s="305"/>
      <c r="CU110" s="305"/>
      <c r="CV110" s="305"/>
      <c r="CW110" s="305"/>
      <c r="CX110" s="305"/>
      <c r="CY110" s="305"/>
      <c r="CZ110" s="305"/>
      <c r="DA110" s="305"/>
      <c r="DB110" s="305"/>
      <c r="DC110" s="305"/>
      <c r="DD110" s="305"/>
      <c r="DE110" s="305"/>
      <c r="DF110" s="305"/>
      <c r="DG110" s="305"/>
      <c r="DH110" s="305"/>
      <c r="DI110" s="305"/>
      <c r="DJ110" s="305"/>
      <c r="DK110" s="305"/>
      <c r="DL110" s="305"/>
      <c r="DM110" s="305"/>
      <c r="DN110" s="305"/>
      <c r="DO110" s="305"/>
      <c r="DP110" s="305"/>
      <c r="DQ110" s="305"/>
      <c r="DR110" s="305"/>
      <c r="DS110" s="305"/>
      <c r="DT110" s="305"/>
      <c r="DU110" s="305"/>
      <c r="DV110" s="305"/>
      <c r="DW110" s="558"/>
      <c r="DX110" s="558"/>
      <c r="DY110" s="558"/>
      <c r="DZ110" s="558"/>
      <c r="EA110" s="558"/>
      <c r="EB110" s="558"/>
      <c r="EC110" s="558"/>
      <c r="ED110" s="558"/>
      <c r="EE110" s="558"/>
      <c r="EF110" s="558"/>
      <c r="EG110" s="558"/>
      <c r="EH110" s="558"/>
      <c r="EI110" s="558"/>
      <c r="EJ110" s="558"/>
      <c r="EK110" s="558"/>
      <c r="EL110" s="558"/>
      <c r="EM110" s="558"/>
      <c r="EN110" s="558"/>
      <c r="EO110" s="558"/>
      <c r="EP110" s="558"/>
      <c r="EQ110" s="674"/>
      <c r="ER110" s="305"/>
    </row>
    <row r="111" spans="1:152" s="556" customFormat="1" x14ac:dyDescent="0.2">
      <c r="D111" s="110"/>
      <c r="O111" s="669"/>
      <c r="P111" s="670"/>
      <c r="Q111" s="670"/>
      <c r="S111" s="674"/>
      <c r="AA111" s="674"/>
      <c r="AF111" s="305"/>
      <c r="AG111" s="305"/>
      <c r="AH111" s="305"/>
      <c r="AI111" s="305"/>
      <c r="AJ111" s="305"/>
      <c r="AK111" s="305"/>
      <c r="AL111" s="305"/>
      <c r="AM111" s="305"/>
      <c r="AN111" s="305"/>
      <c r="AO111" s="305"/>
      <c r="AP111" s="305"/>
      <c r="AQ111" s="305"/>
      <c r="AR111" s="305"/>
      <c r="AS111" s="305"/>
      <c r="AT111" s="305"/>
      <c r="AU111" s="305"/>
      <c r="AV111" s="305"/>
      <c r="AW111" s="305"/>
      <c r="AX111" s="305"/>
      <c r="AY111" s="305"/>
      <c r="AZ111" s="305"/>
      <c r="BA111" s="305"/>
      <c r="BB111" s="305"/>
      <c r="BC111" s="305"/>
      <c r="BD111" s="305"/>
      <c r="BE111" s="305"/>
      <c r="BF111" s="305"/>
      <c r="BG111" s="305"/>
      <c r="BH111" s="305"/>
      <c r="BI111" s="305"/>
      <c r="BJ111" s="305"/>
      <c r="BK111" s="305"/>
      <c r="BL111" s="305"/>
      <c r="BM111" s="305"/>
      <c r="BN111" s="305"/>
      <c r="BO111" s="305"/>
      <c r="BP111" s="305"/>
      <c r="BQ111" s="305"/>
      <c r="BR111" s="305"/>
      <c r="BS111" s="305"/>
      <c r="BT111" s="305"/>
      <c r="BU111" s="305"/>
      <c r="BV111" s="305"/>
      <c r="BW111" s="305"/>
      <c r="BX111" s="305"/>
      <c r="BY111" s="305"/>
      <c r="BZ111" s="305"/>
      <c r="CA111" s="305"/>
      <c r="CB111" s="305"/>
      <c r="CC111" s="305"/>
      <c r="CD111" s="305"/>
      <c r="CE111" s="305"/>
      <c r="CF111" s="305"/>
      <c r="CG111" s="305"/>
      <c r="CH111" s="305"/>
      <c r="CI111" s="305"/>
      <c r="CJ111" s="305"/>
      <c r="CK111" s="305"/>
      <c r="CL111" s="305"/>
      <c r="CM111" s="305"/>
      <c r="CN111" s="305"/>
      <c r="CO111" s="305"/>
      <c r="CP111" s="305"/>
      <c r="CQ111" s="305"/>
      <c r="CR111" s="305"/>
      <c r="CS111" s="305"/>
      <c r="CT111" s="305"/>
      <c r="CU111" s="305"/>
      <c r="CV111" s="305"/>
      <c r="CW111" s="305"/>
      <c r="CX111" s="305"/>
      <c r="CY111" s="305"/>
      <c r="CZ111" s="305"/>
      <c r="DA111" s="305"/>
      <c r="DB111" s="305"/>
      <c r="DC111" s="305"/>
      <c r="DD111" s="305"/>
      <c r="DE111" s="305"/>
      <c r="DF111" s="305"/>
      <c r="DG111" s="305"/>
      <c r="DH111" s="305"/>
      <c r="DI111" s="305"/>
      <c r="DJ111" s="305"/>
      <c r="DK111" s="305"/>
      <c r="DL111" s="305"/>
      <c r="DM111" s="305"/>
      <c r="DN111" s="305"/>
      <c r="DO111" s="305"/>
      <c r="DP111" s="305"/>
      <c r="DQ111" s="305"/>
      <c r="DR111" s="305"/>
      <c r="DS111" s="305"/>
      <c r="DT111" s="305"/>
      <c r="DU111" s="305"/>
      <c r="DV111" s="305"/>
      <c r="DW111" s="558"/>
      <c r="DX111" s="558"/>
      <c r="DY111" s="558"/>
      <c r="DZ111" s="558"/>
      <c r="EA111" s="558"/>
      <c r="EB111" s="558"/>
      <c r="EC111" s="558"/>
      <c r="ED111" s="558"/>
      <c r="EE111" s="558"/>
      <c r="EF111" s="558"/>
      <c r="EG111" s="558"/>
      <c r="EH111" s="558"/>
      <c r="EI111" s="558"/>
      <c r="EJ111" s="558"/>
      <c r="EK111" s="558"/>
      <c r="EL111" s="558"/>
      <c r="EM111" s="558"/>
      <c r="EN111" s="558"/>
      <c r="EO111" s="558"/>
      <c r="EP111" s="558"/>
      <c r="EQ111" s="674"/>
      <c r="ER111" s="305"/>
    </row>
    <row r="112" spans="1:152" s="556" customFormat="1" x14ac:dyDescent="0.2">
      <c r="D112" s="110"/>
      <c r="O112" s="669"/>
      <c r="P112" s="670"/>
      <c r="Q112" s="670"/>
      <c r="S112" s="674"/>
      <c r="AA112" s="674"/>
      <c r="AF112" s="305"/>
      <c r="AG112" s="305"/>
      <c r="AH112" s="305"/>
      <c r="AI112" s="305"/>
      <c r="AJ112" s="305"/>
      <c r="AK112" s="305"/>
      <c r="AL112" s="305"/>
      <c r="AM112" s="305"/>
      <c r="AN112" s="305"/>
      <c r="AO112" s="305"/>
      <c r="AP112" s="305"/>
      <c r="AQ112" s="305"/>
      <c r="AR112" s="305"/>
      <c r="AS112" s="305"/>
      <c r="AT112" s="305"/>
      <c r="AU112" s="305"/>
      <c r="AV112" s="305"/>
      <c r="AW112" s="305"/>
      <c r="AX112" s="305"/>
      <c r="AY112" s="305"/>
      <c r="AZ112" s="305"/>
      <c r="BA112" s="305"/>
      <c r="BB112" s="305"/>
      <c r="BC112" s="305"/>
      <c r="BD112" s="305"/>
      <c r="BE112" s="305"/>
      <c r="BF112" s="305"/>
      <c r="BG112" s="305"/>
      <c r="BH112" s="305"/>
      <c r="BI112" s="305"/>
      <c r="BJ112" s="305"/>
      <c r="BK112" s="305"/>
      <c r="BL112" s="305"/>
      <c r="BM112" s="305"/>
      <c r="BN112" s="305"/>
      <c r="BO112" s="305"/>
      <c r="BP112" s="305"/>
      <c r="BQ112" s="305"/>
      <c r="BR112" s="305"/>
      <c r="BS112" s="305"/>
      <c r="BT112" s="305"/>
      <c r="BU112" s="305"/>
      <c r="BV112" s="305"/>
      <c r="BW112" s="305"/>
      <c r="BX112" s="305"/>
      <c r="BY112" s="305"/>
      <c r="BZ112" s="305"/>
      <c r="CA112" s="305"/>
      <c r="CB112" s="305"/>
      <c r="CC112" s="305"/>
      <c r="CD112" s="305"/>
      <c r="CE112" s="305"/>
      <c r="CF112" s="305"/>
      <c r="CG112" s="305"/>
      <c r="CH112" s="305"/>
      <c r="CI112" s="305"/>
      <c r="CJ112" s="305"/>
      <c r="CK112" s="305"/>
      <c r="CL112" s="305"/>
      <c r="CM112" s="305"/>
      <c r="CN112" s="305"/>
      <c r="CO112" s="305"/>
      <c r="CP112" s="305"/>
      <c r="CQ112" s="305"/>
      <c r="CR112" s="305"/>
      <c r="CS112" s="305"/>
      <c r="CT112" s="305"/>
      <c r="CU112" s="305"/>
      <c r="CV112" s="305"/>
      <c r="CW112" s="305"/>
      <c r="CX112" s="305"/>
      <c r="CY112" s="305"/>
      <c r="CZ112" s="305"/>
      <c r="DA112" s="305"/>
      <c r="DB112" s="305"/>
      <c r="DC112" s="305"/>
      <c r="DD112" s="305"/>
      <c r="DE112" s="305"/>
      <c r="DF112" s="305"/>
      <c r="DG112" s="305"/>
      <c r="DH112" s="305"/>
      <c r="DI112" s="305"/>
      <c r="DJ112" s="305"/>
      <c r="DK112" s="305"/>
      <c r="DL112" s="305"/>
      <c r="DM112" s="305"/>
      <c r="DN112" s="305"/>
      <c r="DO112" s="305"/>
      <c r="DP112" s="305"/>
      <c r="DQ112" s="305"/>
      <c r="DR112" s="305"/>
      <c r="DS112" s="305"/>
      <c r="DT112" s="305"/>
      <c r="DU112" s="305"/>
      <c r="DV112" s="305"/>
      <c r="DW112" s="558"/>
      <c r="DX112" s="558"/>
      <c r="DY112" s="558"/>
      <c r="DZ112" s="558"/>
      <c r="EA112" s="558"/>
      <c r="EB112" s="558"/>
      <c r="EC112" s="558"/>
      <c r="ED112" s="558"/>
      <c r="EE112" s="558"/>
      <c r="EF112" s="558"/>
      <c r="EG112" s="558"/>
      <c r="EH112" s="558"/>
      <c r="EI112" s="558"/>
      <c r="EJ112" s="558"/>
      <c r="EK112" s="558"/>
      <c r="EL112" s="558"/>
      <c r="EM112" s="558"/>
      <c r="EN112" s="558"/>
      <c r="EO112" s="558"/>
      <c r="EP112" s="558"/>
      <c r="EQ112" s="674"/>
      <c r="ER112" s="305"/>
    </row>
    <row r="113" spans="4:148" s="556" customFormat="1" x14ac:dyDescent="0.2">
      <c r="D113" s="110"/>
      <c r="O113" s="669"/>
      <c r="P113" s="670"/>
      <c r="Q113" s="670"/>
      <c r="S113" s="674"/>
      <c r="AA113" s="674"/>
      <c r="AF113" s="305"/>
      <c r="AG113" s="305"/>
      <c r="AH113" s="305"/>
      <c r="AI113" s="305"/>
      <c r="AJ113" s="305"/>
      <c r="AK113" s="305"/>
      <c r="AL113" s="305"/>
      <c r="AM113" s="305"/>
      <c r="AN113" s="305"/>
      <c r="AO113" s="305"/>
      <c r="AP113" s="305"/>
      <c r="AQ113" s="305"/>
      <c r="AR113" s="305"/>
      <c r="AS113" s="305"/>
      <c r="AT113" s="305"/>
      <c r="AU113" s="305"/>
      <c r="AV113" s="305"/>
      <c r="AW113" s="305"/>
      <c r="AX113" s="305"/>
      <c r="AY113" s="305"/>
      <c r="AZ113" s="305"/>
      <c r="BA113" s="305"/>
      <c r="BB113" s="305"/>
      <c r="BC113" s="305"/>
      <c r="BD113" s="305"/>
      <c r="BE113" s="305"/>
      <c r="BF113" s="305"/>
      <c r="BG113" s="305"/>
      <c r="BH113" s="305"/>
      <c r="BI113" s="305"/>
      <c r="BJ113" s="305"/>
      <c r="BK113" s="305"/>
      <c r="BL113" s="305"/>
      <c r="BM113" s="305"/>
      <c r="BN113" s="305"/>
      <c r="BO113" s="305"/>
      <c r="BP113" s="305"/>
      <c r="BQ113" s="305"/>
      <c r="BR113" s="305"/>
      <c r="BS113" s="305"/>
      <c r="BT113" s="305"/>
      <c r="BU113" s="305"/>
      <c r="BV113" s="305"/>
      <c r="BW113" s="305"/>
      <c r="BX113" s="305"/>
      <c r="BY113" s="305"/>
      <c r="BZ113" s="305"/>
      <c r="CA113" s="305"/>
      <c r="CB113" s="305"/>
      <c r="CC113" s="305"/>
      <c r="CD113" s="305"/>
      <c r="CE113" s="305"/>
      <c r="CF113" s="305"/>
      <c r="CG113" s="305"/>
      <c r="CH113" s="305"/>
      <c r="CI113" s="305"/>
      <c r="CJ113" s="305"/>
      <c r="CK113" s="305"/>
      <c r="CL113" s="305"/>
      <c r="CM113" s="305"/>
      <c r="CN113" s="305"/>
      <c r="CO113" s="305"/>
      <c r="CP113" s="305"/>
      <c r="CQ113" s="305"/>
      <c r="CR113" s="305"/>
      <c r="CS113" s="305"/>
      <c r="CT113" s="305"/>
      <c r="CU113" s="305"/>
      <c r="CV113" s="305"/>
      <c r="CW113" s="305"/>
      <c r="CX113" s="305"/>
      <c r="CY113" s="305"/>
      <c r="CZ113" s="305"/>
      <c r="DA113" s="305"/>
      <c r="DB113" s="305"/>
      <c r="DC113" s="305"/>
      <c r="DD113" s="305"/>
      <c r="DE113" s="305"/>
      <c r="DF113" s="305"/>
      <c r="DG113" s="305"/>
      <c r="DH113" s="305"/>
      <c r="DI113" s="305"/>
      <c r="DJ113" s="305"/>
      <c r="DK113" s="305"/>
      <c r="DL113" s="305"/>
      <c r="DM113" s="305"/>
      <c r="DN113" s="305"/>
      <c r="DO113" s="305"/>
      <c r="DP113" s="305"/>
      <c r="DQ113" s="305"/>
      <c r="DR113" s="305"/>
      <c r="DS113" s="305"/>
      <c r="DT113" s="305"/>
      <c r="DU113" s="305"/>
      <c r="DV113" s="305"/>
      <c r="DW113" s="558"/>
      <c r="DX113" s="558"/>
      <c r="DY113" s="558"/>
      <c r="DZ113" s="558"/>
      <c r="EA113" s="558"/>
      <c r="EB113" s="558"/>
      <c r="EC113" s="558"/>
      <c r="ED113" s="558"/>
      <c r="EE113" s="558"/>
      <c r="EF113" s="558"/>
      <c r="EG113" s="558"/>
      <c r="EH113" s="558"/>
      <c r="EI113" s="558"/>
      <c r="EJ113" s="558"/>
      <c r="EK113" s="558"/>
      <c r="EL113" s="558"/>
      <c r="EM113" s="558"/>
      <c r="EN113" s="558"/>
      <c r="EO113" s="558"/>
      <c r="EP113" s="558"/>
      <c r="EQ113" s="674"/>
      <c r="ER113" s="305"/>
    </row>
    <row r="114" spans="4:148" s="556" customFormat="1" x14ac:dyDescent="0.2">
      <c r="D114" s="110"/>
      <c r="O114" s="669"/>
      <c r="P114" s="670"/>
      <c r="Q114" s="670"/>
      <c r="S114" s="674"/>
      <c r="AA114" s="674"/>
      <c r="AF114" s="305"/>
      <c r="AG114" s="305"/>
      <c r="AH114" s="305"/>
      <c r="AI114" s="305"/>
      <c r="AJ114" s="305"/>
      <c r="AK114" s="305"/>
      <c r="AL114" s="305"/>
      <c r="AM114" s="305"/>
      <c r="AN114" s="305"/>
      <c r="AO114" s="305"/>
      <c r="AP114" s="305"/>
      <c r="AQ114" s="305"/>
      <c r="AR114" s="305"/>
      <c r="AS114" s="305"/>
      <c r="AT114" s="305"/>
      <c r="AU114" s="305"/>
      <c r="AV114" s="305"/>
      <c r="AW114" s="305"/>
      <c r="AX114" s="305"/>
      <c r="AY114" s="305"/>
      <c r="AZ114" s="305"/>
      <c r="BA114" s="305"/>
      <c r="BB114" s="305"/>
      <c r="BC114" s="305"/>
      <c r="BD114" s="305"/>
      <c r="BE114" s="305"/>
      <c r="BF114" s="305"/>
      <c r="BG114" s="305"/>
      <c r="BH114" s="305"/>
      <c r="BI114" s="305"/>
      <c r="BJ114" s="305"/>
      <c r="BK114" s="305"/>
      <c r="BL114" s="305"/>
      <c r="BM114" s="305"/>
      <c r="BN114" s="305"/>
      <c r="BO114" s="305"/>
      <c r="BP114" s="305"/>
      <c r="BQ114" s="305"/>
      <c r="BR114" s="305"/>
      <c r="BS114" s="305"/>
      <c r="BT114" s="305"/>
      <c r="BU114" s="305"/>
      <c r="BV114" s="305"/>
      <c r="BW114" s="305"/>
      <c r="BX114" s="305"/>
      <c r="BY114" s="305"/>
      <c r="BZ114" s="305"/>
      <c r="CA114" s="305"/>
      <c r="CB114" s="305"/>
      <c r="CC114" s="305"/>
      <c r="CD114" s="305"/>
      <c r="CE114" s="305"/>
      <c r="CF114" s="305"/>
      <c r="CG114" s="305"/>
      <c r="CH114" s="305"/>
      <c r="CI114" s="305"/>
      <c r="CJ114" s="305"/>
      <c r="CK114" s="305"/>
      <c r="CL114" s="305"/>
      <c r="CM114" s="305"/>
      <c r="CN114" s="305"/>
      <c r="CO114" s="305"/>
      <c r="CP114" s="305"/>
      <c r="CQ114" s="305"/>
      <c r="CR114" s="305"/>
      <c r="CS114" s="305"/>
      <c r="CT114" s="305"/>
      <c r="CU114" s="305"/>
      <c r="CV114" s="305"/>
      <c r="CW114" s="305"/>
      <c r="CX114" s="305"/>
      <c r="CY114" s="305"/>
      <c r="CZ114" s="305"/>
      <c r="DA114" s="305"/>
      <c r="DB114" s="305"/>
      <c r="DC114" s="305"/>
      <c r="DD114" s="305"/>
      <c r="DE114" s="305"/>
      <c r="DF114" s="305"/>
      <c r="DG114" s="305"/>
      <c r="DH114" s="305"/>
      <c r="DI114" s="305"/>
      <c r="DJ114" s="305"/>
      <c r="DK114" s="305"/>
      <c r="DL114" s="305"/>
      <c r="DM114" s="305"/>
      <c r="DN114" s="305"/>
      <c r="DO114" s="305"/>
      <c r="DP114" s="305"/>
      <c r="DQ114" s="305"/>
      <c r="DR114" s="305"/>
      <c r="DS114" s="305"/>
      <c r="DT114" s="305"/>
      <c r="DU114" s="305"/>
      <c r="DV114" s="305"/>
      <c r="DW114" s="558"/>
      <c r="DX114" s="558"/>
      <c r="DY114" s="558"/>
      <c r="DZ114" s="558"/>
      <c r="EA114" s="558"/>
      <c r="EB114" s="558"/>
      <c r="EC114" s="558"/>
      <c r="ED114" s="558"/>
      <c r="EE114" s="558"/>
      <c r="EF114" s="558"/>
      <c r="EG114" s="558"/>
      <c r="EH114" s="558"/>
      <c r="EI114" s="558"/>
      <c r="EJ114" s="558"/>
      <c r="EK114" s="558"/>
      <c r="EL114" s="558"/>
      <c r="EM114" s="558"/>
      <c r="EN114" s="558"/>
      <c r="EO114" s="558"/>
      <c r="EP114" s="558"/>
      <c r="EQ114" s="674"/>
      <c r="ER114" s="305"/>
    </row>
    <row r="115" spans="4:148" s="556" customFormat="1" x14ac:dyDescent="0.2">
      <c r="D115" s="110"/>
      <c r="O115" s="669"/>
      <c r="P115" s="670"/>
      <c r="Q115" s="670"/>
      <c r="S115" s="674"/>
      <c r="AA115" s="674"/>
      <c r="AF115" s="305"/>
      <c r="AG115" s="305"/>
      <c r="AH115" s="305"/>
      <c r="AI115" s="305"/>
      <c r="AJ115" s="305"/>
      <c r="AK115" s="305"/>
      <c r="AL115" s="305"/>
      <c r="AM115" s="305"/>
      <c r="AN115" s="305"/>
      <c r="AO115" s="305"/>
      <c r="AP115" s="305"/>
      <c r="AQ115" s="305"/>
      <c r="AR115" s="305"/>
      <c r="AS115" s="305"/>
      <c r="AT115" s="305"/>
      <c r="AU115" s="305"/>
      <c r="AV115" s="305"/>
      <c r="AW115" s="305"/>
      <c r="AX115" s="305"/>
      <c r="AY115" s="305"/>
      <c r="AZ115" s="305"/>
      <c r="BA115" s="305"/>
      <c r="BB115" s="305"/>
      <c r="BC115" s="305"/>
      <c r="BD115" s="305"/>
      <c r="BE115" s="305"/>
      <c r="BF115" s="305"/>
      <c r="BG115" s="305"/>
      <c r="BH115" s="305"/>
      <c r="BI115" s="305"/>
      <c r="BJ115" s="305"/>
      <c r="BK115" s="305"/>
      <c r="BL115" s="305"/>
      <c r="BM115" s="305"/>
      <c r="BN115" s="305"/>
      <c r="BO115" s="305"/>
      <c r="BP115" s="305"/>
      <c r="BQ115" s="305"/>
      <c r="BR115" s="305"/>
      <c r="BS115" s="305"/>
      <c r="BT115" s="305"/>
      <c r="BU115" s="305"/>
      <c r="BV115" s="305"/>
      <c r="BW115" s="305"/>
      <c r="BX115" s="305"/>
      <c r="BY115" s="305"/>
      <c r="BZ115" s="305"/>
      <c r="CA115" s="305"/>
      <c r="CB115" s="305"/>
      <c r="CC115" s="305"/>
      <c r="CD115" s="305"/>
      <c r="CE115" s="305"/>
      <c r="CF115" s="305"/>
      <c r="CG115" s="305"/>
      <c r="CH115" s="305"/>
      <c r="CI115" s="305"/>
      <c r="CJ115" s="305"/>
      <c r="CK115" s="305"/>
      <c r="CL115" s="305"/>
      <c r="CM115" s="305"/>
      <c r="CN115" s="305"/>
      <c r="CO115" s="305"/>
      <c r="CP115" s="305"/>
      <c r="CQ115" s="305"/>
      <c r="CR115" s="305"/>
      <c r="CS115" s="305"/>
      <c r="CT115" s="305"/>
      <c r="CU115" s="305"/>
      <c r="CV115" s="305"/>
      <c r="CW115" s="305"/>
      <c r="CX115" s="305"/>
      <c r="CY115" s="305"/>
      <c r="CZ115" s="305"/>
      <c r="DA115" s="305"/>
      <c r="DB115" s="305"/>
      <c r="DC115" s="305"/>
      <c r="DD115" s="305"/>
      <c r="DE115" s="305"/>
      <c r="DF115" s="305"/>
      <c r="DG115" s="305"/>
      <c r="DH115" s="305"/>
      <c r="DI115" s="305"/>
      <c r="DJ115" s="305"/>
      <c r="DK115" s="305"/>
      <c r="DL115" s="305"/>
      <c r="DM115" s="305"/>
      <c r="DN115" s="305"/>
      <c r="DO115" s="305"/>
      <c r="DP115" s="305"/>
      <c r="DQ115" s="305"/>
      <c r="DR115" s="305"/>
      <c r="DS115" s="305"/>
      <c r="DT115" s="305"/>
      <c r="DU115" s="305"/>
      <c r="DV115" s="305"/>
      <c r="DW115" s="558"/>
      <c r="DX115" s="558"/>
      <c r="DY115" s="558"/>
      <c r="DZ115" s="558"/>
      <c r="EA115" s="558"/>
      <c r="EB115" s="558"/>
      <c r="EC115" s="558"/>
      <c r="ED115" s="558"/>
      <c r="EE115" s="558"/>
      <c r="EF115" s="558"/>
      <c r="EG115" s="558"/>
      <c r="EH115" s="558"/>
      <c r="EI115" s="558"/>
      <c r="EJ115" s="558"/>
      <c r="EK115" s="558"/>
      <c r="EL115" s="558"/>
      <c r="EM115" s="558"/>
      <c r="EN115" s="558"/>
      <c r="EO115" s="558"/>
      <c r="EP115" s="558"/>
      <c r="EQ115" s="674"/>
      <c r="ER115" s="305"/>
    </row>
    <row r="116" spans="4:148" s="556" customFormat="1" x14ac:dyDescent="0.2">
      <c r="D116" s="110"/>
      <c r="O116" s="669"/>
      <c r="P116" s="670"/>
      <c r="Q116" s="670"/>
      <c r="S116" s="674"/>
      <c r="AA116" s="674"/>
      <c r="AF116" s="305"/>
      <c r="AG116" s="305"/>
      <c r="AH116" s="305"/>
      <c r="AI116" s="305"/>
      <c r="AJ116" s="305"/>
      <c r="AK116" s="305"/>
      <c r="AL116" s="305"/>
      <c r="AM116" s="305"/>
      <c r="AN116" s="305"/>
      <c r="AO116" s="305"/>
      <c r="AP116" s="305"/>
      <c r="AQ116" s="305"/>
      <c r="AR116" s="305"/>
      <c r="AS116" s="305"/>
      <c r="AT116" s="305"/>
      <c r="AU116" s="305"/>
      <c r="AV116" s="305"/>
      <c r="AW116" s="305"/>
      <c r="AX116" s="305"/>
      <c r="AY116" s="305"/>
      <c r="AZ116" s="305"/>
      <c r="BA116" s="305"/>
      <c r="BB116" s="305"/>
      <c r="BC116" s="305"/>
      <c r="BD116" s="305"/>
      <c r="BE116" s="305"/>
      <c r="BF116" s="305"/>
      <c r="BG116" s="305"/>
      <c r="BH116" s="305"/>
      <c r="BI116" s="305"/>
      <c r="BJ116" s="305"/>
      <c r="BK116" s="305"/>
      <c r="BL116" s="305"/>
      <c r="BM116" s="305"/>
      <c r="BN116" s="305"/>
      <c r="BO116" s="305"/>
      <c r="BP116" s="305"/>
      <c r="BQ116" s="305"/>
      <c r="BR116" s="305"/>
      <c r="BS116" s="305"/>
      <c r="BT116" s="305"/>
      <c r="BU116" s="305"/>
      <c r="BV116" s="305"/>
      <c r="BW116" s="305"/>
      <c r="BX116" s="305"/>
      <c r="BY116" s="305"/>
      <c r="BZ116" s="305"/>
      <c r="CA116" s="305"/>
      <c r="CB116" s="305"/>
      <c r="CC116" s="305"/>
      <c r="CD116" s="305"/>
      <c r="CE116" s="305"/>
      <c r="CF116" s="305"/>
      <c r="CG116" s="305"/>
      <c r="CH116" s="305"/>
      <c r="CI116" s="305"/>
      <c r="CJ116" s="305"/>
      <c r="CK116" s="305"/>
      <c r="CL116" s="305"/>
      <c r="CM116" s="305"/>
      <c r="CN116" s="305"/>
      <c r="CO116" s="305"/>
      <c r="CP116" s="305"/>
      <c r="CQ116" s="305"/>
      <c r="CR116" s="305"/>
      <c r="CS116" s="305"/>
      <c r="CT116" s="305"/>
      <c r="CU116" s="305"/>
      <c r="CV116" s="305"/>
      <c r="CW116" s="305"/>
      <c r="CX116" s="305"/>
      <c r="CY116" s="305"/>
      <c r="CZ116" s="305"/>
      <c r="DA116" s="305"/>
      <c r="DB116" s="305"/>
      <c r="DC116" s="305"/>
      <c r="DD116" s="305"/>
      <c r="DE116" s="305"/>
      <c r="DF116" s="305"/>
      <c r="DG116" s="305"/>
      <c r="DH116" s="305"/>
      <c r="DI116" s="305"/>
      <c r="DJ116" s="305"/>
      <c r="DK116" s="305"/>
      <c r="DL116" s="305"/>
      <c r="DM116" s="305"/>
      <c r="DN116" s="305"/>
      <c r="DO116" s="305"/>
      <c r="DP116" s="305"/>
      <c r="DQ116" s="305"/>
      <c r="DR116" s="305"/>
      <c r="DS116" s="305"/>
      <c r="DT116" s="305"/>
      <c r="DU116" s="305"/>
      <c r="DV116" s="305"/>
      <c r="DW116" s="558"/>
      <c r="DX116" s="558"/>
      <c r="DY116" s="558"/>
      <c r="DZ116" s="558"/>
      <c r="EA116" s="558"/>
      <c r="EB116" s="558"/>
      <c r="EC116" s="558"/>
      <c r="ED116" s="558"/>
      <c r="EE116" s="558"/>
      <c r="EF116" s="558"/>
      <c r="EG116" s="558"/>
      <c r="EH116" s="558"/>
      <c r="EI116" s="558"/>
      <c r="EJ116" s="558"/>
      <c r="EK116" s="558"/>
      <c r="EL116" s="558"/>
      <c r="EM116" s="558"/>
      <c r="EN116" s="558"/>
      <c r="EO116" s="558"/>
      <c r="EP116" s="558"/>
      <c r="EQ116" s="674"/>
      <c r="ER116" s="305"/>
    </row>
    <row r="117" spans="4:148" s="556" customFormat="1" x14ac:dyDescent="0.2">
      <c r="D117" s="110"/>
      <c r="O117" s="669"/>
      <c r="P117" s="670"/>
      <c r="Q117" s="670"/>
      <c r="S117" s="674"/>
      <c r="AA117" s="674"/>
      <c r="AF117" s="305"/>
      <c r="AG117" s="305"/>
      <c r="AH117" s="305"/>
      <c r="AI117" s="305"/>
      <c r="AJ117" s="305"/>
      <c r="AK117" s="305"/>
      <c r="AL117" s="305"/>
      <c r="AM117" s="305"/>
      <c r="AN117" s="305"/>
      <c r="AO117" s="305"/>
      <c r="AP117" s="305"/>
      <c r="AQ117" s="305"/>
      <c r="AR117" s="305"/>
      <c r="AS117" s="305"/>
      <c r="AT117" s="305"/>
      <c r="AU117" s="305"/>
      <c r="AV117" s="305"/>
      <c r="AW117" s="305"/>
      <c r="AX117" s="305"/>
      <c r="AY117" s="305"/>
      <c r="AZ117" s="305"/>
      <c r="BA117" s="305"/>
      <c r="BB117" s="305"/>
      <c r="BC117" s="305"/>
      <c r="BD117" s="305"/>
      <c r="BE117" s="305"/>
      <c r="BF117" s="305"/>
      <c r="BG117" s="305"/>
      <c r="BH117" s="305"/>
      <c r="BI117" s="305"/>
      <c r="BJ117" s="305"/>
      <c r="BK117" s="305"/>
      <c r="BL117" s="305"/>
      <c r="BM117" s="305"/>
      <c r="BN117" s="305"/>
      <c r="BO117" s="305"/>
      <c r="BP117" s="305"/>
      <c r="BQ117" s="305"/>
      <c r="BR117" s="305"/>
      <c r="BS117" s="305"/>
      <c r="BT117" s="305"/>
      <c r="BU117" s="305"/>
      <c r="BV117" s="305"/>
      <c r="BW117" s="305"/>
      <c r="BX117" s="305"/>
      <c r="BY117" s="305"/>
      <c r="BZ117" s="305"/>
      <c r="CA117" s="305"/>
      <c r="CB117" s="305"/>
      <c r="CC117" s="305"/>
      <c r="CD117" s="305"/>
      <c r="CE117" s="305"/>
      <c r="CF117" s="305"/>
      <c r="CG117" s="305"/>
      <c r="CH117" s="305"/>
      <c r="CI117" s="305"/>
      <c r="CJ117" s="305"/>
      <c r="CK117" s="305"/>
      <c r="CL117" s="305"/>
      <c r="CM117" s="305"/>
      <c r="CN117" s="305"/>
      <c r="CO117" s="305"/>
      <c r="CP117" s="305"/>
      <c r="CQ117" s="305"/>
      <c r="CR117" s="305"/>
      <c r="CS117" s="305"/>
      <c r="CT117" s="305"/>
      <c r="CU117" s="305"/>
      <c r="CV117" s="305"/>
      <c r="CW117" s="305"/>
      <c r="CX117" s="305"/>
      <c r="CY117" s="305"/>
      <c r="CZ117" s="305"/>
      <c r="DA117" s="305"/>
      <c r="DB117" s="305"/>
      <c r="DC117" s="305"/>
      <c r="DD117" s="305"/>
      <c r="DE117" s="305"/>
      <c r="DF117" s="305"/>
      <c r="DG117" s="305"/>
      <c r="DH117" s="305"/>
      <c r="DI117" s="305"/>
      <c r="DJ117" s="305"/>
      <c r="DK117" s="305"/>
      <c r="DL117" s="305"/>
      <c r="DM117" s="305"/>
      <c r="DN117" s="305"/>
      <c r="DO117" s="305"/>
      <c r="DP117" s="305"/>
      <c r="DQ117" s="305"/>
      <c r="DR117" s="305"/>
      <c r="DS117" s="305"/>
      <c r="DT117" s="305"/>
      <c r="DU117" s="305"/>
      <c r="DV117" s="305"/>
      <c r="DW117" s="558"/>
      <c r="DX117" s="558"/>
      <c r="DY117" s="558"/>
      <c r="DZ117" s="558"/>
      <c r="EA117" s="558"/>
      <c r="EB117" s="558"/>
      <c r="EC117" s="558"/>
      <c r="ED117" s="558"/>
      <c r="EE117" s="558"/>
      <c r="EF117" s="558"/>
      <c r="EG117" s="558"/>
      <c r="EH117" s="558"/>
      <c r="EI117" s="558"/>
      <c r="EJ117" s="558"/>
      <c r="EK117" s="558"/>
      <c r="EL117" s="558"/>
      <c r="EM117" s="558"/>
      <c r="EN117" s="558"/>
      <c r="EO117" s="558"/>
      <c r="EP117" s="558"/>
      <c r="EQ117" s="674"/>
      <c r="ER117" s="305"/>
    </row>
    <row r="118" spans="4:148" s="556" customFormat="1" x14ac:dyDescent="0.2">
      <c r="D118" s="110"/>
      <c r="O118" s="669"/>
      <c r="P118" s="670"/>
      <c r="Q118" s="670"/>
      <c r="S118" s="674"/>
      <c r="AA118" s="674"/>
      <c r="AF118" s="305"/>
      <c r="AG118" s="305"/>
      <c r="AH118" s="305"/>
      <c r="AI118" s="305"/>
      <c r="AJ118" s="305"/>
      <c r="AK118" s="305"/>
      <c r="AL118" s="305"/>
      <c r="AM118" s="305"/>
      <c r="AN118" s="305"/>
      <c r="AO118" s="305"/>
      <c r="AP118" s="305"/>
      <c r="AQ118" s="305"/>
      <c r="AR118" s="305"/>
      <c r="AS118" s="305"/>
      <c r="AT118" s="305"/>
      <c r="AU118" s="305"/>
      <c r="AV118" s="305"/>
      <c r="AW118" s="305"/>
      <c r="AX118" s="305"/>
      <c r="AY118" s="305"/>
      <c r="AZ118" s="305"/>
      <c r="BA118" s="305"/>
      <c r="BB118" s="305"/>
      <c r="BC118" s="305"/>
      <c r="BD118" s="305"/>
      <c r="BE118" s="305"/>
      <c r="BF118" s="305"/>
      <c r="BG118" s="305"/>
      <c r="BH118" s="305"/>
      <c r="BI118" s="305"/>
      <c r="BJ118" s="305"/>
      <c r="BK118" s="305"/>
      <c r="BL118" s="305"/>
      <c r="BM118" s="305"/>
      <c r="BN118" s="305"/>
      <c r="BO118" s="305"/>
      <c r="BP118" s="305"/>
      <c r="BQ118" s="305"/>
      <c r="BR118" s="305"/>
      <c r="BS118" s="305"/>
      <c r="BT118" s="305"/>
      <c r="BU118" s="305"/>
      <c r="BV118" s="305"/>
      <c r="BW118" s="305"/>
      <c r="BX118" s="305"/>
      <c r="BY118" s="305"/>
      <c r="BZ118" s="305"/>
      <c r="CA118" s="305"/>
      <c r="CB118" s="305"/>
      <c r="CC118" s="305"/>
      <c r="CD118" s="305"/>
      <c r="CE118" s="305"/>
      <c r="CF118" s="305"/>
      <c r="CG118" s="305"/>
      <c r="CH118" s="305"/>
      <c r="CI118" s="305"/>
      <c r="CJ118" s="305"/>
      <c r="CK118" s="305"/>
      <c r="CL118" s="305"/>
      <c r="CM118" s="305"/>
      <c r="CN118" s="305"/>
      <c r="CO118" s="305"/>
      <c r="CP118" s="305"/>
      <c r="CQ118" s="305"/>
      <c r="CR118" s="305"/>
      <c r="CS118" s="305"/>
      <c r="CT118" s="305"/>
      <c r="CU118" s="305"/>
      <c r="CV118" s="305"/>
      <c r="CW118" s="305"/>
      <c r="CX118" s="305"/>
      <c r="CY118" s="305"/>
      <c r="CZ118" s="305"/>
      <c r="DA118" s="305"/>
      <c r="DB118" s="305"/>
      <c r="DC118" s="305"/>
      <c r="DD118" s="305"/>
      <c r="DE118" s="305"/>
      <c r="DF118" s="305"/>
      <c r="DG118" s="305"/>
      <c r="DH118" s="305"/>
      <c r="DI118" s="305"/>
      <c r="DJ118" s="305"/>
      <c r="DK118" s="305"/>
      <c r="DL118" s="305"/>
      <c r="DM118" s="305"/>
      <c r="DN118" s="305"/>
      <c r="DO118" s="305"/>
      <c r="DP118" s="305"/>
      <c r="DQ118" s="305"/>
      <c r="DR118" s="305"/>
      <c r="DS118" s="305"/>
      <c r="DT118" s="305"/>
      <c r="DU118" s="305"/>
      <c r="DV118" s="305"/>
      <c r="DW118" s="558"/>
      <c r="DX118" s="558"/>
      <c r="DY118" s="558"/>
      <c r="DZ118" s="558"/>
      <c r="EA118" s="558"/>
      <c r="EB118" s="558"/>
      <c r="EC118" s="558"/>
      <c r="ED118" s="558"/>
      <c r="EE118" s="558"/>
      <c r="EF118" s="558"/>
      <c r="EG118" s="558"/>
      <c r="EH118" s="558"/>
      <c r="EI118" s="558"/>
      <c r="EJ118" s="558"/>
      <c r="EK118" s="558"/>
      <c r="EL118" s="558"/>
      <c r="EM118" s="558"/>
      <c r="EN118" s="558"/>
      <c r="EO118" s="558"/>
      <c r="EP118" s="558"/>
      <c r="EQ118" s="674"/>
      <c r="ER118" s="305"/>
    </row>
    <row r="119" spans="4:148" s="556" customFormat="1" x14ac:dyDescent="0.2">
      <c r="D119" s="110"/>
      <c r="O119" s="669"/>
      <c r="P119" s="670"/>
      <c r="Q119" s="670"/>
      <c r="S119" s="674"/>
      <c r="AA119" s="674"/>
      <c r="AF119" s="305"/>
      <c r="AG119" s="305"/>
      <c r="AH119" s="305"/>
      <c r="AI119" s="305"/>
      <c r="AJ119" s="305"/>
      <c r="AK119" s="305"/>
      <c r="AL119" s="305"/>
      <c r="AM119" s="305"/>
      <c r="AN119" s="305"/>
      <c r="AO119" s="305"/>
      <c r="AP119" s="305"/>
      <c r="AQ119" s="305"/>
      <c r="AR119" s="305"/>
      <c r="AS119" s="305"/>
      <c r="AT119" s="305"/>
      <c r="AU119" s="305"/>
      <c r="AV119" s="305"/>
      <c r="AW119" s="305"/>
      <c r="AX119" s="305"/>
      <c r="AY119" s="305"/>
      <c r="AZ119" s="305"/>
      <c r="BA119" s="305"/>
      <c r="BB119" s="305"/>
      <c r="BC119" s="305"/>
      <c r="BD119" s="305"/>
      <c r="BE119" s="305"/>
      <c r="BF119" s="305"/>
      <c r="BG119" s="305"/>
      <c r="BH119" s="305"/>
      <c r="BI119" s="305"/>
      <c r="BJ119" s="305"/>
      <c r="BK119" s="305"/>
      <c r="BL119" s="305"/>
      <c r="BM119" s="305"/>
      <c r="BN119" s="305"/>
      <c r="BO119" s="305"/>
      <c r="BP119" s="305"/>
      <c r="BQ119" s="305"/>
      <c r="BR119" s="305"/>
      <c r="BS119" s="305"/>
      <c r="BT119" s="305"/>
      <c r="BU119" s="305"/>
      <c r="BV119" s="305"/>
      <c r="BW119" s="305"/>
      <c r="BX119" s="305"/>
      <c r="BY119" s="305"/>
      <c r="BZ119" s="305"/>
      <c r="CA119" s="305"/>
      <c r="CB119" s="305"/>
      <c r="CC119" s="305"/>
      <c r="CD119" s="305"/>
      <c r="CE119" s="305"/>
      <c r="CF119" s="305"/>
      <c r="CG119" s="305"/>
      <c r="CH119" s="305"/>
      <c r="CI119" s="305"/>
      <c r="CJ119" s="305"/>
      <c r="CK119" s="305"/>
      <c r="CL119" s="305"/>
      <c r="CM119" s="305"/>
      <c r="CN119" s="305"/>
      <c r="CO119" s="305"/>
      <c r="CP119" s="305"/>
      <c r="CQ119" s="305"/>
      <c r="CR119" s="305"/>
      <c r="CS119" s="305"/>
      <c r="CT119" s="305"/>
      <c r="CU119" s="305"/>
      <c r="CV119" s="305"/>
      <c r="CW119" s="305"/>
      <c r="CX119" s="305"/>
      <c r="CY119" s="305"/>
      <c r="CZ119" s="305"/>
      <c r="DA119" s="305"/>
      <c r="DB119" s="305"/>
      <c r="DC119" s="305"/>
      <c r="DD119" s="305"/>
      <c r="DE119" s="305"/>
      <c r="DF119" s="305"/>
      <c r="DG119" s="305"/>
      <c r="DH119" s="305"/>
      <c r="DI119" s="305"/>
      <c r="DJ119" s="305"/>
      <c r="DK119" s="305"/>
      <c r="DL119" s="305"/>
      <c r="DM119" s="305"/>
      <c r="DN119" s="305"/>
      <c r="DO119" s="305"/>
      <c r="DP119" s="305"/>
      <c r="DQ119" s="305"/>
      <c r="DR119" s="305"/>
      <c r="DS119" s="305"/>
      <c r="DT119" s="305"/>
      <c r="DU119" s="305"/>
      <c r="DV119" s="305"/>
      <c r="DW119" s="558"/>
      <c r="DX119" s="558"/>
      <c r="DY119" s="558"/>
      <c r="DZ119" s="558"/>
      <c r="EA119" s="558"/>
      <c r="EB119" s="558"/>
      <c r="EC119" s="558"/>
      <c r="ED119" s="558"/>
      <c r="EE119" s="558"/>
      <c r="EF119" s="558"/>
      <c r="EG119" s="558"/>
      <c r="EH119" s="558"/>
      <c r="EI119" s="558"/>
      <c r="EJ119" s="558"/>
      <c r="EK119" s="558"/>
      <c r="EL119" s="558"/>
      <c r="EM119" s="558"/>
      <c r="EN119" s="558"/>
      <c r="EO119" s="558"/>
      <c r="EP119" s="558"/>
      <c r="EQ119" s="674"/>
      <c r="ER119" s="305"/>
    </row>
    <row r="120" spans="4:148" s="556" customFormat="1" x14ac:dyDescent="0.2">
      <c r="D120" s="110"/>
      <c r="O120" s="669"/>
      <c r="P120" s="670"/>
      <c r="Q120" s="670"/>
      <c r="S120" s="674"/>
      <c r="AA120" s="674"/>
      <c r="AF120" s="305"/>
      <c r="AG120" s="305"/>
      <c r="AH120" s="305"/>
      <c r="AI120" s="305"/>
      <c r="AJ120" s="305"/>
      <c r="AK120" s="305"/>
      <c r="AL120" s="305"/>
      <c r="AM120" s="305"/>
      <c r="AN120" s="305"/>
      <c r="AO120" s="305"/>
      <c r="AP120" s="305"/>
      <c r="AQ120" s="305"/>
      <c r="AR120" s="305"/>
      <c r="AS120" s="305"/>
      <c r="AT120" s="305"/>
      <c r="AU120" s="305"/>
      <c r="AV120" s="305"/>
      <c r="AW120" s="305"/>
      <c r="AX120" s="305"/>
      <c r="AY120" s="305"/>
      <c r="AZ120" s="305"/>
      <c r="BA120" s="305"/>
      <c r="BB120" s="305"/>
      <c r="BC120" s="305"/>
      <c r="BD120" s="305"/>
      <c r="BE120" s="305"/>
      <c r="BF120" s="305"/>
      <c r="BG120" s="305"/>
      <c r="BH120" s="305"/>
      <c r="BI120" s="305"/>
      <c r="BJ120" s="305"/>
      <c r="BK120" s="305"/>
      <c r="BL120" s="305"/>
      <c r="BM120" s="305"/>
      <c r="BN120" s="305"/>
      <c r="BO120" s="305"/>
      <c r="BP120" s="305"/>
      <c r="BQ120" s="305"/>
      <c r="BR120" s="305"/>
      <c r="BS120" s="305"/>
      <c r="BT120" s="305"/>
      <c r="BU120" s="305"/>
      <c r="BV120" s="305"/>
      <c r="BW120" s="305"/>
      <c r="BX120" s="305"/>
      <c r="BY120" s="305"/>
      <c r="BZ120" s="305"/>
      <c r="CA120" s="305"/>
      <c r="CB120" s="305"/>
      <c r="CC120" s="305"/>
      <c r="CD120" s="305"/>
      <c r="CE120" s="305"/>
      <c r="CF120" s="305"/>
      <c r="CG120" s="305"/>
      <c r="CH120" s="305"/>
      <c r="CI120" s="305"/>
      <c r="CJ120" s="305"/>
      <c r="CK120" s="305"/>
      <c r="CL120" s="305"/>
      <c r="CM120" s="305"/>
      <c r="CN120" s="305"/>
      <c r="CO120" s="305"/>
      <c r="CP120" s="305"/>
      <c r="CQ120" s="305"/>
      <c r="CR120" s="305"/>
      <c r="CS120" s="305"/>
      <c r="CT120" s="305"/>
      <c r="CU120" s="305"/>
      <c r="CV120" s="305"/>
      <c r="CW120" s="305"/>
      <c r="CX120" s="305"/>
      <c r="CY120" s="305"/>
      <c r="CZ120" s="305"/>
      <c r="DA120" s="305"/>
      <c r="DB120" s="305"/>
      <c r="DC120" s="305"/>
      <c r="DD120" s="305"/>
      <c r="DE120" s="305"/>
      <c r="DF120" s="305"/>
      <c r="DG120" s="305"/>
      <c r="DH120" s="305"/>
      <c r="DI120" s="305"/>
      <c r="DJ120" s="305"/>
      <c r="DK120" s="305"/>
      <c r="DL120" s="305"/>
      <c r="DM120" s="305"/>
      <c r="DN120" s="305"/>
      <c r="DO120" s="305"/>
      <c r="DP120" s="305"/>
      <c r="DQ120" s="305"/>
      <c r="DR120" s="305"/>
      <c r="DS120" s="305"/>
      <c r="DT120" s="305"/>
      <c r="DU120" s="305"/>
      <c r="DV120" s="305"/>
      <c r="DW120" s="558"/>
      <c r="DX120" s="558"/>
      <c r="DY120" s="558"/>
      <c r="DZ120" s="558"/>
      <c r="EA120" s="558"/>
      <c r="EB120" s="558"/>
      <c r="EC120" s="558"/>
      <c r="ED120" s="558"/>
      <c r="EE120" s="558"/>
      <c r="EF120" s="558"/>
      <c r="EG120" s="558"/>
      <c r="EH120" s="558"/>
      <c r="EI120" s="558"/>
      <c r="EJ120" s="558"/>
      <c r="EK120" s="558"/>
      <c r="EL120" s="558"/>
      <c r="EM120" s="558"/>
      <c r="EN120" s="558"/>
      <c r="EO120" s="558"/>
      <c r="EP120" s="558"/>
      <c r="EQ120" s="674"/>
      <c r="ER120" s="305"/>
    </row>
    <row r="121" spans="4:148" s="556" customFormat="1" x14ac:dyDescent="0.2">
      <c r="D121" s="110"/>
      <c r="O121" s="669"/>
      <c r="P121" s="670"/>
      <c r="Q121" s="670"/>
      <c r="S121" s="674"/>
      <c r="AA121" s="674"/>
      <c r="AF121" s="305"/>
      <c r="AG121" s="305"/>
      <c r="AH121" s="305"/>
      <c r="AI121" s="305"/>
      <c r="AJ121" s="305"/>
      <c r="AK121" s="305"/>
      <c r="AL121" s="305"/>
      <c r="AM121" s="305"/>
      <c r="AN121" s="305"/>
      <c r="AO121" s="305"/>
      <c r="AP121" s="305"/>
      <c r="AQ121" s="305"/>
      <c r="AR121" s="305"/>
      <c r="AS121" s="305"/>
      <c r="AT121" s="305"/>
      <c r="AU121" s="305"/>
      <c r="AV121" s="305"/>
      <c r="AW121" s="305"/>
      <c r="AX121" s="305"/>
      <c r="AY121" s="305"/>
      <c r="AZ121" s="305"/>
      <c r="BA121" s="305"/>
      <c r="BB121" s="305"/>
      <c r="BC121" s="305"/>
      <c r="BD121" s="305"/>
      <c r="BE121" s="305"/>
      <c r="BF121" s="305"/>
      <c r="BG121" s="305"/>
      <c r="BH121" s="305"/>
      <c r="BI121" s="305"/>
      <c r="BJ121" s="305"/>
      <c r="BK121" s="305"/>
      <c r="BL121" s="305"/>
      <c r="BM121" s="305"/>
      <c r="BN121" s="305"/>
      <c r="BO121" s="305"/>
      <c r="BP121" s="305"/>
      <c r="BQ121" s="305"/>
      <c r="BR121" s="305"/>
      <c r="BS121" s="305"/>
      <c r="BT121" s="305"/>
      <c r="BU121" s="305"/>
      <c r="BV121" s="305"/>
      <c r="BW121" s="305"/>
      <c r="BX121" s="305"/>
      <c r="BY121" s="305"/>
      <c r="BZ121" s="305"/>
      <c r="CA121" s="305"/>
      <c r="CB121" s="305"/>
      <c r="CC121" s="305"/>
      <c r="CD121" s="305"/>
      <c r="CE121" s="305"/>
      <c r="CF121" s="305"/>
      <c r="CG121" s="305"/>
      <c r="CH121" s="305"/>
      <c r="CI121" s="305"/>
      <c r="CJ121" s="305"/>
      <c r="CK121" s="305"/>
      <c r="CL121" s="305"/>
      <c r="CM121" s="305"/>
      <c r="CN121" s="305"/>
      <c r="CO121" s="305"/>
      <c r="CP121" s="305"/>
      <c r="CQ121" s="305"/>
      <c r="CR121" s="305"/>
      <c r="CS121" s="305"/>
      <c r="CT121" s="305"/>
      <c r="CU121" s="305"/>
      <c r="CV121" s="305"/>
      <c r="CW121" s="305"/>
      <c r="CX121" s="305"/>
      <c r="CY121" s="305"/>
      <c r="CZ121" s="305"/>
      <c r="DA121" s="305"/>
      <c r="DB121" s="305"/>
      <c r="DC121" s="305"/>
      <c r="DD121" s="305"/>
      <c r="DE121" s="305"/>
      <c r="DF121" s="305"/>
      <c r="DG121" s="305"/>
      <c r="DH121" s="305"/>
      <c r="DI121" s="305"/>
      <c r="DJ121" s="305"/>
      <c r="DK121" s="305"/>
      <c r="DL121" s="305"/>
      <c r="DM121" s="305"/>
      <c r="DN121" s="305"/>
      <c r="DO121" s="305"/>
      <c r="DP121" s="305"/>
      <c r="DQ121" s="305"/>
      <c r="DR121" s="305"/>
      <c r="DS121" s="305"/>
      <c r="DT121" s="305"/>
      <c r="DU121" s="305"/>
      <c r="DV121" s="305"/>
      <c r="DW121" s="558"/>
      <c r="DX121" s="558"/>
      <c r="DY121" s="558"/>
      <c r="DZ121" s="558"/>
      <c r="EA121" s="558"/>
      <c r="EB121" s="558"/>
      <c r="EC121" s="558"/>
      <c r="ED121" s="558"/>
      <c r="EE121" s="558"/>
      <c r="EF121" s="558"/>
      <c r="EG121" s="558"/>
      <c r="EH121" s="558"/>
      <c r="EI121" s="558"/>
      <c r="EJ121" s="558"/>
      <c r="EK121" s="558"/>
      <c r="EL121" s="558"/>
      <c r="EM121" s="558"/>
      <c r="EN121" s="558"/>
      <c r="EO121" s="558"/>
      <c r="EP121" s="558"/>
      <c r="EQ121" s="674"/>
      <c r="ER121" s="305"/>
    </row>
    <row r="122" spans="4:148" s="556" customFormat="1" x14ac:dyDescent="0.2">
      <c r="D122" s="110"/>
      <c r="O122" s="669"/>
      <c r="P122" s="670"/>
      <c r="Q122" s="670"/>
      <c r="S122" s="674"/>
      <c r="AA122" s="674"/>
      <c r="AF122" s="305"/>
      <c r="AG122" s="305"/>
      <c r="AH122" s="305"/>
      <c r="AI122" s="305"/>
      <c r="AJ122" s="305"/>
      <c r="AK122" s="305"/>
      <c r="AL122" s="305"/>
      <c r="AM122" s="305"/>
      <c r="AN122" s="305"/>
      <c r="AO122" s="305"/>
      <c r="AP122" s="305"/>
      <c r="AQ122" s="305"/>
      <c r="AR122" s="305"/>
      <c r="AS122" s="305"/>
      <c r="AT122" s="305"/>
      <c r="AU122" s="305"/>
      <c r="AV122" s="305"/>
      <c r="AW122" s="305"/>
      <c r="AX122" s="305"/>
      <c r="AY122" s="305"/>
      <c r="AZ122" s="305"/>
      <c r="BA122" s="305"/>
      <c r="BB122" s="305"/>
      <c r="BC122" s="305"/>
      <c r="BD122" s="305"/>
      <c r="BE122" s="305"/>
      <c r="BF122" s="305"/>
      <c r="BG122" s="305"/>
      <c r="BH122" s="305"/>
      <c r="BI122" s="305"/>
      <c r="BJ122" s="305"/>
      <c r="BK122" s="305"/>
      <c r="BL122" s="305"/>
      <c r="BM122" s="305"/>
      <c r="BN122" s="305"/>
      <c r="BO122" s="305"/>
      <c r="BP122" s="305"/>
      <c r="BQ122" s="305"/>
      <c r="BR122" s="305"/>
      <c r="BS122" s="305"/>
      <c r="BT122" s="305"/>
      <c r="BU122" s="305"/>
      <c r="BV122" s="305"/>
      <c r="BW122" s="305"/>
      <c r="BX122" s="305"/>
      <c r="BY122" s="305"/>
      <c r="BZ122" s="305"/>
      <c r="CA122" s="305"/>
      <c r="CB122" s="305"/>
      <c r="CC122" s="305"/>
      <c r="CD122" s="305"/>
      <c r="CE122" s="305"/>
      <c r="CF122" s="305"/>
      <c r="CG122" s="305"/>
      <c r="CH122" s="305"/>
      <c r="CI122" s="305"/>
      <c r="CJ122" s="305"/>
      <c r="CK122" s="305"/>
      <c r="CL122" s="305"/>
      <c r="CM122" s="305"/>
      <c r="CN122" s="305"/>
      <c r="CO122" s="305"/>
      <c r="CP122" s="305"/>
      <c r="CQ122" s="305"/>
      <c r="CR122" s="305"/>
      <c r="CS122" s="305"/>
      <c r="CT122" s="305"/>
      <c r="CU122" s="305"/>
      <c r="CV122" s="305"/>
      <c r="CW122" s="305"/>
      <c r="CX122" s="305"/>
      <c r="CY122" s="305"/>
      <c r="CZ122" s="305"/>
      <c r="DA122" s="305"/>
      <c r="DB122" s="305"/>
      <c r="DC122" s="305"/>
      <c r="DD122" s="305"/>
      <c r="DE122" s="305"/>
      <c r="DF122" s="305"/>
      <c r="DG122" s="305"/>
      <c r="DH122" s="305"/>
      <c r="DI122" s="305"/>
      <c r="DJ122" s="305"/>
      <c r="DK122" s="305"/>
      <c r="DL122" s="305"/>
      <c r="DM122" s="305"/>
      <c r="DN122" s="305"/>
      <c r="DO122" s="305"/>
      <c r="DP122" s="305"/>
      <c r="DQ122" s="305"/>
      <c r="DR122" s="305"/>
      <c r="DS122" s="305"/>
      <c r="DT122" s="305"/>
      <c r="DU122" s="305"/>
      <c r="DV122" s="305"/>
      <c r="DW122" s="558"/>
      <c r="DX122" s="558"/>
      <c r="DY122" s="558"/>
      <c r="DZ122" s="558"/>
      <c r="EA122" s="558"/>
      <c r="EB122" s="558"/>
      <c r="EC122" s="558"/>
      <c r="ED122" s="558"/>
      <c r="EE122" s="558"/>
      <c r="EF122" s="558"/>
      <c r="EG122" s="558"/>
      <c r="EH122" s="558"/>
      <c r="EI122" s="558"/>
      <c r="EJ122" s="558"/>
      <c r="EK122" s="558"/>
      <c r="EL122" s="558"/>
      <c r="EM122" s="558"/>
      <c r="EN122" s="558"/>
      <c r="EO122" s="558"/>
      <c r="EP122" s="558"/>
      <c r="EQ122" s="674"/>
      <c r="ER122" s="305"/>
    </row>
    <row r="123" spans="4:148" s="556" customFormat="1" x14ac:dyDescent="0.2">
      <c r="D123" s="110"/>
      <c r="O123" s="669"/>
      <c r="P123" s="670"/>
      <c r="Q123" s="670"/>
      <c r="S123" s="674"/>
      <c r="AA123" s="674"/>
      <c r="AF123" s="305"/>
      <c r="AG123" s="305"/>
      <c r="AH123" s="305"/>
      <c r="AI123" s="305"/>
      <c r="AJ123" s="305"/>
      <c r="AK123" s="305"/>
      <c r="AL123" s="305"/>
      <c r="AM123" s="305"/>
      <c r="AN123" s="305"/>
      <c r="AO123" s="305"/>
      <c r="AP123" s="305"/>
      <c r="AQ123" s="305"/>
      <c r="AR123" s="305"/>
      <c r="AS123" s="305"/>
      <c r="AT123" s="305"/>
      <c r="AU123" s="305"/>
      <c r="AV123" s="305"/>
      <c r="AW123" s="305"/>
      <c r="AX123" s="305"/>
      <c r="AY123" s="305"/>
      <c r="AZ123" s="305"/>
      <c r="BA123" s="305"/>
      <c r="BB123" s="305"/>
      <c r="BC123" s="305"/>
      <c r="BD123" s="305"/>
      <c r="BE123" s="305"/>
      <c r="BF123" s="305"/>
      <c r="BG123" s="305"/>
      <c r="BH123" s="305"/>
      <c r="BI123" s="305"/>
      <c r="BJ123" s="305"/>
      <c r="BK123" s="305"/>
      <c r="BL123" s="305"/>
      <c r="BM123" s="305"/>
      <c r="BN123" s="305"/>
      <c r="BO123" s="305"/>
      <c r="BP123" s="305"/>
      <c r="BQ123" s="305"/>
      <c r="BR123" s="305"/>
      <c r="BS123" s="305"/>
      <c r="BT123" s="305"/>
      <c r="BU123" s="305"/>
      <c r="BV123" s="305"/>
      <c r="BW123" s="305"/>
      <c r="BX123" s="305"/>
      <c r="BY123" s="305"/>
      <c r="BZ123" s="305"/>
      <c r="CA123" s="305"/>
      <c r="CB123" s="305"/>
      <c r="CC123" s="305"/>
      <c r="CD123" s="305"/>
      <c r="CE123" s="305"/>
      <c r="CF123" s="305"/>
      <c r="CG123" s="305"/>
      <c r="CH123" s="305"/>
      <c r="CI123" s="305"/>
      <c r="CJ123" s="305"/>
      <c r="CK123" s="305"/>
      <c r="CL123" s="305"/>
      <c r="CM123" s="305"/>
      <c r="CN123" s="305"/>
      <c r="CO123" s="305"/>
      <c r="CP123" s="305"/>
      <c r="CQ123" s="305"/>
      <c r="CR123" s="305"/>
      <c r="CS123" s="305"/>
      <c r="CT123" s="305"/>
      <c r="CU123" s="305"/>
      <c r="CV123" s="305"/>
      <c r="CW123" s="305"/>
      <c r="CX123" s="305"/>
      <c r="CY123" s="305"/>
      <c r="CZ123" s="305"/>
      <c r="DA123" s="305"/>
      <c r="DB123" s="305"/>
      <c r="DC123" s="305"/>
      <c r="DD123" s="305"/>
      <c r="DE123" s="305"/>
      <c r="DF123" s="305"/>
      <c r="DG123" s="305"/>
      <c r="DH123" s="305"/>
      <c r="DI123" s="305"/>
      <c r="DJ123" s="305"/>
      <c r="DK123" s="305"/>
      <c r="DL123" s="305"/>
      <c r="DM123" s="305"/>
      <c r="DN123" s="305"/>
      <c r="DO123" s="305"/>
      <c r="DP123" s="305"/>
      <c r="DQ123" s="305"/>
      <c r="DR123" s="305"/>
      <c r="DS123" s="305"/>
      <c r="DT123" s="305"/>
      <c r="DU123" s="305"/>
      <c r="DV123" s="305"/>
      <c r="DW123" s="558"/>
      <c r="DX123" s="558"/>
      <c r="DY123" s="558"/>
      <c r="DZ123" s="558"/>
      <c r="EA123" s="558"/>
      <c r="EB123" s="558"/>
      <c r="EC123" s="558"/>
      <c r="ED123" s="558"/>
      <c r="EE123" s="558"/>
      <c r="EF123" s="558"/>
      <c r="EG123" s="558"/>
      <c r="EH123" s="558"/>
      <c r="EI123" s="558"/>
      <c r="EJ123" s="558"/>
      <c r="EK123" s="558"/>
      <c r="EL123" s="558"/>
      <c r="EM123" s="558"/>
      <c r="EN123" s="558"/>
      <c r="EO123" s="558"/>
      <c r="EP123" s="558"/>
      <c r="EQ123" s="674"/>
      <c r="ER123" s="305"/>
    </row>
    <row r="124" spans="4:148" s="556" customFormat="1" x14ac:dyDescent="0.2">
      <c r="D124" s="110"/>
      <c r="O124" s="669"/>
      <c r="P124" s="670"/>
      <c r="Q124" s="670"/>
      <c r="S124" s="674"/>
      <c r="AA124" s="674"/>
      <c r="AF124" s="305"/>
      <c r="AG124" s="305"/>
      <c r="AH124" s="305"/>
      <c r="AI124" s="305"/>
      <c r="AJ124" s="305"/>
      <c r="AK124" s="305"/>
      <c r="AL124" s="305"/>
      <c r="AM124" s="305"/>
      <c r="AN124" s="305"/>
      <c r="AO124" s="305"/>
      <c r="AP124" s="305"/>
      <c r="AQ124" s="305"/>
      <c r="AR124" s="305"/>
      <c r="AS124" s="305"/>
      <c r="AT124" s="305"/>
      <c r="AU124" s="305"/>
      <c r="AV124" s="305"/>
      <c r="AW124" s="305"/>
      <c r="AX124" s="305"/>
      <c r="AY124" s="305"/>
      <c r="AZ124" s="305"/>
      <c r="BA124" s="305"/>
      <c r="BB124" s="305"/>
      <c r="BC124" s="305"/>
      <c r="BD124" s="305"/>
      <c r="BE124" s="305"/>
      <c r="BF124" s="305"/>
      <c r="BG124" s="305"/>
      <c r="BH124" s="305"/>
      <c r="BI124" s="305"/>
      <c r="BJ124" s="305"/>
      <c r="BK124" s="305"/>
      <c r="BL124" s="305"/>
      <c r="BM124" s="305"/>
      <c r="BN124" s="305"/>
      <c r="BO124" s="305"/>
      <c r="BP124" s="305"/>
      <c r="BQ124" s="305"/>
      <c r="BR124" s="305"/>
      <c r="BS124" s="305"/>
      <c r="BT124" s="305"/>
      <c r="BU124" s="305"/>
      <c r="BV124" s="305"/>
      <c r="BW124" s="305"/>
      <c r="BX124" s="305"/>
      <c r="BY124" s="305"/>
      <c r="BZ124" s="305"/>
      <c r="CA124" s="305"/>
      <c r="CB124" s="305"/>
      <c r="CC124" s="305"/>
      <c r="CD124" s="305"/>
      <c r="CE124" s="305"/>
      <c r="CF124" s="305"/>
      <c r="CG124" s="305"/>
      <c r="CH124" s="305"/>
      <c r="CI124" s="305"/>
      <c r="CJ124" s="305"/>
      <c r="CK124" s="305"/>
      <c r="CL124" s="305"/>
      <c r="CM124" s="305"/>
      <c r="CN124" s="305"/>
      <c r="CO124" s="305"/>
      <c r="CP124" s="305"/>
      <c r="CQ124" s="305"/>
      <c r="CR124" s="305"/>
      <c r="CS124" s="305"/>
      <c r="CT124" s="305"/>
      <c r="CU124" s="305"/>
      <c r="CV124" s="305"/>
      <c r="CW124" s="305"/>
      <c r="CX124" s="305"/>
      <c r="CY124" s="305"/>
      <c r="CZ124" s="305"/>
      <c r="DA124" s="305"/>
      <c r="DB124" s="305"/>
      <c r="DC124" s="305"/>
      <c r="DD124" s="305"/>
      <c r="DE124" s="305"/>
      <c r="DF124" s="305"/>
      <c r="DG124" s="305"/>
      <c r="DH124" s="305"/>
      <c r="DI124" s="305"/>
      <c r="DJ124" s="305"/>
      <c r="DK124" s="305"/>
      <c r="DL124" s="305"/>
      <c r="DM124" s="305"/>
      <c r="DN124" s="305"/>
      <c r="DO124" s="305"/>
      <c r="DP124" s="305"/>
      <c r="DQ124" s="305"/>
      <c r="DR124" s="305"/>
      <c r="DS124" s="305"/>
      <c r="DT124" s="305"/>
      <c r="DU124" s="305"/>
      <c r="DV124" s="305"/>
      <c r="DW124" s="558"/>
      <c r="DX124" s="558"/>
      <c r="DY124" s="558"/>
      <c r="DZ124" s="558"/>
      <c r="EA124" s="558"/>
      <c r="EB124" s="558"/>
      <c r="EC124" s="558"/>
      <c r="ED124" s="558"/>
      <c r="EE124" s="558"/>
      <c r="EF124" s="558"/>
      <c r="EG124" s="558"/>
      <c r="EH124" s="558"/>
      <c r="EI124" s="558"/>
      <c r="EJ124" s="558"/>
      <c r="EK124" s="558"/>
      <c r="EL124" s="558"/>
      <c r="EM124" s="558"/>
      <c r="EN124" s="558"/>
      <c r="EO124" s="558"/>
      <c r="EP124" s="558"/>
      <c r="EQ124" s="674"/>
      <c r="ER124" s="305"/>
    </row>
    <row r="125" spans="4:148" s="556" customFormat="1" x14ac:dyDescent="0.2">
      <c r="D125" s="110"/>
      <c r="O125" s="669"/>
      <c r="P125" s="670"/>
      <c r="Q125" s="670"/>
      <c r="S125" s="674"/>
      <c r="AA125" s="674"/>
      <c r="AF125" s="305"/>
      <c r="AG125" s="305"/>
      <c r="AH125" s="305"/>
      <c r="AI125" s="305"/>
      <c r="AJ125" s="305"/>
      <c r="AK125" s="305"/>
      <c r="AL125" s="305"/>
      <c r="AM125" s="305"/>
      <c r="AN125" s="305"/>
      <c r="AO125" s="305"/>
      <c r="AP125" s="305"/>
      <c r="AQ125" s="305"/>
      <c r="AR125" s="305"/>
      <c r="AS125" s="305"/>
      <c r="AT125" s="305"/>
      <c r="AU125" s="305"/>
      <c r="AV125" s="305"/>
      <c r="AW125" s="305"/>
      <c r="AX125" s="305"/>
      <c r="AY125" s="305"/>
      <c r="AZ125" s="305"/>
      <c r="BA125" s="305"/>
      <c r="BB125" s="305"/>
      <c r="BC125" s="305"/>
      <c r="BD125" s="305"/>
      <c r="BE125" s="305"/>
      <c r="BF125" s="305"/>
      <c r="BG125" s="305"/>
      <c r="BH125" s="305"/>
      <c r="BI125" s="305"/>
      <c r="BJ125" s="305"/>
      <c r="BK125" s="305"/>
      <c r="BL125" s="305"/>
      <c r="BM125" s="305"/>
      <c r="BN125" s="305"/>
      <c r="BO125" s="305"/>
      <c r="BP125" s="305"/>
      <c r="BQ125" s="305"/>
      <c r="BR125" s="305"/>
      <c r="BS125" s="305"/>
      <c r="BT125" s="305"/>
      <c r="BU125" s="305"/>
      <c r="BV125" s="305"/>
      <c r="BW125" s="305"/>
      <c r="BX125" s="305"/>
      <c r="BY125" s="305"/>
      <c r="BZ125" s="305"/>
      <c r="CA125" s="305"/>
      <c r="CB125" s="305"/>
      <c r="CC125" s="305"/>
      <c r="CD125" s="305"/>
      <c r="CE125" s="305"/>
      <c r="CF125" s="305"/>
      <c r="CG125" s="305"/>
      <c r="CH125" s="305"/>
      <c r="CI125" s="305"/>
      <c r="CJ125" s="305"/>
      <c r="CK125" s="305"/>
      <c r="CL125" s="305"/>
      <c r="CM125" s="305"/>
      <c r="CN125" s="305"/>
      <c r="CO125" s="305"/>
      <c r="CP125" s="305"/>
      <c r="CQ125" s="305"/>
      <c r="CR125" s="305"/>
      <c r="CS125" s="305"/>
      <c r="CT125" s="305"/>
      <c r="CU125" s="305"/>
      <c r="CV125" s="305"/>
      <c r="CW125" s="305"/>
      <c r="CX125" s="305"/>
      <c r="CY125" s="305"/>
      <c r="CZ125" s="305"/>
      <c r="DA125" s="305"/>
      <c r="DB125" s="305"/>
      <c r="DC125" s="305"/>
      <c r="DD125" s="305"/>
      <c r="DE125" s="305"/>
      <c r="DF125" s="305"/>
      <c r="DG125" s="305"/>
      <c r="DH125" s="305"/>
      <c r="DI125" s="305"/>
      <c r="DJ125" s="305"/>
      <c r="DK125" s="305"/>
      <c r="DL125" s="305"/>
      <c r="DM125" s="305"/>
      <c r="DN125" s="305"/>
      <c r="DO125" s="305"/>
      <c r="DP125" s="305"/>
      <c r="DQ125" s="305"/>
      <c r="DR125" s="305"/>
      <c r="DS125" s="305"/>
      <c r="DT125" s="305"/>
      <c r="DU125" s="305"/>
      <c r="DV125" s="305"/>
      <c r="DW125" s="558"/>
      <c r="DX125" s="558"/>
      <c r="DY125" s="558"/>
      <c r="DZ125" s="558"/>
      <c r="EA125" s="558"/>
      <c r="EB125" s="558"/>
      <c r="EC125" s="558"/>
      <c r="ED125" s="558"/>
      <c r="EE125" s="558"/>
      <c r="EF125" s="558"/>
      <c r="EG125" s="558"/>
      <c r="EH125" s="558"/>
      <c r="EI125" s="558"/>
      <c r="EJ125" s="558"/>
      <c r="EK125" s="558"/>
      <c r="EL125" s="558"/>
      <c r="EM125" s="558"/>
      <c r="EN125" s="558"/>
      <c r="EO125" s="558"/>
      <c r="EP125" s="558"/>
      <c r="EQ125" s="674"/>
      <c r="ER125" s="305"/>
    </row>
    <row r="126" spans="4:148" s="556" customFormat="1" x14ac:dyDescent="0.2">
      <c r="D126" s="110"/>
      <c r="O126" s="669"/>
      <c r="P126" s="670"/>
      <c r="Q126" s="670"/>
      <c r="S126" s="674"/>
      <c r="AA126" s="674"/>
      <c r="AF126" s="305"/>
      <c r="AG126" s="305"/>
      <c r="AH126" s="305"/>
      <c r="AI126" s="305"/>
      <c r="AJ126" s="305"/>
      <c r="AK126" s="305"/>
      <c r="AL126" s="305"/>
      <c r="AM126" s="305"/>
      <c r="AN126" s="305"/>
      <c r="AO126" s="305"/>
      <c r="AP126" s="305"/>
      <c r="AQ126" s="305"/>
      <c r="AR126" s="305"/>
      <c r="AS126" s="305"/>
      <c r="AT126" s="305"/>
      <c r="AU126" s="305"/>
      <c r="AV126" s="305"/>
      <c r="AW126" s="305"/>
      <c r="AX126" s="305"/>
      <c r="AY126" s="305"/>
      <c r="AZ126" s="305"/>
      <c r="BA126" s="305"/>
      <c r="BB126" s="305"/>
      <c r="BC126" s="305"/>
      <c r="BD126" s="305"/>
      <c r="BE126" s="305"/>
      <c r="BF126" s="305"/>
      <c r="BG126" s="305"/>
      <c r="BH126" s="305"/>
      <c r="BI126" s="305"/>
      <c r="BJ126" s="305"/>
      <c r="BK126" s="305"/>
      <c r="BL126" s="305"/>
      <c r="BM126" s="305"/>
      <c r="BN126" s="305"/>
      <c r="BO126" s="305"/>
      <c r="BP126" s="305"/>
      <c r="BQ126" s="305"/>
      <c r="BR126" s="305"/>
      <c r="BS126" s="305"/>
      <c r="BT126" s="305"/>
      <c r="BU126" s="305"/>
      <c r="BV126" s="305"/>
      <c r="BW126" s="305"/>
      <c r="BX126" s="305"/>
      <c r="BY126" s="305"/>
      <c r="BZ126" s="305"/>
      <c r="CA126" s="305"/>
      <c r="CB126" s="305"/>
      <c r="CC126" s="305"/>
      <c r="CD126" s="305"/>
      <c r="CE126" s="305"/>
      <c r="CF126" s="305"/>
      <c r="CG126" s="305"/>
      <c r="CH126" s="305"/>
      <c r="CI126" s="305"/>
      <c r="CJ126" s="305"/>
      <c r="CK126" s="305"/>
      <c r="CL126" s="305"/>
      <c r="CM126" s="305"/>
      <c r="CN126" s="305"/>
      <c r="CO126" s="305"/>
      <c r="CP126" s="305"/>
      <c r="CQ126" s="305"/>
      <c r="CR126" s="305"/>
      <c r="CS126" s="305"/>
      <c r="CT126" s="305"/>
      <c r="CU126" s="305"/>
      <c r="CV126" s="305"/>
      <c r="CW126" s="305"/>
      <c r="CX126" s="305"/>
      <c r="CY126" s="305"/>
      <c r="CZ126" s="305"/>
      <c r="DA126" s="305"/>
      <c r="DB126" s="305"/>
      <c r="DC126" s="305"/>
      <c r="DD126" s="305"/>
      <c r="DE126" s="305"/>
      <c r="DF126" s="305"/>
      <c r="DG126" s="305"/>
      <c r="DH126" s="305"/>
      <c r="DI126" s="305"/>
      <c r="DJ126" s="305"/>
      <c r="DK126" s="305"/>
      <c r="DL126" s="305"/>
      <c r="DM126" s="305"/>
      <c r="DN126" s="305"/>
      <c r="DO126" s="305"/>
      <c r="DP126" s="305"/>
      <c r="DQ126" s="305"/>
      <c r="DR126" s="305"/>
      <c r="DS126" s="305"/>
      <c r="DT126" s="305"/>
      <c r="DU126" s="305"/>
      <c r="DV126" s="305"/>
      <c r="DW126" s="558"/>
      <c r="DX126" s="558"/>
      <c r="DY126" s="558"/>
      <c r="DZ126" s="558"/>
      <c r="EA126" s="558"/>
      <c r="EB126" s="558"/>
      <c r="EC126" s="558"/>
      <c r="ED126" s="558"/>
      <c r="EE126" s="558"/>
      <c r="EF126" s="558"/>
      <c r="EG126" s="558"/>
      <c r="EH126" s="558"/>
      <c r="EI126" s="558"/>
      <c r="EJ126" s="558"/>
      <c r="EK126" s="558"/>
      <c r="EL126" s="558"/>
      <c r="EM126" s="558"/>
      <c r="EN126" s="558"/>
      <c r="EO126" s="558"/>
      <c r="EP126" s="558"/>
      <c r="EQ126" s="674"/>
      <c r="ER126" s="305"/>
    </row>
    <row r="127" spans="4:148" s="556" customFormat="1" x14ac:dyDescent="0.2">
      <c r="D127" s="110"/>
      <c r="O127" s="669"/>
      <c r="P127" s="670"/>
      <c r="Q127" s="670"/>
      <c r="S127" s="674"/>
      <c r="AA127" s="674"/>
      <c r="AF127" s="305"/>
      <c r="AG127" s="305"/>
      <c r="AH127" s="305"/>
      <c r="AI127" s="305"/>
      <c r="AJ127" s="305"/>
      <c r="AK127" s="305"/>
      <c r="AL127" s="305"/>
      <c r="AM127" s="305"/>
      <c r="AN127" s="305"/>
      <c r="AO127" s="305"/>
      <c r="AP127" s="305"/>
      <c r="AQ127" s="305"/>
      <c r="AR127" s="305"/>
      <c r="AS127" s="305"/>
      <c r="AT127" s="305"/>
      <c r="AU127" s="305"/>
      <c r="AV127" s="305"/>
      <c r="AW127" s="305"/>
      <c r="AX127" s="305"/>
      <c r="AY127" s="305"/>
      <c r="AZ127" s="305"/>
      <c r="BA127" s="305"/>
      <c r="BB127" s="305"/>
      <c r="BC127" s="305"/>
      <c r="BD127" s="305"/>
      <c r="BE127" s="305"/>
      <c r="BF127" s="305"/>
      <c r="BG127" s="305"/>
      <c r="BH127" s="305"/>
      <c r="BI127" s="305"/>
      <c r="BJ127" s="305"/>
      <c r="BK127" s="305"/>
      <c r="BL127" s="305"/>
      <c r="BM127" s="305"/>
      <c r="BN127" s="305"/>
      <c r="BO127" s="305"/>
      <c r="BP127" s="305"/>
      <c r="BQ127" s="305"/>
      <c r="BR127" s="305"/>
      <c r="BS127" s="305"/>
      <c r="BT127" s="305"/>
      <c r="BU127" s="305"/>
      <c r="BV127" s="305"/>
      <c r="BW127" s="305"/>
      <c r="BX127" s="305"/>
      <c r="BY127" s="305"/>
      <c r="BZ127" s="305"/>
      <c r="CA127" s="305"/>
      <c r="CB127" s="305"/>
      <c r="CC127" s="305"/>
      <c r="CD127" s="305"/>
      <c r="CE127" s="305"/>
      <c r="CF127" s="305"/>
      <c r="CG127" s="305"/>
      <c r="CH127" s="305"/>
      <c r="CI127" s="305"/>
      <c r="CJ127" s="305"/>
      <c r="CK127" s="305"/>
      <c r="CL127" s="305"/>
      <c r="CM127" s="305"/>
      <c r="CN127" s="305"/>
      <c r="CO127" s="305"/>
      <c r="CP127" s="305"/>
      <c r="CQ127" s="305"/>
      <c r="CR127" s="305"/>
      <c r="CS127" s="305"/>
      <c r="CT127" s="305"/>
      <c r="CU127" s="305"/>
      <c r="CV127" s="305"/>
      <c r="CW127" s="305"/>
      <c r="CX127" s="305"/>
      <c r="CY127" s="305"/>
      <c r="CZ127" s="305"/>
      <c r="DA127" s="305"/>
      <c r="DB127" s="305"/>
      <c r="DC127" s="305"/>
      <c r="DD127" s="305"/>
      <c r="DE127" s="305"/>
      <c r="DF127" s="305"/>
      <c r="DG127" s="305"/>
      <c r="DH127" s="305"/>
      <c r="DI127" s="305"/>
      <c r="DJ127" s="305"/>
      <c r="DK127" s="305"/>
      <c r="DL127" s="305"/>
      <c r="DM127" s="305"/>
      <c r="DN127" s="305"/>
      <c r="DO127" s="305"/>
      <c r="DP127" s="305"/>
      <c r="DQ127" s="305"/>
      <c r="DR127" s="305"/>
      <c r="DS127" s="305"/>
      <c r="DT127" s="305"/>
      <c r="DU127" s="305"/>
      <c r="DV127" s="305"/>
      <c r="DW127" s="558"/>
      <c r="DX127" s="558"/>
      <c r="DY127" s="558"/>
      <c r="DZ127" s="558"/>
      <c r="EA127" s="558"/>
      <c r="EB127" s="558"/>
      <c r="EC127" s="558"/>
      <c r="ED127" s="558"/>
      <c r="EE127" s="558"/>
      <c r="EF127" s="558"/>
      <c r="EG127" s="558"/>
      <c r="EH127" s="558"/>
      <c r="EI127" s="558"/>
      <c r="EJ127" s="558"/>
      <c r="EK127" s="558"/>
      <c r="EL127" s="558"/>
      <c r="EM127" s="558"/>
      <c r="EN127" s="558"/>
      <c r="EO127" s="558"/>
      <c r="EP127" s="558"/>
      <c r="EQ127" s="674"/>
      <c r="ER127" s="305"/>
    </row>
    <row r="128" spans="4:148" s="556" customFormat="1" x14ac:dyDescent="0.2">
      <c r="D128" s="110"/>
      <c r="O128" s="669"/>
      <c r="P128" s="670"/>
      <c r="Q128" s="670"/>
      <c r="S128" s="674"/>
      <c r="AA128" s="674"/>
      <c r="AF128" s="305"/>
      <c r="AG128" s="305"/>
      <c r="AH128" s="305"/>
      <c r="AI128" s="305"/>
      <c r="AJ128" s="305"/>
      <c r="AK128" s="305"/>
      <c r="AL128" s="305"/>
      <c r="AM128" s="305"/>
      <c r="AN128" s="305"/>
      <c r="AO128" s="305"/>
      <c r="AP128" s="305"/>
      <c r="AQ128" s="305"/>
      <c r="AR128" s="305"/>
      <c r="AS128" s="305"/>
      <c r="AT128" s="305"/>
      <c r="AU128" s="305"/>
      <c r="AV128" s="305"/>
      <c r="AW128" s="305"/>
      <c r="AX128" s="305"/>
      <c r="AY128" s="305"/>
      <c r="AZ128" s="305"/>
      <c r="BA128" s="305"/>
      <c r="BB128" s="305"/>
      <c r="BC128" s="305"/>
      <c r="BD128" s="305"/>
      <c r="BE128" s="305"/>
      <c r="BF128" s="305"/>
      <c r="BG128" s="305"/>
      <c r="BH128" s="305"/>
      <c r="BI128" s="305"/>
      <c r="BJ128" s="305"/>
      <c r="BK128" s="305"/>
      <c r="BL128" s="305"/>
      <c r="BM128" s="305"/>
      <c r="BN128" s="305"/>
      <c r="BO128" s="305"/>
      <c r="BP128" s="305"/>
      <c r="BQ128" s="305"/>
      <c r="BR128" s="305"/>
      <c r="BS128" s="305"/>
      <c r="BT128" s="305"/>
      <c r="BU128" s="305"/>
      <c r="BV128" s="305"/>
      <c r="BW128" s="305"/>
      <c r="BX128" s="305"/>
      <c r="BY128" s="305"/>
      <c r="BZ128" s="305"/>
      <c r="CA128" s="305"/>
      <c r="CB128" s="305"/>
      <c r="CC128" s="305"/>
      <c r="CD128" s="305"/>
      <c r="CE128" s="305"/>
      <c r="CF128" s="305"/>
      <c r="CG128" s="305"/>
      <c r="CH128" s="305"/>
      <c r="CI128" s="305"/>
      <c r="CJ128" s="305"/>
      <c r="CK128" s="305"/>
      <c r="CL128" s="305"/>
      <c r="CM128" s="305"/>
      <c r="CN128" s="305"/>
      <c r="CO128" s="305"/>
      <c r="CP128" s="305"/>
      <c r="CQ128" s="305"/>
      <c r="CR128" s="305"/>
      <c r="CS128" s="305"/>
      <c r="CT128" s="305"/>
      <c r="CU128" s="305"/>
      <c r="CV128" s="305"/>
      <c r="CW128" s="305"/>
      <c r="CX128" s="305"/>
      <c r="CY128" s="305"/>
      <c r="CZ128" s="305"/>
      <c r="DA128" s="305"/>
      <c r="DB128" s="305"/>
      <c r="DC128" s="305"/>
      <c r="DD128" s="305"/>
      <c r="DE128" s="305"/>
      <c r="DF128" s="305"/>
      <c r="DG128" s="305"/>
      <c r="DH128" s="305"/>
      <c r="DI128" s="305"/>
      <c r="DJ128" s="305"/>
      <c r="DK128" s="305"/>
      <c r="DL128" s="305"/>
      <c r="DM128" s="305"/>
      <c r="DN128" s="305"/>
      <c r="DO128" s="305"/>
      <c r="DP128" s="305"/>
      <c r="DQ128" s="305"/>
      <c r="DR128" s="305"/>
      <c r="DS128" s="305"/>
      <c r="DT128" s="305"/>
      <c r="DU128" s="305"/>
      <c r="DV128" s="305"/>
      <c r="DW128" s="558"/>
      <c r="DX128" s="558"/>
      <c r="DY128" s="558"/>
      <c r="DZ128" s="558"/>
      <c r="EA128" s="558"/>
      <c r="EB128" s="558"/>
      <c r="EC128" s="558"/>
      <c r="ED128" s="558"/>
      <c r="EE128" s="558"/>
      <c r="EF128" s="558"/>
      <c r="EG128" s="558"/>
      <c r="EH128" s="558"/>
      <c r="EI128" s="558"/>
      <c r="EJ128" s="558"/>
      <c r="EK128" s="558"/>
      <c r="EL128" s="558"/>
      <c r="EM128" s="558"/>
      <c r="EN128" s="558"/>
      <c r="EO128" s="558"/>
      <c r="EP128" s="558"/>
      <c r="EQ128" s="674"/>
      <c r="ER128" s="305"/>
    </row>
    <row r="129" spans="4:148" s="556" customFormat="1" x14ac:dyDescent="0.2">
      <c r="D129" s="110"/>
      <c r="O129" s="669"/>
      <c r="P129" s="670"/>
      <c r="Q129" s="670"/>
      <c r="S129" s="674"/>
      <c r="AA129" s="674"/>
      <c r="AF129" s="305"/>
      <c r="AG129" s="305"/>
      <c r="AH129" s="305"/>
      <c r="AI129" s="305"/>
      <c r="AJ129" s="305"/>
      <c r="AK129" s="305"/>
      <c r="AL129" s="305"/>
      <c r="AM129" s="305"/>
      <c r="AN129" s="305"/>
      <c r="AO129" s="305"/>
      <c r="AP129" s="305"/>
      <c r="AQ129" s="305"/>
      <c r="AR129" s="305"/>
      <c r="AS129" s="305"/>
      <c r="AT129" s="305"/>
      <c r="AU129" s="305"/>
      <c r="AV129" s="305"/>
      <c r="AW129" s="305"/>
      <c r="AX129" s="305"/>
      <c r="AY129" s="305"/>
      <c r="AZ129" s="305"/>
      <c r="BA129" s="305"/>
      <c r="BB129" s="305"/>
      <c r="BC129" s="305"/>
      <c r="BD129" s="305"/>
      <c r="BE129" s="305"/>
      <c r="BF129" s="305"/>
      <c r="BG129" s="305"/>
      <c r="BH129" s="305"/>
      <c r="BI129" s="305"/>
      <c r="BJ129" s="305"/>
      <c r="BK129" s="305"/>
      <c r="BL129" s="305"/>
      <c r="BM129" s="305"/>
      <c r="BN129" s="305"/>
      <c r="BO129" s="305"/>
      <c r="BP129" s="305"/>
      <c r="BQ129" s="305"/>
      <c r="BR129" s="305"/>
      <c r="BS129" s="305"/>
      <c r="BT129" s="305"/>
      <c r="BU129" s="305"/>
      <c r="BV129" s="305"/>
      <c r="BW129" s="305"/>
      <c r="BX129" s="305"/>
      <c r="BY129" s="305"/>
      <c r="BZ129" s="305"/>
      <c r="CA129" s="305"/>
      <c r="CB129" s="305"/>
      <c r="CC129" s="305"/>
      <c r="CD129" s="305"/>
      <c r="CE129" s="305"/>
      <c r="CF129" s="305"/>
      <c r="CG129" s="305"/>
      <c r="CH129" s="305"/>
      <c r="CI129" s="305"/>
      <c r="CJ129" s="305"/>
      <c r="CK129" s="305"/>
      <c r="CL129" s="305"/>
      <c r="CM129" s="305"/>
      <c r="CN129" s="305"/>
      <c r="CO129" s="305"/>
      <c r="CP129" s="305"/>
      <c r="CQ129" s="305"/>
      <c r="CR129" s="305"/>
      <c r="CS129" s="305"/>
      <c r="CT129" s="305"/>
      <c r="CU129" s="305"/>
      <c r="CV129" s="305"/>
      <c r="CW129" s="305"/>
      <c r="CX129" s="305"/>
      <c r="CY129" s="305"/>
      <c r="CZ129" s="305"/>
      <c r="DA129" s="305"/>
      <c r="DB129" s="305"/>
      <c r="DC129" s="305"/>
      <c r="DD129" s="305"/>
      <c r="DE129" s="305"/>
      <c r="DF129" s="305"/>
      <c r="DG129" s="305"/>
      <c r="DH129" s="305"/>
      <c r="DI129" s="305"/>
      <c r="DJ129" s="305"/>
      <c r="DK129" s="305"/>
      <c r="DL129" s="305"/>
      <c r="DM129" s="305"/>
      <c r="DN129" s="305"/>
      <c r="DO129" s="305"/>
      <c r="DP129" s="305"/>
      <c r="DQ129" s="305"/>
      <c r="DR129" s="305"/>
      <c r="DS129" s="305"/>
      <c r="DT129" s="305"/>
      <c r="DU129" s="305"/>
      <c r="DV129" s="305"/>
      <c r="DW129" s="558"/>
      <c r="DX129" s="558"/>
      <c r="DY129" s="558"/>
      <c r="DZ129" s="558"/>
      <c r="EA129" s="558"/>
      <c r="EB129" s="558"/>
      <c r="EC129" s="558"/>
      <c r="ED129" s="558"/>
      <c r="EE129" s="558"/>
      <c r="EF129" s="558"/>
      <c r="EG129" s="558"/>
      <c r="EH129" s="558"/>
      <c r="EI129" s="558"/>
      <c r="EJ129" s="558"/>
      <c r="EK129" s="558"/>
      <c r="EL129" s="558"/>
      <c r="EM129" s="558"/>
      <c r="EN129" s="558"/>
      <c r="EO129" s="558"/>
      <c r="EP129" s="558"/>
      <c r="EQ129" s="674"/>
      <c r="ER129" s="305"/>
    </row>
    <row r="130" spans="4:148" s="556" customFormat="1" x14ac:dyDescent="0.2">
      <c r="D130" s="110"/>
      <c r="O130" s="669"/>
      <c r="P130" s="670"/>
      <c r="Q130" s="670"/>
      <c r="S130" s="674"/>
      <c r="AA130" s="674"/>
      <c r="AF130" s="305"/>
      <c r="AG130" s="305"/>
      <c r="AH130" s="305"/>
      <c r="AI130" s="305"/>
      <c r="AJ130" s="305"/>
      <c r="AK130" s="305"/>
      <c r="AL130" s="305"/>
      <c r="AM130" s="305"/>
      <c r="AN130" s="305"/>
      <c r="AO130" s="305"/>
      <c r="AP130" s="305"/>
      <c r="AQ130" s="305"/>
      <c r="AR130" s="305"/>
      <c r="AS130" s="305"/>
      <c r="AT130" s="305"/>
      <c r="AU130" s="305"/>
      <c r="AV130" s="305"/>
      <c r="AW130" s="305"/>
      <c r="AX130" s="305"/>
      <c r="AY130" s="305"/>
      <c r="AZ130" s="305"/>
      <c r="BA130" s="305"/>
      <c r="BB130" s="305"/>
      <c r="BC130" s="305"/>
      <c r="BD130" s="305"/>
      <c r="BE130" s="305"/>
      <c r="BF130" s="305"/>
      <c r="BG130" s="305"/>
      <c r="BH130" s="305"/>
      <c r="BI130" s="305"/>
      <c r="BJ130" s="305"/>
      <c r="BK130" s="305"/>
      <c r="BL130" s="305"/>
      <c r="BM130" s="305"/>
      <c r="BN130" s="305"/>
      <c r="BO130" s="305"/>
      <c r="BP130" s="305"/>
      <c r="BQ130" s="305"/>
      <c r="BR130" s="305"/>
      <c r="BS130" s="305"/>
      <c r="BT130" s="305"/>
      <c r="BU130" s="305"/>
      <c r="BV130" s="305"/>
      <c r="BW130" s="305"/>
      <c r="BX130" s="305"/>
      <c r="BY130" s="305"/>
      <c r="BZ130" s="305"/>
      <c r="CA130" s="305"/>
      <c r="CB130" s="305"/>
      <c r="CC130" s="305"/>
      <c r="CD130" s="305"/>
      <c r="CE130" s="305"/>
      <c r="CF130" s="305"/>
      <c r="CG130" s="305"/>
      <c r="CH130" s="305"/>
      <c r="CI130" s="305"/>
      <c r="CJ130" s="305"/>
      <c r="CK130" s="305"/>
      <c r="CL130" s="305"/>
      <c r="CM130" s="305"/>
      <c r="CN130" s="305"/>
      <c r="CO130" s="305"/>
      <c r="CP130" s="305"/>
      <c r="CQ130" s="305"/>
      <c r="CR130" s="305"/>
      <c r="CS130" s="305"/>
      <c r="CT130" s="305"/>
      <c r="CU130" s="305"/>
      <c r="CV130" s="305"/>
      <c r="CW130" s="305"/>
      <c r="CX130" s="305"/>
      <c r="CY130" s="305"/>
      <c r="CZ130" s="305"/>
      <c r="DA130" s="305"/>
      <c r="DB130" s="305"/>
      <c r="DC130" s="305"/>
      <c r="DD130" s="305"/>
      <c r="DE130" s="305"/>
      <c r="DF130" s="305"/>
      <c r="DG130" s="305"/>
      <c r="DH130" s="305"/>
      <c r="DI130" s="305"/>
      <c r="DJ130" s="305"/>
      <c r="DK130" s="305"/>
      <c r="DL130" s="305"/>
      <c r="DM130" s="305"/>
      <c r="DN130" s="305"/>
      <c r="DO130" s="305"/>
      <c r="DP130" s="305"/>
      <c r="DQ130" s="305"/>
      <c r="DR130" s="305"/>
      <c r="DS130" s="305"/>
      <c r="DT130" s="305"/>
      <c r="DU130" s="305"/>
      <c r="DV130" s="305"/>
      <c r="DW130" s="558"/>
      <c r="DX130" s="558"/>
      <c r="DY130" s="558"/>
      <c r="DZ130" s="558"/>
      <c r="EA130" s="558"/>
      <c r="EB130" s="558"/>
      <c r="EC130" s="558"/>
      <c r="ED130" s="558"/>
      <c r="EE130" s="558"/>
      <c r="EF130" s="558"/>
      <c r="EG130" s="558"/>
      <c r="EH130" s="558"/>
      <c r="EI130" s="558"/>
      <c r="EJ130" s="558"/>
      <c r="EK130" s="558"/>
      <c r="EL130" s="558"/>
      <c r="EM130" s="558"/>
      <c r="EN130" s="558"/>
      <c r="EO130" s="558"/>
      <c r="EP130" s="558"/>
      <c r="EQ130" s="674"/>
      <c r="ER130" s="305"/>
    </row>
    <row r="131" spans="4:148" s="556" customFormat="1" x14ac:dyDescent="0.2">
      <c r="D131" s="110"/>
      <c r="O131" s="669"/>
      <c r="P131" s="670"/>
      <c r="Q131" s="670"/>
      <c r="S131" s="674"/>
      <c r="AA131" s="674"/>
      <c r="AF131" s="305"/>
      <c r="AG131" s="305"/>
      <c r="AH131" s="305"/>
      <c r="AI131" s="305"/>
      <c r="AJ131" s="305"/>
      <c r="AK131" s="305"/>
      <c r="AL131" s="305"/>
      <c r="AM131" s="305"/>
      <c r="AN131" s="305"/>
      <c r="AO131" s="305"/>
      <c r="AP131" s="305"/>
      <c r="AQ131" s="305"/>
      <c r="AR131" s="305"/>
      <c r="AS131" s="305"/>
      <c r="AT131" s="305"/>
      <c r="AU131" s="305"/>
      <c r="AV131" s="305"/>
      <c r="AW131" s="305"/>
      <c r="AX131" s="305"/>
      <c r="AY131" s="305"/>
      <c r="AZ131" s="305"/>
      <c r="BA131" s="305"/>
      <c r="BB131" s="305"/>
      <c r="BC131" s="305"/>
      <c r="BD131" s="305"/>
      <c r="BE131" s="305"/>
      <c r="BF131" s="305"/>
      <c r="BG131" s="305"/>
      <c r="BH131" s="305"/>
      <c r="BI131" s="305"/>
      <c r="BJ131" s="305"/>
      <c r="BK131" s="305"/>
      <c r="BL131" s="305"/>
      <c r="BM131" s="305"/>
      <c r="BN131" s="305"/>
      <c r="BO131" s="305"/>
      <c r="BP131" s="305"/>
      <c r="BQ131" s="305"/>
      <c r="BR131" s="305"/>
      <c r="BS131" s="305"/>
      <c r="BT131" s="305"/>
      <c r="BU131" s="305"/>
      <c r="BV131" s="305"/>
      <c r="BW131" s="305"/>
      <c r="BX131" s="305"/>
      <c r="BY131" s="305"/>
      <c r="BZ131" s="305"/>
      <c r="CA131" s="305"/>
      <c r="CB131" s="305"/>
      <c r="CC131" s="305"/>
      <c r="CD131" s="305"/>
      <c r="CE131" s="305"/>
      <c r="CF131" s="305"/>
      <c r="CG131" s="305"/>
      <c r="CH131" s="305"/>
      <c r="CI131" s="305"/>
      <c r="CJ131" s="305"/>
      <c r="CK131" s="305"/>
      <c r="CL131" s="305"/>
      <c r="CM131" s="305"/>
      <c r="CN131" s="305"/>
      <c r="CO131" s="305"/>
      <c r="CP131" s="305"/>
      <c r="CQ131" s="305"/>
      <c r="CR131" s="305"/>
      <c r="CS131" s="305"/>
      <c r="CT131" s="305"/>
      <c r="CU131" s="305"/>
      <c r="CV131" s="305"/>
      <c r="CW131" s="305"/>
      <c r="CX131" s="305"/>
      <c r="CY131" s="305"/>
      <c r="CZ131" s="305"/>
      <c r="DA131" s="305"/>
      <c r="DB131" s="305"/>
      <c r="DC131" s="305"/>
      <c r="DD131" s="305"/>
      <c r="DE131" s="305"/>
      <c r="DF131" s="305"/>
      <c r="DG131" s="305"/>
      <c r="DH131" s="305"/>
      <c r="DI131" s="305"/>
      <c r="DJ131" s="305"/>
      <c r="DK131" s="305"/>
      <c r="DL131" s="305"/>
      <c r="DM131" s="305"/>
      <c r="DN131" s="305"/>
      <c r="DO131" s="305"/>
      <c r="DP131" s="305"/>
      <c r="DQ131" s="305"/>
      <c r="DR131" s="305"/>
      <c r="DS131" s="305"/>
      <c r="DT131" s="305"/>
      <c r="DU131" s="305"/>
      <c r="DV131" s="305"/>
      <c r="DW131" s="558"/>
      <c r="DX131" s="558"/>
      <c r="DY131" s="558"/>
      <c r="DZ131" s="558"/>
      <c r="EA131" s="558"/>
      <c r="EB131" s="558"/>
      <c r="EC131" s="558"/>
      <c r="ED131" s="558"/>
      <c r="EE131" s="558"/>
      <c r="EF131" s="558"/>
      <c r="EG131" s="558"/>
      <c r="EH131" s="558"/>
      <c r="EI131" s="558"/>
      <c r="EJ131" s="558"/>
      <c r="EK131" s="558"/>
      <c r="EL131" s="558"/>
      <c r="EM131" s="558"/>
      <c r="EN131" s="558"/>
      <c r="EO131" s="558"/>
      <c r="EP131" s="558"/>
      <c r="EQ131" s="674"/>
      <c r="ER131" s="305"/>
    </row>
    <row r="132" spans="4:148" s="556" customFormat="1" x14ac:dyDescent="0.2">
      <c r="D132" s="110"/>
      <c r="O132" s="669"/>
      <c r="P132" s="670"/>
      <c r="Q132" s="670"/>
      <c r="S132" s="674"/>
      <c r="AA132" s="674"/>
      <c r="AF132" s="305"/>
      <c r="AG132" s="305"/>
      <c r="AH132" s="305"/>
      <c r="AI132" s="305"/>
      <c r="AJ132" s="305"/>
      <c r="AK132" s="305"/>
      <c r="AL132" s="305"/>
      <c r="AM132" s="305"/>
      <c r="AN132" s="305"/>
      <c r="AO132" s="305"/>
      <c r="AP132" s="305"/>
      <c r="AQ132" s="305"/>
      <c r="AR132" s="305"/>
      <c r="AS132" s="305"/>
      <c r="AT132" s="305"/>
      <c r="AU132" s="305"/>
      <c r="AV132" s="305"/>
      <c r="AW132" s="305"/>
      <c r="AX132" s="305"/>
      <c r="AY132" s="305"/>
      <c r="AZ132" s="305"/>
      <c r="BA132" s="305"/>
      <c r="BB132" s="305"/>
      <c r="BC132" s="305"/>
      <c r="BD132" s="305"/>
      <c r="BE132" s="305"/>
      <c r="BF132" s="305"/>
      <c r="BG132" s="305"/>
      <c r="BH132" s="305"/>
      <c r="BI132" s="305"/>
      <c r="BJ132" s="305"/>
      <c r="BK132" s="305"/>
      <c r="BL132" s="305"/>
      <c r="BM132" s="305"/>
      <c r="BN132" s="305"/>
      <c r="BO132" s="305"/>
      <c r="BP132" s="305"/>
      <c r="BQ132" s="305"/>
      <c r="BR132" s="305"/>
      <c r="BS132" s="305"/>
      <c r="BT132" s="305"/>
      <c r="BU132" s="305"/>
      <c r="BV132" s="305"/>
      <c r="BW132" s="305"/>
      <c r="BX132" s="305"/>
      <c r="BY132" s="305"/>
      <c r="BZ132" s="305"/>
      <c r="CA132" s="305"/>
      <c r="CB132" s="305"/>
      <c r="CC132" s="305"/>
      <c r="CD132" s="305"/>
      <c r="CE132" s="305"/>
      <c r="CF132" s="305"/>
      <c r="CG132" s="305"/>
      <c r="CH132" s="305"/>
      <c r="CI132" s="305"/>
      <c r="CJ132" s="305"/>
      <c r="CK132" s="305"/>
      <c r="CL132" s="305"/>
      <c r="CM132" s="305"/>
      <c r="CN132" s="305"/>
      <c r="CO132" s="305"/>
      <c r="CP132" s="305"/>
      <c r="CQ132" s="305"/>
      <c r="CR132" s="305"/>
      <c r="CS132" s="305"/>
      <c r="CT132" s="305"/>
      <c r="CU132" s="305"/>
      <c r="CV132" s="305"/>
      <c r="CW132" s="305"/>
      <c r="CX132" s="305"/>
      <c r="CY132" s="305"/>
      <c r="CZ132" s="305"/>
      <c r="DA132" s="305"/>
      <c r="DB132" s="305"/>
      <c r="DC132" s="305"/>
      <c r="DD132" s="305"/>
      <c r="DE132" s="305"/>
      <c r="DF132" s="305"/>
      <c r="DG132" s="305"/>
      <c r="DH132" s="305"/>
      <c r="DI132" s="305"/>
      <c r="DJ132" s="305"/>
      <c r="DK132" s="305"/>
      <c r="DL132" s="305"/>
      <c r="DM132" s="305"/>
      <c r="DN132" s="305"/>
      <c r="DO132" s="305"/>
      <c r="DP132" s="305"/>
      <c r="DQ132" s="305"/>
      <c r="DR132" s="305"/>
      <c r="DS132" s="305"/>
      <c r="DT132" s="305"/>
      <c r="DU132" s="305"/>
      <c r="DV132" s="305"/>
      <c r="DW132" s="558"/>
      <c r="DX132" s="558"/>
      <c r="DY132" s="558"/>
      <c r="DZ132" s="558"/>
      <c r="EA132" s="558"/>
      <c r="EB132" s="558"/>
      <c r="EC132" s="558"/>
      <c r="ED132" s="558"/>
      <c r="EE132" s="558"/>
      <c r="EF132" s="558"/>
      <c r="EG132" s="558"/>
      <c r="EH132" s="558"/>
      <c r="EI132" s="558"/>
      <c r="EJ132" s="558"/>
      <c r="EK132" s="558"/>
      <c r="EL132" s="558"/>
      <c r="EM132" s="558"/>
      <c r="EN132" s="558"/>
      <c r="EO132" s="558"/>
      <c r="EP132" s="558"/>
      <c r="EQ132" s="674"/>
      <c r="ER132" s="305"/>
    </row>
    <row r="133" spans="4:148" s="556" customFormat="1" x14ac:dyDescent="0.2">
      <c r="D133" s="110"/>
      <c r="O133" s="669"/>
      <c r="P133" s="670"/>
      <c r="Q133" s="670"/>
      <c r="S133" s="674"/>
      <c r="AA133" s="674"/>
      <c r="AF133" s="305"/>
      <c r="AG133" s="305"/>
      <c r="AH133" s="305"/>
      <c r="AI133" s="305"/>
      <c r="AJ133" s="305"/>
      <c r="AK133" s="305"/>
      <c r="AL133" s="305"/>
      <c r="AM133" s="305"/>
      <c r="AN133" s="305"/>
      <c r="AO133" s="305"/>
      <c r="AP133" s="305"/>
      <c r="AQ133" s="305"/>
      <c r="AR133" s="305"/>
      <c r="AS133" s="305"/>
      <c r="AT133" s="305"/>
      <c r="AU133" s="305"/>
      <c r="AV133" s="305"/>
      <c r="AW133" s="305"/>
      <c r="AX133" s="305"/>
      <c r="AY133" s="305"/>
      <c r="AZ133" s="305"/>
      <c r="BA133" s="305"/>
      <c r="BB133" s="305"/>
      <c r="BC133" s="305"/>
      <c r="BD133" s="305"/>
      <c r="BE133" s="305"/>
      <c r="BF133" s="305"/>
      <c r="BG133" s="305"/>
      <c r="BH133" s="305"/>
      <c r="BI133" s="305"/>
      <c r="BJ133" s="305"/>
      <c r="BK133" s="305"/>
      <c r="BL133" s="305"/>
      <c r="BM133" s="305"/>
      <c r="BN133" s="305"/>
      <c r="BO133" s="305"/>
      <c r="BP133" s="305"/>
      <c r="BQ133" s="305"/>
      <c r="BR133" s="305"/>
      <c r="BS133" s="305"/>
      <c r="BT133" s="305"/>
      <c r="BU133" s="305"/>
      <c r="BV133" s="305"/>
      <c r="BW133" s="305"/>
      <c r="BX133" s="305"/>
      <c r="BY133" s="305"/>
      <c r="BZ133" s="305"/>
      <c r="CA133" s="305"/>
      <c r="CB133" s="305"/>
      <c r="CC133" s="305"/>
      <c r="CD133" s="305"/>
      <c r="CE133" s="305"/>
      <c r="CF133" s="305"/>
      <c r="CG133" s="305"/>
      <c r="CH133" s="305"/>
      <c r="CI133" s="305"/>
      <c r="CJ133" s="305"/>
      <c r="CK133" s="305"/>
      <c r="CL133" s="305"/>
      <c r="CM133" s="305"/>
      <c r="CN133" s="305"/>
      <c r="CO133" s="305"/>
      <c r="CP133" s="305"/>
      <c r="CQ133" s="305"/>
      <c r="CR133" s="305"/>
      <c r="CS133" s="305"/>
      <c r="CT133" s="305"/>
      <c r="CU133" s="305"/>
      <c r="CV133" s="305"/>
      <c r="CW133" s="305"/>
      <c r="CX133" s="305"/>
      <c r="CY133" s="305"/>
      <c r="CZ133" s="305"/>
      <c r="DA133" s="305"/>
      <c r="DB133" s="305"/>
      <c r="DC133" s="305"/>
      <c r="DD133" s="305"/>
      <c r="DE133" s="305"/>
      <c r="DF133" s="305"/>
      <c r="DG133" s="305"/>
      <c r="DH133" s="305"/>
      <c r="DI133" s="305"/>
      <c r="DJ133" s="305"/>
      <c r="DK133" s="305"/>
      <c r="DL133" s="305"/>
      <c r="DM133" s="305"/>
      <c r="DN133" s="305"/>
      <c r="DO133" s="305"/>
      <c r="DP133" s="305"/>
      <c r="DQ133" s="305"/>
      <c r="DR133" s="305"/>
      <c r="DS133" s="305"/>
      <c r="DT133" s="305"/>
      <c r="DU133" s="305"/>
      <c r="DV133" s="305"/>
      <c r="DW133" s="558"/>
      <c r="DX133" s="558"/>
      <c r="DY133" s="558"/>
      <c r="DZ133" s="558"/>
      <c r="EA133" s="558"/>
      <c r="EB133" s="558"/>
      <c r="EC133" s="558"/>
      <c r="ED133" s="558"/>
      <c r="EE133" s="558"/>
      <c r="EF133" s="558"/>
      <c r="EG133" s="558"/>
      <c r="EH133" s="558"/>
      <c r="EI133" s="558"/>
      <c r="EJ133" s="558"/>
      <c r="EK133" s="558"/>
      <c r="EL133" s="558"/>
      <c r="EM133" s="558"/>
      <c r="EN133" s="558"/>
      <c r="EO133" s="558"/>
      <c r="EP133" s="558"/>
      <c r="EQ133" s="674"/>
      <c r="ER133" s="305"/>
    </row>
    <row r="134" spans="4:148" s="556" customFormat="1" x14ac:dyDescent="0.2">
      <c r="D134" s="110"/>
      <c r="O134" s="669"/>
      <c r="P134" s="670"/>
      <c r="Q134" s="670"/>
      <c r="S134" s="674"/>
      <c r="AA134" s="674"/>
      <c r="AF134" s="305"/>
      <c r="AG134" s="305"/>
      <c r="AH134" s="305"/>
      <c r="AI134" s="305"/>
      <c r="AJ134" s="305"/>
      <c r="AK134" s="305"/>
      <c r="AL134" s="305"/>
      <c r="AM134" s="305"/>
      <c r="AN134" s="305"/>
      <c r="AO134" s="305"/>
      <c r="AP134" s="305"/>
      <c r="AQ134" s="305"/>
      <c r="AR134" s="305"/>
      <c r="AS134" s="305"/>
      <c r="AT134" s="305"/>
      <c r="AU134" s="305"/>
      <c r="AV134" s="305"/>
      <c r="AW134" s="305"/>
      <c r="AX134" s="305"/>
      <c r="AY134" s="305"/>
      <c r="AZ134" s="305"/>
      <c r="BA134" s="305"/>
      <c r="BB134" s="305"/>
      <c r="BC134" s="305"/>
      <c r="BD134" s="305"/>
      <c r="BE134" s="305"/>
      <c r="BF134" s="305"/>
      <c r="BG134" s="305"/>
      <c r="BH134" s="305"/>
      <c r="BI134" s="305"/>
      <c r="BJ134" s="305"/>
      <c r="BK134" s="305"/>
      <c r="BL134" s="305"/>
      <c r="BM134" s="305"/>
      <c r="BN134" s="305"/>
      <c r="BO134" s="305"/>
      <c r="BP134" s="305"/>
      <c r="BQ134" s="305"/>
      <c r="BR134" s="305"/>
      <c r="BS134" s="305"/>
      <c r="BT134" s="305"/>
      <c r="BU134" s="305"/>
      <c r="BV134" s="305"/>
      <c r="BW134" s="305"/>
      <c r="BX134" s="305"/>
      <c r="BY134" s="305"/>
      <c r="BZ134" s="305"/>
      <c r="CA134" s="305"/>
      <c r="CB134" s="305"/>
      <c r="CC134" s="305"/>
      <c r="CD134" s="305"/>
      <c r="CE134" s="305"/>
      <c r="CF134" s="305"/>
      <c r="CG134" s="305"/>
      <c r="CH134" s="305"/>
      <c r="CI134" s="305"/>
      <c r="CJ134" s="305"/>
      <c r="CK134" s="305"/>
      <c r="CL134" s="305"/>
      <c r="CM134" s="305"/>
      <c r="CN134" s="305"/>
      <c r="CO134" s="305"/>
      <c r="CP134" s="305"/>
      <c r="CQ134" s="305"/>
      <c r="CR134" s="305"/>
      <c r="CS134" s="305"/>
      <c r="CT134" s="305"/>
      <c r="CU134" s="305"/>
      <c r="CV134" s="305"/>
      <c r="CW134" s="305"/>
      <c r="CX134" s="305"/>
      <c r="CY134" s="305"/>
      <c r="CZ134" s="305"/>
      <c r="DA134" s="305"/>
      <c r="DB134" s="305"/>
      <c r="DC134" s="305"/>
      <c r="DD134" s="305"/>
      <c r="DE134" s="305"/>
      <c r="DF134" s="305"/>
      <c r="DG134" s="305"/>
      <c r="DH134" s="305"/>
      <c r="DI134" s="305"/>
      <c r="DJ134" s="305"/>
      <c r="DK134" s="305"/>
      <c r="DL134" s="305"/>
      <c r="DM134" s="305"/>
      <c r="DN134" s="305"/>
      <c r="DO134" s="305"/>
      <c r="DP134" s="305"/>
      <c r="DQ134" s="305"/>
      <c r="DR134" s="305"/>
      <c r="DS134" s="305"/>
      <c r="DT134" s="305"/>
      <c r="DU134" s="305"/>
      <c r="DV134" s="305"/>
      <c r="DW134" s="558"/>
      <c r="DX134" s="558"/>
      <c r="DY134" s="558"/>
      <c r="DZ134" s="558"/>
      <c r="EA134" s="558"/>
      <c r="EB134" s="558"/>
      <c r="EC134" s="558"/>
      <c r="ED134" s="558"/>
      <c r="EE134" s="558"/>
      <c r="EF134" s="558"/>
      <c r="EG134" s="558"/>
      <c r="EH134" s="558"/>
      <c r="EI134" s="558"/>
      <c r="EJ134" s="558"/>
      <c r="EK134" s="558"/>
      <c r="EL134" s="558"/>
      <c r="EM134" s="558"/>
      <c r="EN134" s="558"/>
      <c r="EO134" s="558"/>
      <c r="EP134" s="558"/>
      <c r="EQ134" s="674"/>
      <c r="ER134" s="305"/>
    </row>
    <row r="135" spans="4:148" s="556" customFormat="1" x14ac:dyDescent="0.2">
      <c r="D135" s="110"/>
      <c r="O135" s="669"/>
      <c r="P135" s="670"/>
      <c r="Q135" s="670"/>
      <c r="S135" s="674"/>
      <c r="AA135" s="674"/>
      <c r="AF135" s="305"/>
      <c r="AG135" s="305"/>
      <c r="AH135" s="305"/>
      <c r="AI135" s="305"/>
      <c r="AJ135" s="305"/>
      <c r="AK135" s="305"/>
      <c r="AL135" s="305"/>
      <c r="AM135" s="305"/>
      <c r="AN135" s="305"/>
      <c r="AO135" s="305"/>
      <c r="AP135" s="305"/>
      <c r="AQ135" s="305"/>
      <c r="AR135" s="305"/>
      <c r="AS135" s="305"/>
      <c r="AT135" s="305"/>
      <c r="AU135" s="305"/>
      <c r="AV135" s="305"/>
      <c r="AW135" s="305"/>
      <c r="AX135" s="305"/>
      <c r="AY135" s="305"/>
      <c r="AZ135" s="305"/>
      <c r="BA135" s="305"/>
      <c r="BB135" s="305"/>
      <c r="BC135" s="305"/>
      <c r="BD135" s="305"/>
      <c r="BE135" s="305"/>
      <c r="BF135" s="305"/>
      <c r="BG135" s="305"/>
      <c r="BH135" s="305"/>
      <c r="BI135" s="305"/>
      <c r="BJ135" s="305"/>
      <c r="BK135" s="305"/>
      <c r="BL135" s="305"/>
      <c r="BM135" s="305"/>
      <c r="BN135" s="305"/>
      <c r="BO135" s="305"/>
      <c r="BP135" s="305"/>
      <c r="BQ135" s="305"/>
      <c r="BR135" s="305"/>
      <c r="BS135" s="305"/>
      <c r="BT135" s="305"/>
      <c r="BU135" s="305"/>
      <c r="BV135" s="305"/>
      <c r="BW135" s="305"/>
      <c r="BX135" s="305"/>
      <c r="BY135" s="305"/>
      <c r="BZ135" s="305"/>
      <c r="CA135" s="305"/>
      <c r="CB135" s="305"/>
      <c r="CC135" s="305"/>
      <c r="CD135" s="305"/>
      <c r="CE135" s="305"/>
      <c r="CF135" s="305"/>
      <c r="CG135" s="305"/>
      <c r="CH135" s="305"/>
      <c r="CI135" s="305"/>
      <c r="CJ135" s="305"/>
      <c r="CK135" s="305"/>
      <c r="CL135" s="305"/>
      <c r="CM135" s="305"/>
      <c r="CN135" s="305"/>
      <c r="CO135" s="305"/>
      <c r="CP135" s="305"/>
      <c r="CQ135" s="305"/>
      <c r="CR135" s="305"/>
      <c r="CS135" s="305"/>
      <c r="CT135" s="305"/>
      <c r="CU135" s="305"/>
      <c r="CV135" s="305"/>
      <c r="CW135" s="305"/>
      <c r="CX135" s="305"/>
      <c r="CY135" s="305"/>
      <c r="CZ135" s="305"/>
      <c r="DA135" s="305"/>
      <c r="DB135" s="305"/>
      <c r="DC135" s="305"/>
      <c r="DD135" s="305"/>
      <c r="DE135" s="305"/>
      <c r="DF135" s="305"/>
      <c r="DG135" s="305"/>
      <c r="DH135" s="305"/>
      <c r="DI135" s="305"/>
      <c r="DJ135" s="305"/>
      <c r="DK135" s="305"/>
      <c r="DL135" s="305"/>
      <c r="DM135" s="305"/>
      <c r="DN135" s="305"/>
      <c r="DO135" s="305"/>
      <c r="DP135" s="305"/>
      <c r="DQ135" s="305"/>
      <c r="DR135" s="305"/>
      <c r="DS135" s="305"/>
      <c r="DT135" s="305"/>
      <c r="DU135" s="305"/>
      <c r="DV135" s="305"/>
      <c r="DW135" s="558"/>
      <c r="DX135" s="558"/>
      <c r="DY135" s="558"/>
      <c r="DZ135" s="558"/>
      <c r="EA135" s="558"/>
      <c r="EB135" s="558"/>
      <c r="EC135" s="558"/>
      <c r="ED135" s="558"/>
      <c r="EE135" s="558"/>
      <c r="EF135" s="558"/>
      <c r="EG135" s="558"/>
      <c r="EH135" s="558"/>
      <c r="EI135" s="558"/>
      <c r="EJ135" s="558"/>
      <c r="EK135" s="558"/>
      <c r="EL135" s="558"/>
      <c r="EM135" s="558"/>
      <c r="EN135" s="558"/>
      <c r="EO135" s="558"/>
      <c r="EP135" s="558"/>
      <c r="EQ135" s="674"/>
      <c r="ER135" s="305"/>
    </row>
    <row r="136" spans="4:148" s="556" customFormat="1" x14ac:dyDescent="0.2">
      <c r="D136" s="110"/>
      <c r="O136" s="669"/>
      <c r="P136" s="670"/>
      <c r="Q136" s="670"/>
      <c r="S136" s="674"/>
      <c r="AA136" s="674"/>
      <c r="AF136" s="305"/>
      <c r="AG136" s="305"/>
      <c r="AH136" s="305"/>
      <c r="AI136" s="305"/>
      <c r="AJ136" s="305"/>
      <c r="AK136" s="305"/>
      <c r="AL136" s="305"/>
      <c r="AM136" s="305"/>
      <c r="AN136" s="305"/>
      <c r="AO136" s="305"/>
      <c r="AP136" s="305"/>
      <c r="AQ136" s="305"/>
      <c r="AR136" s="305"/>
      <c r="AS136" s="305"/>
      <c r="AT136" s="305"/>
      <c r="AU136" s="305"/>
      <c r="AV136" s="305"/>
      <c r="AW136" s="305"/>
      <c r="AX136" s="305"/>
      <c r="AY136" s="305"/>
      <c r="AZ136" s="305"/>
      <c r="BA136" s="305"/>
      <c r="BB136" s="305"/>
      <c r="BC136" s="305"/>
      <c r="BD136" s="305"/>
      <c r="BE136" s="305"/>
      <c r="BF136" s="305"/>
      <c r="BG136" s="305"/>
      <c r="BH136" s="305"/>
      <c r="BI136" s="305"/>
      <c r="BJ136" s="305"/>
      <c r="BK136" s="305"/>
      <c r="BL136" s="305"/>
      <c r="BM136" s="305"/>
      <c r="BN136" s="305"/>
      <c r="BO136" s="305"/>
      <c r="BP136" s="305"/>
      <c r="BQ136" s="305"/>
      <c r="BR136" s="305"/>
      <c r="BS136" s="305"/>
      <c r="BT136" s="305"/>
      <c r="BU136" s="305"/>
      <c r="BV136" s="305"/>
      <c r="BW136" s="305"/>
      <c r="BX136" s="305"/>
      <c r="BY136" s="305"/>
      <c r="BZ136" s="305"/>
      <c r="CA136" s="305"/>
      <c r="CB136" s="305"/>
      <c r="CC136" s="305"/>
      <c r="CD136" s="305"/>
      <c r="CE136" s="305"/>
      <c r="CF136" s="305"/>
      <c r="CG136" s="305"/>
      <c r="CH136" s="305"/>
      <c r="CI136" s="305"/>
      <c r="CJ136" s="305"/>
      <c r="CK136" s="305"/>
      <c r="CL136" s="305"/>
      <c r="CM136" s="305"/>
      <c r="CN136" s="305"/>
      <c r="CO136" s="305"/>
      <c r="CP136" s="305"/>
      <c r="CQ136" s="305"/>
      <c r="CR136" s="305"/>
      <c r="CS136" s="305"/>
      <c r="CT136" s="305"/>
      <c r="CU136" s="305"/>
      <c r="CV136" s="305"/>
      <c r="CW136" s="305"/>
      <c r="CX136" s="305"/>
      <c r="CY136" s="305"/>
      <c r="CZ136" s="305"/>
      <c r="DA136" s="305"/>
      <c r="DB136" s="305"/>
      <c r="DC136" s="305"/>
      <c r="DD136" s="305"/>
      <c r="DE136" s="305"/>
      <c r="DF136" s="305"/>
      <c r="DG136" s="305"/>
      <c r="DH136" s="305"/>
      <c r="DI136" s="305"/>
      <c r="DJ136" s="305"/>
      <c r="DK136" s="305"/>
      <c r="DL136" s="305"/>
      <c r="DM136" s="305"/>
      <c r="DN136" s="305"/>
      <c r="DO136" s="305"/>
      <c r="DP136" s="305"/>
      <c r="DQ136" s="305"/>
      <c r="DR136" s="305"/>
      <c r="DS136" s="305"/>
      <c r="DT136" s="305"/>
      <c r="DU136" s="305"/>
      <c r="DV136" s="305"/>
      <c r="DW136" s="558"/>
      <c r="DX136" s="558"/>
      <c r="DY136" s="558"/>
      <c r="DZ136" s="558"/>
      <c r="EA136" s="558"/>
      <c r="EB136" s="558"/>
      <c r="EC136" s="558"/>
      <c r="ED136" s="558"/>
      <c r="EE136" s="558"/>
      <c r="EF136" s="558"/>
      <c r="EG136" s="558"/>
      <c r="EH136" s="558"/>
      <c r="EI136" s="558"/>
      <c r="EJ136" s="558"/>
      <c r="EK136" s="558"/>
      <c r="EL136" s="558"/>
      <c r="EM136" s="558"/>
      <c r="EN136" s="558"/>
      <c r="EO136" s="558"/>
      <c r="EP136" s="558"/>
      <c r="EQ136" s="674"/>
      <c r="ER136" s="305"/>
    </row>
    <row r="137" spans="4:148" s="556" customFormat="1" x14ac:dyDescent="0.2">
      <c r="D137" s="110"/>
      <c r="O137" s="669"/>
      <c r="P137" s="670"/>
      <c r="Q137" s="670"/>
      <c r="S137" s="674"/>
      <c r="AA137" s="674"/>
      <c r="AF137" s="305"/>
      <c r="AG137" s="305"/>
      <c r="AH137" s="305"/>
      <c r="AI137" s="305"/>
      <c r="AJ137" s="305"/>
      <c r="AK137" s="305"/>
      <c r="AL137" s="305"/>
      <c r="AM137" s="305"/>
      <c r="AN137" s="305"/>
      <c r="AO137" s="305"/>
      <c r="AP137" s="305"/>
      <c r="AQ137" s="305"/>
      <c r="AR137" s="305"/>
      <c r="AS137" s="305"/>
      <c r="AT137" s="305"/>
      <c r="AU137" s="305"/>
      <c r="AV137" s="305"/>
      <c r="AW137" s="305"/>
      <c r="AX137" s="305"/>
      <c r="AY137" s="305"/>
      <c r="AZ137" s="305"/>
      <c r="BA137" s="305"/>
      <c r="BB137" s="305"/>
      <c r="BC137" s="305"/>
      <c r="BD137" s="305"/>
      <c r="BE137" s="305"/>
      <c r="BF137" s="305"/>
      <c r="BG137" s="305"/>
      <c r="BH137" s="305"/>
      <c r="BI137" s="305"/>
      <c r="BJ137" s="305"/>
      <c r="BK137" s="305"/>
      <c r="BL137" s="305"/>
      <c r="BM137" s="305"/>
      <c r="BN137" s="305"/>
      <c r="BO137" s="305"/>
      <c r="BP137" s="305"/>
      <c r="BQ137" s="305"/>
      <c r="BR137" s="305"/>
      <c r="BS137" s="305"/>
      <c r="BT137" s="305"/>
      <c r="BU137" s="305"/>
      <c r="BV137" s="305"/>
      <c r="BW137" s="305"/>
      <c r="BX137" s="305"/>
      <c r="BY137" s="305"/>
      <c r="BZ137" s="305"/>
      <c r="CA137" s="305"/>
      <c r="CB137" s="305"/>
      <c r="CC137" s="305"/>
      <c r="CD137" s="305"/>
      <c r="CE137" s="305"/>
      <c r="CF137" s="305"/>
      <c r="CG137" s="305"/>
      <c r="CH137" s="305"/>
      <c r="CI137" s="305"/>
      <c r="CJ137" s="305"/>
      <c r="CK137" s="305"/>
      <c r="CL137" s="305"/>
      <c r="CM137" s="305"/>
      <c r="CN137" s="305"/>
      <c r="CO137" s="305"/>
      <c r="CP137" s="305"/>
      <c r="CQ137" s="305"/>
      <c r="CR137" s="305"/>
      <c r="CS137" s="305"/>
      <c r="CT137" s="305"/>
      <c r="CU137" s="305"/>
      <c r="CV137" s="305"/>
      <c r="CW137" s="305"/>
      <c r="CX137" s="305"/>
      <c r="CY137" s="305"/>
      <c r="CZ137" s="305"/>
      <c r="DA137" s="305"/>
      <c r="DB137" s="305"/>
      <c r="DC137" s="305"/>
      <c r="DD137" s="305"/>
      <c r="DE137" s="305"/>
      <c r="DF137" s="305"/>
      <c r="DG137" s="305"/>
      <c r="DH137" s="305"/>
      <c r="DI137" s="305"/>
      <c r="DJ137" s="305"/>
      <c r="DK137" s="305"/>
      <c r="DL137" s="305"/>
      <c r="DM137" s="305"/>
      <c r="DN137" s="305"/>
      <c r="DO137" s="305"/>
      <c r="DP137" s="305"/>
      <c r="DQ137" s="305"/>
      <c r="DR137" s="305"/>
      <c r="DS137" s="305"/>
      <c r="DT137" s="305"/>
      <c r="DU137" s="305"/>
      <c r="DV137" s="305"/>
      <c r="DW137" s="558"/>
      <c r="DX137" s="558"/>
      <c r="DY137" s="558"/>
      <c r="DZ137" s="558"/>
      <c r="EA137" s="558"/>
      <c r="EB137" s="558"/>
      <c r="EC137" s="558"/>
      <c r="ED137" s="558"/>
      <c r="EE137" s="558"/>
      <c r="EF137" s="558"/>
      <c r="EG137" s="558"/>
      <c r="EH137" s="558"/>
      <c r="EI137" s="558"/>
      <c r="EJ137" s="558"/>
      <c r="EK137" s="558"/>
      <c r="EL137" s="558"/>
      <c r="EM137" s="558"/>
      <c r="EN137" s="558"/>
      <c r="EO137" s="558"/>
      <c r="EP137" s="558"/>
      <c r="EQ137" s="674"/>
      <c r="ER137" s="305"/>
    </row>
    <row r="138" spans="4:148" s="556" customFormat="1" x14ac:dyDescent="0.2">
      <c r="D138" s="110"/>
      <c r="O138" s="669"/>
      <c r="P138" s="670"/>
      <c r="Q138" s="670"/>
      <c r="S138" s="674"/>
      <c r="AA138" s="674"/>
      <c r="AF138" s="305"/>
      <c r="AG138" s="305"/>
      <c r="AH138" s="305"/>
      <c r="AI138" s="305"/>
      <c r="AJ138" s="305"/>
      <c r="AK138" s="305"/>
      <c r="AL138" s="305"/>
      <c r="AM138" s="305"/>
      <c r="AN138" s="305"/>
      <c r="AO138" s="305"/>
      <c r="AP138" s="305"/>
      <c r="AQ138" s="305"/>
      <c r="AR138" s="305"/>
      <c r="AS138" s="305"/>
      <c r="AT138" s="305"/>
      <c r="AU138" s="305"/>
      <c r="AV138" s="305"/>
      <c r="AW138" s="305"/>
      <c r="AX138" s="305"/>
      <c r="AY138" s="305"/>
      <c r="AZ138" s="305"/>
      <c r="BA138" s="305"/>
      <c r="BB138" s="305"/>
      <c r="BC138" s="305"/>
      <c r="BD138" s="305"/>
      <c r="BE138" s="305"/>
      <c r="BF138" s="305"/>
      <c r="BG138" s="305"/>
      <c r="BH138" s="305"/>
      <c r="BI138" s="305"/>
      <c r="BJ138" s="305"/>
      <c r="BK138" s="305"/>
      <c r="BL138" s="305"/>
      <c r="BM138" s="305"/>
      <c r="BN138" s="305"/>
      <c r="BO138" s="305"/>
      <c r="BP138" s="305"/>
      <c r="BQ138" s="305"/>
      <c r="BR138" s="305"/>
      <c r="BS138" s="305"/>
      <c r="BT138" s="305"/>
      <c r="BU138" s="305"/>
      <c r="BV138" s="305"/>
      <c r="BW138" s="305"/>
      <c r="BX138" s="305"/>
      <c r="BY138" s="305"/>
      <c r="BZ138" s="305"/>
      <c r="CA138" s="305"/>
      <c r="CB138" s="305"/>
      <c r="CC138" s="305"/>
      <c r="CD138" s="305"/>
      <c r="CE138" s="305"/>
      <c r="CF138" s="305"/>
      <c r="CG138" s="305"/>
      <c r="CH138" s="305"/>
      <c r="CI138" s="305"/>
      <c r="CJ138" s="305"/>
      <c r="CK138" s="305"/>
      <c r="CL138" s="305"/>
      <c r="CM138" s="305"/>
      <c r="CN138" s="305"/>
      <c r="CO138" s="305"/>
      <c r="CP138" s="305"/>
      <c r="CQ138" s="305"/>
      <c r="CR138" s="305"/>
      <c r="CS138" s="305"/>
      <c r="CT138" s="305"/>
      <c r="CU138" s="305"/>
      <c r="CV138" s="305"/>
      <c r="CW138" s="305"/>
      <c r="CX138" s="305"/>
      <c r="CY138" s="305"/>
      <c r="CZ138" s="305"/>
      <c r="DA138" s="305"/>
      <c r="DB138" s="305"/>
      <c r="DC138" s="305"/>
      <c r="DD138" s="305"/>
      <c r="DE138" s="305"/>
      <c r="DF138" s="305"/>
      <c r="DG138" s="305"/>
      <c r="DH138" s="305"/>
      <c r="DI138" s="305"/>
      <c r="DJ138" s="305"/>
      <c r="DK138" s="305"/>
      <c r="DL138" s="305"/>
      <c r="DM138" s="305"/>
      <c r="DN138" s="305"/>
      <c r="DO138" s="305"/>
      <c r="DP138" s="305"/>
      <c r="DQ138" s="305"/>
      <c r="DR138" s="305"/>
      <c r="DS138" s="305"/>
      <c r="DT138" s="305"/>
      <c r="DU138" s="305"/>
      <c r="DV138" s="305"/>
      <c r="DW138" s="558"/>
      <c r="DX138" s="558"/>
      <c r="DY138" s="558"/>
      <c r="DZ138" s="558"/>
      <c r="EA138" s="558"/>
      <c r="EB138" s="558"/>
      <c r="EC138" s="558"/>
      <c r="ED138" s="558"/>
      <c r="EE138" s="558"/>
      <c r="EF138" s="558"/>
      <c r="EG138" s="558"/>
      <c r="EH138" s="558"/>
      <c r="EI138" s="558"/>
      <c r="EJ138" s="558"/>
      <c r="EK138" s="558"/>
      <c r="EL138" s="558"/>
      <c r="EM138" s="558"/>
      <c r="EN138" s="558"/>
      <c r="EO138" s="558"/>
      <c r="EP138" s="558"/>
      <c r="EQ138" s="674"/>
      <c r="ER138" s="305"/>
    </row>
    <row r="139" spans="4:148" s="556" customFormat="1" x14ac:dyDescent="0.2">
      <c r="D139" s="110"/>
      <c r="O139" s="669"/>
      <c r="P139" s="670"/>
      <c r="Q139" s="670"/>
      <c r="S139" s="674"/>
      <c r="AA139" s="674"/>
      <c r="AF139" s="305"/>
      <c r="AG139" s="305"/>
      <c r="AH139" s="305"/>
      <c r="AI139" s="305"/>
      <c r="AJ139" s="305"/>
      <c r="AK139" s="305"/>
      <c r="AL139" s="305"/>
      <c r="AM139" s="305"/>
      <c r="AN139" s="305"/>
      <c r="AO139" s="305"/>
      <c r="AP139" s="305"/>
      <c r="AQ139" s="305"/>
      <c r="AR139" s="305"/>
      <c r="AS139" s="305"/>
      <c r="AT139" s="305"/>
      <c r="AU139" s="305"/>
      <c r="AV139" s="305"/>
      <c r="AW139" s="305"/>
      <c r="AX139" s="305"/>
      <c r="AY139" s="305"/>
      <c r="AZ139" s="305"/>
      <c r="BA139" s="305"/>
      <c r="BB139" s="305"/>
      <c r="BC139" s="305"/>
      <c r="BD139" s="305"/>
      <c r="BE139" s="305"/>
      <c r="BF139" s="305"/>
      <c r="BG139" s="305"/>
      <c r="BH139" s="305"/>
      <c r="BI139" s="305"/>
      <c r="BJ139" s="305"/>
      <c r="BK139" s="305"/>
      <c r="BL139" s="305"/>
      <c r="BM139" s="305"/>
      <c r="BN139" s="305"/>
      <c r="BO139" s="305"/>
      <c r="BP139" s="305"/>
      <c r="BQ139" s="305"/>
      <c r="BR139" s="305"/>
      <c r="BS139" s="305"/>
      <c r="BT139" s="305"/>
      <c r="BU139" s="305"/>
      <c r="BV139" s="305"/>
      <c r="BW139" s="305"/>
      <c r="BX139" s="305"/>
      <c r="BY139" s="305"/>
      <c r="BZ139" s="305"/>
      <c r="CA139" s="305"/>
      <c r="CB139" s="305"/>
      <c r="CC139" s="305"/>
      <c r="CD139" s="305"/>
      <c r="CE139" s="305"/>
      <c r="CF139" s="305"/>
      <c r="CG139" s="305"/>
      <c r="CH139" s="305"/>
      <c r="CI139" s="305"/>
      <c r="CJ139" s="305"/>
      <c r="CK139" s="305"/>
      <c r="CL139" s="305"/>
      <c r="CM139" s="305"/>
      <c r="CN139" s="305"/>
      <c r="CO139" s="305"/>
      <c r="CP139" s="305"/>
      <c r="CQ139" s="305"/>
      <c r="CR139" s="305"/>
      <c r="CS139" s="305"/>
      <c r="CT139" s="305"/>
      <c r="CU139" s="305"/>
      <c r="CV139" s="305"/>
      <c r="CW139" s="305"/>
      <c r="CX139" s="305"/>
      <c r="CY139" s="305"/>
      <c r="CZ139" s="305"/>
      <c r="DA139" s="305"/>
      <c r="DB139" s="305"/>
      <c r="DC139" s="305"/>
      <c r="DD139" s="305"/>
      <c r="DE139" s="305"/>
      <c r="DF139" s="305"/>
      <c r="DG139" s="305"/>
      <c r="DH139" s="305"/>
      <c r="DI139" s="305"/>
      <c r="DJ139" s="305"/>
      <c r="DK139" s="305"/>
      <c r="DL139" s="305"/>
      <c r="DM139" s="305"/>
      <c r="DN139" s="305"/>
      <c r="DO139" s="305"/>
      <c r="DP139" s="305"/>
      <c r="DQ139" s="305"/>
      <c r="DR139" s="305"/>
      <c r="DS139" s="305"/>
      <c r="DT139" s="305"/>
      <c r="DU139" s="305"/>
      <c r="DV139" s="305"/>
      <c r="DW139" s="558"/>
      <c r="DX139" s="558"/>
      <c r="DY139" s="558"/>
      <c r="DZ139" s="558"/>
      <c r="EA139" s="558"/>
      <c r="EB139" s="558"/>
      <c r="EC139" s="558"/>
      <c r="ED139" s="558"/>
      <c r="EE139" s="558"/>
      <c r="EF139" s="558"/>
      <c r="EG139" s="558"/>
      <c r="EH139" s="558"/>
      <c r="EI139" s="558"/>
      <c r="EJ139" s="558"/>
      <c r="EK139" s="558"/>
      <c r="EL139" s="558"/>
      <c r="EM139" s="558"/>
      <c r="EN139" s="558"/>
      <c r="EO139" s="558"/>
      <c r="EP139" s="558"/>
      <c r="EQ139" s="674"/>
      <c r="ER139" s="305"/>
    </row>
    <row r="140" spans="4:148" s="556" customFormat="1" x14ac:dyDescent="0.2">
      <c r="D140" s="110"/>
      <c r="O140" s="669"/>
      <c r="P140" s="670"/>
      <c r="Q140" s="670"/>
      <c r="S140" s="674"/>
      <c r="AA140" s="674"/>
      <c r="AF140" s="305"/>
      <c r="AG140" s="305"/>
      <c r="AH140" s="305"/>
      <c r="AI140" s="305"/>
      <c r="AJ140" s="305"/>
      <c r="AK140" s="305"/>
      <c r="AL140" s="305"/>
      <c r="AM140" s="305"/>
      <c r="AN140" s="305"/>
      <c r="AO140" s="305"/>
      <c r="AP140" s="305"/>
      <c r="AQ140" s="305"/>
      <c r="AR140" s="305"/>
      <c r="AS140" s="305"/>
      <c r="AT140" s="305"/>
      <c r="AU140" s="305"/>
      <c r="AV140" s="305"/>
      <c r="AW140" s="305"/>
      <c r="AX140" s="305"/>
      <c r="AY140" s="305"/>
      <c r="AZ140" s="305"/>
      <c r="BA140" s="305"/>
      <c r="BB140" s="305"/>
      <c r="BC140" s="305"/>
      <c r="BD140" s="305"/>
      <c r="BE140" s="305"/>
      <c r="BF140" s="305"/>
      <c r="BG140" s="305"/>
      <c r="BH140" s="305"/>
      <c r="BI140" s="305"/>
      <c r="BJ140" s="305"/>
      <c r="BK140" s="305"/>
      <c r="BL140" s="305"/>
      <c r="BM140" s="305"/>
      <c r="BN140" s="305"/>
      <c r="BO140" s="305"/>
      <c r="BP140" s="305"/>
      <c r="BQ140" s="305"/>
      <c r="BR140" s="305"/>
      <c r="BS140" s="305"/>
      <c r="BT140" s="305"/>
      <c r="BU140" s="305"/>
      <c r="BV140" s="305"/>
      <c r="BW140" s="305"/>
      <c r="BX140" s="305"/>
      <c r="BY140" s="305"/>
      <c r="BZ140" s="305"/>
      <c r="CA140" s="305"/>
      <c r="CB140" s="305"/>
      <c r="CC140" s="305"/>
      <c r="CD140" s="305"/>
      <c r="CE140" s="305"/>
      <c r="CF140" s="305"/>
      <c r="CG140" s="305"/>
      <c r="CH140" s="305"/>
      <c r="CI140" s="305"/>
      <c r="CJ140" s="305"/>
      <c r="CK140" s="305"/>
      <c r="CL140" s="305"/>
      <c r="CM140" s="305"/>
      <c r="CN140" s="305"/>
      <c r="CO140" s="305"/>
      <c r="CP140" s="305"/>
      <c r="CQ140" s="305"/>
      <c r="CR140" s="305"/>
      <c r="CS140" s="305"/>
      <c r="CT140" s="305"/>
      <c r="CU140" s="305"/>
      <c r="CV140" s="305"/>
      <c r="CW140" s="305"/>
      <c r="CX140" s="305"/>
      <c r="CY140" s="305"/>
      <c r="CZ140" s="305"/>
      <c r="DA140" s="305"/>
      <c r="DB140" s="305"/>
      <c r="DC140" s="305"/>
      <c r="DD140" s="305"/>
      <c r="DE140" s="305"/>
      <c r="DF140" s="305"/>
      <c r="DG140" s="305"/>
      <c r="DH140" s="305"/>
      <c r="DI140" s="305"/>
      <c r="DJ140" s="305"/>
      <c r="DK140" s="305"/>
      <c r="DL140" s="305"/>
      <c r="DM140" s="305"/>
      <c r="DN140" s="305"/>
      <c r="DO140" s="305"/>
      <c r="DP140" s="305"/>
      <c r="DQ140" s="305"/>
      <c r="DR140" s="305"/>
      <c r="DS140" s="305"/>
      <c r="DT140" s="305"/>
      <c r="DU140" s="305"/>
      <c r="DV140" s="305"/>
      <c r="DW140" s="558"/>
      <c r="DX140" s="558"/>
      <c r="DY140" s="558"/>
      <c r="DZ140" s="558"/>
      <c r="EA140" s="558"/>
      <c r="EB140" s="558"/>
      <c r="EC140" s="558"/>
      <c r="ED140" s="558"/>
      <c r="EE140" s="558"/>
      <c r="EF140" s="558"/>
      <c r="EG140" s="558"/>
      <c r="EH140" s="558"/>
      <c r="EI140" s="558"/>
      <c r="EJ140" s="558"/>
      <c r="EK140" s="558"/>
      <c r="EL140" s="558"/>
      <c r="EM140" s="558"/>
      <c r="EN140" s="558"/>
      <c r="EO140" s="558"/>
      <c r="EP140" s="558"/>
      <c r="EQ140" s="674"/>
      <c r="ER140" s="305"/>
    </row>
    <row r="141" spans="4:148" s="556" customFormat="1" x14ac:dyDescent="0.2">
      <c r="D141" s="110"/>
      <c r="O141" s="669"/>
      <c r="P141" s="670"/>
      <c r="Q141" s="670"/>
      <c r="S141" s="674"/>
      <c r="AA141" s="674"/>
      <c r="AF141" s="305"/>
      <c r="AG141" s="305"/>
      <c r="AH141" s="305"/>
      <c r="AI141" s="305"/>
      <c r="AJ141" s="305"/>
      <c r="AK141" s="305"/>
      <c r="AL141" s="305"/>
      <c r="AM141" s="305"/>
      <c r="AN141" s="305"/>
      <c r="AO141" s="305"/>
      <c r="AP141" s="305"/>
      <c r="AQ141" s="305"/>
      <c r="AR141" s="305"/>
      <c r="AS141" s="305"/>
      <c r="AT141" s="305"/>
      <c r="AU141" s="305"/>
      <c r="AV141" s="305"/>
      <c r="AW141" s="305"/>
      <c r="AX141" s="305"/>
      <c r="AY141" s="305"/>
      <c r="AZ141" s="305"/>
      <c r="BA141" s="305"/>
      <c r="BB141" s="305"/>
      <c r="BC141" s="305"/>
      <c r="BD141" s="305"/>
      <c r="BE141" s="305"/>
      <c r="BF141" s="305"/>
      <c r="BG141" s="305"/>
      <c r="BH141" s="305"/>
      <c r="BI141" s="305"/>
      <c r="BJ141" s="305"/>
      <c r="BK141" s="305"/>
      <c r="BL141" s="305"/>
      <c r="BM141" s="305"/>
      <c r="BN141" s="305"/>
      <c r="BO141" s="305"/>
      <c r="BP141" s="305"/>
      <c r="BQ141" s="305"/>
      <c r="BR141" s="305"/>
      <c r="BS141" s="305"/>
      <c r="BT141" s="305"/>
      <c r="BU141" s="305"/>
      <c r="BV141" s="305"/>
      <c r="BW141" s="305"/>
      <c r="BX141" s="305"/>
      <c r="BY141" s="305"/>
      <c r="BZ141" s="305"/>
      <c r="CA141" s="305"/>
      <c r="CB141" s="305"/>
      <c r="CC141" s="305"/>
      <c r="CD141" s="305"/>
      <c r="CE141" s="305"/>
      <c r="CF141" s="305"/>
      <c r="CG141" s="305"/>
      <c r="CH141" s="305"/>
      <c r="CI141" s="305"/>
      <c r="CJ141" s="305"/>
      <c r="CK141" s="305"/>
      <c r="CL141" s="305"/>
      <c r="CM141" s="305"/>
      <c r="CN141" s="305"/>
      <c r="CO141" s="305"/>
      <c r="CP141" s="305"/>
      <c r="CQ141" s="305"/>
      <c r="CR141" s="305"/>
      <c r="CS141" s="305"/>
      <c r="CT141" s="305"/>
      <c r="CU141" s="305"/>
      <c r="CV141" s="305"/>
      <c r="CW141" s="305"/>
      <c r="CX141" s="305"/>
      <c r="CY141" s="305"/>
      <c r="CZ141" s="305"/>
      <c r="DA141" s="305"/>
      <c r="DB141" s="305"/>
      <c r="DC141" s="305"/>
      <c r="DD141" s="305"/>
      <c r="DE141" s="305"/>
      <c r="DF141" s="305"/>
      <c r="DG141" s="305"/>
      <c r="DH141" s="305"/>
      <c r="DI141" s="305"/>
      <c r="DJ141" s="305"/>
      <c r="DK141" s="305"/>
      <c r="DL141" s="305"/>
      <c r="DM141" s="305"/>
      <c r="DN141" s="305"/>
      <c r="DO141" s="305"/>
      <c r="DP141" s="305"/>
      <c r="DQ141" s="305"/>
      <c r="DR141" s="305"/>
      <c r="DS141" s="305"/>
      <c r="DT141" s="305"/>
      <c r="DU141" s="305"/>
      <c r="DV141" s="305"/>
      <c r="DW141" s="558"/>
      <c r="DX141" s="558"/>
      <c r="DY141" s="558"/>
      <c r="DZ141" s="558"/>
      <c r="EA141" s="558"/>
      <c r="EB141" s="558"/>
      <c r="EC141" s="558"/>
      <c r="ED141" s="558"/>
      <c r="EE141" s="558"/>
      <c r="EF141" s="558"/>
      <c r="EG141" s="558"/>
      <c r="EH141" s="558"/>
      <c r="EI141" s="558"/>
      <c r="EJ141" s="558"/>
      <c r="EK141" s="558"/>
      <c r="EL141" s="558"/>
      <c r="EM141" s="558"/>
      <c r="EN141" s="558"/>
      <c r="EO141" s="558"/>
      <c r="EP141" s="558"/>
      <c r="EQ141" s="674"/>
      <c r="ER141" s="305"/>
    </row>
    <row r="142" spans="4:148" s="556" customFormat="1" x14ac:dyDescent="0.2">
      <c r="D142" s="110"/>
      <c r="O142" s="669"/>
      <c r="P142" s="670"/>
      <c r="Q142" s="670"/>
      <c r="S142" s="674"/>
      <c r="AA142" s="674"/>
      <c r="AF142" s="305"/>
      <c r="AG142" s="305"/>
      <c r="AH142" s="305"/>
      <c r="AI142" s="305"/>
      <c r="AJ142" s="305"/>
      <c r="AK142" s="305"/>
      <c r="AL142" s="305"/>
      <c r="AM142" s="305"/>
      <c r="AN142" s="305"/>
      <c r="AO142" s="305"/>
      <c r="AP142" s="305"/>
      <c r="AQ142" s="305"/>
      <c r="AR142" s="305"/>
      <c r="AS142" s="305"/>
      <c r="AT142" s="305"/>
      <c r="AU142" s="305"/>
      <c r="AV142" s="305"/>
      <c r="AW142" s="305"/>
      <c r="AX142" s="305"/>
      <c r="AY142" s="305"/>
      <c r="AZ142" s="305"/>
      <c r="BA142" s="305"/>
      <c r="BB142" s="305"/>
      <c r="BC142" s="305"/>
      <c r="BD142" s="305"/>
      <c r="BE142" s="305"/>
      <c r="BF142" s="305"/>
      <c r="BG142" s="305"/>
      <c r="BH142" s="305"/>
      <c r="BI142" s="305"/>
      <c r="BJ142" s="305"/>
      <c r="BK142" s="305"/>
      <c r="BL142" s="305"/>
      <c r="BM142" s="305"/>
      <c r="BN142" s="305"/>
      <c r="BO142" s="305"/>
      <c r="BP142" s="305"/>
      <c r="BQ142" s="305"/>
      <c r="BR142" s="305"/>
      <c r="BS142" s="305"/>
      <c r="BT142" s="305"/>
      <c r="BU142" s="305"/>
      <c r="BV142" s="305"/>
      <c r="BW142" s="305"/>
      <c r="BX142" s="305"/>
      <c r="BY142" s="305"/>
      <c r="BZ142" s="305"/>
      <c r="CA142" s="305"/>
      <c r="CB142" s="305"/>
      <c r="CC142" s="305"/>
      <c r="CD142" s="305"/>
      <c r="CE142" s="305"/>
      <c r="CF142" s="305"/>
      <c r="CG142" s="305"/>
      <c r="CH142" s="305"/>
      <c r="CI142" s="305"/>
      <c r="CJ142" s="305"/>
      <c r="CK142" s="305"/>
      <c r="CL142" s="305"/>
      <c r="CM142" s="305"/>
      <c r="CN142" s="305"/>
      <c r="CO142" s="305"/>
      <c r="CP142" s="305"/>
      <c r="CQ142" s="305"/>
      <c r="CR142" s="305"/>
      <c r="CS142" s="305"/>
      <c r="CT142" s="305"/>
      <c r="CU142" s="305"/>
      <c r="CV142" s="305"/>
      <c r="CW142" s="305"/>
      <c r="CX142" s="305"/>
      <c r="CY142" s="305"/>
      <c r="CZ142" s="305"/>
      <c r="DA142" s="305"/>
      <c r="DB142" s="305"/>
      <c r="DC142" s="305"/>
      <c r="DD142" s="305"/>
      <c r="DE142" s="305"/>
      <c r="DF142" s="305"/>
      <c r="DG142" s="305"/>
      <c r="DH142" s="305"/>
      <c r="DI142" s="305"/>
      <c r="DJ142" s="305"/>
      <c r="DK142" s="305"/>
      <c r="DL142" s="305"/>
      <c r="DM142" s="305"/>
      <c r="DN142" s="305"/>
      <c r="DO142" s="305"/>
      <c r="DP142" s="305"/>
      <c r="DQ142" s="305"/>
      <c r="DR142" s="305"/>
      <c r="DS142" s="305"/>
      <c r="DT142" s="305"/>
      <c r="DU142" s="305"/>
      <c r="DV142" s="305"/>
      <c r="DW142" s="558"/>
      <c r="DX142" s="558"/>
      <c r="DY142" s="558"/>
      <c r="DZ142" s="558"/>
      <c r="EA142" s="558"/>
      <c r="EB142" s="558"/>
      <c r="EC142" s="558"/>
      <c r="ED142" s="558"/>
      <c r="EE142" s="558"/>
      <c r="EF142" s="558"/>
      <c r="EG142" s="558"/>
      <c r="EH142" s="558"/>
      <c r="EI142" s="558"/>
      <c r="EJ142" s="558"/>
      <c r="EK142" s="558"/>
      <c r="EL142" s="558"/>
      <c r="EM142" s="558"/>
      <c r="EN142" s="558"/>
      <c r="EO142" s="558"/>
      <c r="EP142" s="558"/>
      <c r="EQ142" s="674"/>
      <c r="ER142" s="305"/>
    </row>
    <row r="143" spans="4:148" s="556" customFormat="1" x14ac:dyDescent="0.2">
      <c r="D143" s="110"/>
      <c r="O143" s="669"/>
      <c r="P143" s="670"/>
      <c r="Q143" s="670"/>
      <c r="S143" s="674"/>
      <c r="AA143" s="674"/>
      <c r="AF143" s="305"/>
      <c r="AG143" s="305"/>
      <c r="AH143" s="305"/>
      <c r="AI143" s="305"/>
      <c r="AJ143" s="305"/>
      <c r="AK143" s="305"/>
      <c r="AL143" s="305"/>
      <c r="AM143" s="305"/>
      <c r="AN143" s="305"/>
      <c r="AO143" s="305"/>
      <c r="AP143" s="305"/>
      <c r="AQ143" s="305"/>
      <c r="AR143" s="305"/>
      <c r="AS143" s="305"/>
      <c r="AT143" s="305"/>
      <c r="AU143" s="305"/>
      <c r="AV143" s="305"/>
      <c r="AW143" s="305"/>
      <c r="AX143" s="305"/>
      <c r="AY143" s="305"/>
      <c r="AZ143" s="305"/>
      <c r="BA143" s="305"/>
      <c r="BB143" s="305"/>
      <c r="BC143" s="305"/>
      <c r="BD143" s="305"/>
      <c r="BE143" s="305"/>
      <c r="BF143" s="305"/>
      <c r="BG143" s="305"/>
      <c r="BH143" s="305"/>
      <c r="BI143" s="305"/>
      <c r="BJ143" s="305"/>
      <c r="BK143" s="305"/>
      <c r="BL143" s="305"/>
      <c r="BM143" s="305"/>
      <c r="BN143" s="305"/>
      <c r="BO143" s="305"/>
      <c r="BP143" s="305"/>
      <c r="BQ143" s="305"/>
      <c r="BR143" s="305"/>
      <c r="BS143" s="305"/>
      <c r="BT143" s="305"/>
      <c r="BU143" s="305"/>
      <c r="BV143" s="305"/>
      <c r="BW143" s="305"/>
      <c r="BX143" s="305"/>
      <c r="BY143" s="305"/>
      <c r="BZ143" s="305"/>
      <c r="CA143" s="305"/>
      <c r="CB143" s="305"/>
      <c r="CC143" s="305"/>
      <c r="CD143" s="305"/>
      <c r="CE143" s="305"/>
      <c r="CF143" s="305"/>
      <c r="CG143" s="305"/>
      <c r="CH143" s="305"/>
      <c r="CI143" s="305"/>
      <c r="CJ143" s="305"/>
      <c r="CK143" s="305"/>
      <c r="CL143" s="305"/>
      <c r="CM143" s="305"/>
      <c r="CN143" s="305"/>
      <c r="CO143" s="305"/>
      <c r="CP143" s="305"/>
      <c r="CQ143" s="305"/>
      <c r="CR143" s="305"/>
      <c r="CS143" s="305"/>
      <c r="CT143" s="305"/>
      <c r="CU143" s="305"/>
      <c r="CV143" s="305"/>
      <c r="CW143" s="305"/>
      <c r="CX143" s="305"/>
      <c r="CY143" s="305"/>
      <c r="CZ143" s="305"/>
      <c r="DA143" s="305"/>
      <c r="DB143" s="305"/>
      <c r="DC143" s="305"/>
      <c r="DD143" s="305"/>
      <c r="DE143" s="305"/>
      <c r="DF143" s="305"/>
      <c r="DG143" s="305"/>
      <c r="DH143" s="305"/>
      <c r="DI143" s="305"/>
      <c r="DJ143" s="305"/>
      <c r="DK143" s="305"/>
      <c r="DL143" s="305"/>
      <c r="DM143" s="305"/>
      <c r="DN143" s="305"/>
      <c r="DO143" s="305"/>
      <c r="DP143" s="305"/>
      <c r="DQ143" s="305"/>
      <c r="DR143" s="305"/>
      <c r="DS143" s="305"/>
      <c r="DT143" s="305"/>
      <c r="DU143" s="305"/>
      <c r="DV143" s="305"/>
      <c r="DW143" s="558"/>
      <c r="DX143" s="558"/>
      <c r="DY143" s="558"/>
      <c r="DZ143" s="558"/>
      <c r="EA143" s="558"/>
      <c r="EB143" s="558"/>
      <c r="EC143" s="558"/>
      <c r="ED143" s="558"/>
      <c r="EE143" s="558"/>
      <c r="EF143" s="558"/>
      <c r="EG143" s="558"/>
      <c r="EH143" s="558"/>
      <c r="EI143" s="558"/>
      <c r="EJ143" s="558"/>
      <c r="EK143" s="558"/>
      <c r="EL143" s="558"/>
      <c r="EM143" s="558"/>
      <c r="EN143" s="558"/>
      <c r="EO143" s="558"/>
      <c r="EP143" s="558"/>
      <c r="EQ143" s="674"/>
      <c r="ER143" s="305"/>
    </row>
    <row r="144" spans="4:148" s="556" customFormat="1" x14ac:dyDescent="0.2">
      <c r="D144" s="110"/>
      <c r="O144" s="669"/>
      <c r="P144" s="670"/>
      <c r="Q144" s="670"/>
      <c r="S144" s="674"/>
      <c r="AA144" s="674"/>
      <c r="AF144" s="305"/>
      <c r="AG144" s="305"/>
      <c r="AH144" s="305"/>
      <c r="AI144" s="305"/>
      <c r="AJ144" s="305"/>
      <c r="AK144" s="305"/>
      <c r="AL144" s="305"/>
      <c r="AM144" s="305"/>
      <c r="AN144" s="305"/>
      <c r="AO144" s="305"/>
      <c r="AP144" s="305"/>
      <c r="AQ144" s="305"/>
      <c r="AR144" s="305"/>
      <c r="AS144" s="305"/>
      <c r="AT144" s="305"/>
      <c r="AU144" s="305"/>
      <c r="AV144" s="305"/>
      <c r="AW144" s="305"/>
      <c r="AX144" s="305"/>
      <c r="AY144" s="305"/>
      <c r="AZ144" s="305"/>
      <c r="BA144" s="305"/>
      <c r="BB144" s="305"/>
      <c r="BC144" s="305"/>
      <c r="BD144" s="305"/>
      <c r="BE144" s="305"/>
      <c r="BF144" s="305"/>
      <c r="BG144" s="305"/>
      <c r="BH144" s="305"/>
      <c r="BI144" s="305"/>
      <c r="BJ144" s="305"/>
      <c r="BK144" s="305"/>
      <c r="BL144" s="305"/>
      <c r="BM144" s="305"/>
      <c r="BN144" s="305"/>
      <c r="BO144" s="305"/>
      <c r="BP144" s="305"/>
      <c r="BQ144" s="305"/>
      <c r="BR144" s="305"/>
      <c r="BS144" s="305"/>
      <c r="BT144" s="305"/>
      <c r="BU144" s="305"/>
      <c r="BV144" s="305"/>
      <c r="BW144" s="305"/>
      <c r="BX144" s="305"/>
      <c r="BY144" s="305"/>
      <c r="BZ144" s="305"/>
      <c r="CA144" s="305"/>
      <c r="CB144" s="305"/>
      <c r="CC144" s="305"/>
      <c r="CD144" s="305"/>
      <c r="CE144" s="305"/>
      <c r="CF144" s="305"/>
      <c r="CG144" s="305"/>
      <c r="CH144" s="305"/>
      <c r="CI144" s="305"/>
      <c r="CJ144" s="305"/>
      <c r="CK144" s="305"/>
      <c r="CL144" s="305"/>
      <c r="CM144" s="305"/>
      <c r="CN144" s="305"/>
      <c r="CO144" s="305"/>
      <c r="CP144" s="305"/>
      <c r="CQ144" s="305"/>
      <c r="CR144" s="305"/>
      <c r="CS144" s="305"/>
      <c r="CT144" s="305"/>
      <c r="CU144" s="305"/>
      <c r="CV144" s="305"/>
      <c r="CW144" s="305"/>
      <c r="CX144" s="305"/>
      <c r="CY144" s="305"/>
      <c r="CZ144" s="305"/>
      <c r="DA144" s="305"/>
      <c r="DB144" s="305"/>
      <c r="DC144" s="305"/>
      <c r="DD144" s="305"/>
      <c r="DE144" s="305"/>
      <c r="DF144" s="305"/>
      <c r="DG144" s="305"/>
      <c r="DH144" s="305"/>
      <c r="DI144" s="305"/>
      <c r="DJ144" s="305"/>
      <c r="DK144" s="305"/>
      <c r="DL144" s="305"/>
      <c r="DM144" s="305"/>
      <c r="DN144" s="305"/>
      <c r="DO144" s="305"/>
      <c r="DP144" s="305"/>
      <c r="DQ144" s="305"/>
      <c r="DR144" s="305"/>
      <c r="DS144" s="305"/>
      <c r="DT144" s="305"/>
      <c r="DU144" s="305"/>
      <c r="DV144" s="305"/>
      <c r="DW144" s="558"/>
      <c r="DX144" s="558"/>
      <c r="DY144" s="558"/>
      <c r="DZ144" s="558"/>
      <c r="EA144" s="558"/>
      <c r="EB144" s="558"/>
      <c r="EC144" s="558"/>
      <c r="ED144" s="558"/>
      <c r="EE144" s="558"/>
      <c r="EF144" s="558"/>
      <c r="EG144" s="558"/>
      <c r="EH144" s="558"/>
      <c r="EI144" s="558"/>
      <c r="EJ144" s="558"/>
      <c r="EK144" s="558"/>
      <c r="EL144" s="558"/>
      <c r="EM144" s="558"/>
      <c r="EN144" s="558"/>
      <c r="EO144" s="558"/>
      <c r="EP144" s="558"/>
      <c r="EQ144" s="674"/>
      <c r="ER144" s="305"/>
    </row>
    <row r="145" spans="4:148" s="556" customFormat="1" x14ac:dyDescent="0.2">
      <c r="D145" s="110"/>
      <c r="O145" s="669"/>
      <c r="P145" s="670"/>
      <c r="Q145" s="670"/>
      <c r="S145" s="674"/>
      <c r="AA145" s="674"/>
      <c r="AF145" s="305"/>
      <c r="AG145" s="305"/>
      <c r="AH145" s="305"/>
      <c r="AI145" s="305"/>
      <c r="AJ145" s="305"/>
      <c r="AK145" s="305"/>
      <c r="AL145" s="305"/>
      <c r="AM145" s="305"/>
      <c r="AN145" s="305"/>
      <c r="AO145" s="305"/>
      <c r="AP145" s="305"/>
      <c r="AQ145" s="305"/>
      <c r="AR145" s="305"/>
      <c r="AS145" s="305"/>
      <c r="AT145" s="305"/>
      <c r="AU145" s="305"/>
      <c r="AV145" s="305"/>
      <c r="AW145" s="305"/>
      <c r="AX145" s="305"/>
      <c r="AY145" s="305"/>
      <c r="AZ145" s="305"/>
      <c r="BA145" s="305"/>
      <c r="BB145" s="305"/>
      <c r="BC145" s="305"/>
      <c r="BD145" s="305"/>
      <c r="BE145" s="305"/>
      <c r="BF145" s="305"/>
      <c r="BG145" s="305"/>
      <c r="BH145" s="305"/>
      <c r="BI145" s="305"/>
      <c r="BJ145" s="305"/>
      <c r="BK145" s="305"/>
      <c r="BL145" s="305"/>
      <c r="BM145" s="305"/>
      <c r="BN145" s="305"/>
      <c r="BO145" s="305"/>
      <c r="BP145" s="305"/>
      <c r="BQ145" s="305"/>
      <c r="BR145" s="305"/>
      <c r="BS145" s="305"/>
      <c r="BT145" s="305"/>
      <c r="BU145" s="305"/>
      <c r="BV145" s="305"/>
      <c r="BW145" s="305"/>
      <c r="BX145" s="305"/>
      <c r="BY145" s="305"/>
      <c r="BZ145" s="305"/>
      <c r="CA145" s="305"/>
      <c r="CB145" s="305"/>
      <c r="CC145" s="305"/>
      <c r="CD145" s="305"/>
      <c r="CE145" s="305"/>
      <c r="CF145" s="305"/>
      <c r="CG145" s="305"/>
      <c r="CH145" s="305"/>
      <c r="CI145" s="305"/>
      <c r="CJ145" s="305"/>
      <c r="CK145" s="305"/>
      <c r="CL145" s="305"/>
      <c r="CM145" s="305"/>
      <c r="CN145" s="305"/>
      <c r="CO145" s="305"/>
      <c r="CP145" s="305"/>
      <c r="CQ145" s="305"/>
      <c r="CR145" s="305"/>
      <c r="CS145" s="305"/>
      <c r="CT145" s="305"/>
      <c r="CU145" s="305"/>
      <c r="CV145" s="305"/>
      <c r="CW145" s="305"/>
      <c r="CX145" s="305"/>
      <c r="CY145" s="305"/>
      <c r="CZ145" s="305"/>
      <c r="DA145" s="305"/>
      <c r="DB145" s="305"/>
      <c r="DC145" s="305"/>
      <c r="DD145" s="305"/>
      <c r="DE145" s="305"/>
      <c r="DF145" s="305"/>
      <c r="DG145" s="305"/>
      <c r="DH145" s="305"/>
      <c r="DI145" s="305"/>
      <c r="DJ145" s="305"/>
      <c r="DK145" s="305"/>
      <c r="DL145" s="305"/>
      <c r="DM145" s="305"/>
      <c r="DN145" s="305"/>
      <c r="DO145" s="305"/>
      <c r="DP145" s="305"/>
      <c r="DQ145" s="305"/>
      <c r="DR145" s="305"/>
      <c r="DS145" s="305"/>
      <c r="DT145" s="305"/>
      <c r="DU145" s="305"/>
      <c r="DV145" s="305"/>
      <c r="DW145" s="558"/>
      <c r="DX145" s="558"/>
      <c r="DY145" s="558"/>
      <c r="DZ145" s="558"/>
      <c r="EA145" s="558"/>
      <c r="EB145" s="558"/>
      <c r="EC145" s="558"/>
      <c r="ED145" s="558"/>
      <c r="EE145" s="558"/>
      <c r="EF145" s="558"/>
      <c r="EG145" s="558"/>
      <c r="EH145" s="558"/>
      <c r="EI145" s="558"/>
      <c r="EJ145" s="558"/>
      <c r="EK145" s="558"/>
      <c r="EL145" s="558"/>
      <c r="EM145" s="558"/>
      <c r="EN145" s="558"/>
      <c r="EO145" s="558"/>
      <c r="EP145" s="558"/>
      <c r="EQ145" s="674"/>
      <c r="ER145" s="305"/>
    </row>
    <row r="146" spans="4:148" s="556" customFormat="1" x14ac:dyDescent="0.2">
      <c r="D146" s="110"/>
      <c r="O146" s="669"/>
      <c r="P146" s="670"/>
      <c r="Q146" s="670"/>
      <c r="S146" s="674"/>
      <c r="AA146" s="674"/>
      <c r="AF146" s="305"/>
      <c r="AG146" s="305"/>
      <c r="AH146" s="305"/>
      <c r="AI146" s="305"/>
      <c r="AJ146" s="305"/>
      <c r="AK146" s="305"/>
      <c r="AL146" s="305"/>
      <c r="AM146" s="305"/>
      <c r="AN146" s="305"/>
      <c r="AO146" s="305"/>
      <c r="AP146" s="305"/>
      <c r="AQ146" s="305"/>
      <c r="AR146" s="305"/>
      <c r="AS146" s="305"/>
      <c r="AT146" s="305"/>
      <c r="AU146" s="305"/>
      <c r="AV146" s="305"/>
      <c r="AW146" s="305"/>
      <c r="AX146" s="305"/>
      <c r="AY146" s="305"/>
      <c r="AZ146" s="305"/>
      <c r="BA146" s="305"/>
      <c r="BB146" s="305"/>
      <c r="BC146" s="305"/>
      <c r="BD146" s="305"/>
      <c r="BE146" s="305"/>
      <c r="BF146" s="305"/>
      <c r="BG146" s="305"/>
      <c r="BH146" s="305"/>
      <c r="BI146" s="305"/>
      <c r="BJ146" s="305"/>
      <c r="BK146" s="305"/>
      <c r="BL146" s="305"/>
      <c r="BM146" s="305"/>
      <c r="BN146" s="305"/>
      <c r="BO146" s="305"/>
      <c r="BP146" s="305"/>
      <c r="BQ146" s="305"/>
      <c r="BR146" s="305"/>
      <c r="BS146" s="305"/>
      <c r="BT146" s="305"/>
      <c r="BU146" s="305"/>
      <c r="BV146" s="305"/>
      <c r="BW146" s="305"/>
      <c r="BX146" s="305"/>
      <c r="BY146" s="305"/>
      <c r="BZ146" s="305"/>
      <c r="CA146" s="305"/>
      <c r="CB146" s="305"/>
      <c r="CC146" s="305"/>
      <c r="CD146" s="305"/>
      <c r="CE146" s="305"/>
      <c r="CF146" s="305"/>
      <c r="CG146" s="305"/>
      <c r="CH146" s="305"/>
      <c r="CI146" s="305"/>
      <c r="CJ146" s="305"/>
      <c r="CK146" s="305"/>
      <c r="CL146" s="305"/>
      <c r="CM146" s="305"/>
      <c r="CN146" s="305"/>
      <c r="CO146" s="305"/>
      <c r="CP146" s="305"/>
      <c r="CQ146" s="305"/>
      <c r="CR146" s="305"/>
      <c r="CS146" s="305"/>
      <c r="CT146" s="305"/>
      <c r="CU146" s="305"/>
      <c r="CV146" s="305"/>
      <c r="CW146" s="305"/>
      <c r="CX146" s="305"/>
      <c r="CY146" s="305"/>
      <c r="CZ146" s="305"/>
      <c r="DA146" s="305"/>
      <c r="DB146" s="305"/>
      <c r="DC146" s="305"/>
      <c r="DD146" s="305"/>
      <c r="DE146" s="305"/>
      <c r="DF146" s="305"/>
      <c r="DG146" s="305"/>
      <c r="DH146" s="305"/>
      <c r="DI146" s="305"/>
      <c r="DJ146" s="305"/>
      <c r="DK146" s="305"/>
      <c r="DL146" s="305"/>
      <c r="DM146" s="305"/>
      <c r="DN146" s="305"/>
      <c r="DO146" s="305"/>
      <c r="DP146" s="305"/>
      <c r="DQ146" s="305"/>
      <c r="DR146" s="305"/>
      <c r="DS146" s="305"/>
      <c r="DT146" s="305"/>
      <c r="DU146" s="305"/>
      <c r="DV146" s="305"/>
      <c r="DW146" s="558"/>
      <c r="DX146" s="558"/>
      <c r="DY146" s="558"/>
      <c r="DZ146" s="558"/>
      <c r="EA146" s="558"/>
      <c r="EB146" s="558"/>
      <c r="EC146" s="558"/>
      <c r="ED146" s="558"/>
      <c r="EE146" s="558"/>
      <c r="EF146" s="558"/>
      <c r="EG146" s="558"/>
      <c r="EH146" s="558"/>
      <c r="EI146" s="558"/>
      <c r="EJ146" s="558"/>
      <c r="EK146" s="558"/>
      <c r="EL146" s="558"/>
      <c r="EM146" s="558"/>
      <c r="EN146" s="558"/>
      <c r="EO146" s="558"/>
      <c r="EP146" s="558"/>
      <c r="EQ146" s="674"/>
      <c r="ER146" s="305"/>
    </row>
    <row r="147" spans="4:148" s="556" customFormat="1" x14ac:dyDescent="0.2">
      <c r="D147" s="110"/>
      <c r="O147" s="669"/>
      <c r="P147" s="670"/>
      <c r="Q147" s="670"/>
      <c r="S147" s="674"/>
      <c r="AA147" s="674"/>
      <c r="AF147" s="305"/>
      <c r="AG147" s="305"/>
      <c r="AH147" s="305"/>
      <c r="AI147" s="305"/>
      <c r="AJ147" s="305"/>
      <c r="AK147" s="305"/>
      <c r="AL147" s="305"/>
      <c r="AM147" s="305"/>
      <c r="AN147" s="305"/>
      <c r="AO147" s="305"/>
      <c r="AP147" s="305"/>
      <c r="AQ147" s="305"/>
      <c r="AR147" s="305"/>
      <c r="AS147" s="305"/>
      <c r="AT147" s="305"/>
      <c r="AU147" s="305"/>
      <c r="AV147" s="305"/>
      <c r="AW147" s="305"/>
      <c r="AX147" s="305"/>
      <c r="AY147" s="305"/>
      <c r="AZ147" s="305"/>
      <c r="BA147" s="305"/>
      <c r="BB147" s="305"/>
      <c r="BC147" s="305"/>
      <c r="BD147" s="305"/>
      <c r="BE147" s="305"/>
      <c r="BF147" s="305"/>
      <c r="BG147" s="305"/>
      <c r="BH147" s="305"/>
      <c r="BI147" s="305"/>
      <c r="BJ147" s="305"/>
      <c r="BK147" s="305"/>
      <c r="BL147" s="305"/>
      <c r="BM147" s="305"/>
      <c r="BN147" s="305"/>
      <c r="BO147" s="305"/>
      <c r="BP147" s="305"/>
      <c r="BQ147" s="305"/>
      <c r="BR147" s="305"/>
      <c r="BS147" s="305"/>
      <c r="BT147" s="305"/>
      <c r="BU147" s="305"/>
      <c r="BV147" s="305"/>
      <c r="BW147" s="305"/>
      <c r="BX147" s="305"/>
      <c r="BY147" s="305"/>
      <c r="BZ147" s="305"/>
      <c r="CA147" s="305"/>
      <c r="CB147" s="305"/>
      <c r="CC147" s="305"/>
      <c r="CD147" s="305"/>
      <c r="CE147" s="305"/>
      <c r="CF147" s="305"/>
      <c r="CG147" s="305"/>
      <c r="CH147" s="305"/>
      <c r="CI147" s="305"/>
      <c r="CJ147" s="305"/>
      <c r="CK147" s="305"/>
      <c r="CL147" s="305"/>
      <c r="CM147" s="305"/>
      <c r="CN147" s="305"/>
      <c r="CO147" s="305"/>
      <c r="CP147" s="305"/>
      <c r="CQ147" s="305"/>
      <c r="CR147" s="305"/>
      <c r="CS147" s="305"/>
      <c r="CT147" s="305"/>
      <c r="CU147" s="305"/>
      <c r="CV147" s="305"/>
      <c r="CW147" s="305"/>
      <c r="CX147" s="305"/>
      <c r="CY147" s="305"/>
      <c r="CZ147" s="305"/>
      <c r="DA147" s="305"/>
      <c r="DB147" s="305"/>
      <c r="DC147" s="305"/>
      <c r="DD147" s="305"/>
      <c r="DE147" s="305"/>
      <c r="DF147" s="305"/>
      <c r="DG147" s="305"/>
      <c r="DH147" s="305"/>
      <c r="DI147" s="305"/>
      <c r="DJ147" s="305"/>
      <c r="DK147" s="305"/>
      <c r="DL147" s="305"/>
      <c r="DM147" s="305"/>
      <c r="DN147" s="305"/>
      <c r="DO147" s="305"/>
      <c r="DP147" s="305"/>
      <c r="DQ147" s="305"/>
      <c r="DR147" s="305"/>
      <c r="DS147" s="305"/>
      <c r="DT147" s="305"/>
      <c r="DU147" s="305"/>
      <c r="DV147" s="305"/>
      <c r="DW147" s="558"/>
      <c r="DX147" s="558"/>
      <c r="DY147" s="558"/>
      <c r="DZ147" s="558"/>
      <c r="EA147" s="558"/>
      <c r="EB147" s="558"/>
      <c r="EC147" s="558"/>
      <c r="ED147" s="558"/>
      <c r="EE147" s="558"/>
      <c r="EF147" s="558"/>
      <c r="EG147" s="558"/>
      <c r="EH147" s="558"/>
      <c r="EI147" s="558"/>
      <c r="EJ147" s="558"/>
      <c r="EK147" s="558"/>
      <c r="EL147" s="558"/>
      <c r="EM147" s="558"/>
      <c r="EN147" s="558"/>
      <c r="EO147" s="558"/>
      <c r="EP147" s="558"/>
      <c r="EQ147" s="674"/>
      <c r="ER147" s="305"/>
    </row>
    <row r="148" spans="4:148" s="556" customFormat="1" x14ac:dyDescent="0.2">
      <c r="D148" s="110"/>
      <c r="O148" s="669"/>
      <c r="P148" s="670"/>
      <c r="Q148" s="670"/>
      <c r="S148" s="674"/>
      <c r="AA148" s="674"/>
      <c r="AF148" s="305"/>
      <c r="AG148" s="305"/>
      <c r="AH148" s="305"/>
      <c r="AI148" s="305"/>
      <c r="AJ148" s="305"/>
      <c r="AK148" s="305"/>
      <c r="AL148" s="305"/>
      <c r="AM148" s="305"/>
      <c r="AN148" s="305"/>
      <c r="AO148" s="305"/>
      <c r="AP148" s="305"/>
      <c r="AQ148" s="305"/>
      <c r="AR148" s="305"/>
      <c r="AS148" s="305"/>
      <c r="AT148" s="305"/>
      <c r="AU148" s="305"/>
      <c r="AV148" s="305"/>
      <c r="AW148" s="305"/>
      <c r="AX148" s="305"/>
      <c r="AY148" s="305"/>
      <c r="AZ148" s="305"/>
      <c r="BA148" s="305"/>
      <c r="BB148" s="305"/>
      <c r="BC148" s="305"/>
      <c r="BD148" s="305"/>
      <c r="BE148" s="305"/>
      <c r="BF148" s="305"/>
      <c r="BG148" s="305"/>
      <c r="BH148" s="305"/>
      <c r="BI148" s="305"/>
      <c r="BJ148" s="305"/>
      <c r="BK148" s="305"/>
      <c r="BL148" s="305"/>
      <c r="BM148" s="305"/>
      <c r="BN148" s="305"/>
      <c r="BO148" s="305"/>
      <c r="BP148" s="305"/>
      <c r="BQ148" s="305"/>
      <c r="BR148" s="305"/>
      <c r="BS148" s="305"/>
      <c r="BT148" s="305"/>
      <c r="BU148" s="305"/>
      <c r="BV148" s="305"/>
      <c r="BW148" s="305"/>
      <c r="BX148" s="305"/>
      <c r="BY148" s="305"/>
      <c r="BZ148" s="305"/>
      <c r="CA148" s="305"/>
      <c r="CB148" s="305"/>
      <c r="CC148" s="305"/>
      <c r="CD148" s="305"/>
      <c r="CE148" s="305"/>
      <c r="CF148" s="305"/>
      <c r="CG148" s="305"/>
      <c r="CH148" s="305"/>
      <c r="CI148" s="305"/>
      <c r="CJ148" s="305"/>
      <c r="CK148" s="305"/>
      <c r="CL148" s="305"/>
      <c r="CM148" s="305"/>
      <c r="CN148" s="305"/>
      <c r="CO148" s="305"/>
      <c r="CP148" s="305"/>
      <c r="CQ148" s="305"/>
      <c r="CR148" s="305"/>
      <c r="CS148" s="305"/>
      <c r="CT148" s="305"/>
      <c r="CU148" s="305"/>
      <c r="CV148" s="305"/>
      <c r="CW148" s="305"/>
      <c r="CX148" s="305"/>
      <c r="CY148" s="305"/>
      <c r="CZ148" s="305"/>
      <c r="DA148" s="305"/>
      <c r="DB148" s="305"/>
      <c r="DC148" s="305"/>
      <c r="DD148" s="305"/>
      <c r="DE148" s="305"/>
      <c r="DF148" s="305"/>
      <c r="DG148" s="305"/>
      <c r="DH148" s="305"/>
      <c r="DI148" s="305"/>
      <c r="DJ148" s="305"/>
      <c r="DK148" s="305"/>
      <c r="DL148" s="305"/>
      <c r="DM148" s="305"/>
      <c r="DN148" s="305"/>
      <c r="DO148" s="305"/>
      <c r="DP148" s="305"/>
      <c r="DQ148" s="305"/>
      <c r="DR148" s="305"/>
      <c r="DS148" s="305"/>
      <c r="DT148" s="305"/>
      <c r="DU148" s="305"/>
      <c r="DV148" s="305"/>
      <c r="DW148" s="558"/>
      <c r="DX148" s="558"/>
      <c r="DY148" s="558"/>
      <c r="DZ148" s="558"/>
      <c r="EA148" s="558"/>
      <c r="EB148" s="558"/>
      <c r="EC148" s="558"/>
      <c r="ED148" s="558"/>
      <c r="EE148" s="558"/>
      <c r="EF148" s="558"/>
      <c r="EG148" s="558"/>
      <c r="EH148" s="558"/>
      <c r="EI148" s="558"/>
      <c r="EJ148" s="558"/>
      <c r="EK148" s="558"/>
      <c r="EL148" s="558"/>
      <c r="EM148" s="558"/>
      <c r="EN148" s="558"/>
      <c r="EO148" s="558"/>
      <c r="EP148" s="558"/>
      <c r="EQ148" s="674"/>
      <c r="ER148" s="305"/>
    </row>
    <row r="149" spans="4:148" s="556" customFormat="1" x14ac:dyDescent="0.2">
      <c r="D149" s="110"/>
      <c r="O149" s="669"/>
      <c r="P149" s="670"/>
      <c r="Q149" s="670"/>
      <c r="S149" s="674"/>
      <c r="AA149" s="674"/>
      <c r="AF149" s="305"/>
      <c r="AG149" s="305"/>
      <c r="AH149" s="305"/>
      <c r="AI149" s="305"/>
      <c r="AJ149" s="305"/>
      <c r="AK149" s="305"/>
      <c r="AL149" s="305"/>
      <c r="AM149" s="305"/>
      <c r="AN149" s="305"/>
      <c r="AO149" s="305"/>
      <c r="AP149" s="305"/>
      <c r="AQ149" s="305"/>
      <c r="AR149" s="305"/>
      <c r="AS149" s="305"/>
      <c r="AT149" s="305"/>
      <c r="AU149" s="305"/>
      <c r="AV149" s="305"/>
      <c r="AW149" s="305"/>
      <c r="AX149" s="305"/>
      <c r="AY149" s="305"/>
      <c r="AZ149" s="305"/>
      <c r="BA149" s="305"/>
      <c r="BB149" s="305"/>
      <c r="BC149" s="305"/>
      <c r="BD149" s="305"/>
      <c r="BE149" s="305"/>
      <c r="BF149" s="305"/>
      <c r="BG149" s="305"/>
      <c r="BH149" s="305"/>
      <c r="BI149" s="305"/>
      <c r="BJ149" s="305"/>
      <c r="BK149" s="305"/>
      <c r="BL149" s="305"/>
      <c r="BM149" s="305"/>
      <c r="BN149" s="305"/>
      <c r="BO149" s="305"/>
      <c r="BP149" s="305"/>
      <c r="BQ149" s="305"/>
      <c r="BR149" s="305"/>
      <c r="BS149" s="305"/>
      <c r="BT149" s="305"/>
      <c r="BU149" s="305"/>
      <c r="BV149" s="305"/>
      <c r="BW149" s="305"/>
      <c r="BX149" s="305"/>
      <c r="BY149" s="305"/>
      <c r="BZ149" s="305"/>
      <c r="CA149" s="305"/>
      <c r="CB149" s="305"/>
      <c r="CC149" s="305"/>
      <c r="CD149" s="305"/>
      <c r="CE149" s="305"/>
      <c r="CF149" s="305"/>
      <c r="CG149" s="305"/>
      <c r="CH149" s="305"/>
      <c r="CI149" s="305"/>
      <c r="CJ149" s="305"/>
      <c r="CK149" s="305"/>
      <c r="CL149" s="305"/>
      <c r="CM149" s="305"/>
      <c r="CN149" s="305"/>
      <c r="CO149" s="305"/>
      <c r="CP149" s="305"/>
      <c r="CQ149" s="305"/>
      <c r="CR149" s="305"/>
      <c r="CS149" s="305"/>
      <c r="CT149" s="305"/>
      <c r="CU149" s="305"/>
      <c r="CV149" s="305"/>
      <c r="CW149" s="305"/>
      <c r="CX149" s="305"/>
      <c r="CY149" s="305"/>
      <c r="CZ149" s="305"/>
      <c r="DA149" s="305"/>
      <c r="DB149" s="305"/>
      <c r="DC149" s="305"/>
      <c r="DD149" s="305"/>
      <c r="DE149" s="305"/>
      <c r="DF149" s="305"/>
      <c r="DG149" s="305"/>
      <c r="DH149" s="305"/>
      <c r="DI149" s="305"/>
      <c r="DJ149" s="305"/>
      <c r="DK149" s="305"/>
      <c r="DL149" s="305"/>
      <c r="DM149" s="305"/>
      <c r="DN149" s="305"/>
      <c r="DO149" s="305"/>
      <c r="DP149" s="305"/>
      <c r="DQ149" s="305"/>
      <c r="DR149" s="305"/>
      <c r="DS149" s="305"/>
      <c r="DT149" s="305"/>
      <c r="DU149" s="305"/>
      <c r="DV149" s="305"/>
      <c r="DW149" s="558"/>
      <c r="DX149" s="558"/>
      <c r="DY149" s="558"/>
      <c r="DZ149" s="558"/>
      <c r="EA149" s="558"/>
      <c r="EB149" s="558"/>
      <c r="EC149" s="558"/>
      <c r="ED149" s="558"/>
      <c r="EE149" s="558"/>
      <c r="EF149" s="558"/>
      <c r="EG149" s="558"/>
      <c r="EH149" s="558"/>
      <c r="EI149" s="558"/>
      <c r="EJ149" s="558"/>
      <c r="EK149" s="558"/>
      <c r="EL149" s="558"/>
      <c r="EM149" s="558"/>
      <c r="EN149" s="558"/>
      <c r="EO149" s="558"/>
      <c r="EP149" s="558"/>
      <c r="EQ149" s="674"/>
      <c r="ER149" s="305"/>
    </row>
    <row r="150" spans="4:148" s="556" customFormat="1" x14ac:dyDescent="0.2">
      <c r="D150" s="110"/>
      <c r="O150" s="669"/>
      <c r="P150" s="670"/>
      <c r="Q150" s="670"/>
      <c r="S150" s="674"/>
      <c r="AA150" s="674"/>
      <c r="AF150" s="305"/>
      <c r="AG150" s="305"/>
      <c r="AH150" s="305"/>
      <c r="AI150" s="305"/>
      <c r="AJ150" s="305"/>
      <c r="AK150" s="305"/>
      <c r="AL150" s="305"/>
      <c r="AM150" s="305"/>
      <c r="AN150" s="305"/>
      <c r="AO150" s="305"/>
      <c r="AP150" s="305"/>
      <c r="AQ150" s="305"/>
      <c r="AR150" s="305"/>
      <c r="AS150" s="305"/>
      <c r="AT150" s="305"/>
      <c r="AU150" s="305"/>
      <c r="AV150" s="305"/>
      <c r="AW150" s="305"/>
      <c r="AX150" s="305"/>
      <c r="AY150" s="305"/>
      <c r="AZ150" s="305"/>
      <c r="BA150" s="305"/>
      <c r="BB150" s="305"/>
      <c r="BC150" s="305"/>
      <c r="BD150" s="305"/>
      <c r="BE150" s="305"/>
      <c r="BF150" s="305"/>
      <c r="BG150" s="305"/>
      <c r="BH150" s="305"/>
      <c r="BI150" s="305"/>
      <c r="BJ150" s="305"/>
      <c r="BK150" s="305"/>
      <c r="BL150" s="305"/>
      <c r="BM150" s="305"/>
      <c r="BN150" s="305"/>
      <c r="BO150" s="305"/>
      <c r="BP150" s="305"/>
      <c r="BQ150" s="305"/>
      <c r="BR150" s="305"/>
      <c r="BS150" s="305"/>
      <c r="BT150" s="305"/>
      <c r="BU150" s="305"/>
      <c r="BV150" s="305"/>
      <c r="BW150" s="305"/>
      <c r="BX150" s="305"/>
      <c r="BY150" s="305"/>
      <c r="BZ150" s="305"/>
      <c r="CA150" s="305"/>
      <c r="CB150" s="305"/>
      <c r="CC150" s="305"/>
      <c r="CD150" s="305"/>
      <c r="CE150" s="305"/>
      <c r="CF150" s="305"/>
      <c r="CG150" s="305"/>
      <c r="CH150" s="305"/>
      <c r="CI150" s="305"/>
      <c r="CJ150" s="305"/>
      <c r="CK150" s="305"/>
      <c r="CL150" s="305"/>
      <c r="CM150" s="305"/>
      <c r="CN150" s="305"/>
      <c r="CO150" s="305"/>
      <c r="CP150" s="305"/>
      <c r="CQ150" s="305"/>
      <c r="CR150" s="305"/>
      <c r="CS150" s="305"/>
      <c r="CT150" s="305"/>
      <c r="CU150" s="305"/>
      <c r="CV150" s="305"/>
      <c r="CW150" s="305"/>
      <c r="CX150" s="305"/>
      <c r="CY150" s="305"/>
      <c r="CZ150" s="305"/>
      <c r="DA150" s="305"/>
      <c r="DB150" s="305"/>
      <c r="DC150" s="305"/>
      <c r="DD150" s="305"/>
      <c r="DE150" s="305"/>
      <c r="DF150" s="305"/>
      <c r="DG150" s="305"/>
      <c r="DH150" s="305"/>
      <c r="DI150" s="305"/>
      <c r="DJ150" s="305"/>
      <c r="DK150" s="305"/>
      <c r="DL150" s="305"/>
      <c r="DM150" s="305"/>
      <c r="DN150" s="305"/>
      <c r="DO150" s="305"/>
      <c r="DP150" s="305"/>
      <c r="DQ150" s="305"/>
      <c r="DR150" s="305"/>
      <c r="DS150" s="305"/>
      <c r="DT150" s="305"/>
      <c r="DU150" s="305"/>
      <c r="DV150" s="305"/>
      <c r="DW150" s="558"/>
      <c r="DX150" s="558"/>
      <c r="DY150" s="558"/>
      <c r="DZ150" s="558"/>
      <c r="EA150" s="558"/>
      <c r="EB150" s="558"/>
      <c r="EC150" s="558"/>
      <c r="ED150" s="558"/>
      <c r="EE150" s="558"/>
      <c r="EF150" s="558"/>
      <c r="EG150" s="558"/>
      <c r="EH150" s="558"/>
      <c r="EI150" s="558"/>
      <c r="EJ150" s="558"/>
      <c r="EK150" s="558"/>
      <c r="EL150" s="558"/>
      <c r="EM150" s="558"/>
      <c r="EN150" s="558"/>
      <c r="EO150" s="558"/>
      <c r="EP150" s="558"/>
      <c r="EQ150" s="674"/>
      <c r="ER150" s="305"/>
    </row>
    <row r="151" spans="4:148" s="556" customFormat="1" x14ac:dyDescent="0.2">
      <c r="D151" s="110"/>
      <c r="O151" s="669"/>
      <c r="P151" s="670"/>
      <c r="Q151" s="670"/>
      <c r="S151" s="674"/>
      <c r="AA151" s="674"/>
      <c r="AF151" s="305"/>
      <c r="AG151" s="305"/>
      <c r="AH151" s="305"/>
      <c r="AI151" s="305"/>
      <c r="AJ151" s="305"/>
      <c r="AK151" s="305"/>
      <c r="AL151" s="305"/>
      <c r="AM151" s="305"/>
      <c r="AN151" s="305"/>
      <c r="AO151" s="305"/>
      <c r="AP151" s="305"/>
      <c r="AQ151" s="305"/>
      <c r="AR151" s="305"/>
      <c r="AS151" s="305"/>
      <c r="AT151" s="305"/>
      <c r="AU151" s="305"/>
      <c r="AV151" s="305"/>
      <c r="AW151" s="305"/>
      <c r="AX151" s="305"/>
      <c r="AY151" s="305"/>
      <c r="AZ151" s="305"/>
      <c r="BA151" s="305"/>
      <c r="BB151" s="305"/>
      <c r="BC151" s="305"/>
      <c r="BD151" s="305"/>
      <c r="BE151" s="305"/>
      <c r="BF151" s="305"/>
      <c r="BG151" s="305"/>
      <c r="BH151" s="305"/>
      <c r="BI151" s="305"/>
      <c r="BJ151" s="305"/>
      <c r="BK151" s="305"/>
      <c r="BL151" s="305"/>
      <c r="BM151" s="305"/>
      <c r="BN151" s="305"/>
      <c r="BO151" s="305"/>
      <c r="BP151" s="305"/>
      <c r="BQ151" s="305"/>
      <c r="BR151" s="305"/>
      <c r="BS151" s="305"/>
      <c r="BT151" s="305"/>
      <c r="BU151" s="305"/>
      <c r="BV151" s="305"/>
      <c r="BW151" s="305"/>
      <c r="BX151" s="305"/>
      <c r="BY151" s="305"/>
      <c r="BZ151" s="305"/>
      <c r="CA151" s="305"/>
      <c r="CB151" s="305"/>
      <c r="CC151" s="305"/>
      <c r="CD151" s="305"/>
      <c r="CE151" s="305"/>
      <c r="CF151" s="305"/>
      <c r="CG151" s="305"/>
      <c r="CH151" s="305"/>
      <c r="CI151" s="305"/>
      <c r="CJ151" s="305"/>
      <c r="CK151" s="305"/>
      <c r="CL151" s="305"/>
      <c r="CM151" s="305"/>
      <c r="CN151" s="305"/>
      <c r="CO151" s="305"/>
      <c r="CP151" s="305"/>
      <c r="CQ151" s="305"/>
      <c r="CR151" s="305"/>
      <c r="CS151" s="305"/>
      <c r="CT151" s="305"/>
      <c r="CU151" s="305"/>
      <c r="CV151" s="305"/>
      <c r="CW151" s="305"/>
      <c r="CX151" s="305"/>
      <c r="CY151" s="305"/>
      <c r="CZ151" s="305"/>
      <c r="DA151" s="305"/>
      <c r="DB151" s="305"/>
      <c r="DC151" s="305"/>
      <c r="DD151" s="305"/>
      <c r="DE151" s="305"/>
      <c r="DF151" s="305"/>
      <c r="DG151" s="305"/>
      <c r="DH151" s="305"/>
      <c r="DI151" s="305"/>
      <c r="DJ151" s="305"/>
      <c r="DK151" s="305"/>
      <c r="DL151" s="305"/>
      <c r="DM151" s="305"/>
      <c r="DN151" s="305"/>
      <c r="DO151" s="305"/>
      <c r="DP151" s="305"/>
      <c r="DQ151" s="305"/>
      <c r="DR151" s="305"/>
      <c r="DS151" s="305"/>
      <c r="DT151" s="305"/>
      <c r="DU151" s="305"/>
      <c r="DV151" s="305"/>
      <c r="DW151" s="558"/>
      <c r="DX151" s="558"/>
      <c r="DY151" s="558"/>
      <c r="DZ151" s="558"/>
      <c r="EA151" s="558"/>
      <c r="EB151" s="558"/>
      <c r="EC151" s="558"/>
      <c r="ED151" s="558"/>
      <c r="EE151" s="558"/>
      <c r="EF151" s="558"/>
      <c r="EG151" s="558"/>
      <c r="EH151" s="558"/>
      <c r="EI151" s="558"/>
      <c r="EJ151" s="558"/>
      <c r="EK151" s="558"/>
      <c r="EL151" s="558"/>
      <c r="EM151" s="558"/>
      <c r="EN151" s="558"/>
      <c r="EO151" s="558"/>
      <c r="EP151" s="558"/>
      <c r="EQ151" s="674"/>
      <c r="ER151" s="305"/>
    </row>
    <row r="152" spans="4:148" s="556" customFormat="1" x14ac:dyDescent="0.2">
      <c r="D152" s="110"/>
      <c r="O152" s="669"/>
      <c r="P152" s="670"/>
      <c r="Q152" s="670"/>
      <c r="S152" s="674"/>
      <c r="AA152" s="674"/>
      <c r="AF152" s="305"/>
      <c r="AG152" s="305"/>
      <c r="AH152" s="305"/>
      <c r="AI152" s="305"/>
      <c r="AJ152" s="305"/>
      <c r="AK152" s="305"/>
      <c r="AL152" s="305"/>
      <c r="AM152" s="305"/>
      <c r="AN152" s="305"/>
      <c r="AO152" s="305"/>
      <c r="AP152" s="305"/>
      <c r="AQ152" s="305"/>
      <c r="AR152" s="305"/>
      <c r="AS152" s="305"/>
      <c r="AT152" s="305"/>
      <c r="AU152" s="305"/>
      <c r="AV152" s="305"/>
      <c r="AW152" s="305"/>
      <c r="AX152" s="305"/>
      <c r="AY152" s="305"/>
      <c r="AZ152" s="305"/>
      <c r="BA152" s="305"/>
      <c r="BB152" s="305"/>
      <c r="BC152" s="305"/>
      <c r="BD152" s="305"/>
      <c r="BE152" s="305"/>
      <c r="BF152" s="305"/>
      <c r="BG152" s="305"/>
      <c r="BH152" s="305"/>
      <c r="BI152" s="305"/>
      <c r="BJ152" s="305"/>
      <c r="BK152" s="305"/>
      <c r="BL152" s="305"/>
      <c r="BM152" s="305"/>
      <c r="BN152" s="305"/>
      <c r="BO152" s="305"/>
      <c r="BP152" s="305"/>
      <c r="BQ152" s="305"/>
      <c r="BR152" s="305"/>
      <c r="BS152" s="305"/>
      <c r="BT152" s="305"/>
      <c r="BU152" s="305"/>
      <c r="BV152" s="305"/>
      <c r="BW152" s="305"/>
      <c r="BX152" s="305"/>
      <c r="BY152" s="305"/>
      <c r="BZ152" s="305"/>
      <c r="CA152" s="305"/>
      <c r="CB152" s="305"/>
      <c r="CC152" s="305"/>
      <c r="CD152" s="305"/>
      <c r="CE152" s="305"/>
      <c r="CF152" s="305"/>
      <c r="CG152" s="305"/>
      <c r="CH152" s="305"/>
      <c r="CI152" s="305"/>
      <c r="CJ152" s="305"/>
      <c r="CK152" s="305"/>
      <c r="CL152" s="305"/>
      <c r="CM152" s="305"/>
      <c r="CN152" s="305"/>
      <c r="CO152" s="305"/>
      <c r="CP152" s="305"/>
      <c r="CQ152" s="305"/>
      <c r="CR152" s="305"/>
      <c r="CS152" s="305"/>
      <c r="CT152" s="305"/>
      <c r="CU152" s="305"/>
      <c r="CV152" s="305"/>
      <c r="CW152" s="305"/>
      <c r="CX152" s="305"/>
      <c r="CY152" s="305"/>
      <c r="CZ152" s="305"/>
      <c r="DA152" s="305"/>
      <c r="DB152" s="305"/>
      <c r="DC152" s="305"/>
      <c r="DD152" s="305"/>
      <c r="DE152" s="305"/>
      <c r="DF152" s="305"/>
      <c r="DG152" s="305"/>
      <c r="DH152" s="305"/>
      <c r="DI152" s="305"/>
      <c r="DJ152" s="305"/>
      <c r="DK152" s="305"/>
      <c r="DL152" s="305"/>
      <c r="DM152" s="305"/>
      <c r="DN152" s="305"/>
      <c r="DO152" s="305"/>
      <c r="DP152" s="305"/>
      <c r="DQ152" s="305"/>
      <c r="DR152" s="305"/>
      <c r="DS152" s="305"/>
      <c r="DT152" s="305"/>
      <c r="DU152" s="305"/>
      <c r="DV152" s="305"/>
      <c r="DW152" s="558"/>
      <c r="DX152" s="558"/>
      <c r="DY152" s="558"/>
      <c r="DZ152" s="558"/>
      <c r="EA152" s="558"/>
      <c r="EB152" s="558"/>
      <c r="EC152" s="558"/>
      <c r="ED152" s="558"/>
      <c r="EE152" s="558"/>
      <c r="EF152" s="558"/>
      <c r="EG152" s="558"/>
      <c r="EH152" s="558"/>
      <c r="EI152" s="558"/>
      <c r="EJ152" s="558"/>
      <c r="EK152" s="558"/>
      <c r="EL152" s="558"/>
      <c r="EM152" s="558"/>
      <c r="EN152" s="558"/>
      <c r="EO152" s="558"/>
      <c r="EP152" s="558"/>
      <c r="EQ152" s="674"/>
      <c r="ER152" s="305"/>
    </row>
    <row r="153" spans="4:148" s="556" customFormat="1" x14ac:dyDescent="0.2">
      <c r="D153" s="110"/>
      <c r="O153" s="669"/>
      <c r="P153" s="670"/>
      <c r="Q153" s="670"/>
      <c r="S153" s="674"/>
      <c r="AA153" s="674"/>
      <c r="AF153" s="305"/>
      <c r="AG153" s="305"/>
      <c r="AH153" s="305"/>
      <c r="AI153" s="305"/>
      <c r="AJ153" s="305"/>
      <c r="AK153" s="305"/>
      <c r="AL153" s="305"/>
      <c r="AM153" s="305"/>
      <c r="AN153" s="305"/>
      <c r="AO153" s="305"/>
      <c r="AP153" s="305"/>
      <c r="AQ153" s="305"/>
      <c r="AR153" s="305"/>
      <c r="AS153" s="305"/>
      <c r="AT153" s="305"/>
      <c r="AU153" s="305"/>
      <c r="AV153" s="305"/>
      <c r="AW153" s="305"/>
      <c r="AX153" s="305"/>
      <c r="AY153" s="305"/>
      <c r="AZ153" s="305"/>
      <c r="BA153" s="305"/>
      <c r="BB153" s="305"/>
      <c r="BC153" s="305"/>
      <c r="BD153" s="305"/>
      <c r="BE153" s="305"/>
      <c r="BF153" s="305"/>
      <c r="BG153" s="305"/>
      <c r="BH153" s="305"/>
      <c r="BI153" s="305"/>
      <c r="BJ153" s="305"/>
      <c r="BK153" s="305"/>
      <c r="BL153" s="305"/>
      <c r="BM153" s="305"/>
      <c r="BN153" s="305"/>
      <c r="BO153" s="305"/>
      <c r="BP153" s="305"/>
      <c r="BQ153" s="305"/>
      <c r="BR153" s="305"/>
      <c r="BS153" s="305"/>
      <c r="BT153" s="305"/>
      <c r="BU153" s="305"/>
      <c r="BV153" s="305"/>
      <c r="BW153" s="305"/>
      <c r="BX153" s="305"/>
      <c r="BY153" s="305"/>
      <c r="BZ153" s="305"/>
      <c r="CA153" s="305"/>
      <c r="CB153" s="305"/>
      <c r="CC153" s="305"/>
      <c r="CD153" s="305"/>
      <c r="CE153" s="305"/>
      <c r="CF153" s="305"/>
      <c r="CG153" s="305"/>
      <c r="CH153" s="305"/>
      <c r="CI153" s="305"/>
      <c r="CJ153" s="305"/>
      <c r="CK153" s="305"/>
      <c r="CL153" s="305"/>
      <c r="CM153" s="305"/>
      <c r="CN153" s="305"/>
      <c r="CO153" s="305"/>
      <c r="CP153" s="305"/>
      <c r="CQ153" s="305"/>
      <c r="CR153" s="305"/>
      <c r="CS153" s="305"/>
      <c r="CT153" s="305"/>
      <c r="CU153" s="305"/>
      <c r="CV153" s="305"/>
      <c r="CW153" s="305"/>
      <c r="CX153" s="305"/>
      <c r="CY153" s="305"/>
      <c r="CZ153" s="305"/>
      <c r="DA153" s="305"/>
      <c r="DB153" s="305"/>
      <c r="DC153" s="305"/>
      <c r="DD153" s="305"/>
      <c r="DE153" s="305"/>
      <c r="DF153" s="305"/>
      <c r="DG153" s="305"/>
      <c r="DH153" s="305"/>
      <c r="DI153" s="305"/>
      <c r="DJ153" s="305"/>
      <c r="DK153" s="305"/>
      <c r="DL153" s="305"/>
      <c r="DM153" s="305"/>
      <c r="DN153" s="305"/>
      <c r="DO153" s="305"/>
      <c r="DP153" s="305"/>
      <c r="DQ153" s="305"/>
      <c r="DR153" s="305"/>
      <c r="DS153" s="305"/>
      <c r="DT153" s="305"/>
      <c r="DU153" s="305"/>
      <c r="DV153" s="305"/>
      <c r="DW153" s="558"/>
      <c r="DX153" s="558"/>
      <c r="DY153" s="558"/>
      <c r="DZ153" s="558"/>
      <c r="EA153" s="558"/>
      <c r="EB153" s="558"/>
      <c r="EC153" s="558"/>
      <c r="ED153" s="558"/>
      <c r="EE153" s="558"/>
      <c r="EF153" s="558"/>
      <c r="EG153" s="558"/>
      <c r="EH153" s="558"/>
      <c r="EI153" s="558"/>
      <c r="EJ153" s="558"/>
      <c r="EK153" s="558"/>
      <c r="EL153" s="558"/>
      <c r="EM153" s="558"/>
      <c r="EN153" s="558"/>
      <c r="EO153" s="558"/>
      <c r="EP153" s="558"/>
      <c r="EQ153" s="674"/>
      <c r="ER153" s="305"/>
    </row>
    <row r="154" spans="4:148" s="556" customFormat="1" x14ac:dyDescent="0.2">
      <c r="D154" s="110"/>
      <c r="O154" s="669"/>
      <c r="P154" s="670"/>
      <c r="Q154" s="670"/>
      <c r="S154" s="674"/>
      <c r="AA154" s="674"/>
      <c r="AF154" s="305"/>
      <c r="AG154" s="305"/>
      <c r="AH154" s="305"/>
      <c r="AI154" s="305"/>
      <c r="AJ154" s="305"/>
      <c r="AK154" s="305"/>
      <c r="AL154" s="305"/>
      <c r="AM154" s="305"/>
      <c r="AN154" s="305"/>
      <c r="AO154" s="305"/>
      <c r="AP154" s="305"/>
      <c r="AQ154" s="305"/>
      <c r="AR154" s="305"/>
      <c r="AS154" s="305"/>
      <c r="AT154" s="305"/>
      <c r="AU154" s="305"/>
      <c r="AV154" s="305"/>
      <c r="AW154" s="305"/>
      <c r="AX154" s="305"/>
      <c r="AY154" s="305"/>
      <c r="AZ154" s="305"/>
      <c r="BA154" s="305"/>
      <c r="BB154" s="305"/>
      <c r="BC154" s="305"/>
      <c r="BD154" s="305"/>
      <c r="BE154" s="305"/>
      <c r="BF154" s="305"/>
      <c r="BG154" s="305"/>
      <c r="BH154" s="305"/>
      <c r="BI154" s="305"/>
      <c r="BJ154" s="305"/>
      <c r="BK154" s="305"/>
      <c r="BL154" s="305"/>
      <c r="BM154" s="305"/>
      <c r="BN154" s="305"/>
      <c r="BO154" s="305"/>
      <c r="BP154" s="305"/>
      <c r="BQ154" s="305"/>
      <c r="BR154" s="305"/>
      <c r="BS154" s="305"/>
      <c r="BT154" s="305"/>
      <c r="BU154" s="305"/>
      <c r="BV154" s="305"/>
      <c r="BW154" s="305"/>
      <c r="BX154" s="305"/>
      <c r="BY154" s="305"/>
      <c r="BZ154" s="305"/>
      <c r="CA154" s="305"/>
      <c r="CB154" s="305"/>
      <c r="CC154" s="305"/>
      <c r="CD154" s="305"/>
      <c r="CE154" s="305"/>
      <c r="CF154" s="305"/>
      <c r="CG154" s="305"/>
      <c r="CH154" s="305"/>
      <c r="CI154" s="305"/>
      <c r="CJ154" s="305"/>
      <c r="CK154" s="305"/>
      <c r="CL154" s="305"/>
      <c r="CM154" s="305"/>
      <c r="CN154" s="305"/>
      <c r="CO154" s="305"/>
      <c r="CP154" s="305"/>
      <c r="CQ154" s="305"/>
      <c r="CR154" s="305"/>
      <c r="CS154" s="305"/>
      <c r="CT154" s="305"/>
      <c r="CU154" s="305"/>
      <c r="CV154" s="305"/>
      <c r="CW154" s="305"/>
      <c r="CX154" s="305"/>
      <c r="CY154" s="305"/>
      <c r="CZ154" s="305"/>
      <c r="DA154" s="305"/>
      <c r="DB154" s="305"/>
      <c r="DC154" s="305"/>
      <c r="DD154" s="305"/>
      <c r="DE154" s="305"/>
      <c r="DF154" s="305"/>
      <c r="DG154" s="305"/>
      <c r="DH154" s="305"/>
      <c r="DI154" s="305"/>
      <c r="DJ154" s="305"/>
      <c r="DK154" s="305"/>
      <c r="DL154" s="305"/>
      <c r="DM154" s="305"/>
      <c r="DN154" s="305"/>
      <c r="DO154" s="305"/>
      <c r="DP154" s="305"/>
      <c r="DQ154" s="305"/>
      <c r="DR154" s="305"/>
      <c r="DS154" s="305"/>
      <c r="DT154" s="305"/>
      <c r="DU154" s="305"/>
      <c r="DV154" s="305"/>
      <c r="DW154" s="558"/>
      <c r="DX154" s="558"/>
      <c r="DY154" s="558"/>
      <c r="DZ154" s="558"/>
      <c r="EA154" s="558"/>
      <c r="EB154" s="558"/>
      <c r="EC154" s="558"/>
      <c r="ED154" s="558"/>
      <c r="EE154" s="558"/>
      <c r="EF154" s="558"/>
      <c r="EG154" s="558"/>
      <c r="EH154" s="558"/>
      <c r="EI154" s="558"/>
      <c r="EJ154" s="558"/>
      <c r="EK154" s="558"/>
      <c r="EL154" s="558"/>
      <c r="EM154" s="558"/>
      <c r="EN154" s="558"/>
      <c r="EO154" s="558"/>
      <c r="EP154" s="558"/>
      <c r="EQ154" s="674"/>
      <c r="ER154" s="305"/>
    </row>
    <row r="155" spans="4:148" s="556" customFormat="1" x14ac:dyDescent="0.2">
      <c r="D155" s="110"/>
      <c r="O155" s="669"/>
      <c r="P155" s="670"/>
      <c r="Q155" s="670"/>
      <c r="S155" s="674"/>
      <c r="AA155" s="674"/>
      <c r="AF155" s="305"/>
      <c r="AG155" s="305"/>
      <c r="AH155" s="305"/>
      <c r="AI155" s="305"/>
      <c r="AJ155" s="305"/>
      <c r="AK155" s="305"/>
      <c r="AL155" s="305"/>
      <c r="AM155" s="305"/>
      <c r="AN155" s="305"/>
      <c r="AO155" s="305"/>
      <c r="AP155" s="305"/>
      <c r="AQ155" s="305"/>
      <c r="AR155" s="305"/>
      <c r="AS155" s="305"/>
      <c r="AT155" s="305"/>
      <c r="AU155" s="305"/>
      <c r="AV155" s="305"/>
      <c r="AW155" s="305"/>
      <c r="AX155" s="305"/>
      <c r="AY155" s="305"/>
      <c r="AZ155" s="305"/>
      <c r="BA155" s="305"/>
      <c r="BB155" s="305"/>
      <c r="BC155" s="305"/>
      <c r="BD155" s="305"/>
      <c r="BE155" s="305"/>
      <c r="BF155" s="305"/>
      <c r="BG155" s="305"/>
      <c r="BH155" s="305"/>
      <c r="BI155" s="305"/>
      <c r="BJ155" s="305"/>
      <c r="BK155" s="305"/>
      <c r="BL155" s="305"/>
      <c r="BM155" s="305"/>
      <c r="BN155" s="305"/>
      <c r="BO155" s="305"/>
      <c r="BP155" s="305"/>
      <c r="BQ155" s="305"/>
      <c r="BR155" s="305"/>
      <c r="BS155" s="305"/>
      <c r="BT155" s="305"/>
      <c r="BU155" s="305"/>
      <c r="BV155" s="305"/>
      <c r="BW155" s="305"/>
      <c r="BX155" s="305"/>
      <c r="BY155" s="305"/>
      <c r="BZ155" s="305"/>
      <c r="CA155" s="305"/>
      <c r="CB155" s="305"/>
      <c r="CC155" s="305"/>
      <c r="CD155" s="305"/>
      <c r="CE155" s="305"/>
      <c r="CF155" s="305"/>
      <c r="CG155" s="305"/>
      <c r="CH155" s="305"/>
      <c r="CI155" s="305"/>
      <c r="CJ155" s="305"/>
      <c r="CK155" s="305"/>
      <c r="CL155" s="305"/>
      <c r="CM155" s="305"/>
      <c r="CN155" s="305"/>
      <c r="CO155" s="305"/>
      <c r="CP155" s="305"/>
      <c r="CQ155" s="305"/>
      <c r="CR155" s="305"/>
      <c r="CS155" s="305"/>
      <c r="CT155" s="305"/>
      <c r="CU155" s="305"/>
      <c r="CV155" s="305"/>
      <c r="CW155" s="305"/>
      <c r="CX155" s="305"/>
      <c r="CY155" s="305"/>
      <c r="CZ155" s="305"/>
      <c r="DA155" s="305"/>
      <c r="DB155" s="305"/>
      <c r="DC155" s="305"/>
      <c r="DD155" s="305"/>
      <c r="DE155" s="305"/>
      <c r="DF155" s="305"/>
      <c r="DG155" s="305"/>
      <c r="DH155" s="305"/>
      <c r="DI155" s="305"/>
      <c r="DJ155" s="305"/>
      <c r="DK155" s="305"/>
      <c r="DL155" s="305"/>
      <c r="DM155" s="305"/>
      <c r="DN155" s="305"/>
      <c r="DO155" s="305"/>
      <c r="DP155" s="305"/>
      <c r="DQ155" s="305"/>
      <c r="DR155" s="305"/>
      <c r="DS155" s="305"/>
      <c r="DT155" s="305"/>
      <c r="DU155" s="305"/>
      <c r="DV155" s="305"/>
      <c r="DW155" s="558"/>
      <c r="DX155" s="558"/>
      <c r="DY155" s="558"/>
      <c r="DZ155" s="558"/>
      <c r="EA155" s="558"/>
      <c r="EB155" s="558"/>
      <c r="EC155" s="558"/>
      <c r="ED155" s="558"/>
      <c r="EE155" s="558"/>
      <c r="EF155" s="558"/>
      <c r="EG155" s="558"/>
      <c r="EH155" s="558"/>
      <c r="EI155" s="558"/>
      <c r="EJ155" s="558"/>
      <c r="EK155" s="558"/>
      <c r="EL155" s="558"/>
      <c r="EM155" s="558"/>
      <c r="EN155" s="558"/>
      <c r="EO155" s="558"/>
      <c r="EP155" s="558"/>
      <c r="EQ155" s="674"/>
      <c r="ER155" s="305"/>
    </row>
    <row r="156" spans="4:148" s="556" customFormat="1" x14ac:dyDescent="0.2">
      <c r="D156" s="110"/>
      <c r="O156" s="669"/>
      <c r="P156" s="670"/>
      <c r="Q156" s="670"/>
      <c r="S156" s="674"/>
      <c r="AA156" s="674"/>
      <c r="AF156" s="305"/>
      <c r="AG156" s="305"/>
      <c r="AH156" s="305"/>
      <c r="AI156" s="305"/>
      <c r="AJ156" s="305"/>
      <c r="AK156" s="305"/>
      <c r="AL156" s="305"/>
      <c r="AM156" s="305"/>
      <c r="AN156" s="305"/>
      <c r="AO156" s="305"/>
      <c r="AP156" s="305"/>
      <c r="AQ156" s="305"/>
      <c r="AR156" s="305"/>
      <c r="AS156" s="305"/>
      <c r="AT156" s="305"/>
      <c r="AU156" s="305"/>
      <c r="AV156" s="305"/>
      <c r="AW156" s="305"/>
      <c r="AX156" s="305"/>
      <c r="AY156" s="305"/>
      <c r="AZ156" s="305"/>
      <c r="BA156" s="305"/>
      <c r="BB156" s="305"/>
      <c r="BC156" s="305"/>
      <c r="BD156" s="305"/>
      <c r="BE156" s="305"/>
      <c r="BF156" s="305"/>
      <c r="BG156" s="305"/>
      <c r="BH156" s="305"/>
      <c r="BI156" s="305"/>
      <c r="BJ156" s="305"/>
      <c r="BK156" s="305"/>
      <c r="BL156" s="305"/>
      <c r="BM156" s="305"/>
      <c r="BN156" s="305"/>
      <c r="BO156" s="305"/>
      <c r="BP156" s="305"/>
      <c r="BQ156" s="305"/>
      <c r="BR156" s="305"/>
      <c r="BS156" s="305"/>
      <c r="BT156" s="305"/>
      <c r="BU156" s="305"/>
      <c r="BV156" s="305"/>
      <c r="BW156" s="305"/>
      <c r="BX156" s="305"/>
      <c r="BY156" s="305"/>
      <c r="BZ156" s="305"/>
      <c r="CA156" s="305"/>
      <c r="CB156" s="305"/>
      <c r="CC156" s="305"/>
      <c r="CD156" s="305"/>
      <c r="CE156" s="305"/>
      <c r="CF156" s="305"/>
      <c r="CG156" s="305"/>
      <c r="CH156" s="305"/>
      <c r="CI156" s="305"/>
      <c r="CJ156" s="305"/>
      <c r="CK156" s="305"/>
      <c r="CL156" s="305"/>
      <c r="CM156" s="305"/>
      <c r="CN156" s="305"/>
      <c r="CO156" s="305"/>
      <c r="CP156" s="305"/>
      <c r="CQ156" s="305"/>
      <c r="CR156" s="305"/>
      <c r="CS156" s="305"/>
      <c r="CT156" s="305"/>
      <c r="CU156" s="305"/>
      <c r="CV156" s="305"/>
      <c r="CW156" s="305"/>
      <c r="CX156" s="305"/>
      <c r="CY156" s="305"/>
      <c r="CZ156" s="305"/>
      <c r="DA156" s="305"/>
      <c r="DB156" s="305"/>
      <c r="DC156" s="305"/>
      <c r="DD156" s="305"/>
      <c r="DE156" s="305"/>
      <c r="DF156" s="305"/>
      <c r="DG156" s="305"/>
      <c r="DH156" s="305"/>
      <c r="DI156" s="305"/>
      <c r="DJ156" s="305"/>
      <c r="DK156" s="305"/>
      <c r="DL156" s="305"/>
      <c r="DM156" s="305"/>
      <c r="DN156" s="305"/>
      <c r="DO156" s="305"/>
      <c r="DP156" s="305"/>
      <c r="DQ156" s="305"/>
      <c r="DR156" s="305"/>
      <c r="DS156" s="305"/>
      <c r="DT156" s="305"/>
      <c r="DU156" s="305"/>
      <c r="DV156" s="305"/>
      <c r="DW156" s="558"/>
      <c r="DX156" s="558"/>
      <c r="DY156" s="558"/>
      <c r="DZ156" s="558"/>
      <c r="EA156" s="558"/>
      <c r="EB156" s="558"/>
      <c r="EC156" s="558"/>
      <c r="ED156" s="558"/>
      <c r="EE156" s="558"/>
      <c r="EF156" s="558"/>
      <c r="EG156" s="558"/>
      <c r="EH156" s="558"/>
      <c r="EI156" s="558"/>
      <c r="EJ156" s="558"/>
      <c r="EK156" s="558"/>
      <c r="EL156" s="558"/>
      <c r="EM156" s="558"/>
      <c r="EN156" s="558"/>
      <c r="EO156" s="558"/>
      <c r="EP156" s="558"/>
      <c r="EQ156" s="674"/>
      <c r="ER156" s="305"/>
    </row>
    <row r="157" spans="4:148" s="556" customFormat="1" x14ac:dyDescent="0.2">
      <c r="D157" s="110"/>
      <c r="O157" s="669"/>
      <c r="P157" s="670"/>
      <c r="Q157" s="670"/>
      <c r="S157" s="674"/>
      <c r="AA157" s="674"/>
      <c r="AF157" s="305"/>
      <c r="AG157" s="305"/>
      <c r="AH157" s="305"/>
      <c r="AI157" s="305"/>
      <c r="AJ157" s="305"/>
      <c r="AK157" s="305"/>
      <c r="AL157" s="305"/>
      <c r="AM157" s="305"/>
      <c r="AN157" s="305"/>
      <c r="AO157" s="305"/>
      <c r="AP157" s="305"/>
      <c r="AQ157" s="305"/>
      <c r="AR157" s="305"/>
      <c r="AS157" s="305"/>
      <c r="AT157" s="305"/>
      <c r="AU157" s="305"/>
      <c r="AV157" s="305"/>
      <c r="AW157" s="305"/>
      <c r="AX157" s="305"/>
      <c r="AY157" s="305"/>
      <c r="AZ157" s="305"/>
      <c r="BA157" s="305"/>
      <c r="BB157" s="305"/>
      <c r="BC157" s="305"/>
      <c r="BD157" s="305"/>
      <c r="BE157" s="305"/>
      <c r="BF157" s="305"/>
      <c r="BG157" s="305"/>
      <c r="BH157" s="305"/>
      <c r="BI157" s="305"/>
      <c r="BJ157" s="305"/>
      <c r="BK157" s="305"/>
      <c r="BL157" s="305"/>
      <c r="BM157" s="305"/>
      <c r="BN157" s="305"/>
      <c r="BO157" s="305"/>
      <c r="BP157" s="305"/>
      <c r="BQ157" s="305"/>
      <c r="BR157" s="305"/>
      <c r="BS157" s="305"/>
      <c r="BT157" s="305"/>
      <c r="BU157" s="305"/>
      <c r="BV157" s="305"/>
      <c r="BW157" s="305"/>
      <c r="BX157" s="305"/>
      <c r="BY157" s="305"/>
      <c r="BZ157" s="305"/>
      <c r="CA157" s="305"/>
      <c r="CB157" s="305"/>
      <c r="CC157" s="305"/>
      <c r="CD157" s="305"/>
      <c r="CE157" s="305"/>
      <c r="CF157" s="305"/>
      <c r="CG157" s="305"/>
      <c r="CH157" s="305"/>
      <c r="CI157" s="305"/>
      <c r="CJ157" s="305"/>
      <c r="CK157" s="305"/>
      <c r="CL157" s="305"/>
      <c r="CM157" s="305"/>
      <c r="CN157" s="305"/>
      <c r="CO157" s="305"/>
      <c r="CP157" s="305"/>
      <c r="CQ157" s="305"/>
      <c r="CR157" s="305"/>
      <c r="CS157" s="305"/>
      <c r="CT157" s="305"/>
      <c r="CU157" s="305"/>
      <c r="CV157" s="305"/>
      <c r="CW157" s="305"/>
      <c r="CX157" s="305"/>
      <c r="CY157" s="305"/>
      <c r="CZ157" s="305"/>
      <c r="DA157" s="305"/>
      <c r="DB157" s="305"/>
      <c r="DC157" s="305"/>
      <c r="DD157" s="305"/>
      <c r="DE157" s="305"/>
      <c r="DF157" s="305"/>
      <c r="DG157" s="305"/>
      <c r="DH157" s="305"/>
      <c r="DI157" s="305"/>
      <c r="DJ157" s="305"/>
      <c r="DK157" s="305"/>
      <c r="DL157" s="305"/>
      <c r="DM157" s="305"/>
      <c r="DN157" s="305"/>
      <c r="DO157" s="305"/>
      <c r="DP157" s="305"/>
      <c r="DQ157" s="305"/>
      <c r="DR157" s="305"/>
      <c r="DS157" s="305"/>
      <c r="DT157" s="305"/>
      <c r="DU157" s="305"/>
      <c r="DV157" s="305"/>
      <c r="DW157" s="558"/>
      <c r="DX157" s="558"/>
      <c r="DY157" s="558"/>
      <c r="DZ157" s="558"/>
      <c r="EA157" s="558"/>
      <c r="EB157" s="558"/>
      <c r="EC157" s="558"/>
      <c r="ED157" s="558"/>
      <c r="EE157" s="558"/>
      <c r="EF157" s="558"/>
      <c r="EG157" s="558"/>
      <c r="EH157" s="558"/>
      <c r="EI157" s="558"/>
      <c r="EJ157" s="558"/>
      <c r="EK157" s="558"/>
      <c r="EL157" s="558"/>
      <c r="EM157" s="558"/>
      <c r="EN157" s="558"/>
      <c r="EO157" s="558"/>
      <c r="EP157" s="558"/>
      <c r="EQ157" s="674"/>
      <c r="ER157" s="305"/>
    </row>
    <row r="158" spans="4:148" s="556" customFormat="1" x14ac:dyDescent="0.2">
      <c r="D158" s="110"/>
      <c r="O158" s="669"/>
      <c r="P158" s="670"/>
      <c r="Q158" s="670"/>
      <c r="S158" s="674"/>
      <c r="AA158" s="674"/>
      <c r="AF158" s="305"/>
      <c r="AG158" s="305"/>
      <c r="AH158" s="305"/>
      <c r="AI158" s="305"/>
      <c r="AJ158" s="305"/>
      <c r="AK158" s="305"/>
      <c r="AL158" s="305"/>
      <c r="AM158" s="305"/>
      <c r="AN158" s="305"/>
      <c r="AO158" s="305"/>
      <c r="AP158" s="305"/>
      <c r="AQ158" s="305"/>
      <c r="AR158" s="305"/>
      <c r="AS158" s="305"/>
      <c r="AT158" s="305"/>
      <c r="AU158" s="305"/>
      <c r="AV158" s="305"/>
      <c r="AW158" s="305"/>
      <c r="AX158" s="305"/>
      <c r="AY158" s="305"/>
      <c r="AZ158" s="305"/>
      <c r="BA158" s="305"/>
      <c r="BB158" s="305"/>
      <c r="BC158" s="305"/>
      <c r="BD158" s="305"/>
      <c r="BE158" s="305"/>
      <c r="BF158" s="305"/>
      <c r="BG158" s="305"/>
      <c r="BH158" s="305"/>
      <c r="BI158" s="305"/>
      <c r="BJ158" s="305"/>
      <c r="BK158" s="305"/>
      <c r="BL158" s="305"/>
      <c r="BM158" s="305"/>
      <c r="BN158" s="305"/>
      <c r="BO158" s="305"/>
      <c r="BP158" s="305"/>
      <c r="BQ158" s="305"/>
      <c r="BR158" s="305"/>
      <c r="BS158" s="305"/>
      <c r="BT158" s="305"/>
      <c r="BU158" s="305"/>
      <c r="BV158" s="305"/>
      <c r="BW158" s="305"/>
      <c r="BX158" s="305"/>
      <c r="BY158" s="305"/>
      <c r="BZ158" s="305"/>
      <c r="CA158" s="305"/>
      <c r="CB158" s="305"/>
      <c r="CC158" s="305"/>
      <c r="CD158" s="305"/>
      <c r="CE158" s="305"/>
      <c r="CF158" s="305"/>
      <c r="CG158" s="305"/>
      <c r="CH158" s="305"/>
      <c r="CI158" s="305"/>
      <c r="CJ158" s="305"/>
      <c r="CK158" s="305"/>
      <c r="CL158" s="305"/>
      <c r="CM158" s="305"/>
      <c r="CN158" s="305"/>
      <c r="CO158" s="305"/>
      <c r="CP158" s="305"/>
      <c r="CQ158" s="305"/>
      <c r="CR158" s="305"/>
      <c r="CS158" s="305"/>
      <c r="CT158" s="305"/>
      <c r="CU158" s="305"/>
      <c r="CV158" s="305"/>
      <c r="CW158" s="305"/>
      <c r="CX158" s="305"/>
      <c r="CY158" s="305"/>
      <c r="CZ158" s="305"/>
      <c r="DA158" s="305"/>
      <c r="DB158" s="305"/>
      <c r="DC158" s="305"/>
      <c r="DD158" s="305"/>
      <c r="DE158" s="305"/>
      <c r="DF158" s="305"/>
      <c r="DG158" s="305"/>
      <c r="DH158" s="305"/>
      <c r="DI158" s="305"/>
      <c r="DJ158" s="305"/>
      <c r="DK158" s="305"/>
      <c r="DL158" s="305"/>
      <c r="DM158" s="305"/>
      <c r="DN158" s="305"/>
      <c r="DO158" s="305"/>
      <c r="DP158" s="305"/>
      <c r="DQ158" s="305"/>
      <c r="DR158" s="305"/>
      <c r="DS158" s="305"/>
      <c r="DT158" s="305"/>
      <c r="DU158" s="305"/>
      <c r="DV158" s="305"/>
      <c r="DW158" s="558"/>
      <c r="DX158" s="558"/>
      <c r="DY158" s="558"/>
      <c r="DZ158" s="558"/>
      <c r="EA158" s="558"/>
      <c r="EB158" s="558"/>
      <c r="EC158" s="558"/>
      <c r="ED158" s="558"/>
      <c r="EE158" s="558"/>
      <c r="EF158" s="558"/>
      <c r="EG158" s="558"/>
      <c r="EH158" s="558"/>
      <c r="EI158" s="558"/>
      <c r="EJ158" s="558"/>
      <c r="EK158" s="558"/>
      <c r="EL158" s="558"/>
      <c r="EM158" s="558"/>
      <c r="EN158" s="558"/>
      <c r="EO158" s="558"/>
      <c r="EP158" s="558"/>
      <c r="EQ158" s="674"/>
      <c r="ER158" s="305"/>
    </row>
    <row r="159" spans="4:148" s="556" customFormat="1" x14ac:dyDescent="0.2">
      <c r="D159" s="110"/>
      <c r="O159" s="669"/>
      <c r="P159" s="670"/>
      <c r="Q159" s="670"/>
      <c r="S159" s="674"/>
      <c r="AA159" s="674"/>
      <c r="AF159" s="305"/>
      <c r="AG159" s="305"/>
      <c r="AH159" s="305"/>
      <c r="AI159" s="305"/>
      <c r="AJ159" s="305"/>
      <c r="AK159" s="305"/>
      <c r="AL159" s="305"/>
      <c r="AM159" s="305"/>
      <c r="AN159" s="305"/>
      <c r="AO159" s="305"/>
      <c r="AP159" s="305"/>
      <c r="AQ159" s="305"/>
      <c r="AR159" s="305"/>
      <c r="AS159" s="305"/>
      <c r="AT159" s="305"/>
      <c r="AU159" s="305"/>
      <c r="AV159" s="305"/>
      <c r="AW159" s="305"/>
      <c r="AX159" s="305"/>
      <c r="AY159" s="305"/>
      <c r="AZ159" s="305"/>
      <c r="BA159" s="305"/>
      <c r="BB159" s="305"/>
      <c r="BC159" s="305"/>
      <c r="BD159" s="305"/>
      <c r="BE159" s="305"/>
      <c r="BF159" s="305"/>
      <c r="BG159" s="305"/>
      <c r="BH159" s="305"/>
      <c r="BI159" s="305"/>
      <c r="BJ159" s="305"/>
      <c r="BK159" s="305"/>
      <c r="BL159" s="305"/>
      <c r="BM159" s="305"/>
      <c r="BN159" s="305"/>
      <c r="BO159" s="305"/>
      <c r="BP159" s="305"/>
      <c r="BQ159" s="305"/>
      <c r="BR159" s="305"/>
      <c r="BS159" s="305"/>
      <c r="BT159" s="305"/>
      <c r="BU159" s="305"/>
      <c r="BV159" s="305"/>
      <c r="BW159" s="305"/>
      <c r="BX159" s="305"/>
      <c r="BY159" s="305"/>
      <c r="BZ159" s="305"/>
      <c r="CA159" s="305"/>
      <c r="CB159" s="305"/>
      <c r="CC159" s="305"/>
      <c r="CD159" s="305"/>
      <c r="CE159" s="305"/>
      <c r="CF159" s="305"/>
      <c r="CG159" s="305"/>
      <c r="CH159" s="305"/>
      <c r="CI159" s="305"/>
      <c r="CJ159" s="305"/>
      <c r="CK159" s="305"/>
      <c r="CL159" s="305"/>
      <c r="CM159" s="305"/>
      <c r="CN159" s="305"/>
      <c r="CO159" s="305"/>
      <c r="CP159" s="305"/>
      <c r="CQ159" s="305"/>
      <c r="CR159" s="305"/>
      <c r="CS159" s="305"/>
      <c r="CT159" s="305"/>
      <c r="CU159" s="305"/>
      <c r="CV159" s="305"/>
      <c r="CW159" s="305"/>
      <c r="CX159" s="305"/>
      <c r="CY159" s="305"/>
      <c r="CZ159" s="305"/>
      <c r="DA159" s="305"/>
      <c r="DB159" s="305"/>
      <c r="DC159" s="305"/>
      <c r="DD159" s="305"/>
      <c r="DE159" s="305"/>
      <c r="DF159" s="305"/>
      <c r="DG159" s="305"/>
      <c r="DH159" s="305"/>
      <c r="DI159" s="305"/>
      <c r="DJ159" s="305"/>
      <c r="DK159" s="305"/>
      <c r="DL159" s="305"/>
      <c r="DM159" s="305"/>
      <c r="DN159" s="305"/>
      <c r="DO159" s="305"/>
      <c r="DP159" s="305"/>
      <c r="DQ159" s="305"/>
      <c r="DR159" s="305"/>
      <c r="DS159" s="305"/>
      <c r="DT159" s="305"/>
      <c r="DU159" s="305"/>
      <c r="DV159" s="305"/>
      <c r="DW159" s="558"/>
      <c r="DX159" s="558"/>
      <c r="DY159" s="558"/>
      <c r="DZ159" s="558"/>
      <c r="EA159" s="558"/>
      <c r="EB159" s="558"/>
      <c r="EC159" s="558"/>
      <c r="ED159" s="558"/>
      <c r="EE159" s="558"/>
      <c r="EF159" s="558"/>
      <c r="EG159" s="558"/>
      <c r="EH159" s="558"/>
      <c r="EI159" s="558"/>
      <c r="EJ159" s="558"/>
      <c r="EK159" s="558"/>
      <c r="EL159" s="558"/>
      <c r="EM159" s="558"/>
      <c r="EN159" s="558"/>
      <c r="EO159" s="558"/>
      <c r="EP159" s="558"/>
      <c r="EQ159" s="674"/>
      <c r="ER159" s="305"/>
    </row>
    <row r="160" spans="4:148" s="556" customFormat="1" x14ac:dyDescent="0.2">
      <c r="D160" s="110"/>
      <c r="O160" s="669"/>
      <c r="P160" s="670"/>
      <c r="Q160" s="670"/>
      <c r="S160" s="674"/>
      <c r="AA160" s="674"/>
      <c r="AF160" s="305"/>
      <c r="AG160" s="305"/>
      <c r="AH160" s="305"/>
      <c r="AI160" s="305"/>
      <c r="AJ160" s="305"/>
      <c r="AK160" s="305"/>
      <c r="AL160" s="305"/>
      <c r="AM160" s="305"/>
      <c r="AN160" s="305"/>
      <c r="AO160" s="305"/>
      <c r="AP160" s="305"/>
      <c r="AQ160" s="305"/>
      <c r="AR160" s="305"/>
      <c r="AS160" s="305"/>
      <c r="AT160" s="305"/>
      <c r="AU160" s="305"/>
      <c r="AV160" s="305"/>
      <c r="AW160" s="305"/>
      <c r="AX160" s="305"/>
      <c r="AY160" s="305"/>
      <c r="AZ160" s="305"/>
      <c r="BA160" s="305"/>
      <c r="BB160" s="305"/>
      <c r="BC160" s="305"/>
      <c r="BD160" s="305"/>
      <c r="BE160" s="305"/>
      <c r="BF160" s="305"/>
      <c r="BG160" s="305"/>
      <c r="BH160" s="305"/>
      <c r="BI160" s="305"/>
      <c r="BJ160" s="305"/>
      <c r="BK160" s="305"/>
      <c r="BL160" s="305"/>
      <c r="BM160" s="305"/>
      <c r="BN160" s="305"/>
      <c r="BO160" s="305"/>
      <c r="BP160" s="305"/>
      <c r="BQ160" s="305"/>
      <c r="BR160" s="305"/>
      <c r="BS160" s="305"/>
      <c r="BT160" s="305"/>
      <c r="BU160" s="305"/>
      <c r="BV160" s="305"/>
      <c r="BW160" s="305"/>
      <c r="BX160" s="305"/>
      <c r="BY160" s="305"/>
      <c r="BZ160" s="305"/>
      <c r="CA160" s="305"/>
      <c r="CB160" s="305"/>
      <c r="CC160" s="305"/>
      <c r="CD160" s="305"/>
      <c r="CE160" s="305"/>
      <c r="CF160" s="305"/>
      <c r="CG160" s="305"/>
      <c r="CH160" s="305"/>
      <c r="CI160" s="305"/>
      <c r="CJ160" s="305"/>
      <c r="CK160" s="305"/>
      <c r="CL160" s="305"/>
      <c r="CM160" s="305"/>
      <c r="CN160" s="305"/>
      <c r="CO160" s="305"/>
      <c r="CP160" s="305"/>
      <c r="CQ160" s="305"/>
      <c r="CR160" s="305"/>
      <c r="CS160" s="305"/>
      <c r="CT160" s="305"/>
      <c r="CU160" s="305"/>
      <c r="CV160" s="305"/>
      <c r="CW160" s="305"/>
      <c r="CX160" s="305"/>
      <c r="CY160" s="305"/>
      <c r="CZ160" s="305"/>
      <c r="DA160" s="305"/>
      <c r="DB160" s="305"/>
      <c r="DC160" s="305"/>
      <c r="DD160" s="305"/>
      <c r="DE160" s="305"/>
      <c r="DF160" s="305"/>
      <c r="DG160" s="305"/>
      <c r="DH160" s="305"/>
      <c r="DI160" s="305"/>
      <c r="DJ160" s="305"/>
      <c r="DK160" s="305"/>
      <c r="DL160" s="305"/>
      <c r="DM160" s="305"/>
      <c r="DN160" s="305"/>
      <c r="DO160" s="305"/>
      <c r="DP160" s="305"/>
      <c r="DQ160" s="305"/>
      <c r="DR160" s="305"/>
      <c r="DS160" s="305"/>
      <c r="DT160" s="305"/>
      <c r="DU160" s="305"/>
      <c r="DV160" s="305"/>
      <c r="DW160" s="558"/>
      <c r="DX160" s="558"/>
      <c r="DY160" s="558"/>
      <c r="DZ160" s="558"/>
      <c r="EA160" s="558"/>
      <c r="EB160" s="558"/>
      <c r="EC160" s="558"/>
      <c r="ED160" s="558"/>
      <c r="EE160" s="558"/>
      <c r="EF160" s="558"/>
      <c r="EG160" s="558"/>
      <c r="EH160" s="558"/>
      <c r="EI160" s="558"/>
      <c r="EJ160" s="558"/>
      <c r="EK160" s="558"/>
      <c r="EL160" s="558"/>
      <c r="EM160" s="558"/>
      <c r="EN160" s="558"/>
      <c r="EO160" s="558"/>
      <c r="EP160" s="558"/>
      <c r="EQ160" s="674"/>
      <c r="ER160" s="305"/>
    </row>
    <row r="161" spans="4:148" s="556" customFormat="1" x14ac:dyDescent="0.2">
      <c r="D161" s="110"/>
      <c r="O161" s="669"/>
      <c r="P161" s="670"/>
      <c r="Q161" s="670"/>
      <c r="S161" s="674"/>
      <c r="AA161" s="674"/>
      <c r="AF161" s="305"/>
      <c r="AG161" s="305"/>
      <c r="AH161" s="305"/>
      <c r="AI161" s="305"/>
      <c r="AJ161" s="305"/>
      <c r="AK161" s="305"/>
      <c r="AL161" s="305"/>
      <c r="AM161" s="305"/>
      <c r="AN161" s="305"/>
      <c r="AO161" s="305"/>
      <c r="AP161" s="305"/>
      <c r="AQ161" s="305"/>
      <c r="AR161" s="305"/>
      <c r="AS161" s="305"/>
      <c r="AT161" s="305"/>
      <c r="AU161" s="305"/>
      <c r="AV161" s="305"/>
      <c r="AW161" s="305"/>
      <c r="AX161" s="305"/>
      <c r="AY161" s="305"/>
      <c r="AZ161" s="305"/>
      <c r="BA161" s="305"/>
      <c r="BB161" s="305"/>
      <c r="BC161" s="305"/>
      <c r="BD161" s="305"/>
      <c r="BE161" s="305"/>
      <c r="BF161" s="305"/>
      <c r="BG161" s="305"/>
      <c r="BH161" s="305"/>
      <c r="BI161" s="305"/>
      <c r="BJ161" s="305"/>
      <c r="BK161" s="305"/>
      <c r="BL161" s="305"/>
      <c r="BM161" s="305"/>
      <c r="BN161" s="305"/>
      <c r="BO161" s="305"/>
      <c r="BP161" s="305"/>
      <c r="BQ161" s="305"/>
      <c r="BR161" s="305"/>
      <c r="BS161" s="305"/>
      <c r="BT161" s="305"/>
      <c r="BU161" s="305"/>
      <c r="BV161" s="305"/>
      <c r="BW161" s="305"/>
      <c r="BX161" s="305"/>
      <c r="BY161" s="305"/>
      <c r="BZ161" s="305"/>
      <c r="CA161" s="305"/>
      <c r="CB161" s="305"/>
      <c r="CC161" s="305"/>
      <c r="CD161" s="305"/>
      <c r="CE161" s="305"/>
      <c r="CF161" s="305"/>
      <c r="CG161" s="305"/>
      <c r="CH161" s="305"/>
      <c r="CI161" s="305"/>
      <c r="CJ161" s="305"/>
      <c r="CK161" s="305"/>
      <c r="CL161" s="305"/>
      <c r="CM161" s="305"/>
      <c r="CN161" s="305"/>
      <c r="CO161" s="305"/>
      <c r="CP161" s="305"/>
      <c r="CQ161" s="305"/>
      <c r="CR161" s="305"/>
      <c r="CS161" s="305"/>
      <c r="CT161" s="305"/>
      <c r="CU161" s="305"/>
      <c r="CV161" s="305"/>
      <c r="CW161" s="305"/>
      <c r="CX161" s="305"/>
      <c r="CY161" s="305"/>
      <c r="CZ161" s="305"/>
      <c r="DA161" s="305"/>
      <c r="DB161" s="305"/>
      <c r="DC161" s="305"/>
      <c r="DD161" s="305"/>
      <c r="DE161" s="305"/>
      <c r="DF161" s="305"/>
      <c r="DG161" s="305"/>
      <c r="DH161" s="305"/>
      <c r="DI161" s="305"/>
      <c r="DJ161" s="305"/>
      <c r="DK161" s="305"/>
      <c r="DL161" s="305"/>
      <c r="DM161" s="305"/>
      <c r="DN161" s="305"/>
      <c r="DO161" s="305"/>
      <c r="DP161" s="305"/>
      <c r="DQ161" s="305"/>
      <c r="DR161" s="305"/>
      <c r="DS161" s="305"/>
      <c r="DT161" s="305"/>
      <c r="DU161" s="305"/>
      <c r="DV161" s="305"/>
      <c r="DW161" s="558"/>
      <c r="DX161" s="558"/>
      <c r="DY161" s="558"/>
      <c r="DZ161" s="558"/>
      <c r="EA161" s="558"/>
      <c r="EB161" s="558"/>
      <c r="EC161" s="558"/>
      <c r="ED161" s="558"/>
      <c r="EE161" s="558"/>
      <c r="EF161" s="558"/>
      <c r="EG161" s="558"/>
      <c r="EH161" s="558"/>
      <c r="EI161" s="558"/>
      <c r="EJ161" s="558"/>
      <c r="EK161" s="558"/>
      <c r="EL161" s="558"/>
      <c r="EM161" s="558"/>
      <c r="EN161" s="558"/>
      <c r="EO161" s="558"/>
      <c r="EP161" s="558"/>
      <c r="EQ161" s="674"/>
      <c r="ER161" s="305"/>
    </row>
    <row r="162" spans="4:148" s="556" customFormat="1" x14ac:dyDescent="0.2">
      <c r="D162" s="110"/>
      <c r="O162" s="669"/>
      <c r="P162" s="670"/>
      <c r="Q162" s="670"/>
      <c r="S162" s="674"/>
      <c r="AA162" s="674"/>
      <c r="AF162" s="305"/>
      <c r="AG162" s="305"/>
      <c r="AH162" s="305"/>
      <c r="AI162" s="305"/>
      <c r="AJ162" s="305"/>
      <c r="AK162" s="305"/>
      <c r="AL162" s="305"/>
      <c r="AM162" s="305"/>
      <c r="AN162" s="305"/>
      <c r="AO162" s="305"/>
      <c r="AP162" s="305"/>
      <c r="AQ162" s="305"/>
      <c r="AR162" s="305"/>
      <c r="AS162" s="305"/>
      <c r="AT162" s="305"/>
      <c r="AU162" s="305"/>
      <c r="AV162" s="305"/>
      <c r="AW162" s="305"/>
      <c r="AX162" s="305"/>
      <c r="AY162" s="305"/>
      <c r="AZ162" s="305"/>
      <c r="BA162" s="305"/>
      <c r="BB162" s="305"/>
      <c r="BC162" s="305"/>
      <c r="BD162" s="305"/>
      <c r="BE162" s="305"/>
      <c r="BF162" s="305"/>
      <c r="BG162" s="305"/>
      <c r="BH162" s="305"/>
      <c r="BI162" s="305"/>
      <c r="BJ162" s="305"/>
      <c r="BK162" s="305"/>
      <c r="BL162" s="305"/>
      <c r="BM162" s="305"/>
      <c r="BN162" s="305"/>
      <c r="BO162" s="305"/>
      <c r="BP162" s="305"/>
      <c r="BQ162" s="305"/>
      <c r="BR162" s="305"/>
      <c r="BS162" s="305"/>
      <c r="BT162" s="305"/>
      <c r="BU162" s="305"/>
      <c r="BV162" s="305"/>
      <c r="BW162" s="305"/>
      <c r="BX162" s="305"/>
      <c r="BY162" s="305"/>
      <c r="BZ162" s="305"/>
      <c r="CA162" s="305"/>
      <c r="CB162" s="305"/>
      <c r="CC162" s="305"/>
      <c r="CD162" s="305"/>
      <c r="CE162" s="305"/>
      <c r="CF162" s="305"/>
      <c r="CG162" s="305"/>
      <c r="CH162" s="305"/>
      <c r="CI162" s="305"/>
      <c r="CJ162" s="305"/>
      <c r="CK162" s="305"/>
      <c r="CL162" s="305"/>
      <c r="CM162" s="305"/>
      <c r="CN162" s="305"/>
      <c r="CO162" s="305"/>
      <c r="CP162" s="305"/>
      <c r="CQ162" s="305"/>
      <c r="CR162" s="305"/>
      <c r="CS162" s="305"/>
      <c r="CT162" s="305"/>
      <c r="CU162" s="305"/>
      <c r="CV162" s="305"/>
      <c r="CW162" s="305"/>
      <c r="CX162" s="305"/>
      <c r="CY162" s="305"/>
      <c r="CZ162" s="305"/>
      <c r="DA162" s="305"/>
      <c r="DB162" s="305"/>
      <c r="DC162" s="305"/>
      <c r="DD162" s="305"/>
      <c r="DE162" s="305"/>
      <c r="DF162" s="305"/>
      <c r="DG162" s="305"/>
      <c r="DH162" s="305"/>
      <c r="DI162" s="305"/>
      <c r="DJ162" s="305"/>
      <c r="DK162" s="305"/>
      <c r="DL162" s="305"/>
      <c r="DM162" s="305"/>
      <c r="DN162" s="305"/>
      <c r="DO162" s="305"/>
      <c r="DP162" s="305"/>
      <c r="DQ162" s="305"/>
      <c r="DR162" s="305"/>
      <c r="DS162" s="305"/>
      <c r="DT162" s="305"/>
      <c r="DU162" s="305"/>
      <c r="DV162" s="305"/>
      <c r="DW162" s="558"/>
      <c r="DX162" s="558"/>
      <c r="DY162" s="558"/>
      <c r="DZ162" s="558"/>
      <c r="EA162" s="558"/>
      <c r="EB162" s="558"/>
      <c r="EC162" s="558"/>
      <c r="ED162" s="558"/>
      <c r="EE162" s="558"/>
      <c r="EF162" s="558"/>
      <c r="EG162" s="558"/>
      <c r="EH162" s="558"/>
      <c r="EI162" s="558"/>
      <c r="EJ162" s="558"/>
      <c r="EK162" s="558"/>
      <c r="EL162" s="558"/>
      <c r="EM162" s="558"/>
      <c r="EN162" s="558"/>
      <c r="EO162" s="558"/>
      <c r="EP162" s="558"/>
      <c r="EQ162" s="674"/>
      <c r="ER162" s="305"/>
    </row>
    <row r="163" spans="4:148" s="556" customFormat="1" x14ac:dyDescent="0.2">
      <c r="D163" s="110"/>
      <c r="O163" s="669"/>
      <c r="P163" s="670"/>
      <c r="Q163" s="670"/>
      <c r="S163" s="674"/>
      <c r="AA163" s="674"/>
      <c r="AF163" s="305"/>
      <c r="AG163" s="305"/>
      <c r="AH163" s="305"/>
      <c r="AI163" s="305"/>
      <c r="AJ163" s="305"/>
      <c r="AK163" s="305"/>
      <c r="AL163" s="305"/>
      <c r="AM163" s="305"/>
      <c r="AN163" s="305"/>
      <c r="AO163" s="305"/>
      <c r="AP163" s="305"/>
      <c r="AQ163" s="305"/>
      <c r="AR163" s="305"/>
      <c r="AS163" s="305"/>
      <c r="AT163" s="305"/>
      <c r="AU163" s="305"/>
      <c r="AV163" s="305"/>
      <c r="AW163" s="305"/>
      <c r="AX163" s="305"/>
      <c r="AY163" s="305"/>
      <c r="AZ163" s="305"/>
      <c r="BA163" s="305"/>
      <c r="BB163" s="305"/>
      <c r="BC163" s="305"/>
      <c r="BD163" s="305"/>
      <c r="BE163" s="305"/>
      <c r="BF163" s="305"/>
      <c r="BG163" s="305"/>
      <c r="BH163" s="305"/>
      <c r="BI163" s="305"/>
      <c r="BJ163" s="305"/>
      <c r="BK163" s="305"/>
      <c r="BL163" s="305"/>
      <c r="BM163" s="305"/>
      <c r="BN163" s="305"/>
      <c r="BO163" s="305"/>
      <c r="BP163" s="305"/>
      <c r="BQ163" s="305"/>
      <c r="BR163" s="305"/>
      <c r="BS163" s="305"/>
      <c r="BT163" s="305"/>
      <c r="BU163" s="305"/>
      <c r="BV163" s="305"/>
      <c r="BW163" s="305"/>
      <c r="BX163" s="305"/>
      <c r="BY163" s="305"/>
      <c r="BZ163" s="305"/>
      <c r="CA163" s="305"/>
      <c r="CB163" s="305"/>
      <c r="CC163" s="305"/>
      <c r="CD163" s="305"/>
      <c r="CE163" s="305"/>
      <c r="CF163" s="305"/>
      <c r="CG163" s="305"/>
      <c r="CH163" s="305"/>
      <c r="CI163" s="305"/>
      <c r="CJ163" s="305"/>
      <c r="CK163" s="305"/>
      <c r="CL163" s="305"/>
      <c r="CM163" s="305"/>
      <c r="CN163" s="305"/>
      <c r="CO163" s="305"/>
      <c r="CP163" s="305"/>
      <c r="CQ163" s="305"/>
      <c r="CR163" s="305"/>
      <c r="CS163" s="305"/>
      <c r="CT163" s="305"/>
      <c r="CU163" s="305"/>
      <c r="CV163" s="305"/>
      <c r="CW163" s="305"/>
      <c r="CX163" s="305"/>
      <c r="CY163" s="305"/>
      <c r="CZ163" s="305"/>
      <c r="DA163" s="305"/>
      <c r="DB163" s="305"/>
      <c r="DC163" s="305"/>
      <c r="DD163" s="305"/>
      <c r="DE163" s="305"/>
      <c r="DF163" s="305"/>
      <c r="DG163" s="305"/>
      <c r="DH163" s="305"/>
      <c r="DI163" s="305"/>
      <c r="DJ163" s="305"/>
      <c r="DK163" s="305"/>
      <c r="DL163" s="305"/>
      <c r="DM163" s="305"/>
      <c r="DN163" s="305"/>
      <c r="DO163" s="305"/>
      <c r="DP163" s="305"/>
      <c r="DQ163" s="305"/>
      <c r="DR163" s="305"/>
      <c r="DS163" s="305"/>
      <c r="DT163" s="305"/>
      <c r="DU163" s="305"/>
      <c r="DV163" s="305"/>
      <c r="DW163" s="558"/>
      <c r="DX163" s="558"/>
      <c r="DY163" s="558"/>
      <c r="DZ163" s="558"/>
      <c r="EA163" s="558"/>
      <c r="EB163" s="558"/>
      <c r="EC163" s="558"/>
      <c r="ED163" s="558"/>
      <c r="EE163" s="558"/>
      <c r="EF163" s="558"/>
      <c r="EG163" s="558"/>
      <c r="EH163" s="558"/>
      <c r="EI163" s="558"/>
      <c r="EJ163" s="558"/>
      <c r="EK163" s="558"/>
      <c r="EL163" s="558"/>
      <c r="EM163" s="558"/>
      <c r="EN163" s="558"/>
      <c r="EO163" s="558"/>
      <c r="EP163" s="558"/>
      <c r="EQ163" s="674"/>
      <c r="ER163" s="305"/>
    </row>
    <row r="164" spans="4:148" s="556" customFormat="1" x14ac:dyDescent="0.2">
      <c r="D164" s="110"/>
      <c r="O164" s="669"/>
      <c r="P164" s="670"/>
      <c r="Q164" s="670"/>
      <c r="S164" s="674"/>
      <c r="AA164" s="674"/>
      <c r="AF164" s="305"/>
      <c r="AG164" s="305"/>
      <c r="AH164" s="305"/>
      <c r="AI164" s="305"/>
      <c r="AJ164" s="305"/>
      <c r="AK164" s="305"/>
      <c r="AL164" s="305"/>
      <c r="AM164" s="305"/>
      <c r="AN164" s="305"/>
      <c r="AO164" s="305"/>
      <c r="AP164" s="305"/>
      <c r="AQ164" s="305"/>
      <c r="AR164" s="305"/>
      <c r="AS164" s="305"/>
      <c r="AT164" s="305"/>
      <c r="AU164" s="305"/>
      <c r="AV164" s="305"/>
      <c r="AW164" s="305"/>
      <c r="AX164" s="305"/>
      <c r="AY164" s="305"/>
      <c r="AZ164" s="305"/>
      <c r="BA164" s="305"/>
      <c r="BB164" s="305"/>
      <c r="BC164" s="305"/>
      <c r="BD164" s="305"/>
      <c r="BE164" s="305"/>
      <c r="BF164" s="305"/>
      <c r="BG164" s="305"/>
      <c r="BH164" s="305"/>
      <c r="BI164" s="305"/>
      <c r="BJ164" s="305"/>
      <c r="BK164" s="305"/>
      <c r="BL164" s="305"/>
      <c r="BM164" s="305"/>
      <c r="BN164" s="305"/>
      <c r="BO164" s="305"/>
      <c r="BP164" s="305"/>
      <c r="BQ164" s="305"/>
      <c r="BR164" s="305"/>
      <c r="BS164" s="305"/>
      <c r="BT164" s="305"/>
      <c r="BU164" s="305"/>
      <c r="BV164" s="305"/>
      <c r="BW164" s="305"/>
      <c r="BX164" s="305"/>
      <c r="BY164" s="305"/>
      <c r="BZ164" s="305"/>
      <c r="CA164" s="305"/>
      <c r="CB164" s="305"/>
      <c r="CC164" s="305"/>
      <c r="CD164" s="305"/>
      <c r="CE164" s="305"/>
      <c r="CF164" s="305"/>
      <c r="CG164" s="305"/>
      <c r="CH164" s="305"/>
      <c r="CI164" s="305"/>
      <c r="CJ164" s="305"/>
      <c r="CK164" s="305"/>
      <c r="CL164" s="305"/>
      <c r="CM164" s="305"/>
      <c r="CN164" s="305"/>
      <c r="CO164" s="305"/>
      <c r="CP164" s="305"/>
      <c r="CQ164" s="305"/>
      <c r="CR164" s="305"/>
      <c r="CS164" s="305"/>
      <c r="CT164" s="305"/>
      <c r="CU164" s="305"/>
      <c r="CV164" s="305"/>
      <c r="CW164" s="305"/>
      <c r="CX164" s="305"/>
      <c r="CY164" s="305"/>
      <c r="CZ164" s="305"/>
      <c r="DA164" s="305"/>
      <c r="DB164" s="305"/>
      <c r="DC164" s="305"/>
      <c r="DD164" s="305"/>
      <c r="DE164" s="305"/>
      <c r="DF164" s="305"/>
      <c r="DG164" s="305"/>
      <c r="DH164" s="305"/>
      <c r="DI164" s="305"/>
      <c r="DJ164" s="305"/>
      <c r="DK164" s="305"/>
      <c r="DL164" s="305"/>
      <c r="DM164" s="305"/>
      <c r="DN164" s="305"/>
      <c r="DO164" s="305"/>
      <c r="DP164" s="305"/>
      <c r="DQ164" s="305"/>
      <c r="DR164" s="305"/>
      <c r="DS164" s="305"/>
      <c r="DT164" s="305"/>
      <c r="DU164" s="305"/>
      <c r="DV164" s="305"/>
      <c r="DW164" s="558"/>
      <c r="DX164" s="558"/>
      <c r="DY164" s="558"/>
      <c r="DZ164" s="558"/>
      <c r="EA164" s="558"/>
      <c r="EB164" s="558"/>
      <c r="EC164" s="558"/>
      <c r="ED164" s="558"/>
      <c r="EE164" s="558"/>
      <c r="EF164" s="558"/>
      <c r="EG164" s="558"/>
      <c r="EH164" s="558"/>
      <c r="EI164" s="558"/>
      <c r="EJ164" s="558"/>
      <c r="EK164" s="558"/>
      <c r="EL164" s="558"/>
      <c r="EM164" s="558"/>
      <c r="EN164" s="558"/>
      <c r="EO164" s="558"/>
      <c r="EP164" s="558"/>
      <c r="EQ164" s="674"/>
      <c r="ER164" s="305"/>
    </row>
    <row r="165" spans="4:148" s="556" customFormat="1" x14ac:dyDescent="0.2">
      <c r="D165" s="110"/>
      <c r="O165" s="669"/>
      <c r="P165" s="670"/>
      <c r="Q165" s="670"/>
      <c r="S165" s="674"/>
      <c r="AA165" s="674"/>
      <c r="AF165" s="305"/>
      <c r="AG165" s="305"/>
      <c r="AH165" s="305"/>
      <c r="AI165" s="305"/>
      <c r="AJ165" s="305"/>
      <c r="AK165" s="305"/>
      <c r="AL165" s="305"/>
      <c r="AM165" s="305"/>
      <c r="AN165" s="305"/>
      <c r="AO165" s="305"/>
      <c r="AP165" s="305"/>
      <c r="AQ165" s="305"/>
      <c r="AR165" s="305"/>
      <c r="AS165" s="305"/>
      <c r="AT165" s="305"/>
      <c r="AU165" s="305"/>
      <c r="AV165" s="305"/>
      <c r="AW165" s="305"/>
      <c r="AX165" s="305"/>
      <c r="AY165" s="305"/>
      <c r="AZ165" s="305"/>
      <c r="BA165" s="305"/>
      <c r="BB165" s="305"/>
      <c r="BC165" s="305"/>
      <c r="BD165" s="305"/>
      <c r="BE165" s="305"/>
      <c r="BF165" s="305"/>
      <c r="BG165" s="305"/>
      <c r="BH165" s="305"/>
      <c r="BI165" s="305"/>
      <c r="BJ165" s="305"/>
      <c r="BK165" s="305"/>
      <c r="BL165" s="305"/>
      <c r="BM165" s="305"/>
      <c r="BN165" s="305"/>
      <c r="BO165" s="305"/>
      <c r="BP165" s="305"/>
      <c r="BQ165" s="305"/>
      <c r="BR165" s="305"/>
      <c r="BS165" s="305"/>
      <c r="BT165" s="305"/>
      <c r="BU165" s="305"/>
      <c r="BV165" s="305"/>
      <c r="BW165" s="305"/>
      <c r="BX165" s="305"/>
      <c r="BY165" s="305"/>
      <c r="BZ165" s="305"/>
      <c r="CA165" s="305"/>
      <c r="CB165" s="305"/>
      <c r="CC165" s="305"/>
      <c r="CD165" s="305"/>
      <c r="CE165" s="305"/>
      <c r="CF165" s="305"/>
      <c r="CG165" s="305"/>
      <c r="CH165" s="305"/>
      <c r="CI165" s="305"/>
      <c r="CJ165" s="305"/>
      <c r="CK165" s="305"/>
      <c r="CL165" s="305"/>
      <c r="CM165" s="305"/>
      <c r="CN165" s="305"/>
      <c r="CO165" s="305"/>
      <c r="CP165" s="305"/>
      <c r="CQ165" s="305"/>
      <c r="CR165" s="305"/>
      <c r="CS165" s="305"/>
      <c r="CT165" s="305"/>
      <c r="CU165" s="305"/>
      <c r="CV165" s="305"/>
      <c r="CW165" s="305"/>
      <c r="CX165" s="305"/>
      <c r="CY165" s="305"/>
      <c r="CZ165" s="305"/>
      <c r="DA165" s="305"/>
      <c r="DB165" s="305"/>
      <c r="DC165" s="305"/>
      <c r="DD165" s="305"/>
      <c r="DE165" s="305"/>
      <c r="DF165" s="305"/>
      <c r="DG165" s="305"/>
      <c r="DH165" s="305"/>
      <c r="DI165" s="305"/>
      <c r="DJ165" s="305"/>
      <c r="DK165" s="305"/>
      <c r="DL165" s="305"/>
      <c r="DM165" s="305"/>
      <c r="DN165" s="305"/>
      <c r="DO165" s="305"/>
      <c r="DP165" s="305"/>
      <c r="DQ165" s="305"/>
      <c r="DR165" s="305"/>
      <c r="DS165" s="305"/>
      <c r="DT165" s="305"/>
      <c r="DU165" s="305"/>
      <c r="DV165" s="305"/>
      <c r="DW165" s="558"/>
      <c r="DX165" s="558"/>
      <c r="DY165" s="558"/>
      <c r="DZ165" s="558"/>
      <c r="EA165" s="558"/>
      <c r="EB165" s="558"/>
      <c r="EC165" s="558"/>
      <c r="ED165" s="558"/>
      <c r="EE165" s="558"/>
      <c r="EF165" s="558"/>
      <c r="EG165" s="558"/>
      <c r="EH165" s="558"/>
      <c r="EI165" s="558"/>
      <c r="EJ165" s="558"/>
      <c r="EK165" s="558"/>
      <c r="EL165" s="558"/>
      <c r="EM165" s="558"/>
      <c r="EN165" s="558"/>
      <c r="EO165" s="558"/>
      <c r="EP165" s="558"/>
      <c r="EQ165" s="674"/>
      <c r="ER165" s="305"/>
    </row>
    <row r="166" spans="4:148" s="556" customFormat="1" x14ac:dyDescent="0.2">
      <c r="D166" s="110"/>
      <c r="O166" s="669"/>
      <c r="P166" s="670"/>
      <c r="Q166" s="670"/>
      <c r="S166" s="674"/>
      <c r="AA166" s="674"/>
      <c r="AF166" s="305"/>
      <c r="AG166" s="305"/>
      <c r="AH166" s="305"/>
      <c r="AI166" s="305"/>
      <c r="AJ166" s="305"/>
      <c r="AK166" s="305"/>
      <c r="AL166" s="305"/>
      <c r="AM166" s="305"/>
      <c r="AN166" s="305"/>
      <c r="AO166" s="305"/>
      <c r="AP166" s="305"/>
      <c r="AQ166" s="305"/>
      <c r="AR166" s="305"/>
      <c r="AS166" s="305"/>
      <c r="AT166" s="305"/>
      <c r="AU166" s="305"/>
      <c r="AV166" s="305"/>
      <c r="AW166" s="305"/>
      <c r="AX166" s="305"/>
      <c r="AY166" s="305"/>
      <c r="AZ166" s="305"/>
      <c r="BA166" s="305"/>
      <c r="BB166" s="305"/>
      <c r="BC166" s="305"/>
      <c r="BD166" s="305"/>
      <c r="BE166" s="305"/>
      <c r="BF166" s="305"/>
      <c r="BG166" s="305"/>
      <c r="BH166" s="305"/>
      <c r="BI166" s="305"/>
      <c r="BJ166" s="305"/>
      <c r="BK166" s="305"/>
      <c r="BL166" s="305"/>
      <c r="BM166" s="305"/>
      <c r="BN166" s="305"/>
      <c r="BO166" s="305"/>
      <c r="BP166" s="305"/>
      <c r="BQ166" s="305"/>
      <c r="BR166" s="305"/>
      <c r="BS166" s="305"/>
      <c r="BT166" s="305"/>
      <c r="BU166" s="305"/>
      <c r="BV166" s="305"/>
      <c r="BW166" s="305"/>
      <c r="BX166" s="305"/>
      <c r="BY166" s="305"/>
      <c r="BZ166" s="305"/>
      <c r="CA166" s="305"/>
      <c r="CB166" s="305"/>
      <c r="CC166" s="305"/>
      <c r="CD166" s="305"/>
      <c r="CE166" s="305"/>
      <c r="CF166" s="305"/>
      <c r="CG166" s="305"/>
      <c r="CH166" s="305"/>
      <c r="CI166" s="305"/>
      <c r="CJ166" s="305"/>
      <c r="CK166" s="305"/>
      <c r="CL166" s="305"/>
      <c r="CM166" s="305"/>
      <c r="CN166" s="305"/>
      <c r="CO166" s="305"/>
      <c r="CP166" s="305"/>
      <c r="CQ166" s="305"/>
      <c r="CR166" s="305"/>
      <c r="CS166" s="305"/>
      <c r="CT166" s="305"/>
      <c r="CU166" s="305"/>
      <c r="CV166" s="305"/>
      <c r="CW166" s="305"/>
      <c r="CX166" s="305"/>
      <c r="CY166" s="305"/>
      <c r="CZ166" s="305"/>
      <c r="DA166" s="305"/>
      <c r="DB166" s="305"/>
      <c r="DC166" s="305"/>
      <c r="DD166" s="305"/>
      <c r="DE166" s="305"/>
      <c r="DF166" s="305"/>
      <c r="DG166" s="305"/>
      <c r="DH166" s="305"/>
      <c r="DI166" s="305"/>
      <c r="DJ166" s="305"/>
      <c r="DK166" s="305"/>
      <c r="DL166" s="305"/>
      <c r="DM166" s="305"/>
      <c r="DN166" s="305"/>
      <c r="DO166" s="305"/>
      <c r="DP166" s="305"/>
      <c r="DQ166" s="305"/>
      <c r="DR166" s="305"/>
      <c r="DS166" s="305"/>
      <c r="DT166" s="305"/>
      <c r="DU166" s="305"/>
      <c r="DV166" s="305"/>
      <c r="DW166" s="558"/>
      <c r="DX166" s="558"/>
      <c r="DY166" s="558"/>
      <c r="DZ166" s="558"/>
      <c r="EA166" s="558"/>
      <c r="EB166" s="558"/>
      <c r="EC166" s="558"/>
      <c r="ED166" s="558"/>
      <c r="EE166" s="558"/>
      <c r="EF166" s="558"/>
      <c r="EG166" s="558"/>
      <c r="EH166" s="558"/>
      <c r="EI166" s="558"/>
      <c r="EJ166" s="558"/>
      <c r="EK166" s="558"/>
      <c r="EL166" s="558"/>
      <c r="EM166" s="558"/>
      <c r="EN166" s="558"/>
      <c r="EO166" s="558"/>
      <c r="EP166" s="558"/>
      <c r="EQ166" s="674"/>
      <c r="ER166" s="305"/>
    </row>
    <row r="167" spans="4:148" s="556" customFormat="1" x14ac:dyDescent="0.2">
      <c r="D167" s="110"/>
      <c r="O167" s="669"/>
      <c r="P167" s="670"/>
      <c r="Q167" s="670"/>
      <c r="S167" s="674"/>
      <c r="AA167" s="674"/>
      <c r="AF167" s="305"/>
      <c r="AG167" s="305"/>
      <c r="AH167" s="305"/>
      <c r="AI167" s="305"/>
      <c r="AJ167" s="305"/>
      <c r="AK167" s="305"/>
      <c r="AL167" s="305"/>
      <c r="AM167" s="305"/>
      <c r="AN167" s="305"/>
      <c r="AO167" s="305"/>
      <c r="AP167" s="305"/>
      <c r="AQ167" s="305"/>
      <c r="AR167" s="305"/>
      <c r="AS167" s="305"/>
      <c r="AT167" s="305"/>
      <c r="AU167" s="305"/>
      <c r="AV167" s="305"/>
      <c r="AW167" s="305"/>
      <c r="AX167" s="305"/>
      <c r="AY167" s="305"/>
      <c r="AZ167" s="305"/>
      <c r="BA167" s="305"/>
      <c r="BB167" s="305"/>
      <c r="BC167" s="305"/>
      <c r="BD167" s="305"/>
      <c r="BE167" s="305"/>
      <c r="BF167" s="305"/>
      <c r="BG167" s="305"/>
      <c r="BH167" s="305"/>
      <c r="BI167" s="305"/>
      <c r="BJ167" s="305"/>
      <c r="BK167" s="305"/>
      <c r="BL167" s="305"/>
      <c r="BM167" s="305"/>
      <c r="BN167" s="305"/>
      <c r="BO167" s="305"/>
      <c r="BP167" s="305"/>
      <c r="BQ167" s="305"/>
      <c r="BR167" s="305"/>
      <c r="BS167" s="305"/>
      <c r="BT167" s="305"/>
      <c r="BU167" s="305"/>
      <c r="BV167" s="305"/>
      <c r="BW167" s="305"/>
      <c r="BX167" s="305"/>
      <c r="BY167" s="305"/>
      <c r="BZ167" s="305"/>
      <c r="CA167" s="305"/>
      <c r="CB167" s="305"/>
      <c r="CC167" s="305"/>
      <c r="CD167" s="305"/>
      <c r="CE167" s="305"/>
      <c r="CF167" s="305"/>
      <c r="CG167" s="305"/>
      <c r="CH167" s="305"/>
      <c r="CI167" s="305"/>
      <c r="CJ167" s="305"/>
      <c r="CK167" s="305"/>
      <c r="CL167" s="305"/>
      <c r="CM167" s="305"/>
      <c r="CN167" s="305"/>
      <c r="CO167" s="305"/>
      <c r="CP167" s="305"/>
      <c r="CQ167" s="305"/>
      <c r="CR167" s="305"/>
      <c r="CS167" s="305"/>
      <c r="CT167" s="305"/>
      <c r="CU167" s="305"/>
      <c r="CV167" s="305"/>
      <c r="CW167" s="305"/>
      <c r="CX167" s="305"/>
      <c r="CY167" s="305"/>
      <c r="CZ167" s="305"/>
      <c r="DA167" s="305"/>
      <c r="DB167" s="305"/>
      <c r="DC167" s="305"/>
      <c r="DD167" s="305"/>
      <c r="DE167" s="305"/>
      <c r="DF167" s="305"/>
      <c r="DG167" s="305"/>
      <c r="DH167" s="305"/>
      <c r="DI167" s="305"/>
      <c r="DJ167" s="305"/>
      <c r="DK167" s="305"/>
      <c r="DL167" s="305"/>
      <c r="DM167" s="305"/>
      <c r="DN167" s="305"/>
      <c r="DO167" s="305"/>
      <c r="DP167" s="305"/>
      <c r="DQ167" s="305"/>
      <c r="DR167" s="305"/>
      <c r="DS167" s="305"/>
      <c r="DT167" s="305"/>
      <c r="DU167" s="305"/>
      <c r="DV167" s="305"/>
      <c r="DW167" s="558"/>
      <c r="DX167" s="558"/>
      <c r="DY167" s="558"/>
      <c r="DZ167" s="558"/>
      <c r="EA167" s="558"/>
      <c r="EB167" s="558"/>
      <c r="EC167" s="558"/>
      <c r="ED167" s="558"/>
      <c r="EE167" s="558"/>
      <c r="EF167" s="558"/>
      <c r="EG167" s="558"/>
      <c r="EH167" s="558"/>
      <c r="EI167" s="558"/>
      <c r="EJ167" s="558"/>
      <c r="EK167" s="558"/>
      <c r="EL167" s="558"/>
      <c r="EM167" s="558"/>
      <c r="EN167" s="558"/>
      <c r="EO167" s="558"/>
      <c r="EP167" s="558"/>
      <c r="EQ167" s="674"/>
      <c r="ER167" s="305"/>
    </row>
    <row r="168" spans="4:148" s="556" customFormat="1" x14ac:dyDescent="0.2">
      <c r="D168" s="110"/>
      <c r="O168" s="669"/>
      <c r="P168" s="670"/>
      <c r="Q168" s="670"/>
      <c r="S168" s="674"/>
      <c r="AA168" s="674"/>
      <c r="AF168" s="305"/>
      <c r="AG168" s="305"/>
      <c r="AH168" s="305"/>
      <c r="AI168" s="305"/>
      <c r="AJ168" s="305"/>
      <c r="AK168" s="305"/>
      <c r="AL168" s="305"/>
      <c r="AM168" s="305"/>
      <c r="AN168" s="305"/>
      <c r="AO168" s="305"/>
      <c r="AP168" s="305"/>
      <c r="AQ168" s="305"/>
      <c r="AR168" s="305"/>
      <c r="AS168" s="305"/>
      <c r="AT168" s="305"/>
      <c r="AU168" s="305"/>
      <c r="AV168" s="305"/>
      <c r="AW168" s="305"/>
      <c r="AX168" s="305"/>
      <c r="AY168" s="305"/>
      <c r="AZ168" s="305"/>
      <c r="BA168" s="305"/>
      <c r="BB168" s="305"/>
      <c r="BC168" s="305"/>
      <c r="BD168" s="305"/>
      <c r="BE168" s="305"/>
      <c r="BF168" s="305"/>
      <c r="BG168" s="305"/>
      <c r="BH168" s="305"/>
      <c r="BI168" s="305"/>
      <c r="BJ168" s="305"/>
      <c r="BK168" s="305"/>
      <c r="BL168" s="305"/>
      <c r="BM168" s="305"/>
      <c r="BN168" s="305"/>
      <c r="BO168" s="305"/>
      <c r="BP168" s="305"/>
      <c r="BQ168" s="305"/>
      <c r="BR168" s="305"/>
      <c r="BS168" s="305"/>
      <c r="BT168" s="305"/>
      <c r="BU168" s="305"/>
      <c r="BV168" s="305"/>
      <c r="BW168" s="305"/>
      <c r="BX168" s="305"/>
      <c r="BY168" s="305"/>
      <c r="BZ168" s="305"/>
      <c r="CA168" s="305"/>
      <c r="CB168" s="305"/>
      <c r="CC168" s="305"/>
      <c r="CD168" s="305"/>
      <c r="CE168" s="305"/>
      <c r="CF168" s="305"/>
      <c r="CG168" s="305"/>
      <c r="CH168" s="305"/>
      <c r="CI168" s="305"/>
      <c r="CJ168" s="305"/>
      <c r="CK168" s="305"/>
      <c r="CL168" s="305"/>
      <c r="CM168" s="305"/>
      <c r="CN168" s="305"/>
      <c r="CO168" s="305"/>
      <c r="CP168" s="305"/>
      <c r="CQ168" s="305"/>
      <c r="CR168" s="305"/>
      <c r="CS168" s="305"/>
      <c r="CT168" s="305"/>
      <c r="CU168" s="305"/>
      <c r="CV168" s="305"/>
      <c r="CW168" s="305"/>
      <c r="CX168" s="305"/>
      <c r="CY168" s="305"/>
      <c r="CZ168" s="305"/>
      <c r="DA168" s="305"/>
      <c r="DB168" s="305"/>
      <c r="DC168" s="305"/>
      <c r="DD168" s="305"/>
      <c r="DE168" s="305"/>
      <c r="DF168" s="305"/>
      <c r="DG168" s="305"/>
      <c r="DH168" s="305"/>
      <c r="DI168" s="305"/>
      <c r="DJ168" s="305"/>
      <c r="DK168" s="305"/>
      <c r="DL168" s="305"/>
      <c r="DM168" s="305"/>
      <c r="DN168" s="305"/>
      <c r="DO168" s="305"/>
      <c r="DP168" s="305"/>
      <c r="DQ168" s="305"/>
      <c r="DR168" s="305"/>
      <c r="DS168" s="305"/>
      <c r="DT168" s="305"/>
      <c r="DU168" s="305"/>
      <c r="DV168" s="305"/>
      <c r="DW168" s="558"/>
      <c r="DX168" s="558"/>
      <c r="DY168" s="558"/>
      <c r="DZ168" s="558"/>
      <c r="EA168" s="558"/>
      <c r="EB168" s="558"/>
      <c r="EC168" s="558"/>
      <c r="ED168" s="558"/>
      <c r="EE168" s="558"/>
      <c r="EF168" s="558"/>
      <c r="EG168" s="558"/>
      <c r="EH168" s="558"/>
      <c r="EI168" s="558"/>
      <c r="EJ168" s="558"/>
      <c r="EK168" s="558"/>
      <c r="EL168" s="558"/>
      <c r="EM168" s="558"/>
      <c r="EN168" s="558"/>
      <c r="EO168" s="558"/>
      <c r="EP168" s="558"/>
      <c r="EQ168" s="674"/>
      <c r="ER168" s="305"/>
    </row>
    <row r="169" spans="4:148" s="556" customFormat="1" x14ac:dyDescent="0.2">
      <c r="D169" s="110"/>
      <c r="O169" s="669"/>
      <c r="P169" s="670"/>
      <c r="Q169" s="670"/>
      <c r="S169" s="674"/>
      <c r="AA169" s="674"/>
      <c r="AF169" s="305"/>
      <c r="AG169" s="305"/>
      <c r="AH169" s="305"/>
      <c r="AI169" s="305"/>
      <c r="AJ169" s="305"/>
      <c r="AK169" s="305"/>
      <c r="AL169" s="305"/>
      <c r="AM169" s="305"/>
      <c r="AN169" s="305"/>
      <c r="AO169" s="305"/>
      <c r="AP169" s="305"/>
      <c r="AQ169" s="305"/>
      <c r="AR169" s="305"/>
      <c r="AS169" s="305"/>
      <c r="AT169" s="305"/>
      <c r="AU169" s="305"/>
      <c r="AV169" s="305"/>
      <c r="AW169" s="305"/>
      <c r="AX169" s="305"/>
      <c r="AY169" s="305"/>
      <c r="AZ169" s="305"/>
      <c r="BA169" s="305"/>
      <c r="BB169" s="305"/>
      <c r="BC169" s="305"/>
      <c r="BD169" s="305"/>
      <c r="BE169" s="305"/>
      <c r="BF169" s="305"/>
      <c r="BG169" s="305"/>
      <c r="BH169" s="305"/>
      <c r="BI169" s="305"/>
      <c r="BJ169" s="305"/>
      <c r="BK169" s="305"/>
      <c r="BL169" s="305"/>
      <c r="BM169" s="305"/>
      <c r="BN169" s="305"/>
      <c r="BO169" s="305"/>
      <c r="BP169" s="305"/>
      <c r="BQ169" s="305"/>
      <c r="BR169" s="305"/>
      <c r="BS169" s="305"/>
      <c r="BT169" s="305"/>
      <c r="BU169" s="305"/>
      <c r="BV169" s="305"/>
      <c r="BW169" s="305"/>
      <c r="BX169" s="305"/>
      <c r="BY169" s="305"/>
      <c r="BZ169" s="305"/>
      <c r="CA169" s="305"/>
      <c r="CB169" s="305"/>
      <c r="CC169" s="305"/>
      <c r="CD169" s="305"/>
      <c r="CE169" s="305"/>
      <c r="CF169" s="305"/>
      <c r="CG169" s="305"/>
      <c r="CH169" s="305"/>
      <c r="CI169" s="305"/>
      <c r="CJ169" s="305"/>
      <c r="CK169" s="305"/>
      <c r="CL169" s="305"/>
      <c r="CM169" s="305"/>
      <c r="CN169" s="305"/>
      <c r="CO169" s="305"/>
      <c r="CP169" s="305"/>
      <c r="CQ169" s="305"/>
      <c r="CR169" s="305"/>
      <c r="CS169" s="305"/>
      <c r="CT169" s="305"/>
      <c r="CU169" s="305"/>
      <c r="CV169" s="305"/>
      <c r="CW169" s="305"/>
      <c r="CX169" s="305"/>
      <c r="CY169" s="305"/>
      <c r="CZ169" s="305"/>
      <c r="DA169" s="305"/>
      <c r="DB169" s="305"/>
      <c r="DC169" s="305"/>
      <c r="DD169" s="305"/>
      <c r="DE169" s="305"/>
      <c r="DF169" s="305"/>
      <c r="DG169" s="305"/>
      <c r="DH169" s="305"/>
      <c r="DI169" s="305"/>
      <c r="DJ169" s="305"/>
      <c r="DK169" s="305"/>
      <c r="DL169" s="305"/>
      <c r="DM169" s="305"/>
      <c r="DN169" s="305"/>
      <c r="DO169" s="305"/>
      <c r="DP169" s="305"/>
      <c r="DQ169" s="305"/>
      <c r="DR169" s="305"/>
      <c r="DS169" s="305"/>
      <c r="DT169" s="305"/>
      <c r="DU169" s="305"/>
      <c r="DV169" s="305"/>
      <c r="DW169" s="558"/>
      <c r="DX169" s="558"/>
      <c r="DY169" s="558"/>
      <c r="DZ169" s="558"/>
      <c r="EA169" s="558"/>
      <c r="EB169" s="558"/>
      <c r="EC169" s="558"/>
      <c r="ED169" s="558"/>
      <c r="EE169" s="558"/>
      <c r="EF169" s="558"/>
      <c r="EG169" s="558"/>
      <c r="EH169" s="558"/>
      <c r="EI169" s="558"/>
      <c r="EJ169" s="558"/>
      <c r="EK169" s="558"/>
      <c r="EL169" s="558"/>
      <c r="EM169" s="558"/>
      <c r="EN169" s="558"/>
      <c r="EO169" s="558"/>
      <c r="EP169" s="558"/>
      <c r="EQ169" s="674"/>
      <c r="ER169" s="305"/>
    </row>
    <row r="170" spans="4:148" s="556" customFormat="1" x14ac:dyDescent="0.2">
      <c r="D170" s="110"/>
      <c r="O170" s="669"/>
      <c r="P170" s="670"/>
      <c r="Q170" s="670"/>
      <c r="S170" s="674"/>
      <c r="AA170" s="674"/>
      <c r="AF170" s="305"/>
      <c r="AG170" s="305"/>
      <c r="AH170" s="305"/>
      <c r="AI170" s="305"/>
      <c r="AJ170" s="305"/>
      <c r="AK170" s="305"/>
      <c r="AL170" s="305"/>
      <c r="AM170" s="305"/>
      <c r="AN170" s="305"/>
      <c r="AO170" s="305"/>
      <c r="AP170" s="305"/>
      <c r="AQ170" s="305"/>
      <c r="AR170" s="305"/>
      <c r="AS170" s="305"/>
      <c r="AT170" s="305"/>
      <c r="AU170" s="305"/>
      <c r="AV170" s="305"/>
      <c r="AW170" s="305"/>
      <c r="AX170" s="305"/>
      <c r="AY170" s="305"/>
      <c r="AZ170" s="305"/>
      <c r="BA170" s="305"/>
      <c r="BB170" s="305"/>
      <c r="BC170" s="305"/>
      <c r="BD170" s="305"/>
      <c r="BE170" s="305"/>
      <c r="BF170" s="305"/>
      <c r="BG170" s="305"/>
      <c r="BH170" s="305"/>
      <c r="BI170" s="305"/>
      <c r="BJ170" s="305"/>
      <c r="BK170" s="305"/>
      <c r="BL170" s="305"/>
      <c r="BM170" s="305"/>
      <c r="BN170" s="305"/>
      <c r="BO170" s="305"/>
      <c r="BP170" s="305"/>
      <c r="BQ170" s="305"/>
      <c r="BR170" s="305"/>
      <c r="BS170" s="305"/>
      <c r="BT170" s="305"/>
      <c r="BU170" s="305"/>
      <c r="BV170" s="305"/>
      <c r="BW170" s="305"/>
      <c r="BX170" s="305"/>
      <c r="BY170" s="305"/>
      <c r="BZ170" s="305"/>
      <c r="CA170" s="305"/>
      <c r="CB170" s="305"/>
      <c r="CC170" s="305"/>
      <c r="CD170" s="305"/>
      <c r="CE170" s="305"/>
      <c r="CF170" s="305"/>
      <c r="CG170" s="305"/>
      <c r="CH170" s="305"/>
      <c r="CI170" s="305"/>
      <c r="CJ170" s="305"/>
      <c r="CK170" s="305"/>
      <c r="CL170" s="305"/>
      <c r="CM170" s="305"/>
      <c r="CN170" s="305"/>
      <c r="CO170" s="305"/>
      <c r="CP170" s="305"/>
      <c r="CQ170" s="305"/>
      <c r="CR170" s="305"/>
      <c r="CS170" s="305"/>
      <c r="CT170" s="305"/>
      <c r="CU170" s="305"/>
      <c r="CV170" s="305"/>
      <c r="CW170" s="305"/>
      <c r="CX170" s="305"/>
      <c r="CY170" s="305"/>
      <c r="CZ170" s="305"/>
      <c r="DA170" s="305"/>
      <c r="DB170" s="305"/>
      <c r="DC170" s="305"/>
      <c r="DD170" s="305"/>
      <c r="DE170" s="305"/>
      <c r="DF170" s="305"/>
      <c r="DG170" s="305"/>
      <c r="DH170" s="305"/>
      <c r="DI170" s="305"/>
      <c r="DJ170" s="305"/>
      <c r="DK170" s="305"/>
      <c r="DL170" s="305"/>
      <c r="DM170" s="305"/>
      <c r="DN170" s="305"/>
      <c r="DO170" s="305"/>
      <c r="DP170" s="305"/>
      <c r="DQ170" s="305"/>
      <c r="DR170" s="305"/>
      <c r="DS170" s="305"/>
      <c r="DT170" s="305"/>
      <c r="DU170" s="305"/>
      <c r="DV170" s="305"/>
      <c r="DW170" s="558"/>
      <c r="DX170" s="558"/>
      <c r="DY170" s="558"/>
      <c r="DZ170" s="558"/>
      <c r="EA170" s="558"/>
      <c r="EB170" s="558"/>
      <c r="EC170" s="558"/>
      <c r="ED170" s="558"/>
      <c r="EE170" s="558"/>
      <c r="EF170" s="558"/>
      <c r="EG170" s="558"/>
      <c r="EH170" s="558"/>
      <c r="EI170" s="558"/>
      <c r="EJ170" s="558"/>
      <c r="EK170" s="558"/>
      <c r="EL170" s="558"/>
      <c r="EM170" s="558"/>
      <c r="EN170" s="558"/>
      <c r="EO170" s="558"/>
      <c r="EP170" s="558"/>
      <c r="EQ170" s="674"/>
      <c r="ER170" s="305"/>
    </row>
    <row r="171" spans="4:148" s="556" customFormat="1" x14ac:dyDescent="0.2">
      <c r="D171" s="110"/>
      <c r="O171" s="669"/>
      <c r="P171" s="670"/>
      <c r="Q171" s="670"/>
      <c r="S171" s="674"/>
      <c r="AA171" s="674"/>
      <c r="AF171" s="305"/>
      <c r="AG171" s="305"/>
      <c r="AH171" s="305"/>
      <c r="AI171" s="305"/>
      <c r="AJ171" s="305"/>
      <c r="AK171" s="305"/>
      <c r="AL171" s="305"/>
      <c r="AM171" s="305"/>
      <c r="AN171" s="305"/>
      <c r="AO171" s="305"/>
      <c r="AP171" s="305"/>
      <c r="AQ171" s="305"/>
      <c r="AR171" s="305"/>
      <c r="AS171" s="305"/>
      <c r="AT171" s="305"/>
      <c r="AU171" s="305"/>
      <c r="AV171" s="305"/>
      <c r="AW171" s="305"/>
      <c r="AX171" s="305"/>
      <c r="AY171" s="305"/>
      <c r="AZ171" s="305"/>
      <c r="BA171" s="305"/>
      <c r="BB171" s="305"/>
      <c r="BC171" s="305"/>
      <c r="BD171" s="305"/>
      <c r="BE171" s="305"/>
      <c r="BF171" s="305"/>
      <c r="BG171" s="305"/>
      <c r="BH171" s="305"/>
      <c r="BI171" s="305"/>
      <c r="BJ171" s="305"/>
      <c r="BK171" s="305"/>
      <c r="BL171" s="305"/>
      <c r="BM171" s="305"/>
      <c r="BN171" s="305"/>
      <c r="BO171" s="305"/>
      <c r="BP171" s="305"/>
      <c r="BQ171" s="305"/>
      <c r="BR171" s="305"/>
      <c r="BS171" s="305"/>
      <c r="BT171" s="305"/>
      <c r="BU171" s="305"/>
      <c r="BV171" s="305"/>
      <c r="BW171" s="305"/>
      <c r="BX171" s="305"/>
      <c r="BY171" s="305"/>
      <c r="BZ171" s="305"/>
      <c r="CA171" s="305"/>
      <c r="CB171" s="305"/>
      <c r="CC171" s="305"/>
      <c r="CD171" s="305"/>
      <c r="CE171" s="305"/>
      <c r="CF171" s="305"/>
      <c r="CG171" s="305"/>
      <c r="CH171" s="305"/>
      <c r="CI171" s="305"/>
      <c r="CJ171" s="305"/>
      <c r="CK171" s="305"/>
      <c r="CL171" s="305"/>
      <c r="CM171" s="305"/>
      <c r="CN171" s="305"/>
      <c r="CO171" s="305"/>
      <c r="CP171" s="305"/>
      <c r="CQ171" s="305"/>
      <c r="CR171" s="305"/>
      <c r="CS171" s="305"/>
      <c r="CT171" s="305"/>
      <c r="CU171" s="305"/>
      <c r="CV171" s="305"/>
      <c r="CW171" s="305"/>
      <c r="CX171" s="305"/>
      <c r="CY171" s="305"/>
      <c r="CZ171" s="305"/>
      <c r="DA171" s="305"/>
      <c r="DB171" s="305"/>
      <c r="DC171" s="305"/>
      <c r="DD171" s="305"/>
      <c r="DE171" s="305"/>
      <c r="DF171" s="305"/>
      <c r="DG171" s="305"/>
      <c r="DH171" s="305"/>
      <c r="DI171" s="305"/>
      <c r="DJ171" s="305"/>
      <c r="DK171" s="305"/>
      <c r="DL171" s="305"/>
      <c r="DM171" s="305"/>
      <c r="DN171" s="305"/>
      <c r="DO171" s="305"/>
      <c r="DP171" s="305"/>
      <c r="DQ171" s="305"/>
      <c r="DR171" s="305"/>
      <c r="DS171" s="305"/>
      <c r="DT171" s="305"/>
      <c r="DU171" s="305"/>
      <c r="DV171" s="305"/>
      <c r="DW171" s="558"/>
      <c r="DX171" s="558"/>
      <c r="DY171" s="558"/>
      <c r="DZ171" s="558"/>
      <c r="EA171" s="558"/>
      <c r="EB171" s="558"/>
      <c r="EC171" s="558"/>
      <c r="ED171" s="558"/>
      <c r="EE171" s="558"/>
      <c r="EF171" s="558"/>
      <c r="EG171" s="558"/>
      <c r="EH171" s="558"/>
      <c r="EI171" s="558"/>
      <c r="EJ171" s="558"/>
      <c r="EK171" s="558"/>
      <c r="EL171" s="558"/>
      <c r="EM171" s="558"/>
      <c r="EN171" s="558"/>
      <c r="EO171" s="558"/>
      <c r="EP171" s="558"/>
      <c r="EQ171" s="674"/>
      <c r="ER171" s="305"/>
    </row>
    <row r="172" spans="4:148" s="556" customFormat="1" x14ac:dyDescent="0.2">
      <c r="D172" s="110"/>
      <c r="O172" s="669"/>
      <c r="P172" s="670"/>
      <c r="Q172" s="670"/>
      <c r="S172" s="674"/>
      <c r="AA172" s="674"/>
      <c r="AF172" s="305"/>
      <c r="AG172" s="305"/>
      <c r="AH172" s="305"/>
      <c r="AI172" s="305"/>
      <c r="AJ172" s="305"/>
      <c r="AK172" s="305"/>
      <c r="AL172" s="305"/>
      <c r="AM172" s="305"/>
      <c r="AN172" s="305"/>
      <c r="AO172" s="305"/>
      <c r="AP172" s="305"/>
      <c r="AQ172" s="305"/>
      <c r="AR172" s="305"/>
      <c r="AS172" s="305"/>
      <c r="AT172" s="305"/>
      <c r="AU172" s="305"/>
      <c r="AV172" s="305"/>
      <c r="AW172" s="305"/>
      <c r="AX172" s="305"/>
      <c r="AY172" s="305"/>
      <c r="AZ172" s="305"/>
      <c r="BA172" s="305"/>
      <c r="BB172" s="305"/>
      <c r="BC172" s="305"/>
      <c r="BD172" s="305"/>
      <c r="BE172" s="305"/>
      <c r="BF172" s="305"/>
      <c r="BG172" s="305"/>
      <c r="BH172" s="305"/>
      <c r="BI172" s="305"/>
      <c r="BJ172" s="305"/>
      <c r="BK172" s="305"/>
      <c r="BL172" s="305"/>
      <c r="BM172" s="305"/>
      <c r="BN172" s="305"/>
      <c r="BO172" s="305"/>
      <c r="BP172" s="305"/>
      <c r="BQ172" s="305"/>
      <c r="BR172" s="305"/>
      <c r="BS172" s="305"/>
      <c r="BT172" s="305"/>
      <c r="BU172" s="305"/>
      <c r="BV172" s="305"/>
      <c r="BW172" s="305"/>
      <c r="BX172" s="305"/>
      <c r="BY172" s="305"/>
      <c r="BZ172" s="305"/>
      <c r="CA172" s="305"/>
      <c r="CB172" s="305"/>
      <c r="CC172" s="305"/>
      <c r="CD172" s="305"/>
      <c r="CE172" s="305"/>
      <c r="CF172" s="305"/>
      <c r="CG172" s="305"/>
      <c r="CH172" s="305"/>
      <c r="CI172" s="305"/>
      <c r="CJ172" s="305"/>
      <c r="CK172" s="305"/>
      <c r="CL172" s="305"/>
      <c r="CM172" s="305"/>
      <c r="CN172" s="305"/>
      <c r="CO172" s="305"/>
      <c r="CP172" s="305"/>
      <c r="CQ172" s="305"/>
      <c r="CR172" s="305"/>
      <c r="CS172" s="305"/>
      <c r="CT172" s="305"/>
      <c r="CU172" s="305"/>
      <c r="CV172" s="305"/>
      <c r="CW172" s="305"/>
      <c r="CX172" s="305"/>
      <c r="CY172" s="305"/>
      <c r="CZ172" s="305"/>
      <c r="DA172" s="305"/>
      <c r="DB172" s="305"/>
      <c r="DC172" s="305"/>
      <c r="DD172" s="305"/>
      <c r="DE172" s="305"/>
      <c r="DF172" s="305"/>
      <c r="DG172" s="305"/>
      <c r="DH172" s="305"/>
      <c r="DI172" s="305"/>
      <c r="DJ172" s="305"/>
      <c r="DK172" s="305"/>
      <c r="DL172" s="305"/>
      <c r="DM172" s="305"/>
      <c r="DN172" s="305"/>
      <c r="DO172" s="305"/>
      <c r="DP172" s="305"/>
      <c r="DQ172" s="305"/>
      <c r="DR172" s="305"/>
      <c r="DS172" s="305"/>
      <c r="DT172" s="305"/>
      <c r="DU172" s="305"/>
      <c r="DV172" s="305"/>
      <c r="DW172" s="558"/>
      <c r="DX172" s="558"/>
      <c r="DY172" s="558"/>
      <c r="DZ172" s="558"/>
      <c r="EA172" s="558"/>
      <c r="EB172" s="558"/>
      <c r="EC172" s="558"/>
      <c r="ED172" s="558"/>
      <c r="EE172" s="558"/>
      <c r="EF172" s="558"/>
      <c r="EG172" s="558"/>
      <c r="EH172" s="558"/>
      <c r="EI172" s="558"/>
      <c r="EJ172" s="558"/>
      <c r="EK172" s="558"/>
      <c r="EL172" s="558"/>
      <c r="EM172" s="558"/>
      <c r="EN172" s="558"/>
      <c r="EO172" s="558"/>
      <c r="EP172" s="558"/>
      <c r="EQ172" s="674"/>
      <c r="ER172" s="305"/>
    </row>
    <row r="173" spans="4:148" s="556" customFormat="1" x14ac:dyDescent="0.2">
      <c r="D173" s="110"/>
      <c r="O173" s="669"/>
      <c r="P173" s="670"/>
      <c r="Q173" s="670"/>
      <c r="S173" s="674"/>
      <c r="AA173" s="674"/>
      <c r="AF173" s="305"/>
      <c r="AG173" s="305"/>
      <c r="AH173" s="305"/>
      <c r="AI173" s="305"/>
      <c r="AJ173" s="305"/>
      <c r="AK173" s="305"/>
      <c r="AL173" s="305"/>
      <c r="AM173" s="305"/>
      <c r="AN173" s="305"/>
      <c r="AO173" s="305"/>
      <c r="AP173" s="305"/>
      <c r="AQ173" s="305"/>
      <c r="AR173" s="305"/>
      <c r="AS173" s="305"/>
      <c r="AT173" s="305"/>
      <c r="AU173" s="305"/>
      <c r="AV173" s="305"/>
      <c r="AW173" s="305"/>
      <c r="AX173" s="305"/>
      <c r="AY173" s="305"/>
      <c r="AZ173" s="305"/>
      <c r="BA173" s="305"/>
      <c r="BB173" s="305"/>
      <c r="BC173" s="305"/>
      <c r="BD173" s="305"/>
      <c r="BE173" s="305"/>
      <c r="BF173" s="305"/>
      <c r="BG173" s="305"/>
      <c r="BH173" s="305"/>
      <c r="BI173" s="305"/>
      <c r="BJ173" s="305"/>
      <c r="BK173" s="305"/>
      <c r="BL173" s="305"/>
      <c r="BM173" s="305"/>
      <c r="BN173" s="305"/>
      <c r="BO173" s="305"/>
      <c r="BP173" s="305"/>
      <c r="BQ173" s="305"/>
      <c r="BR173" s="305"/>
      <c r="BS173" s="305"/>
      <c r="BT173" s="305"/>
      <c r="BU173" s="305"/>
      <c r="BV173" s="305"/>
      <c r="BW173" s="305"/>
      <c r="BX173" s="305"/>
      <c r="BY173" s="305"/>
      <c r="BZ173" s="305"/>
      <c r="CA173" s="305"/>
      <c r="CB173" s="305"/>
      <c r="CC173" s="305"/>
      <c r="CD173" s="305"/>
      <c r="CE173" s="305"/>
      <c r="CF173" s="305"/>
      <c r="CG173" s="305"/>
      <c r="CH173" s="305"/>
      <c r="CI173" s="305"/>
      <c r="CJ173" s="305"/>
      <c r="CK173" s="305"/>
      <c r="CL173" s="305"/>
      <c r="CM173" s="305"/>
      <c r="CN173" s="305"/>
      <c r="CO173" s="305"/>
      <c r="CP173" s="305"/>
      <c r="CQ173" s="305"/>
      <c r="CR173" s="305"/>
      <c r="CS173" s="305"/>
      <c r="CT173" s="305"/>
      <c r="CU173" s="305"/>
      <c r="CV173" s="305"/>
      <c r="CW173" s="305"/>
      <c r="CX173" s="305"/>
      <c r="CY173" s="305"/>
      <c r="CZ173" s="305"/>
      <c r="DA173" s="305"/>
      <c r="DB173" s="305"/>
      <c r="DC173" s="305"/>
      <c r="DD173" s="305"/>
      <c r="DE173" s="305"/>
      <c r="DF173" s="305"/>
      <c r="DG173" s="305"/>
      <c r="DH173" s="305"/>
      <c r="DI173" s="305"/>
      <c r="DJ173" s="305"/>
      <c r="DK173" s="305"/>
      <c r="DL173" s="305"/>
      <c r="DM173" s="305"/>
      <c r="DN173" s="305"/>
      <c r="DO173" s="305"/>
      <c r="DP173" s="305"/>
      <c r="DQ173" s="305"/>
      <c r="DR173" s="305"/>
      <c r="DS173" s="305"/>
      <c r="DT173" s="305"/>
      <c r="DU173" s="305"/>
      <c r="DV173" s="305"/>
      <c r="DW173" s="558"/>
      <c r="DX173" s="558"/>
      <c r="DY173" s="558"/>
      <c r="DZ173" s="558"/>
      <c r="EA173" s="558"/>
      <c r="EB173" s="558"/>
      <c r="EC173" s="558"/>
      <c r="ED173" s="558"/>
      <c r="EE173" s="558"/>
      <c r="EF173" s="558"/>
      <c r="EG173" s="558"/>
      <c r="EH173" s="558"/>
      <c r="EI173" s="558"/>
      <c r="EJ173" s="558"/>
      <c r="EK173" s="558"/>
      <c r="EL173" s="558"/>
      <c r="EM173" s="558"/>
      <c r="EN173" s="558"/>
      <c r="EO173" s="558"/>
      <c r="EP173" s="558"/>
      <c r="EQ173" s="674"/>
      <c r="ER173" s="305"/>
    </row>
    <row r="174" spans="4:148" s="556" customFormat="1" x14ac:dyDescent="0.2">
      <c r="D174" s="110"/>
      <c r="O174" s="669"/>
      <c r="P174" s="670"/>
      <c r="Q174" s="670"/>
      <c r="S174" s="674"/>
      <c r="AA174" s="674"/>
      <c r="AF174" s="305"/>
      <c r="AG174" s="305"/>
      <c r="AH174" s="305"/>
      <c r="AI174" s="305"/>
      <c r="AJ174" s="305"/>
      <c r="AK174" s="305"/>
      <c r="AL174" s="305"/>
      <c r="AM174" s="305"/>
      <c r="AN174" s="305"/>
      <c r="AO174" s="305"/>
      <c r="AP174" s="305"/>
      <c r="AQ174" s="305"/>
      <c r="AR174" s="305"/>
      <c r="AS174" s="305"/>
      <c r="AT174" s="305"/>
      <c r="AU174" s="305"/>
      <c r="AV174" s="305"/>
      <c r="AW174" s="305"/>
      <c r="AX174" s="305"/>
      <c r="AY174" s="305"/>
      <c r="AZ174" s="305"/>
      <c r="BA174" s="305"/>
      <c r="BB174" s="305"/>
      <c r="BC174" s="305"/>
      <c r="BD174" s="305"/>
      <c r="BE174" s="305"/>
      <c r="BF174" s="305"/>
      <c r="BG174" s="305"/>
      <c r="BH174" s="305"/>
      <c r="BI174" s="305"/>
      <c r="BJ174" s="305"/>
      <c r="BK174" s="305"/>
      <c r="BL174" s="305"/>
      <c r="BM174" s="305"/>
      <c r="BN174" s="305"/>
      <c r="BO174" s="305"/>
      <c r="BP174" s="305"/>
      <c r="BQ174" s="305"/>
      <c r="BR174" s="305"/>
      <c r="BS174" s="305"/>
      <c r="BT174" s="305"/>
      <c r="BU174" s="305"/>
      <c r="BV174" s="305"/>
      <c r="BW174" s="305"/>
      <c r="BX174" s="305"/>
      <c r="BY174" s="305"/>
      <c r="BZ174" s="305"/>
      <c r="CA174" s="305"/>
      <c r="CB174" s="305"/>
      <c r="CC174" s="305"/>
      <c r="CD174" s="305"/>
      <c r="CE174" s="305"/>
      <c r="CF174" s="305"/>
      <c r="CG174" s="305"/>
      <c r="CH174" s="305"/>
      <c r="CI174" s="305"/>
      <c r="CJ174" s="305"/>
      <c r="CK174" s="305"/>
      <c r="CL174" s="305"/>
      <c r="CM174" s="305"/>
      <c r="CN174" s="305"/>
      <c r="CO174" s="305"/>
      <c r="CP174" s="305"/>
      <c r="CQ174" s="305"/>
      <c r="CR174" s="305"/>
      <c r="CS174" s="305"/>
      <c r="CT174" s="305"/>
      <c r="CU174" s="305"/>
      <c r="CV174" s="305"/>
      <c r="CW174" s="305"/>
      <c r="CX174" s="305"/>
      <c r="CY174" s="305"/>
      <c r="CZ174" s="305"/>
      <c r="DA174" s="305"/>
      <c r="DB174" s="305"/>
      <c r="DC174" s="305"/>
      <c r="DD174" s="305"/>
      <c r="DE174" s="305"/>
      <c r="DF174" s="305"/>
      <c r="DG174" s="305"/>
      <c r="DH174" s="305"/>
      <c r="DI174" s="305"/>
      <c r="DJ174" s="305"/>
      <c r="DK174" s="305"/>
      <c r="DL174" s="305"/>
      <c r="DM174" s="305"/>
      <c r="DN174" s="305"/>
      <c r="DO174" s="305"/>
      <c r="DP174" s="305"/>
      <c r="DQ174" s="305"/>
      <c r="DR174" s="305"/>
      <c r="DS174" s="305"/>
      <c r="DT174" s="305"/>
      <c r="DU174" s="305"/>
      <c r="DV174" s="305"/>
      <c r="DW174" s="558"/>
      <c r="DX174" s="558"/>
      <c r="DY174" s="558"/>
      <c r="DZ174" s="558"/>
      <c r="EA174" s="558"/>
      <c r="EB174" s="558"/>
      <c r="EC174" s="558"/>
      <c r="ED174" s="558"/>
      <c r="EE174" s="558"/>
      <c r="EF174" s="558"/>
      <c r="EG174" s="558"/>
      <c r="EH174" s="558"/>
      <c r="EI174" s="558"/>
      <c r="EJ174" s="558"/>
      <c r="EK174" s="558"/>
      <c r="EL174" s="558"/>
      <c r="EM174" s="558"/>
      <c r="EN174" s="558"/>
      <c r="EO174" s="558"/>
      <c r="EP174" s="558"/>
      <c r="EQ174" s="674"/>
      <c r="ER174" s="305"/>
    </row>
    <row r="175" spans="4:148" s="556" customFormat="1" x14ac:dyDescent="0.2">
      <c r="D175" s="110"/>
      <c r="O175" s="669"/>
      <c r="P175" s="670"/>
      <c r="Q175" s="670"/>
      <c r="S175" s="674"/>
      <c r="AA175" s="674"/>
      <c r="AF175" s="305"/>
      <c r="AG175" s="305"/>
      <c r="AH175" s="305"/>
      <c r="AI175" s="305"/>
      <c r="AJ175" s="305"/>
      <c r="AK175" s="305"/>
      <c r="AL175" s="305"/>
      <c r="AM175" s="305"/>
      <c r="AN175" s="305"/>
      <c r="AO175" s="305"/>
      <c r="AP175" s="305"/>
      <c r="AQ175" s="305"/>
      <c r="AR175" s="305"/>
      <c r="AS175" s="305"/>
      <c r="AT175" s="305"/>
      <c r="AU175" s="305"/>
      <c r="AV175" s="305"/>
      <c r="AW175" s="305"/>
      <c r="AX175" s="305"/>
      <c r="AY175" s="305"/>
      <c r="AZ175" s="305"/>
      <c r="BA175" s="305"/>
      <c r="BB175" s="305"/>
      <c r="BC175" s="305"/>
      <c r="BD175" s="305"/>
      <c r="BE175" s="305"/>
      <c r="BF175" s="305"/>
      <c r="BG175" s="305"/>
      <c r="BH175" s="305"/>
      <c r="BI175" s="305"/>
      <c r="BJ175" s="305"/>
      <c r="BK175" s="305"/>
      <c r="BL175" s="305"/>
      <c r="BM175" s="305"/>
      <c r="BN175" s="305"/>
      <c r="BO175" s="305"/>
      <c r="BP175" s="305"/>
      <c r="BQ175" s="305"/>
      <c r="BR175" s="305"/>
      <c r="BS175" s="305"/>
      <c r="BT175" s="305"/>
      <c r="BU175" s="305"/>
      <c r="BV175" s="305"/>
      <c r="BW175" s="305"/>
      <c r="BX175" s="305"/>
      <c r="BY175" s="305"/>
      <c r="BZ175" s="305"/>
      <c r="CA175" s="305"/>
      <c r="CB175" s="305"/>
      <c r="CC175" s="305"/>
      <c r="CD175" s="305"/>
      <c r="CE175" s="305"/>
      <c r="CF175" s="305"/>
      <c r="CG175" s="305"/>
      <c r="CH175" s="305"/>
      <c r="CI175" s="305"/>
      <c r="CJ175" s="305"/>
      <c r="CK175" s="305"/>
      <c r="CL175" s="305"/>
      <c r="CM175" s="305"/>
      <c r="CN175" s="305"/>
      <c r="CO175" s="305"/>
      <c r="CP175" s="305"/>
      <c r="CQ175" s="305"/>
      <c r="CR175" s="305"/>
      <c r="CS175" s="305"/>
      <c r="CT175" s="305"/>
      <c r="CU175" s="305"/>
      <c r="CV175" s="305"/>
      <c r="CW175" s="305"/>
      <c r="CX175" s="305"/>
      <c r="CY175" s="305"/>
      <c r="CZ175" s="305"/>
      <c r="DA175" s="305"/>
      <c r="DB175" s="305"/>
      <c r="DC175" s="305"/>
      <c r="DD175" s="305"/>
      <c r="DE175" s="305"/>
      <c r="DF175" s="305"/>
      <c r="DG175" s="305"/>
      <c r="DH175" s="305"/>
      <c r="DI175" s="305"/>
      <c r="DJ175" s="305"/>
      <c r="DK175" s="305"/>
      <c r="DL175" s="305"/>
      <c r="DM175" s="305"/>
      <c r="DN175" s="305"/>
      <c r="DO175" s="305"/>
      <c r="DP175" s="305"/>
      <c r="DQ175" s="305"/>
      <c r="DR175" s="305"/>
      <c r="DS175" s="305"/>
      <c r="DT175" s="305"/>
      <c r="DU175" s="305"/>
      <c r="DV175" s="305"/>
      <c r="DW175" s="558"/>
      <c r="DX175" s="558"/>
      <c r="DY175" s="558"/>
      <c r="DZ175" s="558"/>
      <c r="EA175" s="558"/>
      <c r="EB175" s="558"/>
      <c r="EC175" s="558"/>
      <c r="ED175" s="558"/>
      <c r="EE175" s="558"/>
      <c r="EF175" s="558"/>
      <c r="EG175" s="558"/>
      <c r="EH175" s="558"/>
      <c r="EI175" s="558"/>
      <c r="EJ175" s="558"/>
      <c r="EK175" s="558"/>
      <c r="EL175" s="558"/>
      <c r="EM175" s="558"/>
      <c r="EN175" s="558"/>
      <c r="EO175" s="558"/>
      <c r="EP175" s="558"/>
      <c r="EQ175" s="674"/>
      <c r="ER175" s="305"/>
    </row>
    <row r="176" spans="4:148" s="556" customFormat="1" x14ac:dyDescent="0.2">
      <c r="D176" s="110"/>
      <c r="O176" s="669"/>
      <c r="P176" s="670"/>
      <c r="Q176" s="670"/>
      <c r="S176" s="674"/>
      <c r="AA176" s="674"/>
      <c r="AF176" s="305"/>
      <c r="AG176" s="305"/>
      <c r="AH176" s="305"/>
      <c r="AI176" s="305"/>
      <c r="AJ176" s="305"/>
      <c r="AK176" s="305"/>
      <c r="AL176" s="305"/>
      <c r="AM176" s="305"/>
      <c r="AN176" s="305"/>
      <c r="AO176" s="305"/>
      <c r="AP176" s="305"/>
      <c r="AQ176" s="305"/>
      <c r="AR176" s="305"/>
      <c r="AS176" s="305"/>
      <c r="AT176" s="305"/>
      <c r="AU176" s="305"/>
      <c r="AV176" s="305"/>
      <c r="AW176" s="305"/>
      <c r="AX176" s="305"/>
      <c r="AY176" s="305"/>
      <c r="AZ176" s="305"/>
      <c r="BA176" s="305"/>
      <c r="BB176" s="305"/>
      <c r="BC176" s="305"/>
      <c r="BD176" s="305"/>
      <c r="BE176" s="305"/>
      <c r="BF176" s="305"/>
      <c r="BG176" s="305"/>
      <c r="BH176" s="305"/>
      <c r="BI176" s="305"/>
      <c r="BJ176" s="305"/>
      <c r="BK176" s="305"/>
      <c r="BL176" s="305"/>
      <c r="BM176" s="305"/>
      <c r="BN176" s="305"/>
      <c r="BO176" s="305"/>
      <c r="BP176" s="305"/>
      <c r="BQ176" s="305"/>
      <c r="BR176" s="305"/>
      <c r="BS176" s="305"/>
      <c r="BT176" s="305"/>
      <c r="BU176" s="305"/>
      <c r="BV176" s="305"/>
      <c r="BW176" s="305"/>
      <c r="BX176" s="305"/>
      <c r="BY176" s="305"/>
      <c r="BZ176" s="305"/>
      <c r="CA176" s="305"/>
      <c r="CB176" s="305"/>
      <c r="CC176" s="305"/>
      <c r="CD176" s="305"/>
      <c r="CE176" s="305"/>
      <c r="CF176" s="305"/>
      <c r="CG176" s="305"/>
      <c r="CH176" s="305"/>
      <c r="CI176" s="305"/>
      <c r="CJ176" s="305"/>
      <c r="CK176" s="305"/>
      <c r="CL176" s="305"/>
      <c r="CM176" s="305"/>
      <c r="CN176" s="305"/>
      <c r="CO176" s="305"/>
      <c r="CP176" s="305"/>
      <c r="CQ176" s="305"/>
      <c r="CR176" s="305"/>
      <c r="CS176" s="305"/>
      <c r="CT176" s="305"/>
      <c r="CU176" s="305"/>
      <c r="CV176" s="305"/>
      <c r="CW176" s="305"/>
      <c r="CX176" s="305"/>
      <c r="CY176" s="305"/>
      <c r="CZ176" s="305"/>
      <c r="DA176" s="305"/>
      <c r="DB176" s="305"/>
      <c r="DC176" s="305"/>
      <c r="DD176" s="305"/>
      <c r="DE176" s="305"/>
      <c r="DF176" s="305"/>
      <c r="DG176" s="305"/>
      <c r="DH176" s="305"/>
      <c r="DI176" s="305"/>
      <c r="DJ176" s="305"/>
      <c r="DK176" s="305"/>
      <c r="DL176" s="305"/>
      <c r="DM176" s="305"/>
      <c r="DN176" s="305"/>
      <c r="DO176" s="305"/>
      <c r="DP176" s="305"/>
      <c r="DQ176" s="305"/>
      <c r="DR176" s="305"/>
      <c r="DS176" s="305"/>
      <c r="DT176" s="305"/>
      <c r="DU176" s="305"/>
      <c r="DV176" s="305"/>
      <c r="DW176" s="558"/>
      <c r="DX176" s="558"/>
      <c r="DY176" s="558"/>
      <c r="DZ176" s="558"/>
      <c r="EA176" s="558"/>
      <c r="EB176" s="558"/>
      <c r="EC176" s="558"/>
      <c r="ED176" s="558"/>
      <c r="EE176" s="558"/>
      <c r="EF176" s="558"/>
      <c r="EG176" s="558"/>
      <c r="EH176" s="558"/>
      <c r="EI176" s="558"/>
      <c r="EJ176" s="558"/>
      <c r="EK176" s="558"/>
      <c r="EL176" s="558"/>
      <c r="EM176" s="558"/>
      <c r="EN176" s="558"/>
      <c r="EO176" s="558"/>
      <c r="EP176" s="558"/>
      <c r="EQ176" s="674"/>
      <c r="ER176" s="305"/>
    </row>
    <row r="177" spans="4:148" s="556" customFormat="1" x14ac:dyDescent="0.2">
      <c r="D177" s="110"/>
      <c r="O177" s="669"/>
      <c r="P177" s="670"/>
      <c r="Q177" s="670"/>
      <c r="S177" s="674"/>
      <c r="AA177" s="674"/>
      <c r="AF177" s="305"/>
      <c r="AG177" s="305"/>
      <c r="AH177" s="305"/>
      <c r="AI177" s="305"/>
      <c r="AJ177" s="305"/>
      <c r="AK177" s="305"/>
      <c r="AL177" s="305"/>
      <c r="AM177" s="305"/>
      <c r="AN177" s="305"/>
      <c r="AO177" s="305"/>
      <c r="AP177" s="305"/>
      <c r="AQ177" s="305"/>
      <c r="AR177" s="305"/>
      <c r="AS177" s="305"/>
      <c r="AT177" s="305"/>
      <c r="AU177" s="305"/>
      <c r="AV177" s="305"/>
      <c r="AW177" s="305"/>
      <c r="AX177" s="305"/>
      <c r="AY177" s="305"/>
      <c r="AZ177" s="305"/>
      <c r="BA177" s="305"/>
      <c r="BB177" s="305"/>
      <c r="BC177" s="305"/>
      <c r="BD177" s="305"/>
      <c r="BE177" s="305"/>
      <c r="BF177" s="305"/>
      <c r="BG177" s="305"/>
      <c r="BH177" s="305"/>
      <c r="BI177" s="305"/>
      <c r="BJ177" s="305"/>
      <c r="BK177" s="305"/>
      <c r="BL177" s="305"/>
      <c r="BM177" s="305"/>
      <c r="BN177" s="305"/>
      <c r="BO177" s="305"/>
      <c r="BP177" s="305"/>
      <c r="BQ177" s="305"/>
      <c r="BR177" s="305"/>
      <c r="BS177" s="305"/>
      <c r="BT177" s="305"/>
      <c r="BU177" s="305"/>
      <c r="BV177" s="305"/>
      <c r="BW177" s="305"/>
      <c r="BX177" s="305"/>
      <c r="BY177" s="305"/>
      <c r="BZ177" s="305"/>
      <c r="CA177" s="305"/>
      <c r="CB177" s="305"/>
      <c r="CC177" s="305"/>
      <c r="CD177" s="305"/>
      <c r="CE177" s="305"/>
      <c r="CF177" s="305"/>
      <c r="CG177" s="305"/>
      <c r="CH177" s="305"/>
      <c r="CI177" s="305"/>
      <c r="CJ177" s="305"/>
      <c r="CK177" s="305"/>
      <c r="CL177" s="305"/>
      <c r="CM177" s="305"/>
      <c r="CN177" s="305"/>
      <c r="CO177" s="305"/>
      <c r="CP177" s="305"/>
      <c r="CQ177" s="305"/>
      <c r="CR177" s="305"/>
      <c r="CS177" s="305"/>
      <c r="CT177" s="305"/>
      <c r="CU177" s="305"/>
      <c r="CV177" s="305"/>
      <c r="CW177" s="305"/>
      <c r="CX177" s="305"/>
      <c r="CY177" s="305"/>
      <c r="CZ177" s="305"/>
      <c r="DA177" s="305"/>
      <c r="DB177" s="305"/>
      <c r="DC177" s="305"/>
      <c r="DD177" s="305"/>
      <c r="DE177" s="305"/>
      <c r="DF177" s="305"/>
      <c r="DG177" s="305"/>
      <c r="DH177" s="305"/>
      <c r="DI177" s="305"/>
      <c r="DJ177" s="305"/>
      <c r="DK177" s="305"/>
      <c r="DL177" s="305"/>
      <c r="DM177" s="305"/>
      <c r="DN177" s="305"/>
      <c r="DO177" s="305"/>
      <c r="DP177" s="305"/>
      <c r="DQ177" s="305"/>
      <c r="DR177" s="305"/>
      <c r="DS177" s="305"/>
      <c r="DT177" s="305"/>
      <c r="DU177" s="305"/>
      <c r="DV177" s="305"/>
      <c r="DW177" s="558"/>
      <c r="DX177" s="558"/>
      <c r="DY177" s="558"/>
      <c r="DZ177" s="558"/>
      <c r="EA177" s="558"/>
      <c r="EB177" s="558"/>
      <c r="EC177" s="558"/>
      <c r="ED177" s="558"/>
      <c r="EE177" s="558"/>
      <c r="EF177" s="558"/>
      <c r="EG177" s="558"/>
      <c r="EH177" s="558"/>
      <c r="EI177" s="558"/>
      <c r="EJ177" s="558"/>
      <c r="EK177" s="558"/>
      <c r="EL177" s="558"/>
      <c r="EM177" s="558"/>
      <c r="EN177" s="558"/>
      <c r="EO177" s="558"/>
      <c r="EP177" s="558"/>
      <c r="EQ177" s="674"/>
      <c r="ER177" s="305"/>
    </row>
    <row r="178" spans="4:148" s="556" customFormat="1" x14ac:dyDescent="0.2">
      <c r="D178" s="110"/>
      <c r="O178" s="669"/>
      <c r="P178" s="670"/>
      <c r="Q178" s="670"/>
      <c r="S178" s="674"/>
      <c r="AA178" s="674"/>
      <c r="AF178" s="305"/>
      <c r="AG178" s="305"/>
      <c r="AH178" s="305"/>
      <c r="AI178" s="305"/>
      <c r="AJ178" s="305"/>
      <c r="AK178" s="305"/>
      <c r="AL178" s="305"/>
      <c r="AM178" s="305"/>
      <c r="AN178" s="305"/>
      <c r="AO178" s="305"/>
      <c r="AP178" s="305"/>
      <c r="AQ178" s="305"/>
      <c r="AR178" s="305"/>
      <c r="AS178" s="305"/>
      <c r="AT178" s="305"/>
      <c r="AU178" s="305"/>
      <c r="AV178" s="305"/>
      <c r="AW178" s="305"/>
      <c r="AX178" s="305"/>
      <c r="AY178" s="305"/>
      <c r="AZ178" s="305"/>
      <c r="BA178" s="305"/>
      <c r="BB178" s="305"/>
      <c r="BC178" s="305"/>
      <c r="BD178" s="305"/>
      <c r="BE178" s="305"/>
      <c r="BF178" s="305"/>
      <c r="BG178" s="305"/>
      <c r="BH178" s="305"/>
      <c r="BI178" s="305"/>
      <c r="BJ178" s="305"/>
      <c r="BK178" s="305"/>
      <c r="BL178" s="305"/>
      <c r="BM178" s="305"/>
      <c r="BN178" s="305"/>
      <c r="BO178" s="305"/>
      <c r="BP178" s="305"/>
      <c r="BQ178" s="305"/>
      <c r="BR178" s="305"/>
      <c r="BS178" s="305"/>
      <c r="BT178" s="305"/>
      <c r="BU178" s="305"/>
      <c r="BV178" s="305"/>
      <c r="BW178" s="305"/>
      <c r="BX178" s="305"/>
      <c r="BY178" s="305"/>
      <c r="BZ178" s="305"/>
      <c r="CA178" s="305"/>
      <c r="CB178" s="305"/>
      <c r="CC178" s="305"/>
      <c r="CD178" s="305"/>
      <c r="CE178" s="305"/>
      <c r="CF178" s="305"/>
      <c r="CG178" s="305"/>
      <c r="CH178" s="305"/>
      <c r="CI178" s="305"/>
      <c r="CJ178" s="305"/>
      <c r="CK178" s="305"/>
      <c r="CL178" s="305"/>
      <c r="CM178" s="305"/>
      <c r="CN178" s="305"/>
      <c r="CO178" s="305"/>
      <c r="CP178" s="305"/>
      <c r="CQ178" s="305"/>
      <c r="CR178" s="305"/>
      <c r="CS178" s="305"/>
      <c r="CT178" s="305"/>
      <c r="CU178" s="305"/>
      <c r="CV178" s="305"/>
      <c r="CW178" s="305"/>
      <c r="CX178" s="305"/>
      <c r="CY178" s="305"/>
      <c r="CZ178" s="305"/>
      <c r="DA178" s="305"/>
      <c r="DB178" s="305"/>
      <c r="DC178" s="305"/>
      <c r="DD178" s="305"/>
      <c r="DE178" s="305"/>
      <c r="DF178" s="305"/>
      <c r="DG178" s="305"/>
      <c r="DH178" s="305"/>
      <c r="DI178" s="305"/>
      <c r="DJ178" s="305"/>
      <c r="DK178" s="305"/>
      <c r="DL178" s="305"/>
      <c r="DM178" s="305"/>
      <c r="DN178" s="305"/>
      <c r="DO178" s="305"/>
      <c r="DP178" s="305"/>
      <c r="DQ178" s="305"/>
      <c r="DR178" s="305"/>
      <c r="DS178" s="305"/>
      <c r="DT178" s="305"/>
      <c r="DU178" s="305"/>
      <c r="DV178" s="305"/>
      <c r="DW178" s="558"/>
      <c r="DX178" s="558"/>
      <c r="DY178" s="558"/>
      <c r="DZ178" s="558"/>
      <c r="EA178" s="558"/>
      <c r="EB178" s="558"/>
      <c r="EC178" s="558"/>
      <c r="ED178" s="558"/>
      <c r="EE178" s="558"/>
      <c r="EF178" s="558"/>
      <c r="EG178" s="558"/>
      <c r="EH178" s="558"/>
      <c r="EI178" s="558"/>
      <c r="EJ178" s="558"/>
      <c r="EK178" s="558"/>
      <c r="EL178" s="558"/>
      <c r="EM178" s="558"/>
      <c r="EN178" s="558"/>
      <c r="EO178" s="558"/>
      <c r="EP178" s="558"/>
      <c r="EQ178" s="674"/>
      <c r="ER178" s="305"/>
    </row>
    <row r="179" spans="4:148" s="556" customFormat="1" x14ac:dyDescent="0.2">
      <c r="D179" s="110"/>
      <c r="O179" s="669"/>
      <c r="P179" s="670"/>
      <c r="Q179" s="670"/>
      <c r="S179" s="674"/>
      <c r="AA179" s="674"/>
      <c r="AF179" s="305"/>
      <c r="AG179" s="305"/>
      <c r="AH179" s="305"/>
      <c r="AI179" s="305"/>
      <c r="AJ179" s="305"/>
      <c r="AK179" s="305"/>
      <c r="AL179" s="305"/>
      <c r="AM179" s="305"/>
      <c r="AN179" s="305"/>
      <c r="AO179" s="305"/>
      <c r="AP179" s="305"/>
      <c r="AQ179" s="305"/>
      <c r="AR179" s="305"/>
      <c r="AS179" s="305"/>
      <c r="AT179" s="305"/>
      <c r="AU179" s="305"/>
      <c r="AV179" s="305"/>
      <c r="AW179" s="305"/>
      <c r="AX179" s="305"/>
      <c r="AY179" s="305"/>
      <c r="AZ179" s="305"/>
      <c r="BA179" s="305"/>
      <c r="BB179" s="305"/>
      <c r="BC179" s="305"/>
      <c r="BD179" s="305"/>
      <c r="BE179" s="305"/>
      <c r="BF179" s="305"/>
      <c r="BG179" s="305"/>
      <c r="BH179" s="305"/>
      <c r="BI179" s="305"/>
      <c r="BJ179" s="305"/>
      <c r="BK179" s="305"/>
      <c r="BL179" s="305"/>
      <c r="BM179" s="305"/>
      <c r="BN179" s="305"/>
      <c r="BO179" s="305"/>
      <c r="BP179" s="305"/>
      <c r="BQ179" s="305"/>
      <c r="BR179" s="305"/>
      <c r="BS179" s="305"/>
      <c r="BT179" s="305"/>
      <c r="BU179" s="305"/>
      <c r="BV179" s="305"/>
      <c r="BW179" s="305"/>
      <c r="BX179" s="305"/>
      <c r="BY179" s="305"/>
      <c r="BZ179" s="305"/>
      <c r="CA179" s="305"/>
      <c r="CB179" s="305"/>
      <c r="CC179" s="305"/>
      <c r="CD179" s="305"/>
      <c r="CE179" s="305"/>
      <c r="CF179" s="305"/>
      <c r="CG179" s="305"/>
      <c r="CH179" s="305"/>
      <c r="CI179" s="305"/>
      <c r="CJ179" s="305"/>
      <c r="CK179" s="305"/>
      <c r="CL179" s="305"/>
      <c r="CM179" s="305"/>
      <c r="CN179" s="305"/>
      <c r="CO179" s="305"/>
      <c r="CP179" s="305"/>
      <c r="CQ179" s="305"/>
      <c r="CR179" s="305"/>
      <c r="CS179" s="305"/>
      <c r="CT179" s="305"/>
      <c r="CU179" s="305"/>
      <c r="CV179" s="305"/>
      <c r="CW179" s="305"/>
      <c r="CX179" s="305"/>
      <c r="CY179" s="305"/>
      <c r="CZ179" s="305"/>
      <c r="DA179" s="305"/>
      <c r="DB179" s="305"/>
      <c r="DC179" s="305"/>
      <c r="DD179" s="305"/>
      <c r="DE179" s="305"/>
      <c r="DF179" s="305"/>
      <c r="DG179" s="305"/>
      <c r="DH179" s="305"/>
      <c r="DI179" s="305"/>
      <c r="DJ179" s="305"/>
      <c r="DK179" s="305"/>
      <c r="DL179" s="305"/>
      <c r="DM179" s="305"/>
      <c r="DN179" s="305"/>
      <c r="DO179" s="305"/>
      <c r="DP179" s="305"/>
      <c r="DQ179" s="305"/>
      <c r="DR179" s="305"/>
      <c r="DS179" s="305"/>
      <c r="DT179" s="305"/>
      <c r="DU179" s="305"/>
      <c r="DV179" s="305"/>
      <c r="DW179" s="558"/>
      <c r="DX179" s="558"/>
      <c r="DY179" s="558"/>
      <c r="DZ179" s="558"/>
      <c r="EA179" s="558"/>
      <c r="EB179" s="558"/>
      <c r="EC179" s="558"/>
      <c r="ED179" s="558"/>
      <c r="EE179" s="558"/>
      <c r="EF179" s="558"/>
      <c r="EG179" s="558"/>
      <c r="EH179" s="558"/>
      <c r="EI179" s="558"/>
      <c r="EJ179" s="558"/>
      <c r="EK179" s="558"/>
      <c r="EL179" s="558"/>
      <c r="EM179" s="558"/>
      <c r="EN179" s="558"/>
      <c r="EO179" s="558"/>
      <c r="EP179" s="558"/>
      <c r="EQ179" s="674"/>
      <c r="ER179" s="305"/>
    </row>
    <row r="180" spans="4:148" s="556" customFormat="1" x14ac:dyDescent="0.2">
      <c r="D180" s="110"/>
      <c r="O180" s="669"/>
      <c r="P180" s="670"/>
      <c r="Q180" s="670"/>
      <c r="S180" s="674"/>
      <c r="AA180" s="674"/>
      <c r="AF180" s="305"/>
      <c r="AG180" s="305"/>
      <c r="AH180" s="305"/>
      <c r="AI180" s="305"/>
      <c r="AJ180" s="305"/>
      <c r="AK180" s="305"/>
      <c r="AL180" s="305"/>
      <c r="AM180" s="305"/>
      <c r="AN180" s="305"/>
      <c r="AO180" s="305"/>
      <c r="AP180" s="305"/>
      <c r="AQ180" s="305"/>
      <c r="AR180" s="305"/>
      <c r="AS180" s="305"/>
      <c r="AT180" s="305"/>
      <c r="AU180" s="305"/>
      <c r="AV180" s="305"/>
      <c r="AW180" s="305"/>
      <c r="AX180" s="305"/>
      <c r="AY180" s="305"/>
      <c r="AZ180" s="305"/>
      <c r="BA180" s="305"/>
      <c r="BB180" s="305"/>
      <c r="BC180" s="305"/>
      <c r="BD180" s="305"/>
      <c r="BE180" s="305"/>
      <c r="BF180" s="305"/>
      <c r="BG180" s="305"/>
      <c r="BH180" s="305"/>
      <c r="BI180" s="305"/>
      <c r="BJ180" s="305"/>
      <c r="BK180" s="305"/>
      <c r="BL180" s="305"/>
      <c r="BM180" s="305"/>
      <c r="BN180" s="305"/>
      <c r="BO180" s="305"/>
      <c r="BP180" s="305"/>
      <c r="BQ180" s="305"/>
      <c r="BR180" s="305"/>
      <c r="BS180" s="305"/>
      <c r="BT180" s="305"/>
      <c r="BU180" s="305"/>
      <c r="BV180" s="305"/>
      <c r="BW180" s="305"/>
      <c r="BX180" s="305"/>
      <c r="BY180" s="305"/>
      <c r="BZ180" s="305"/>
      <c r="CA180" s="305"/>
      <c r="CB180" s="305"/>
      <c r="CC180" s="305"/>
      <c r="CD180" s="305"/>
      <c r="CE180" s="305"/>
      <c r="CF180" s="305"/>
      <c r="CG180" s="305"/>
      <c r="CH180" s="305"/>
      <c r="CI180" s="305"/>
      <c r="CJ180" s="305"/>
      <c r="CK180" s="305"/>
      <c r="CL180" s="305"/>
      <c r="CM180" s="305"/>
      <c r="CN180" s="305"/>
      <c r="CO180" s="305"/>
      <c r="CP180" s="305"/>
      <c r="CQ180" s="305"/>
      <c r="CR180" s="305"/>
      <c r="CS180" s="305"/>
      <c r="CT180" s="305"/>
      <c r="CU180" s="305"/>
      <c r="CV180" s="305"/>
      <c r="CW180" s="305"/>
      <c r="CX180" s="305"/>
      <c r="CY180" s="305"/>
      <c r="CZ180" s="305"/>
      <c r="DA180" s="305"/>
      <c r="DB180" s="305"/>
      <c r="DC180" s="305"/>
      <c r="DD180" s="305"/>
      <c r="DE180" s="305"/>
      <c r="DF180" s="305"/>
      <c r="DG180" s="305"/>
      <c r="DH180" s="305"/>
      <c r="DI180" s="305"/>
      <c r="DJ180" s="305"/>
      <c r="DK180" s="305"/>
      <c r="DL180" s="305"/>
      <c r="DM180" s="305"/>
      <c r="DN180" s="305"/>
      <c r="DO180" s="305"/>
      <c r="DP180" s="305"/>
      <c r="DQ180" s="305"/>
      <c r="DR180" s="305"/>
      <c r="DS180" s="305"/>
      <c r="DT180" s="305"/>
      <c r="DU180" s="305"/>
      <c r="DV180" s="305"/>
      <c r="DW180" s="558"/>
      <c r="DX180" s="558"/>
      <c r="DY180" s="558"/>
      <c r="DZ180" s="558"/>
      <c r="EA180" s="558"/>
      <c r="EB180" s="558"/>
      <c r="EC180" s="558"/>
      <c r="ED180" s="558"/>
      <c r="EE180" s="558"/>
      <c r="EF180" s="558"/>
      <c r="EG180" s="558"/>
      <c r="EH180" s="558"/>
      <c r="EI180" s="558"/>
      <c r="EJ180" s="558"/>
      <c r="EK180" s="558"/>
      <c r="EL180" s="558"/>
      <c r="EM180" s="558"/>
      <c r="EN180" s="558"/>
      <c r="EO180" s="558"/>
      <c r="EP180" s="558"/>
      <c r="EQ180" s="674"/>
      <c r="ER180" s="305"/>
    </row>
    <row r="181" spans="4:148" s="556" customFormat="1" x14ac:dyDescent="0.2">
      <c r="D181" s="110"/>
      <c r="O181" s="669"/>
      <c r="P181" s="670"/>
      <c r="Q181" s="670"/>
      <c r="S181" s="674"/>
      <c r="AA181" s="674"/>
      <c r="AF181" s="305"/>
      <c r="AG181" s="305"/>
      <c r="AH181" s="305"/>
      <c r="AI181" s="305"/>
      <c r="AJ181" s="305"/>
      <c r="AK181" s="305"/>
      <c r="AL181" s="305"/>
      <c r="AM181" s="305"/>
      <c r="AN181" s="305"/>
      <c r="AO181" s="305"/>
      <c r="AP181" s="305"/>
      <c r="AQ181" s="305"/>
      <c r="AR181" s="305"/>
      <c r="AS181" s="305"/>
      <c r="AT181" s="305"/>
      <c r="AU181" s="305"/>
      <c r="AV181" s="305"/>
      <c r="AW181" s="305"/>
      <c r="AX181" s="305"/>
      <c r="AY181" s="305"/>
      <c r="AZ181" s="305"/>
      <c r="BA181" s="305"/>
      <c r="BB181" s="305"/>
      <c r="BC181" s="305"/>
      <c r="BD181" s="305"/>
      <c r="BE181" s="305"/>
      <c r="BF181" s="305"/>
      <c r="BG181" s="305"/>
      <c r="BH181" s="305"/>
      <c r="BI181" s="305"/>
      <c r="BJ181" s="305"/>
      <c r="BK181" s="305"/>
      <c r="BL181" s="305"/>
      <c r="BM181" s="305"/>
      <c r="BN181" s="305"/>
      <c r="BO181" s="305"/>
      <c r="BP181" s="305"/>
      <c r="BQ181" s="305"/>
      <c r="BR181" s="305"/>
      <c r="BS181" s="305"/>
      <c r="BT181" s="305"/>
      <c r="BU181" s="305"/>
      <c r="BV181" s="305"/>
      <c r="BW181" s="305"/>
      <c r="BX181" s="305"/>
      <c r="BY181" s="305"/>
      <c r="BZ181" s="305"/>
      <c r="CA181" s="305"/>
      <c r="CB181" s="305"/>
      <c r="CC181" s="305"/>
      <c r="CD181" s="305"/>
      <c r="CE181" s="305"/>
      <c r="CF181" s="305"/>
      <c r="CG181" s="305"/>
      <c r="CH181" s="305"/>
      <c r="CI181" s="305"/>
      <c r="CJ181" s="305"/>
      <c r="CK181" s="305"/>
      <c r="CL181" s="305"/>
      <c r="CM181" s="305"/>
      <c r="CN181" s="305"/>
      <c r="CO181" s="305"/>
      <c r="CP181" s="305"/>
      <c r="CQ181" s="305"/>
      <c r="CR181" s="305"/>
      <c r="CS181" s="305"/>
      <c r="CT181" s="305"/>
      <c r="CU181" s="305"/>
      <c r="CV181" s="305"/>
      <c r="CW181" s="305"/>
      <c r="CX181" s="305"/>
      <c r="CY181" s="305"/>
      <c r="CZ181" s="305"/>
      <c r="DA181" s="305"/>
      <c r="DB181" s="305"/>
      <c r="DC181" s="305"/>
      <c r="DD181" s="305"/>
      <c r="DE181" s="305"/>
      <c r="DF181" s="305"/>
      <c r="DG181" s="305"/>
      <c r="DH181" s="305"/>
      <c r="DI181" s="305"/>
      <c r="DJ181" s="305"/>
      <c r="DK181" s="305"/>
      <c r="DL181" s="305"/>
      <c r="DM181" s="305"/>
      <c r="DN181" s="305"/>
      <c r="DO181" s="305"/>
      <c r="DP181" s="305"/>
      <c r="DQ181" s="305"/>
      <c r="DR181" s="305"/>
      <c r="DS181" s="305"/>
      <c r="DT181" s="305"/>
      <c r="DU181" s="305"/>
      <c r="DV181" s="305"/>
      <c r="DW181" s="558"/>
      <c r="DX181" s="558"/>
      <c r="DY181" s="558"/>
      <c r="DZ181" s="558"/>
      <c r="EA181" s="558"/>
      <c r="EB181" s="558"/>
      <c r="EC181" s="558"/>
      <c r="ED181" s="558"/>
      <c r="EE181" s="558"/>
      <c r="EF181" s="558"/>
      <c r="EG181" s="558"/>
      <c r="EH181" s="558"/>
      <c r="EI181" s="558"/>
      <c r="EJ181" s="558"/>
      <c r="EK181" s="558"/>
      <c r="EL181" s="558"/>
      <c r="EM181" s="558"/>
      <c r="EN181" s="558"/>
      <c r="EO181" s="558"/>
      <c r="EP181" s="558"/>
      <c r="EQ181" s="674"/>
      <c r="ER181" s="305"/>
    </row>
    <row r="182" spans="4:148" s="556" customFormat="1" x14ac:dyDescent="0.2">
      <c r="D182" s="110"/>
      <c r="O182" s="669"/>
      <c r="P182" s="670"/>
      <c r="Q182" s="670"/>
      <c r="S182" s="674"/>
      <c r="AA182" s="674"/>
      <c r="AF182" s="305"/>
      <c r="AG182" s="305"/>
      <c r="AH182" s="305"/>
      <c r="AI182" s="305"/>
      <c r="AJ182" s="305"/>
      <c r="AK182" s="305"/>
      <c r="AL182" s="305"/>
      <c r="AM182" s="305"/>
      <c r="AN182" s="305"/>
      <c r="AO182" s="305"/>
      <c r="AP182" s="305"/>
      <c r="AQ182" s="305"/>
      <c r="AR182" s="305"/>
      <c r="AS182" s="305"/>
      <c r="AT182" s="305"/>
      <c r="AU182" s="305"/>
      <c r="AV182" s="305"/>
      <c r="AW182" s="305"/>
      <c r="AX182" s="305"/>
      <c r="AY182" s="305"/>
      <c r="AZ182" s="305"/>
      <c r="BA182" s="305"/>
      <c r="BB182" s="305"/>
      <c r="BC182" s="305"/>
      <c r="BD182" s="305"/>
      <c r="BE182" s="305"/>
      <c r="BF182" s="305"/>
      <c r="BG182" s="305"/>
      <c r="BH182" s="305"/>
      <c r="BI182" s="305"/>
      <c r="BJ182" s="305"/>
      <c r="BK182" s="305"/>
      <c r="BL182" s="305"/>
      <c r="BM182" s="305"/>
      <c r="BN182" s="305"/>
      <c r="BO182" s="305"/>
      <c r="BP182" s="305"/>
      <c r="BQ182" s="305"/>
      <c r="BR182" s="305"/>
      <c r="BS182" s="305"/>
      <c r="BT182" s="305"/>
      <c r="BU182" s="305"/>
      <c r="BV182" s="305"/>
      <c r="BW182" s="305"/>
      <c r="BX182" s="305"/>
      <c r="BY182" s="305"/>
      <c r="BZ182" s="305"/>
      <c r="CA182" s="305"/>
      <c r="CB182" s="305"/>
      <c r="CC182" s="305"/>
      <c r="CD182" s="305"/>
      <c r="CE182" s="305"/>
      <c r="CF182" s="305"/>
      <c r="CG182" s="305"/>
      <c r="CH182" s="305"/>
      <c r="CI182" s="305"/>
      <c r="CJ182" s="305"/>
      <c r="CK182" s="305"/>
      <c r="CL182" s="305"/>
      <c r="CM182" s="305"/>
      <c r="CN182" s="305"/>
      <c r="CO182" s="305"/>
      <c r="CP182" s="305"/>
      <c r="CQ182" s="305"/>
      <c r="CR182" s="305"/>
      <c r="CS182" s="305"/>
      <c r="CT182" s="305"/>
      <c r="CU182" s="305"/>
      <c r="CV182" s="305"/>
      <c r="CW182" s="305"/>
      <c r="CX182" s="305"/>
      <c r="CY182" s="305"/>
      <c r="CZ182" s="305"/>
      <c r="DA182" s="305"/>
      <c r="DB182" s="305"/>
      <c r="DC182" s="305"/>
      <c r="DD182" s="305"/>
      <c r="DE182" s="305"/>
      <c r="DF182" s="305"/>
      <c r="DG182" s="305"/>
      <c r="DH182" s="305"/>
      <c r="DI182" s="305"/>
      <c r="DJ182" s="305"/>
      <c r="DK182" s="305"/>
      <c r="DL182" s="305"/>
      <c r="DM182" s="305"/>
      <c r="DN182" s="305"/>
      <c r="DO182" s="305"/>
      <c r="DP182" s="305"/>
      <c r="DQ182" s="305"/>
      <c r="DR182" s="305"/>
      <c r="DS182" s="305"/>
      <c r="DT182" s="305"/>
      <c r="DU182" s="305"/>
      <c r="DV182" s="305"/>
      <c r="DW182" s="558"/>
      <c r="DX182" s="558"/>
      <c r="DY182" s="558"/>
      <c r="DZ182" s="558"/>
      <c r="EA182" s="558"/>
      <c r="EB182" s="558"/>
      <c r="EC182" s="558"/>
      <c r="ED182" s="558"/>
      <c r="EE182" s="558"/>
      <c r="EF182" s="558"/>
      <c r="EG182" s="558"/>
      <c r="EH182" s="558"/>
      <c r="EI182" s="558"/>
      <c r="EJ182" s="558"/>
      <c r="EK182" s="558"/>
      <c r="EL182" s="558"/>
      <c r="EM182" s="558"/>
      <c r="EN182" s="558"/>
      <c r="EO182" s="558"/>
      <c r="EP182" s="558"/>
      <c r="EQ182" s="674"/>
      <c r="ER182" s="305"/>
    </row>
    <row r="183" spans="4:148" s="556" customFormat="1" x14ac:dyDescent="0.2">
      <c r="D183" s="110"/>
      <c r="O183" s="669"/>
      <c r="P183" s="670"/>
      <c r="Q183" s="670"/>
      <c r="S183" s="674"/>
      <c r="AA183" s="674"/>
      <c r="AF183" s="305"/>
      <c r="AG183" s="305"/>
      <c r="AH183" s="305"/>
      <c r="AI183" s="305"/>
      <c r="AJ183" s="305"/>
      <c r="AK183" s="305"/>
      <c r="AL183" s="305"/>
      <c r="AM183" s="305"/>
      <c r="AN183" s="305"/>
      <c r="AO183" s="305"/>
      <c r="AP183" s="305"/>
      <c r="AQ183" s="305"/>
      <c r="AR183" s="305"/>
      <c r="AS183" s="305"/>
      <c r="AT183" s="305"/>
      <c r="AU183" s="305"/>
      <c r="AV183" s="305"/>
      <c r="AW183" s="305"/>
      <c r="AX183" s="305"/>
      <c r="AY183" s="305"/>
      <c r="AZ183" s="305"/>
      <c r="BA183" s="305"/>
      <c r="BB183" s="305"/>
      <c r="BC183" s="305"/>
      <c r="BD183" s="305"/>
      <c r="BE183" s="305"/>
      <c r="BF183" s="305"/>
      <c r="BG183" s="305"/>
      <c r="BH183" s="305"/>
      <c r="BI183" s="305"/>
      <c r="BJ183" s="305"/>
      <c r="BK183" s="305"/>
      <c r="BL183" s="305"/>
      <c r="BM183" s="305"/>
      <c r="BN183" s="305"/>
      <c r="BO183" s="305"/>
      <c r="BP183" s="305"/>
      <c r="BQ183" s="305"/>
      <c r="BR183" s="305"/>
      <c r="BS183" s="305"/>
      <c r="BT183" s="305"/>
      <c r="BU183" s="305"/>
      <c r="BV183" s="305"/>
      <c r="BW183" s="305"/>
      <c r="BX183" s="305"/>
      <c r="BY183" s="305"/>
      <c r="BZ183" s="305"/>
      <c r="CA183" s="305"/>
      <c r="CB183" s="305"/>
      <c r="CC183" s="305"/>
      <c r="CD183" s="305"/>
      <c r="CE183" s="305"/>
      <c r="CF183" s="305"/>
      <c r="CG183" s="305"/>
      <c r="CH183" s="305"/>
      <c r="CI183" s="305"/>
      <c r="CJ183" s="305"/>
      <c r="CK183" s="305"/>
      <c r="CL183" s="305"/>
      <c r="CM183" s="305"/>
      <c r="CN183" s="305"/>
      <c r="CO183" s="305"/>
      <c r="CP183" s="305"/>
      <c r="CQ183" s="305"/>
      <c r="CR183" s="305"/>
      <c r="CS183" s="305"/>
      <c r="CT183" s="305"/>
      <c r="CU183" s="305"/>
      <c r="CV183" s="305"/>
      <c r="CW183" s="305"/>
      <c r="CX183" s="305"/>
      <c r="CY183" s="305"/>
      <c r="CZ183" s="305"/>
      <c r="DA183" s="305"/>
      <c r="DB183" s="305"/>
      <c r="DC183" s="305"/>
      <c r="DD183" s="305"/>
      <c r="DE183" s="305"/>
      <c r="DF183" s="305"/>
      <c r="DG183" s="305"/>
      <c r="DH183" s="305"/>
      <c r="DI183" s="305"/>
      <c r="DJ183" s="305"/>
      <c r="DK183" s="305"/>
      <c r="DL183" s="305"/>
      <c r="DM183" s="305"/>
      <c r="DN183" s="305"/>
      <c r="DO183" s="305"/>
      <c r="DP183" s="305"/>
      <c r="DQ183" s="305"/>
      <c r="DR183" s="305"/>
      <c r="DS183" s="305"/>
      <c r="DT183" s="305"/>
      <c r="DU183" s="305"/>
      <c r="DV183" s="305"/>
      <c r="DW183" s="558"/>
      <c r="DX183" s="558"/>
      <c r="DY183" s="558"/>
      <c r="DZ183" s="558"/>
      <c r="EA183" s="558"/>
      <c r="EB183" s="558"/>
      <c r="EC183" s="558"/>
      <c r="ED183" s="558"/>
      <c r="EE183" s="558"/>
      <c r="EF183" s="558"/>
      <c r="EG183" s="558"/>
      <c r="EH183" s="558"/>
      <c r="EI183" s="558"/>
      <c r="EJ183" s="558"/>
      <c r="EK183" s="558"/>
      <c r="EL183" s="558"/>
      <c r="EM183" s="558"/>
      <c r="EN183" s="558"/>
      <c r="EO183" s="558"/>
      <c r="EP183" s="558"/>
      <c r="EQ183" s="674"/>
      <c r="ER183" s="305"/>
    </row>
    <row r="184" spans="4:148" s="556" customFormat="1" x14ac:dyDescent="0.2">
      <c r="D184" s="110"/>
      <c r="O184" s="669"/>
      <c r="P184" s="670"/>
      <c r="Q184" s="670"/>
      <c r="S184" s="674"/>
      <c r="AA184" s="674"/>
      <c r="AF184" s="305"/>
      <c r="AG184" s="305"/>
      <c r="AH184" s="305"/>
      <c r="AI184" s="305"/>
      <c r="AJ184" s="305"/>
      <c r="AK184" s="305"/>
      <c r="AL184" s="305"/>
      <c r="AM184" s="305"/>
      <c r="AN184" s="305"/>
      <c r="AO184" s="305"/>
      <c r="AP184" s="305"/>
      <c r="AQ184" s="305"/>
      <c r="AR184" s="305"/>
      <c r="AS184" s="305"/>
      <c r="AT184" s="305"/>
      <c r="AU184" s="305"/>
      <c r="AV184" s="305"/>
      <c r="AW184" s="305"/>
      <c r="AX184" s="305"/>
      <c r="AY184" s="305"/>
      <c r="AZ184" s="305"/>
      <c r="BA184" s="305"/>
      <c r="BB184" s="305"/>
      <c r="BC184" s="305"/>
      <c r="BD184" s="305"/>
      <c r="BE184" s="305"/>
      <c r="BF184" s="305"/>
      <c r="BG184" s="305"/>
      <c r="BH184" s="305"/>
      <c r="BI184" s="305"/>
      <c r="BJ184" s="305"/>
      <c r="BK184" s="305"/>
      <c r="BL184" s="305"/>
      <c r="BM184" s="305"/>
      <c r="BN184" s="305"/>
      <c r="BO184" s="305"/>
      <c r="BP184" s="305"/>
      <c r="BQ184" s="305"/>
      <c r="BR184" s="305"/>
      <c r="BS184" s="305"/>
      <c r="BT184" s="305"/>
      <c r="BU184" s="305"/>
      <c r="BV184" s="305"/>
      <c r="BW184" s="305"/>
      <c r="BX184" s="305"/>
      <c r="BY184" s="305"/>
      <c r="BZ184" s="305"/>
      <c r="CA184" s="305"/>
      <c r="CB184" s="305"/>
      <c r="CC184" s="305"/>
      <c r="CD184" s="305"/>
      <c r="CE184" s="305"/>
      <c r="CF184" s="305"/>
      <c r="CG184" s="305"/>
      <c r="CH184" s="305"/>
      <c r="CI184" s="305"/>
      <c r="CJ184" s="305"/>
      <c r="CK184" s="305"/>
      <c r="CL184" s="305"/>
      <c r="CM184" s="305"/>
      <c r="CN184" s="305"/>
      <c r="CO184" s="305"/>
      <c r="CP184" s="305"/>
      <c r="CQ184" s="305"/>
      <c r="CR184" s="305"/>
      <c r="CS184" s="305"/>
      <c r="CT184" s="305"/>
      <c r="CU184" s="305"/>
      <c r="CV184" s="305"/>
      <c r="CW184" s="305"/>
      <c r="CX184" s="305"/>
      <c r="CY184" s="305"/>
      <c r="CZ184" s="305"/>
      <c r="DA184" s="305"/>
      <c r="DB184" s="305"/>
      <c r="DC184" s="305"/>
      <c r="DD184" s="305"/>
      <c r="DE184" s="305"/>
      <c r="DF184" s="305"/>
      <c r="DG184" s="305"/>
      <c r="DH184" s="305"/>
      <c r="DI184" s="305"/>
      <c r="DJ184" s="305"/>
      <c r="DK184" s="305"/>
      <c r="DL184" s="305"/>
      <c r="DM184" s="305"/>
      <c r="DN184" s="305"/>
      <c r="DO184" s="305"/>
      <c r="DP184" s="305"/>
      <c r="DQ184" s="305"/>
      <c r="DR184" s="305"/>
      <c r="DS184" s="305"/>
      <c r="DT184" s="305"/>
      <c r="DU184" s="305"/>
      <c r="DV184" s="305"/>
      <c r="DW184" s="558"/>
      <c r="DX184" s="558"/>
      <c r="DY184" s="558"/>
      <c r="DZ184" s="558"/>
      <c r="EA184" s="558"/>
      <c r="EB184" s="558"/>
      <c r="EC184" s="558"/>
      <c r="ED184" s="558"/>
      <c r="EE184" s="558"/>
      <c r="EF184" s="558"/>
      <c r="EG184" s="558"/>
      <c r="EH184" s="558"/>
      <c r="EI184" s="558"/>
      <c r="EJ184" s="558"/>
      <c r="EK184" s="558"/>
      <c r="EL184" s="558"/>
      <c r="EM184" s="558"/>
      <c r="EN184" s="558"/>
      <c r="EO184" s="558"/>
      <c r="EP184" s="558"/>
      <c r="EQ184" s="674"/>
      <c r="ER184" s="305"/>
    </row>
    <row r="185" spans="4:148" s="556" customFormat="1" x14ac:dyDescent="0.2">
      <c r="D185" s="110"/>
      <c r="O185" s="669"/>
      <c r="P185" s="670"/>
      <c r="Q185" s="670"/>
      <c r="S185" s="674"/>
      <c r="AA185" s="674"/>
      <c r="AF185" s="305"/>
      <c r="AG185" s="305"/>
      <c r="AH185" s="305"/>
      <c r="AI185" s="305"/>
      <c r="AJ185" s="305"/>
      <c r="AK185" s="305"/>
      <c r="AL185" s="305"/>
      <c r="AM185" s="305"/>
      <c r="AN185" s="305"/>
      <c r="AO185" s="305"/>
      <c r="AP185" s="305"/>
      <c r="AQ185" s="305"/>
      <c r="AR185" s="305"/>
      <c r="AS185" s="305"/>
      <c r="AT185" s="305"/>
      <c r="AU185" s="305"/>
      <c r="AV185" s="305"/>
      <c r="AW185" s="305"/>
      <c r="AX185" s="305"/>
      <c r="AY185" s="305"/>
      <c r="AZ185" s="305"/>
      <c r="BA185" s="305"/>
      <c r="BB185" s="305"/>
      <c r="BC185" s="305"/>
      <c r="BD185" s="305"/>
      <c r="BE185" s="305"/>
      <c r="BF185" s="305"/>
      <c r="BG185" s="305"/>
      <c r="BH185" s="305"/>
      <c r="BI185" s="305"/>
      <c r="BJ185" s="305"/>
      <c r="BK185" s="305"/>
      <c r="BL185" s="305"/>
      <c r="BM185" s="305"/>
      <c r="BN185" s="305"/>
      <c r="BO185" s="305"/>
      <c r="BP185" s="305"/>
      <c r="BQ185" s="305"/>
      <c r="BR185" s="305"/>
      <c r="BS185" s="305"/>
      <c r="BT185" s="305"/>
      <c r="BU185" s="305"/>
      <c r="BV185" s="305"/>
      <c r="BW185" s="305"/>
      <c r="BX185" s="305"/>
      <c r="BY185" s="305"/>
      <c r="BZ185" s="305"/>
      <c r="CA185" s="305"/>
      <c r="CB185" s="305"/>
      <c r="CC185" s="305"/>
      <c r="CD185" s="305"/>
      <c r="CE185" s="305"/>
      <c r="CF185" s="305"/>
      <c r="CG185" s="305"/>
      <c r="CH185" s="305"/>
      <c r="CI185" s="305"/>
      <c r="CJ185" s="305"/>
      <c r="CK185" s="305"/>
      <c r="CL185" s="305"/>
      <c r="CM185" s="305"/>
      <c r="CN185" s="305"/>
      <c r="CO185" s="305"/>
      <c r="CP185" s="305"/>
      <c r="CQ185" s="305"/>
      <c r="CR185" s="305"/>
      <c r="CS185" s="305"/>
      <c r="CT185" s="305"/>
      <c r="CU185" s="305"/>
      <c r="CV185" s="305"/>
      <c r="CW185" s="305"/>
      <c r="CX185" s="305"/>
      <c r="CY185" s="305"/>
      <c r="CZ185" s="305"/>
      <c r="DA185" s="305"/>
      <c r="DB185" s="305"/>
      <c r="DC185" s="305"/>
      <c r="DD185" s="305"/>
      <c r="DE185" s="305"/>
      <c r="DF185" s="305"/>
      <c r="DG185" s="305"/>
      <c r="DH185" s="305"/>
      <c r="DI185" s="305"/>
      <c r="DJ185" s="305"/>
      <c r="DK185" s="305"/>
      <c r="DL185" s="305"/>
      <c r="DM185" s="305"/>
      <c r="DN185" s="305"/>
      <c r="DO185" s="305"/>
      <c r="DP185" s="305"/>
      <c r="DQ185" s="305"/>
      <c r="DR185" s="305"/>
      <c r="DS185" s="305"/>
      <c r="DT185" s="305"/>
      <c r="DU185" s="305"/>
      <c r="DV185" s="305"/>
      <c r="DW185" s="558"/>
      <c r="DX185" s="558"/>
      <c r="DY185" s="558"/>
      <c r="DZ185" s="558"/>
      <c r="EA185" s="558"/>
      <c r="EB185" s="558"/>
      <c r="EC185" s="558"/>
      <c r="ED185" s="558"/>
      <c r="EE185" s="558"/>
      <c r="EF185" s="558"/>
      <c r="EG185" s="558"/>
      <c r="EH185" s="558"/>
      <c r="EI185" s="558"/>
      <c r="EJ185" s="558"/>
      <c r="EK185" s="558"/>
      <c r="EL185" s="558"/>
      <c r="EM185" s="558"/>
      <c r="EN185" s="558"/>
      <c r="EO185" s="558"/>
      <c r="EP185" s="558"/>
      <c r="EQ185" s="674"/>
      <c r="ER185" s="305"/>
    </row>
    <row r="186" spans="4:148" s="556" customFormat="1" x14ac:dyDescent="0.2">
      <c r="D186" s="110"/>
      <c r="O186" s="669"/>
      <c r="P186" s="670"/>
      <c r="Q186" s="670"/>
      <c r="S186" s="674"/>
      <c r="AA186" s="674"/>
      <c r="AF186" s="305"/>
      <c r="AG186" s="305"/>
      <c r="AH186" s="305"/>
      <c r="AI186" s="305"/>
      <c r="AJ186" s="305"/>
      <c r="AK186" s="305"/>
      <c r="AL186" s="305"/>
      <c r="AM186" s="305"/>
      <c r="AN186" s="305"/>
      <c r="AO186" s="305"/>
      <c r="AP186" s="305"/>
      <c r="AQ186" s="305"/>
      <c r="AR186" s="305"/>
      <c r="AS186" s="305"/>
      <c r="AT186" s="305"/>
      <c r="AU186" s="305"/>
      <c r="AV186" s="305"/>
      <c r="AW186" s="305"/>
      <c r="AX186" s="305"/>
      <c r="AY186" s="305"/>
      <c r="AZ186" s="305"/>
      <c r="BA186" s="305"/>
      <c r="BB186" s="305"/>
      <c r="BC186" s="305"/>
      <c r="BD186" s="305"/>
      <c r="BE186" s="305"/>
      <c r="BF186" s="305"/>
      <c r="BG186" s="305"/>
      <c r="BH186" s="305"/>
      <c r="BI186" s="305"/>
      <c r="BJ186" s="305"/>
      <c r="BK186" s="305"/>
      <c r="BL186" s="305"/>
      <c r="BM186" s="305"/>
      <c r="BN186" s="305"/>
      <c r="BO186" s="305"/>
      <c r="BP186" s="305"/>
      <c r="BQ186" s="305"/>
      <c r="BR186" s="305"/>
      <c r="BS186" s="305"/>
      <c r="BT186" s="305"/>
      <c r="BU186" s="305"/>
      <c r="BV186" s="305"/>
      <c r="BW186" s="305"/>
      <c r="BX186" s="305"/>
      <c r="BY186" s="305"/>
      <c r="BZ186" s="305"/>
      <c r="CA186" s="305"/>
      <c r="CB186" s="305"/>
      <c r="CC186" s="305"/>
      <c r="CD186" s="305"/>
      <c r="CE186" s="305"/>
      <c r="CF186" s="305"/>
      <c r="CG186" s="305"/>
      <c r="CH186" s="305"/>
      <c r="CI186" s="305"/>
      <c r="CJ186" s="305"/>
      <c r="CK186" s="305"/>
      <c r="CL186" s="305"/>
      <c r="CM186" s="305"/>
      <c r="CN186" s="305"/>
      <c r="CO186" s="305"/>
      <c r="CP186" s="305"/>
      <c r="CQ186" s="305"/>
      <c r="CR186" s="305"/>
      <c r="CS186" s="305"/>
      <c r="CT186" s="305"/>
      <c r="CU186" s="305"/>
      <c r="CV186" s="305"/>
      <c r="CW186" s="305"/>
      <c r="CX186" s="305"/>
      <c r="CY186" s="305"/>
      <c r="CZ186" s="305"/>
      <c r="DA186" s="305"/>
      <c r="DB186" s="305"/>
      <c r="DC186" s="305"/>
      <c r="DD186" s="305"/>
      <c r="DE186" s="305"/>
      <c r="DF186" s="305"/>
      <c r="DG186" s="305"/>
      <c r="DH186" s="305"/>
      <c r="DI186" s="305"/>
      <c r="DJ186" s="305"/>
      <c r="DK186" s="305"/>
      <c r="DL186" s="305"/>
      <c r="DM186" s="305"/>
      <c r="DN186" s="305"/>
      <c r="DO186" s="305"/>
      <c r="DP186" s="305"/>
      <c r="DQ186" s="305"/>
      <c r="DR186" s="305"/>
      <c r="DS186" s="305"/>
      <c r="DT186" s="305"/>
      <c r="DU186" s="305"/>
      <c r="DV186" s="305"/>
      <c r="DW186" s="558"/>
      <c r="DX186" s="558"/>
      <c r="DY186" s="558"/>
      <c r="DZ186" s="558"/>
      <c r="EA186" s="558"/>
      <c r="EB186" s="558"/>
      <c r="EC186" s="558"/>
      <c r="ED186" s="558"/>
      <c r="EE186" s="558"/>
      <c r="EF186" s="558"/>
      <c r="EG186" s="558"/>
      <c r="EH186" s="558"/>
      <c r="EI186" s="558"/>
      <c r="EJ186" s="558"/>
      <c r="EK186" s="558"/>
      <c r="EL186" s="558"/>
      <c r="EM186" s="558"/>
      <c r="EN186" s="558"/>
      <c r="EO186" s="558"/>
      <c r="EP186" s="558"/>
      <c r="EQ186" s="674"/>
      <c r="ER186" s="305"/>
    </row>
    <row r="187" spans="4:148" s="556" customFormat="1" x14ac:dyDescent="0.2">
      <c r="D187" s="110"/>
      <c r="O187" s="669"/>
      <c r="P187" s="670"/>
      <c r="Q187" s="670"/>
      <c r="S187" s="674"/>
      <c r="AA187" s="674"/>
      <c r="AF187" s="305"/>
      <c r="AG187" s="305"/>
      <c r="AH187" s="305"/>
      <c r="AI187" s="305"/>
      <c r="AJ187" s="305"/>
      <c r="AK187" s="305"/>
      <c r="AL187" s="305"/>
      <c r="AM187" s="305"/>
      <c r="AN187" s="305"/>
      <c r="AO187" s="305"/>
      <c r="AP187" s="305"/>
      <c r="AQ187" s="305"/>
      <c r="AR187" s="305"/>
      <c r="AS187" s="305"/>
      <c r="AT187" s="305"/>
      <c r="AU187" s="305"/>
      <c r="AV187" s="305"/>
      <c r="AW187" s="305"/>
      <c r="AX187" s="305"/>
      <c r="AY187" s="305"/>
      <c r="AZ187" s="305"/>
      <c r="BA187" s="305"/>
      <c r="BB187" s="305"/>
      <c r="BC187" s="305"/>
      <c r="BD187" s="305"/>
      <c r="BE187" s="305"/>
      <c r="BF187" s="305"/>
      <c r="BG187" s="305"/>
      <c r="BH187" s="305"/>
      <c r="BI187" s="305"/>
      <c r="BJ187" s="305"/>
      <c r="BK187" s="305"/>
      <c r="BL187" s="305"/>
      <c r="BM187" s="305"/>
      <c r="BN187" s="305"/>
      <c r="BO187" s="305"/>
      <c r="BP187" s="305"/>
      <c r="BQ187" s="305"/>
      <c r="BR187" s="305"/>
      <c r="BS187" s="305"/>
      <c r="BT187" s="305"/>
      <c r="BU187" s="305"/>
      <c r="BV187" s="305"/>
      <c r="BW187" s="305"/>
      <c r="BX187" s="305"/>
      <c r="BY187" s="305"/>
      <c r="BZ187" s="305"/>
      <c r="CA187" s="305"/>
      <c r="CB187" s="305"/>
      <c r="CC187" s="305"/>
      <c r="CD187" s="305"/>
      <c r="CE187" s="305"/>
      <c r="CF187" s="305"/>
      <c r="CG187" s="305"/>
      <c r="CH187" s="305"/>
      <c r="CI187" s="305"/>
      <c r="CJ187" s="305"/>
      <c r="CK187" s="305"/>
      <c r="CL187" s="305"/>
      <c r="CM187" s="305"/>
      <c r="CN187" s="305"/>
      <c r="CO187" s="305"/>
      <c r="CP187" s="305"/>
      <c r="CQ187" s="305"/>
      <c r="CR187" s="305"/>
      <c r="CS187" s="305"/>
      <c r="CT187" s="305"/>
      <c r="CU187" s="305"/>
      <c r="CV187" s="305"/>
      <c r="CW187" s="305"/>
      <c r="CX187" s="305"/>
      <c r="CY187" s="305"/>
      <c r="CZ187" s="305"/>
      <c r="DA187" s="305"/>
      <c r="DB187" s="305"/>
      <c r="DC187" s="305"/>
      <c r="DD187" s="305"/>
      <c r="DE187" s="305"/>
      <c r="DF187" s="305"/>
      <c r="DG187" s="305"/>
      <c r="DH187" s="305"/>
      <c r="DI187" s="305"/>
      <c r="DJ187" s="305"/>
      <c r="DK187" s="305"/>
      <c r="DL187" s="305"/>
      <c r="DM187" s="305"/>
      <c r="DN187" s="305"/>
      <c r="DO187" s="305"/>
      <c r="DP187" s="305"/>
      <c r="DQ187" s="305"/>
      <c r="DR187" s="305"/>
      <c r="DS187" s="305"/>
      <c r="DT187" s="305"/>
      <c r="DU187" s="305"/>
      <c r="DV187" s="305"/>
      <c r="DW187" s="558"/>
      <c r="DX187" s="558"/>
      <c r="DY187" s="558"/>
      <c r="DZ187" s="558"/>
      <c r="EA187" s="558"/>
      <c r="EB187" s="558"/>
      <c r="EC187" s="558"/>
      <c r="ED187" s="558"/>
      <c r="EE187" s="558"/>
      <c r="EF187" s="558"/>
      <c r="EG187" s="558"/>
      <c r="EH187" s="558"/>
      <c r="EI187" s="558"/>
      <c r="EJ187" s="558"/>
      <c r="EK187" s="558"/>
      <c r="EL187" s="558"/>
      <c r="EM187" s="558"/>
      <c r="EN187" s="558"/>
      <c r="EO187" s="558"/>
      <c r="EP187" s="558"/>
      <c r="EQ187" s="674"/>
      <c r="ER187" s="305"/>
    </row>
    <row r="188" spans="4:148" s="556" customFormat="1" x14ac:dyDescent="0.2">
      <c r="D188" s="110"/>
      <c r="O188" s="669"/>
      <c r="P188" s="670"/>
      <c r="Q188" s="670"/>
      <c r="S188" s="674"/>
      <c r="AA188" s="674"/>
      <c r="AF188" s="305"/>
      <c r="AG188" s="305"/>
      <c r="AH188" s="305"/>
      <c r="AI188" s="305"/>
      <c r="AJ188" s="305"/>
      <c r="AK188" s="305"/>
      <c r="AL188" s="305"/>
      <c r="AM188" s="305"/>
      <c r="AN188" s="305"/>
      <c r="AO188" s="305"/>
      <c r="AP188" s="305"/>
      <c r="AQ188" s="305"/>
      <c r="AR188" s="305"/>
      <c r="AS188" s="305"/>
      <c r="AT188" s="305"/>
      <c r="AU188" s="305"/>
      <c r="AV188" s="305"/>
      <c r="AW188" s="305"/>
      <c r="AX188" s="305"/>
      <c r="AY188" s="305"/>
      <c r="AZ188" s="305"/>
      <c r="BA188" s="305"/>
      <c r="BB188" s="305"/>
      <c r="BC188" s="305"/>
      <c r="BD188" s="305"/>
      <c r="BE188" s="305"/>
      <c r="BF188" s="305"/>
      <c r="BG188" s="305"/>
      <c r="BH188" s="305"/>
      <c r="BI188" s="305"/>
      <c r="BJ188" s="305"/>
      <c r="BK188" s="305"/>
      <c r="BL188" s="305"/>
      <c r="BM188" s="305"/>
      <c r="BN188" s="305"/>
      <c r="BO188" s="305"/>
      <c r="BP188" s="305"/>
      <c r="BQ188" s="305"/>
      <c r="BR188" s="305"/>
      <c r="BS188" s="305"/>
      <c r="BT188" s="305"/>
      <c r="BU188" s="305"/>
      <c r="BV188" s="305"/>
      <c r="BW188" s="305"/>
      <c r="BX188" s="305"/>
      <c r="BY188" s="305"/>
      <c r="BZ188" s="305"/>
      <c r="CA188" s="305"/>
      <c r="CB188" s="305"/>
      <c r="CC188" s="305"/>
      <c r="CD188" s="305"/>
      <c r="CE188" s="305"/>
      <c r="CF188" s="305"/>
      <c r="CG188" s="305"/>
      <c r="CH188" s="305"/>
      <c r="CI188" s="305"/>
      <c r="CJ188" s="305"/>
      <c r="CK188" s="305"/>
      <c r="CL188" s="305"/>
      <c r="CM188" s="305"/>
      <c r="CN188" s="305"/>
      <c r="CO188" s="305"/>
      <c r="CP188" s="305"/>
      <c r="CQ188" s="305"/>
      <c r="CR188" s="305"/>
      <c r="CS188" s="305"/>
      <c r="CT188" s="305"/>
      <c r="CU188" s="305"/>
      <c r="CV188" s="305"/>
      <c r="CW188" s="305"/>
      <c r="CX188" s="305"/>
      <c r="CY188" s="305"/>
      <c r="CZ188" s="305"/>
      <c r="DA188" s="305"/>
      <c r="DB188" s="305"/>
      <c r="DC188" s="305"/>
      <c r="DD188" s="305"/>
      <c r="DE188" s="305"/>
      <c r="DF188" s="305"/>
      <c r="DG188" s="305"/>
      <c r="DH188" s="305"/>
      <c r="DI188" s="305"/>
      <c r="DJ188" s="305"/>
      <c r="DK188" s="305"/>
      <c r="DL188" s="305"/>
      <c r="DM188" s="305"/>
      <c r="DN188" s="305"/>
      <c r="DO188" s="305"/>
      <c r="DP188" s="305"/>
      <c r="DQ188" s="305"/>
      <c r="DR188" s="305"/>
      <c r="DS188" s="305"/>
      <c r="DT188" s="305"/>
      <c r="DU188" s="305"/>
      <c r="DV188" s="305"/>
      <c r="DW188" s="558"/>
      <c r="DX188" s="558"/>
      <c r="DY188" s="558"/>
      <c r="DZ188" s="558"/>
      <c r="EA188" s="558"/>
      <c r="EB188" s="558"/>
      <c r="EC188" s="558"/>
      <c r="ED188" s="558"/>
      <c r="EE188" s="558"/>
      <c r="EF188" s="558"/>
      <c r="EG188" s="558"/>
      <c r="EH188" s="558"/>
      <c r="EI188" s="558"/>
      <c r="EJ188" s="558"/>
      <c r="EK188" s="558"/>
      <c r="EL188" s="558"/>
      <c r="EM188" s="558"/>
      <c r="EN188" s="558"/>
      <c r="EO188" s="558"/>
      <c r="EP188" s="558"/>
      <c r="EQ188" s="674"/>
      <c r="ER188" s="305"/>
    </row>
    <row r="189" spans="4:148" s="556" customFormat="1" x14ac:dyDescent="0.2">
      <c r="D189" s="110"/>
      <c r="O189" s="669"/>
      <c r="P189" s="670"/>
      <c r="Q189" s="670"/>
      <c r="S189" s="674"/>
      <c r="AA189" s="674"/>
      <c r="AF189" s="305"/>
      <c r="AG189" s="305"/>
      <c r="AH189" s="305"/>
      <c r="AI189" s="305"/>
      <c r="AJ189" s="305"/>
      <c r="AK189" s="305"/>
      <c r="AL189" s="305"/>
      <c r="AM189" s="305"/>
      <c r="AN189" s="305"/>
      <c r="AO189" s="305"/>
      <c r="AP189" s="305"/>
      <c r="AQ189" s="305"/>
      <c r="AR189" s="305"/>
      <c r="AS189" s="305"/>
      <c r="AT189" s="305"/>
      <c r="AU189" s="305"/>
      <c r="AV189" s="305"/>
      <c r="AW189" s="305"/>
      <c r="AX189" s="305"/>
      <c r="AY189" s="305"/>
      <c r="AZ189" s="305"/>
      <c r="BA189" s="305"/>
      <c r="BB189" s="305"/>
      <c r="BC189" s="305"/>
      <c r="BD189" s="305"/>
      <c r="BE189" s="305"/>
      <c r="BF189" s="305"/>
      <c r="BG189" s="305"/>
      <c r="BH189" s="305"/>
      <c r="BI189" s="305"/>
      <c r="BJ189" s="305"/>
      <c r="BK189" s="305"/>
      <c r="BL189" s="305"/>
      <c r="BM189" s="305"/>
      <c r="BN189" s="305"/>
      <c r="BO189" s="305"/>
      <c r="BP189" s="305"/>
      <c r="BQ189" s="305"/>
      <c r="BR189" s="305"/>
      <c r="BS189" s="305"/>
      <c r="BT189" s="305"/>
      <c r="BU189" s="305"/>
      <c r="BV189" s="305"/>
      <c r="BW189" s="305"/>
      <c r="BX189" s="305"/>
      <c r="BY189" s="305"/>
      <c r="BZ189" s="305"/>
      <c r="CA189" s="305"/>
      <c r="CB189" s="305"/>
      <c r="CC189" s="305"/>
      <c r="CD189" s="305"/>
      <c r="CE189" s="305"/>
      <c r="CF189" s="305"/>
      <c r="CG189" s="305"/>
      <c r="CH189" s="305"/>
      <c r="CI189" s="305"/>
      <c r="CJ189" s="305"/>
      <c r="CK189" s="305"/>
      <c r="CL189" s="305"/>
      <c r="CM189" s="305"/>
      <c r="CN189" s="305"/>
      <c r="CO189" s="305"/>
      <c r="CP189" s="305"/>
      <c r="CQ189" s="305"/>
      <c r="CR189" s="305"/>
      <c r="CS189" s="305"/>
      <c r="CT189" s="305"/>
      <c r="CU189" s="305"/>
      <c r="CV189" s="305"/>
      <c r="CW189" s="305"/>
      <c r="CX189" s="305"/>
      <c r="CY189" s="305"/>
      <c r="CZ189" s="305"/>
      <c r="DA189" s="305"/>
      <c r="DB189" s="305"/>
      <c r="DC189" s="305"/>
      <c r="DD189" s="305"/>
      <c r="DE189" s="305"/>
      <c r="DF189" s="305"/>
      <c r="DG189" s="305"/>
      <c r="DH189" s="305"/>
      <c r="DI189" s="305"/>
      <c r="DJ189" s="305"/>
      <c r="DK189" s="305"/>
      <c r="DL189" s="305"/>
      <c r="DM189" s="305"/>
      <c r="DN189" s="305"/>
      <c r="DO189" s="305"/>
      <c r="DP189" s="305"/>
      <c r="DQ189" s="305"/>
      <c r="DR189" s="305"/>
      <c r="DS189" s="305"/>
      <c r="DT189" s="305"/>
      <c r="DU189" s="305"/>
      <c r="DV189" s="305"/>
      <c r="DW189" s="558"/>
      <c r="DX189" s="558"/>
      <c r="DY189" s="558"/>
      <c r="DZ189" s="558"/>
      <c r="EA189" s="558"/>
      <c r="EB189" s="558"/>
      <c r="EC189" s="558"/>
      <c r="ED189" s="558"/>
      <c r="EE189" s="558"/>
      <c r="EF189" s="558"/>
      <c r="EG189" s="558"/>
      <c r="EH189" s="558"/>
      <c r="EI189" s="558"/>
      <c r="EJ189" s="558"/>
      <c r="EK189" s="558"/>
      <c r="EL189" s="558"/>
      <c r="EM189" s="558"/>
      <c r="EN189" s="558"/>
      <c r="EO189" s="558"/>
      <c r="EP189" s="558"/>
      <c r="EQ189" s="674"/>
      <c r="ER189" s="305"/>
    </row>
    <row r="190" spans="4:148" s="556" customFormat="1" x14ac:dyDescent="0.2">
      <c r="D190" s="110"/>
      <c r="O190" s="669"/>
      <c r="P190" s="670"/>
      <c r="Q190" s="670"/>
      <c r="S190" s="674"/>
      <c r="AA190" s="674"/>
      <c r="AF190" s="305"/>
      <c r="AG190" s="305"/>
      <c r="AH190" s="305"/>
      <c r="AI190" s="305"/>
      <c r="AJ190" s="305"/>
      <c r="AK190" s="305"/>
      <c r="AL190" s="305"/>
      <c r="AM190" s="305"/>
      <c r="AN190" s="305"/>
      <c r="AO190" s="305"/>
      <c r="AP190" s="305"/>
      <c r="AQ190" s="305"/>
      <c r="AR190" s="305"/>
      <c r="AS190" s="305"/>
      <c r="AT190" s="305"/>
      <c r="AU190" s="305"/>
      <c r="AV190" s="305"/>
      <c r="AW190" s="305"/>
      <c r="AX190" s="305"/>
      <c r="AY190" s="305"/>
      <c r="AZ190" s="305"/>
      <c r="BA190" s="305"/>
      <c r="BB190" s="305"/>
      <c r="BC190" s="305"/>
      <c r="BD190" s="305"/>
      <c r="BE190" s="305"/>
      <c r="BF190" s="305"/>
      <c r="BG190" s="305"/>
      <c r="BH190" s="305"/>
      <c r="BI190" s="305"/>
      <c r="BJ190" s="305"/>
      <c r="BK190" s="305"/>
      <c r="BL190" s="305"/>
      <c r="BM190" s="305"/>
      <c r="BN190" s="305"/>
      <c r="BO190" s="305"/>
      <c r="BP190" s="305"/>
      <c r="BQ190" s="305"/>
      <c r="BR190" s="305"/>
      <c r="BS190" s="305"/>
      <c r="BT190" s="305"/>
      <c r="BU190" s="305"/>
      <c r="BV190" s="305"/>
      <c r="BW190" s="305"/>
      <c r="BX190" s="305"/>
      <c r="BY190" s="305"/>
      <c r="BZ190" s="305"/>
      <c r="CA190" s="305"/>
      <c r="CB190" s="305"/>
      <c r="CC190" s="305"/>
      <c r="CD190" s="305"/>
      <c r="CE190" s="305"/>
      <c r="CF190" s="305"/>
      <c r="CG190" s="305"/>
      <c r="CH190" s="305"/>
      <c r="CI190" s="305"/>
      <c r="CJ190" s="305"/>
      <c r="CK190" s="305"/>
      <c r="CL190" s="305"/>
      <c r="CM190" s="305"/>
      <c r="CN190" s="305"/>
      <c r="CO190" s="305"/>
      <c r="CP190" s="305"/>
      <c r="CQ190" s="305"/>
      <c r="CR190" s="305"/>
      <c r="CS190" s="305"/>
      <c r="CT190" s="305"/>
      <c r="CU190" s="305"/>
      <c r="CV190" s="305"/>
      <c r="CW190" s="305"/>
      <c r="CX190" s="305"/>
      <c r="CY190" s="305"/>
      <c r="CZ190" s="305"/>
      <c r="DA190" s="305"/>
      <c r="DB190" s="305"/>
      <c r="DC190" s="305"/>
      <c r="DD190" s="305"/>
      <c r="DE190" s="305"/>
      <c r="DF190" s="305"/>
      <c r="DG190" s="305"/>
      <c r="DH190" s="305"/>
      <c r="DI190" s="305"/>
      <c r="DJ190" s="305"/>
      <c r="DK190" s="305"/>
      <c r="DL190" s="305"/>
      <c r="DM190" s="305"/>
      <c r="DN190" s="305"/>
      <c r="DO190" s="305"/>
      <c r="DP190" s="305"/>
      <c r="DQ190" s="305"/>
      <c r="DR190" s="305"/>
      <c r="DS190" s="305"/>
      <c r="DT190" s="305"/>
      <c r="DU190" s="305"/>
      <c r="DV190" s="305"/>
      <c r="DW190" s="558"/>
      <c r="DX190" s="558"/>
      <c r="DY190" s="558"/>
      <c r="DZ190" s="558"/>
      <c r="EA190" s="558"/>
      <c r="EB190" s="558"/>
      <c r="EC190" s="558"/>
      <c r="ED190" s="558"/>
      <c r="EE190" s="558"/>
      <c r="EF190" s="558"/>
      <c r="EG190" s="558"/>
      <c r="EH190" s="558"/>
      <c r="EI190" s="558"/>
      <c r="EJ190" s="558"/>
      <c r="EK190" s="558"/>
      <c r="EL190" s="558"/>
      <c r="EM190" s="558"/>
      <c r="EN190" s="558"/>
      <c r="EO190" s="558"/>
      <c r="EP190" s="558"/>
      <c r="EQ190" s="674"/>
      <c r="ER190" s="305"/>
    </row>
    <row r="191" spans="4:148" s="556" customFormat="1" x14ac:dyDescent="0.2">
      <c r="D191" s="110"/>
      <c r="O191" s="669"/>
      <c r="P191" s="670"/>
      <c r="Q191" s="670"/>
      <c r="S191" s="674"/>
      <c r="AA191" s="674"/>
      <c r="AF191" s="305"/>
      <c r="AG191" s="305"/>
      <c r="AH191" s="305"/>
      <c r="AI191" s="305"/>
      <c r="AJ191" s="305"/>
      <c r="AK191" s="305"/>
      <c r="AL191" s="305"/>
      <c r="AM191" s="305"/>
      <c r="AN191" s="305"/>
      <c r="AO191" s="305"/>
      <c r="AP191" s="305"/>
      <c r="AQ191" s="305"/>
      <c r="AR191" s="305"/>
      <c r="AS191" s="305"/>
      <c r="AT191" s="305"/>
      <c r="AU191" s="305"/>
      <c r="AV191" s="305"/>
      <c r="AW191" s="305"/>
      <c r="AX191" s="305"/>
      <c r="AY191" s="305"/>
      <c r="AZ191" s="305"/>
      <c r="BA191" s="305"/>
      <c r="BB191" s="305"/>
      <c r="BC191" s="305"/>
      <c r="BD191" s="305"/>
      <c r="BE191" s="305"/>
      <c r="BF191" s="305"/>
      <c r="BG191" s="305"/>
      <c r="BH191" s="305"/>
      <c r="BI191" s="305"/>
      <c r="BJ191" s="305"/>
      <c r="BK191" s="305"/>
      <c r="BL191" s="305"/>
      <c r="BM191" s="305"/>
      <c r="BN191" s="305"/>
      <c r="BO191" s="305"/>
      <c r="BP191" s="305"/>
      <c r="BQ191" s="305"/>
      <c r="BR191" s="305"/>
      <c r="BS191" s="305"/>
      <c r="BT191" s="305"/>
      <c r="BU191" s="305"/>
      <c r="BV191" s="305"/>
      <c r="BW191" s="305"/>
      <c r="BX191" s="305"/>
      <c r="BY191" s="305"/>
      <c r="BZ191" s="305"/>
      <c r="CA191" s="305"/>
      <c r="CB191" s="305"/>
      <c r="CC191" s="305"/>
      <c r="CD191" s="305"/>
      <c r="CE191" s="305"/>
      <c r="CF191" s="305"/>
      <c r="CG191" s="305"/>
      <c r="CH191" s="305"/>
      <c r="CI191" s="305"/>
      <c r="CJ191" s="305"/>
      <c r="CK191" s="305"/>
      <c r="CL191" s="305"/>
      <c r="CM191" s="305"/>
      <c r="CN191" s="305"/>
      <c r="CO191" s="305"/>
      <c r="CP191" s="305"/>
      <c r="CQ191" s="305"/>
      <c r="CR191" s="305"/>
      <c r="CS191" s="305"/>
      <c r="CT191" s="305"/>
      <c r="CU191" s="305"/>
      <c r="CV191" s="305"/>
      <c r="CW191" s="305"/>
      <c r="CX191" s="305"/>
      <c r="CY191" s="305"/>
      <c r="CZ191" s="305"/>
      <c r="DA191" s="305"/>
      <c r="DB191" s="305"/>
      <c r="DC191" s="305"/>
      <c r="DD191" s="305"/>
      <c r="DE191" s="305"/>
      <c r="DF191" s="305"/>
      <c r="DG191" s="305"/>
      <c r="DH191" s="305"/>
      <c r="DI191" s="305"/>
      <c r="DJ191" s="305"/>
      <c r="DK191" s="305"/>
      <c r="DL191" s="305"/>
      <c r="DM191" s="305"/>
      <c r="DN191" s="305"/>
      <c r="DO191" s="305"/>
      <c r="DP191" s="305"/>
      <c r="DQ191" s="305"/>
      <c r="DR191" s="305"/>
      <c r="DS191" s="305"/>
      <c r="DT191" s="305"/>
      <c r="DU191" s="305"/>
      <c r="DV191" s="305"/>
      <c r="DW191" s="558"/>
      <c r="DX191" s="558"/>
      <c r="DY191" s="558"/>
      <c r="DZ191" s="558"/>
      <c r="EA191" s="558"/>
      <c r="EB191" s="558"/>
      <c r="EC191" s="558"/>
      <c r="ED191" s="558"/>
      <c r="EE191" s="558"/>
      <c r="EF191" s="558"/>
      <c r="EG191" s="558"/>
      <c r="EH191" s="558"/>
      <c r="EI191" s="558"/>
      <c r="EJ191" s="558"/>
      <c r="EK191" s="558"/>
      <c r="EL191" s="558"/>
      <c r="EM191" s="558"/>
      <c r="EN191" s="558"/>
      <c r="EO191" s="558"/>
      <c r="EP191" s="558"/>
      <c r="EQ191" s="674"/>
      <c r="ER191" s="305"/>
    </row>
    <row r="192" spans="4:148" s="556" customFormat="1" x14ac:dyDescent="0.2">
      <c r="D192" s="110"/>
      <c r="O192" s="669"/>
      <c r="P192" s="670"/>
      <c r="Q192" s="670"/>
      <c r="S192" s="674"/>
      <c r="AA192" s="674"/>
      <c r="AF192" s="305"/>
      <c r="AG192" s="305"/>
      <c r="AH192" s="305"/>
      <c r="AI192" s="305"/>
      <c r="AJ192" s="305"/>
      <c r="AK192" s="305"/>
      <c r="AL192" s="305"/>
      <c r="AM192" s="305"/>
      <c r="AN192" s="305"/>
      <c r="AO192" s="305"/>
      <c r="AP192" s="305"/>
      <c r="AQ192" s="305"/>
      <c r="AR192" s="305"/>
      <c r="AS192" s="305"/>
      <c r="AT192" s="305"/>
      <c r="AU192" s="305"/>
      <c r="AV192" s="305"/>
      <c r="AW192" s="305"/>
      <c r="AX192" s="305"/>
      <c r="AY192" s="305"/>
      <c r="AZ192" s="305"/>
      <c r="BA192" s="305"/>
      <c r="BB192" s="305"/>
      <c r="BC192" s="305"/>
      <c r="BD192" s="305"/>
      <c r="BE192" s="305"/>
      <c r="BF192" s="305"/>
      <c r="BG192" s="305"/>
      <c r="BH192" s="305"/>
      <c r="BI192" s="305"/>
      <c r="BJ192" s="305"/>
      <c r="BK192" s="305"/>
      <c r="BL192" s="305"/>
      <c r="BM192" s="305"/>
      <c r="BN192" s="305"/>
      <c r="BO192" s="305"/>
      <c r="BP192" s="305"/>
      <c r="BQ192" s="305"/>
      <c r="BR192" s="305"/>
      <c r="BS192" s="305"/>
      <c r="BT192" s="305"/>
      <c r="BU192" s="305"/>
      <c r="BV192" s="305"/>
      <c r="BW192" s="305"/>
      <c r="BX192" s="305"/>
      <c r="BY192" s="305"/>
      <c r="BZ192" s="305"/>
      <c r="CA192" s="305"/>
      <c r="CB192" s="305"/>
      <c r="CC192" s="305"/>
      <c r="CD192" s="305"/>
      <c r="CE192" s="305"/>
      <c r="CF192" s="305"/>
      <c r="CG192" s="305"/>
      <c r="CH192" s="305"/>
      <c r="CI192" s="305"/>
      <c r="CJ192" s="305"/>
      <c r="CK192" s="305"/>
      <c r="CL192" s="305"/>
      <c r="CM192" s="305"/>
      <c r="CN192" s="305"/>
      <c r="CO192" s="305"/>
      <c r="CP192" s="305"/>
      <c r="CQ192" s="305"/>
      <c r="CR192" s="305"/>
      <c r="CS192" s="305"/>
      <c r="CT192" s="305"/>
      <c r="CU192" s="305"/>
      <c r="CV192" s="305"/>
      <c r="CW192" s="305"/>
      <c r="CX192" s="305"/>
      <c r="CY192" s="305"/>
      <c r="CZ192" s="305"/>
      <c r="DA192" s="305"/>
      <c r="DB192" s="305"/>
      <c r="DC192" s="305"/>
      <c r="DD192" s="305"/>
      <c r="DE192" s="305"/>
      <c r="DF192" s="305"/>
      <c r="DG192" s="305"/>
      <c r="DH192" s="305"/>
      <c r="DI192" s="305"/>
      <c r="DJ192" s="305"/>
      <c r="DK192" s="305"/>
      <c r="DL192" s="305"/>
      <c r="DM192" s="305"/>
      <c r="DN192" s="305"/>
      <c r="DO192" s="305"/>
      <c r="DP192" s="305"/>
      <c r="DQ192" s="305"/>
      <c r="DR192" s="305"/>
      <c r="DS192" s="305"/>
      <c r="DT192" s="305"/>
      <c r="DU192" s="305"/>
      <c r="DV192" s="305"/>
      <c r="DW192" s="558"/>
      <c r="DX192" s="558"/>
      <c r="DY192" s="558"/>
      <c r="DZ192" s="558"/>
      <c r="EA192" s="558"/>
      <c r="EB192" s="558"/>
      <c r="EC192" s="558"/>
      <c r="ED192" s="558"/>
      <c r="EE192" s="558"/>
      <c r="EF192" s="558"/>
      <c r="EG192" s="558"/>
      <c r="EH192" s="558"/>
      <c r="EI192" s="558"/>
      <c r="EJ192" s="558"/>
      <c r="EK192" s="558"/>
      <c r="EL192" s="558"/>
      <c r="EM192" s="558"/>
      <c r="EN192" s="558"/>
      <c r="EO192" s="558"/>
      <c r="EP192" s="558"/>
      <c r="EQ192" s="674"/>
      <c r="ER192" s="305"/>
    </row>
    <row r="193" spans="4:148" s="556" customFormat="1" x14ac:dyDescent="0.2">
      <c r="D193" s="110"/>
      <c r="O193" s="669"/>
      <c r="P193" s="670"/>
      <c r="Q193" s="670"/>
      <c r="S193" s="674"/>
      <c r="AA193" s="674"/>
      <c r="AF193" s="305"/>
      <c r="AG193" s="305"/>
      <c r="AH193" s="305"/>
      <c r="AI193" s="305"/>
      <c r="AJ193" s="305"/>
      <c r="AK193" s="305"/>
      <c r="AL193" s="305"/>
      <c r="AM193" s="305"/>
      <c r="AN193" s="305"/>
      <c r="AO193" s="305"/>
      <c r="AP193" s="305"/>
      <c r="AQ193" s="305"/>
      <c r="AR193" s="305"/>
      <c r="AS193" s="305"/>
      <c r="AT193" s="305"/>
      <c r="AU193" s="305"/>
      <c r="AV193" s="305"/>
      <c r="AW193" s="305"/>
      <c r="AX193" s="305"/>
      <c r="AY193" s="305"/>
      <c r="AZ193" s="305"/>
      <c r="BA193" s="305"/>
      <c r="BB193" s="305"/>
      <c r="BC193" s="305"/>
      <c r="BD193" s="305"/>
      <c r="BE193" s="305"/>
      <c r="BF193" s="305"/>
      <c r="BG193" s="305"/>
      <c r="BH193" s="305"/>
      <c r="BI193" s="305"/>
      <c r="BJ193" s="305"/>
      <c r="BK193" s="305"/>
      <c r="BL193" s="305"/>
      <c r="BM193" s="305"/>
      <c r="BN193" s="305"/>
      <c r="BO193" s="305"/>
      <c r="BP193" s="305"/>
      <c r="BQ193" s="305"/>
      <c r="BR193" s="305"/>
      <c r="BS193" s="305"/>
      <c r="BT193" s="305"/>
      <c r="BU193" s="305"/>
      <c r="BV193" s="305"/>
      <c r="BW193" s="305"/>
      <c r="BX193" s="305"/>
      <c r="BY193" s="305"/>
      <c r="BZ193" s="305"/>
      <c r="CA193" s="305"/>
      <c r="CB193" s="305"/>
      <c r="CC193" s="305"/>
      <c r="CD193" s="305"/>
      <c r="CE193" s="305"/>
      <c r="CF193" s="305"/>
      <c r="CG193" s="305"/>
      <c r="CH193" s="305"/>
      <c r="CI193" s="305"/>
      <c r="CJ193" s="305"/>
      <c r="CK193" s="305"/>
      <c r="CL193" s="305"/>
      <c r="CM193" s="305"/>
      <c r="CN193" s="305"/>
      <c r="CO193" s="305"/>
      <c r="CP193" s="305"/>
      <c r="CQ193" s="305"/>
      <c r="CR193" s="305"/>
      <c r="CS193" s="305"/>
      <c r="CT193" s="305"/>
      <c r="CU193" s="305"/>
      <c r="CV193" s="305"/>
      <c r="CW193" s="305"/>
      <c r="CX193" s="305"/>
      <c r="CY193" s="305"/>
      <c r="CZ193" s="305"/>
      <c r="DA193" s="305"/>
      <c r="DB193" s="305"/>
      <c r="DC193" s="305"/>
      <c r="DD193" s="305"/>
      <c r="DE193" s="305"/>
      <c r="DF193" s="305"/>
      <c r="DG193" s="305"/>
      <c r="DH193" s="305"/>
      <c r="DI193" s="305"/>
      <c r="DJ193" s="305"/>
      <c r="DK193" s="305"/>
      <c r="DL193" s="305"/>
      <c r="DM193" s="305"/>
      <c r="DN193" s="305"/>
      <c r="DO193" s="305"/>
      <c r="DP193" s="305"/>
      <c r="DQ193" s="305"/>
      <c r="DR193" s="305"/>
      <c r="DS193" s="305"/>
      <c r="DT193" s="305"/>
      <c r="DU193" s="305"/>
      <c r="DV193" s="305"/>
      <c r="DW193" s="558"/>
      <c r="DX193" s="558"/>
      <c r="DY193" s="558"/>
      <c r="DZ193" s="558"/>
      <c r="EA193" s="558"/>
      <c r="EB193" s="558"/>
      <c r="EC193" s="558"/>
      <c r="ED193" s="558"/>
      <c r="EE193" s="558"/>
      <c r="EF193" s="558"/>
      <c r="EG193" s="558"/>
      <c r="EH193" s="558"/>
      <c r="EI193" s="558"/>
      <c r="EJ193" s="558"/>
      <c r="EK193" s="558"/>
      <c r="EL193" s="558"/>
      <c r="EM193" s="558"/>
      <c r="EN193" s="558"/>
      <c r="EO193" s="558"/>
      <c r="EP193" s="558"/>
      <c r="EQ193" s="674"/>
      <c r="ER193" s="305"/>
    </row>
    <row r="194" spans="4:148" s="556" customFormat="1" x14ac:dyDescent="0.2">
      <c r="D194" s="110"/>
      <c r="O194" s="669"/>
      <c r="P194" s="670"/>
      <c r="Q194" s="670"/>
      <c r="S194" s="674"/>
      <c r="AA194" s="674"/>
      <c r="AF194" s="305"/>
      <c r="AG194" s="305"/>
      <c r="AH194" s="305"/>
      <c r="AI194" s="305"/>
      <c r="AJ194" s="305"/>
      <c r="AK194" s="305"/>
      <c r="AL194" s="305"/>
      <c r="AM194" s="305"/>
      <c r="AN194" s="305"/>
      <c r="AO194" s="305"/>
      <c r="AP194" s="305"/>
      <c r="AQ194" s="305"/>
      <c r="AR194" s="305"/>
      <c r="AS194" s="305"/>
      <c r="AT194" s="305"/>
      <c r="AU194" s="305"/>
      <c r="AV194" s="305"/>
      <c r="AW194" s="305"/>
      <c r="AX194" s="305"/>
      <c r="AY194" s="305"/>
      <c r="AZ194" s="305"/>
      <c r="BA194" s="305"/>
      <c r="BB194" s="305"/>
      <c r="BC194" s="305"/>
      <c r="BD194" s="305"/>
      <c r="BE194" s="305"/>
      <c r="BF194" s="305"/>
      <c r="BG194" s="305"/>
      <c r="BH194" s="305"/>
      <c r="BI194" s="305"/>
      <c r="BJ194" s="305"/>
      <c r="BK194" s="305"/>
      <c r="BL194" s="305"/>
      <c r="BM194" s="305"/>
      <c r="BN194" s="305"/>
      <c r="BO194" s="305"/>
      <c r="BP194" s="305"/>
      <c r="BQ194" s="305"/>
      <c r="BR194" s="305"/>
      <c r="BS194" s="305"/>
      <c r="BT194" s="305"/>
      <c r="BU194" s="305"/>
      <c r="BV194" s="305"/>
      <c r="BW194" s="305"/>
      <c r="BX194" s="305"/>
      <c r="BY194" s="305"/>
      <c r="BZ194" s="305"/>
      <c r="CA194" s="305"/>
      <c r="CB194" s="305"/>
      <c r="CC194" s="305"/>
      <c r="CD194" s="305"/>
      <c r="CE194" s="305"/>
      <c r="CF194" s="305"/>
      <c r="CG194" s="305"/>
      <c r="CH194" s="305"/>
      <c r="CI194" s="305"/>
      <c r="CJ194" s="305"/>
      <c r="CK194" s="305"/>
      <c r="CL194" s="305"/>
      <c r="CM194" s="305"/>
      <c r="CN194" s="305"/>
      <c r="CO194" s="305"/>
      <c r="CP194" s="305"/>
      <c r="CQ194" s="305"/>
      <c r="CR194" s="305"/>
      <c r="CS194" s="305"/>
      <c r="CT194" s="305"/>
      <c r="CU194" s="305"/>
      <c r="CV194" s="305"/>
      <c r="CW194" s="305"/>
      <c r="CX194" s="305"/>
      <c r="CY194" s="305"/>
      <c r="CZ194" s="305"/>
      <c r="DA194" s="305"/>
      <c r="DB194" s="305"/>
      <c r="DC194" s="305"/>
      <c r="DD194" s="305"/>
      <c r="DE194" s="305"/>
      <c r="DF194" s="305"/>
      <c r="DG194" s="305"/>
      <c r="DH194" s="305"/>
      <c r="DI194" s="305"/>
      <c r="DJ194" s="305"/>
      <c r="DK194" s="305"/>
      <c r="DL194" s="305"/>
      <c r="DM194" s="305"/>
      <c r="DN194" s="305"/>
      <c r="DO194" s="305"/>
      <c r="DP194" s="305"/>
      <c r="DQ194" s="305"/>
      <c r="DR194" s="305"/>
      <c r="DS194" s="305"/>
      <c r="DT194" s="305"/>
      <c r="DU194" s="305"/>
      <c r="DV194" s="305"/>
      <c r="DW194" s="558"/>
      <c r="DX194" s="558"/>
      <c r="DY194" s="558"/>
      <c r="DZ194" s="558"/>
      <c r="EA194" s="558"/>
      <c r="EB194" s="558"/>
      <c r="EC194" s="558"/>
      <c r="ED194" s="558"/>
      <c r="EE194" s="558"/>
      <c r="EF194" s="558"/>
      <c r="EG194" s="558"/>
      <c r="EH194" s="558"/>
      <c r="EI194" s="558"/>
      <c r="EJ194" s="558"/>
      <c r="EK194" s="558"/>
      <c r="EL194" s="558"/>
      <c r="EM194" s="558"/>
      <c r="EN194" s="558"/>
      <c r="EO194" s="558"/>
      <c r="EP194" s="558"/>
      <c r="EQ194" s="674"/>
      <c r="ER194" s="305"/>
    </row>
    <row r="195" spans="4:148" s="556" customFormat="1" x14ac:dyDescent="0.2">
      <c r="D195" s="110"/>
      <c r="O195" s="669"/>
      <c r="P195" s="670"/>
      <c r="Q195" s="670"/>
      <c r="S195" s="674"/>
      <c r="AA195" s="674"/>
      <c r="AF195" s="305"/>
      <c r="AG195" s="305"/>
      <c r="AH195" s="305"/>
      <c r="AI195" s="305"/>
      <c r="AJ195" s="305"/>
      <c r="AK195" s="305"/>
      <c r="AL195" s="305"/>
      <c r="AM195" s="305"/>
      <c r="AN195" s="305"/>
      <c r="AO195" s="305"/>
      <c r="AP195" s="305"/>
      <c r="AQ195" s="305"/>
      <c r="AR195" s="305"/>
      <c r="AS195" s="305"/>
      <c r="AT195" s="305"/>
      <c r="AU195" s="305"/>
      <c r="AV195" s="305"/>
      <c r="AW195" s="305"/>
      <c r="AX195" s="305"/>
      <c r="AY195" s="305"/>
      <c r="AZ195" s="305"/>
      <c r="BA195" s="305"/>
      <c r="BB195" s="305"/>
      <c r="BC195" s="305"/>
      <c r="BD195" s="305"/>
      <c r="BE195" s="305"/>
      <c r="BF195" s="305"/>
      <c r="BG195" s="305"/>
      <c r="BH195" s="305"/>
      <c r="BI195" s="305"/>
      <c r="BJ195" s="305"/>
      <c r="BK195" s="305"/>
      <c r="BL195" s="305"/>
      <c r="BM195" s="305"/>
      <c r="BN195" s="305"/>
      <c r="BO195" s="305"/>
      <c r="BP195" s="305"/>
      <c r="BQ195" s="305"/>
      <c r="BR195" s="305"/>
      <c r="BS195" s="305"/>
      <c r="BT195" s="305"/>
      <c r="BU195" s="305"/>
      <c r="BV195" s="305"/>
      <c r="BW195" s="305"/>
      <c r="BX195" s="305"/>
      <c r="BY195" s="305"/>
      <c r="BZ195" s="305"/>
      <c r="CA195" s="305"/>
      <c r="CB195" s="305"/>
      <c r="CC195" s="305"/>
      <c r="CD195" s="305"/>
      <c r="CE195" s="305"/>
      <c r="CF195" s="305"/>
      <c r="CG195" s="305"/>
      <c r="CH195" s="305"/>
      <c r="CI195" s="305"/>
      <c r="CJ195" s="305"/>
      <c r="CK195" s="305"/>
      <c r="CL195" s="305"/>
      <c r="CM195" s="305"/>
      <c r="CN195" s="305"/>
      <c r="CO195" s="305"/>
      <c r="CP195" s="305"/>
      <c r="CQ195" s="305"/>
      <c r="CR195" s="305"/>
      <c r="CS195" s="305"/>
      <c r="CT195" s="305"/>
      <c r="CU195" s="305"/>
      <c r="CV195" s="305"/>
      <c r="CW195" s="305"/>
      <c r="CX195" s="305"/>
      <c r="CY195" s="305"/>
      <c r="CZ195" s="305"/>
      <c r="DA195" s="305"/>
      <c r="DB195" s="305"/>
      <c r="DC195" s="305"/>
      <c r="DD195" s="305"/>
      <c r="DE195" s="305"/>
      <c r="DF195" s="305"/>
      <c r="DG195" s="305"/>
      <c r="DH195" s="305"/>
      <c r="DI195" s="305"/>
      <c r="DJ195" s="305"/>
      <c r="DK195" s="305"/>
      <c r="DL195" s="305"/>
      <c r="DM195" s="305"/>
      <c r="DN195" s="305"/>
      <c r="DO195" s="305"/>
      <c r="DP195" s="305"/>
      <c r="DQ195" s="305"/>
      <c r="DR195" s="305"/>
      <c r="DS195" s="305"/>
      <c r="DT195" s="305"/>
      <c r="DU195" s="305"/>
      <c r="DV195" s="305"/>
      <c r="DW195" s="558"/>
      <c r="DX195" s="558"/>
      <c r="DY195" s="558"/>
      <c r="DZ195" s="558"/>
      <c r="EA195" s="558"/>
      <c r="EB195" s="558"/>
      <c r="EC195" s="558"/>
      <c r="ED195" s="558"/>
      <c r="EE195" s="558"/>
      <c r="EF195" s="558"/>
      <c r="EG195" s="558"/>
      <c r="EH195" s="558"/>
      <c r="EI195" s="558"/>
      <c r="EJ195" s="558"/>
      <c r="EK195" s="558"/>
      <c r="EL195" s="558"/>
      <c r="EM195" s="558"/>
      <c r="EN195" s="558"/>
      <c r="EO195" s="558"/>
      <c r="EP195" s="558"/>
      <c r="EQ195" s="674"/>
      <c r="ER195" s="305"/>
    </row>
    <row r="196" spans="4:148" s="556" customFormat="1" x14ac:dyDescent="0.2">
      <c r="D196" s="110"/>
      <c r="O196" s="669"/>
      <c r="P196" s="670"/>
      <c r="Q196" s="670"/>
      <c r="S196" s="674"/>
      <c r="AA196" s="674"/>
      <c r="AF196" s="305"/>
      <c r="AG196" s="305"/>
      <c r="AH196" s="305"/>
      <c r="AI196" s="305"/>
      <c r="AJ196" s="305"/>
      <c r="AK196" s="305"/>
      <c r="AL196" s="305"/>
      <c r="AM196" s="305"/>
      <c r="AN196" s="305"/>
      <c r="AO196" s="305"/>
      <c r="AP196" s="305"/>
      <c r="AQ196" s="305"/>
      <c r="AR196" s="305"/>
      <c r="AS196" s="305"/>
      <c r="AT196" s="305"/>
      <c r="AU196" s="305"/>
      <c r="AV196" s="305"/>
      <c r="AW196" s="305"/>
      <c r="AX196" s="305"/>
      <c r="AY196" s="305"/>
      <c r="AZ196" s="305"/>
      <c r="BA196" s="305"/>
      <c r="BB196" s="305"/>
      <c r="BC196" s="305"/>
      <c r="BD196" s="305"/>
      <c r="BE196" s="305"/>
      <c r="BF196" s="305"/>
      <c r="BG196" s="305"/>
      <c r="BH196" s="305"/>
      <c r="BI196" s="305"/>
      <c r="BJ196" s="305"/>
      <c r="BK196" s="305"/>
      <c r="BL196" s="305"/>
      <c r="BM196" s="305"/>
      <c r="BN196" s="305"/>
      <c r="BO196" s="305"/>
      <c r="BP196" s="305"/>
      <c r="BQ196" s="305"/>
      <c r="BR196" s="305"/>
      <c r="BS196" s="305"/>
      <c r="BT196" s="305"/>
      <c r="BU196" s="305"/>
      <c r="BV196" s="305"/>
      <c r="BW196" s="305"/>
      <c r="BX196" s="305"/>
      <c r="BY196" s="305"/>
      <c r="BZ196" s="305"/>
      <c r="CA196" s="305"/>
      <c r="CB196" s="305"/>
      <c r="CC196" s="305"/>
      <c r="CD196" s="305"/>
      <c r="CE196" s="305"/>
      <c r="CF196" s="305"/>
      <c r="CG196" s="305"/>
      <c r="CH196" s="305"/>
      <c r="CI196" s="305"/>
      <c r="CJ196" s="305"/>
      <c r="CK196" s="305"/>
      <c r="CL196" s="305"/>
      <c r="CM196" s="305"/>
      <c r="CN196" s="305"/>
      <c r="CO196" s="305"/>
      <c r="CP196" s="305"/>
      <c r="CQ196" s="305"/>
      <c r="CR196" s="305"/>
      <c r="CS196" s="305"/>
      <c r="CT196" s="305"/>
      <c r="CU196" s="305"/>
      <c r="CV196" s="305"/>
      <c r="CW196" s="305"/>
      <c r="CX196" s="305"/>
      <c r="CY196" s="305"/>
      <c r="CZ196" s="305"/>
      <c r="DA196" s="305"/>
      <c r="DB196" s="305"/>
      <c r="DC196" s="305"/>
      <c r="DD196" s="305"/>
      <c r="DE196" s="305"/>
      <c r="DF196" s="305"/>
      <c r="DG196" s="305"/>
      <c r="DH196" s="305"/>
      <c r="DI196" s="305"/>
      <c r="DJ196" s="305"/>
      <c r="DK196" s="305"/>
      <c r="DL196" s="305"/>
      <c r="DM196" s="305"/>
      <c r="DN196" s="305"/>
      <c r="DO196" s="305"/>
      <c r="DP196" s="305"/>
      <c r="DQ196" s="305"/>
      <c r="DR196" s="305"/>
      <c r="DS196" s="305"/>
      <c r="DT196" s="305"/>
      <c r="DU196" s="305"/>
      <c r="DV196" s="305"/>
      <c r="DW196" s="558"/>
      <c r="DX196" s="558"/>
      <c r="DY196" s="558"/>
      <c r="DZ196" s="558"/>
      <c r="EA196" s="558"/>
      <c r="EB196" s="558"/>
      <c r="EC196" s="558"/>
      <c r="ED196" s="558"/>
      <c r="EE196" s="558"/>
      <c r="EF196" s="558"/>
      <c r="EG196" s="558"/>
      <c r="EH196" s="558"/>
      <c r="EI196" s="558"/>
      <c r="EJ196" s="558"/>
      <c r="EK196" s="558"/>
      <c r="EL196" s="558"/>
      <c r="EM196" s="558"/>
      <c r="EN196" s="558"/>
      <c r="EO196" s="558"/>
      <c r="EP196" s="558"/>
      <c r="EQ196" s="674"/>
      <c r="ER196" s="305"/>
    </row>
    <row r="197" spans="4:148" s="556" customFormat="1" x14ac:dyDescent="0.2">
      <c r="D197" s="110"/>
      <c r="O197" s="669"/>
      <c r="P197" s="670"/>
      <c r="Q197" s="670"/>
      <c r="S197" s="674"/>
      <c r="AA197" s="674"/>
      <c r="AF197" s="305"/>
      <c r="AG197" s="305"/>
      <c r="AH197" s="305"/>
      <c r="AI197" s="305"/>
      <c r="AJ197" s="305"/>
      <c r="AK197" s="305"/>
      <c r="AL197" s="305"/>
      <c r="AM197" s="305"/>
      <c r="AN197" s="305"/>
      <c r="AO197" s="305"/>
      <c r="AP197" s="305"/>
      <c r="AQ197" s="305"/>
      <c r="AR197" s="305"/>
      <c r="AS197" s="305"/>
      <c r="AT197" s="305"/>
      <c r="AU197" s="305"/>
      <c r="AV197" s="305"/>
      <c r="AW197" s="305"/>
      <c r="AX197" s="305"/>
      <c r="AY197" s="305"/>
      <c r="AZ197" s="305"/>
      <c r="BA197" s="305"/>
      <c r="BB197" s="305"/>
      <c r="BC197" s="305"/>
      <c r="BD197" s="305"/>
      <c r="BE197" s="305"/>
      <c r="BF197" s="305"/>
      <c r="BG197" s="305"/>
      <c r="BH197" s="305"/>
      <c r="BI197" s="305"/>
      <c r="BJ197" s="305"/>
      <c r="BK197" s="305"/>
      <c r="BL197" s="305"/>
      <c r="BM197" s="305"/>
      <c r="BN197" s="305"/>
      <c r="BO197" s="305"/>
      <c r="BP197" s="305"/>
      <c r="BQ197" s="305"/>
      <c r="BR197" s="305"/>
      <c r="BS197" s="305"/>
      <c r="BT197" s="305"/>
      <c r="BU197" s="305"/>
      <c r="BV197" s="305"/>
      <c r="BW197" s="305"/>
      <c r="BX197" s="305"/>
      <c r="BY197" s="305"/>
      <c r="BZ197" s="305"/>
      <c r="CA197" s="305"/>
      <c r="CB197" s="305"/>
      <c r="CC197" s="305"/>
      <c r="CD197" s="305"/>
      <c r="CE197" s="305"/>
      <c r="CF197" s="305"/>
      <c r="CG197" s="305"/>
      <c r="CH197" s="305"/>
      <c r="CI197" s="305"/>
      <c r="CJ197" s="305"/>
      <c r="CK197" s="305"/>
      <c r="CL197" s="305"/>
      <c r="CM197" s="305"/>
      <c r="CN197" s="305"/>
      <c r="CO197" s="305"/>
      <c r="CP197" s="305"/>
      <c r="CQ197" s="305"/>
      <c r="CR197" s="305"/>
      <c r="CS197" s="305"/>
      <c r="CT197" s="305"/>
      <c r="CU197" s="305"/>
      <c r="CV197" s="305"/>
      <c r="CW197" s="305"/>
      <c r="CX197" s="305"/>
      <c r="CY197" s="305"/>
      <c r="CZ197" s="305"/>
      <c r="DA197" s="305"/>
      <c r="DB197" s="305"/>
      <c r="DC197" s="305"/>
      <c r="DD197" s="305"/>
      <c r="DE197" s="305"/>
      <c r="DF197" s="305"/>
      <c r="DG197" s="305"/>
      <c r="DH197" s="305"/>
      <c r="DI197" s="305"/>
      <c r="DJ197" s="305"/>
      <c r="DK197" s="305"/>
      <c r="DL197" s="305"/>
      <c r="DM197" s="305"/>
      <c r="DN197" s="305"/>
      <c r="DO197" s="305"/>
      <c r="DP197" s="305"/>
      <c r="DQ197" s="305"/>
      <c r="DR197" s="305"/>
      <c r="DS197" s="305"/>
      <c r="DT197" s="305"/>
      <c r="DU197" s="305"/>
      <c r="DV197" s="305"/>
      <c r="DW197" s="558"/>
      <c r="DX197" s="558"/>
      <c r="DY197" s="558"/>
      <c r="DZ197" s="558"/>
      <c r="EA197" s="558"/>
      <c r="EB197" s="558"/>
      <c r="EC197" s="558"/>
      <c r="ED197" s="558"/>
      <c r="EE197" s="558"/>
      <c r="EF197" s="558"/>
      <c r="EG197" s="558"/>
      <c r="EH197" s="558"/>
      <c r="EI197" s="558"/>
      <c r="EJ197" s="558"/>
      <c r="EK197" s="558"/>
      <c r="EL197" s="558"/>
      <c r="EM197" s="558"/>
      <c r="EN197" s="558"/>
      <c r="EO197" s="558"/>
      <c r="EP197" s="558"/>
      <c r="EQ197" s="674"/>
      <c r="ER197" s="305"/>
    </row>
    <row r="198" spans="4:148" s="556" customFormat="1" x14ac:dyDescent="0.2">
      <c r="D198" s="110"/>
      <c r="O198" s="669"/>
      <c r="P198" s="670"/>
      <c r="Q198" s="670"/>
      <c r="S198" s="674"/>
      <c r="AA198" s="674"/>
      <c r="AF198" s="305"/>
      <c r="AG198" s="305"/>
      <c r="AH198" s="305"/>
      <c r="AI198" s="305"/>
      <c r="AJ198" s="305"/>
      <c r="AK198" s="305"/>
      <c r="AL198" s="305"/>
      <c r="AM198" s="305"/>
      <c r="AN198" s="305"/>
      <c r="AO198" s="305"/>
      <c r="AP198" s="305"/>
      <c r="AQ198" s="305"/>
      <c r="AR198" s="305"/>
      <c r="AS198" s="305"/>
      <c r="AT198" s="305"/>
      <c r="AU198" s="305"/>
      <c r="AV198" s="305"/>
      <c r="AW198" s="305"/>
      <c r="AX198" s="305"/>
      <c r="AY198" s="305"/>
      <c r="AZ198" s="305"/>
      <c r="BA198" s="305"/>
      <c r="BB198" s="305"/>
      <c r="BC198" s="305"/>
      <c r="BD198" s="305"/>
      <c r="BE198" s="305"/>
      <c r="BF198" s="305"/>
      <c r="BG198" s="305"/>
      <c r="BH198" s="305"/>
      <c r="BI198" s="305"/>
      <c r="BJ198" s="305"/>
      <c r="BK198" s="305"/>
      <c r="BL198" s="305"/>
      <c r="BM198" s="305"/>
      <c r="BN198" s="305"/>
      <c r="BO198" s="305"/>
      <c r="BP198" s="305"/>
      <c r="BQ198" s="305"/>
      <c r="BR198" s="305"/>
      <c r="BS198" s="305"/>
      <c r="BT198" s="305"/>
      <c r="BU198" s="305"/>
      <c r="BV198" s="305"/>
      <c r="BW198" s="305"/>
      <c r="BX198" s="305"/>
      <c r="BY198" s="305"/>
      <c r="BZ198" s="305"/>
      <c r="CA198" s="305"/>
      <c r="CB198" s="305"/>
      <c r="CC198" s="305"/>
      <c r="CD198" s="305"/>
      <c r="CE198" s="305"/>
      <c r="CF198" s="305"/>
      <c r="CG198" s="305"/>
      <c r="CH198" s="305"/>
      <c r="CI198" s="305"/>
      <c r="CJ198" s="305"/>
      <c r="CK198" s="305"/>
      <c r="CL198" s="305"/>
      <c r="CM198" s="305"/>
      <c r="CN198" s="305"/>
      <c r="CO198" s="305"/>
      <c r="CP198" s="305"/>
      <c r="CQ198" s="305"/>
      <c r="CR198" s="305"/>
      <c r="CS198" s="305"/>
      <c r="CT198" s="305"/>
      <c r="CU198" s="305"/>
      <c r="CV198" s="305"/>
      <c r="CW198" s="305"/>
      <c r="CX198" s="305"/>
      <c r="CY198" s="305"/>
      <c r="CZ198" s="305"/>
      <c r="DA198" s="305"/>
      <c r="DB198" s="305"/>
      <c r="DC198" s="305"/>
      <c r="DD198" s="305"/>
      <c r="DE198" s="305"/>
      <c r="DF198" s="305"/>
      <c r="DG198" s="305"/>
      <c r="DH198" s="305"/>
      <c r="DI198" s="305"/>
      <c r="DJ198" s="305"/>
      <c r="DK198" s="305"/>
      <c r="DL198" s="305"/>
      <c r="DM198" s="305"/>
      <c r="DN198" s="305"/>
      <c r="DO198" s="305"/>
      <c r="DP198" s="305"/>
      <c r="DQ198" s="305"/>
      <c r="DR198" s="305"/>
      <c r="DS198" s="305"/>
      <c r="DT198" s="305"/>
      <c r="DU198" s="305"/>
      <c r="DV198" s="305"/>
      <c r="DW198" s="558"/>
      <c r="DX198" s="558"/>
      <c r="DY198" s="558"/>
      <c r="DZ198" s="558"/>
      <c r="EA198" s="558"/>
      <c r="EB198" s="558"/>
      <c r="EC198" s="558"/>
      <c r="ED198" s="558"/>
      <c r="EE198" s="558"/>
      <c r="EF198" s="558"/>
      <c r="EG198" s="558"/>
      <c r="EH198" s="558"/>
      <c r="EI198" s="558"/>
      <c r="EJ198" s="558"/>
      <c r="EK198" s="558"/>
      <c r="EL198" s="558"/>
      <c r="EM198" s="558"/>
      <c r="EN198" s="558"/>
      <c r="EO198" s="558"/>
      <c r="EP198" s="558"/>
      <c r="EQ198" s="674"/>
      <c r="ER198" s="305"/>
    </row>
    <row r="199" spans="4:148" s="556" customFormat="1" x14ac:dyDescent="0.2">
      <c r="D199" s="110"/>
      <c r="O199" s="669"/>
      <c r="P199" s="670"/>
      <c r="Q199" s="670"/>
      <c r="S199" s="674"/>
      <c r="AA199" s="674"/>
      <c r="AF199" s="305"/>
      <c r="AG199" s="305"/>
      <c r="AH199" s="305"/>
      <c r="AI199" s="305"/>
      <c r="AJ199" s="305"/>
      <c r="AK199" s="305"/>
      <c r="AL199" s="305"/>
      <c r="AM199" s="305"/>
      <c r="AN199" s="305"/>
      <c r="AO199" s="305"/>
      <c r="AP199" s="305"/>
      <c r="AQ199" s="305"/>
      <c r="AR199" s="305"/>
      <c r="AS199" s="305"/>
      <c r="AT199" s="305"/>
      <c r="AU199" s="305"/>
      <c r="AV199" s="305"/>
      <c r="AW199" s="305"/>
      <c r="AX199" s="305"/>
      <c r="AY199" s="305"/>
      <c r="AZ199" s="305"/>
      <c r="BA199" s="305"/>
      <c r="BB199" s="305"/>
      <c r="BC199" s="305"/>
      <c r="BD199" s="305"/>
      <c r="BE199" s="305"/>
      <c r="BF199" s="305"/>
      <c r="BG199" s="305"/>
      <c r="BH199" s="305"/>
      <c r="BI199" s="305"/>
      <c r="BJ199" s="305"/>
      <c r="BK199" s="305"/>
      <c r="BL199" s="305"/>
      <c r="BM199" s="305"/>
      <c r="BN199" s="305"/>
      <c r="BO199" s="305"/>
      <c r="BP199" s="305"/>
      <c r="BQ199" s="305"/>
      <c r="BR199" s="305"/>
      <c r="BS199" s="305"/>
      <c r="BT199" s="305"/>
      <c r="BU199" s="305"/>
      <c r="BV199" s="305"/>
      <c r="BW199" s="305"/>
      <c r="BX199" s="305"/>
      <c r="BY199" s="305"/>
      <c r="BZ199" s="305"/>
      <c r="CA199" s="305"/>
      <c r="CB199" s="305"/>
      <c r="CC199" s="305"/>
      <c r="CD199" s="305"/>
      <c r="CE199" s="305"/>
      <c r="CF199" s="305"/>
      <c r="CG199" s="305"/>
      <c r="CH199" s="305"/>
      <c r="CI199" s="305"/>
      <c r="CJ199" s="305"/>
      <c r="CK199" s="305"/>
      <c r="CL199" s="305"/>
      <c r="CM199" s="305"/>
      <c r="CN199" s="305"/>
      <c r="CO199" s="305"/>
      <c r="CP199" s="305"/>
      <c r="CQ199" s="305"/>
      <c r="CR199" s="305"/>
      <c r="CS199" s="305"/>
      <c r="CT199" s="305"/>
      <c r="CU199" s="305"/>
      <c r="CV199" s="305"/>
      <c r="CW199" s="305"/>
      <c r="CX199" s="305"/>
      <c r="CY199" s="305"/>
      <c r="CZ199" s="305"/>
      <c r="DA199" s="305"/>
      <c r="DB199" s="305"/>
      <c r="DC199" s="305"/>
      <c r="DD199" s="305"/>
      <c r="DE199" s="305"/>
      <c r="DF199" s="305"/>
      <c r="DG199" s="305"/>
      <c r="DH199" s="305"/>
      <c r="DI199" s="305"/>
      <c r="DJ199" s="305"/>
      <c r="DK199" s="305"/>
      <c r="DL199" s="305"/>
      <c r="DM199" s="305"/>
      <c r="DN199" s="305"/>
      <c r="DO199" s="305"/>
      <c r="DP199" s="305"/>
      <c r="DQ199" s="305"/>
      <c r="DR199" s="305"/>
      <c r="DS199" s="305"/>
      <c r="DT199" s="305"/>
      <c r="DU199" s="305"/>
      <c r="DV199" s="305"/>
      <c r="DW199" s="558"/>
      <c r="DX199" s="558"/>
      <c r="DY199" s="558"/>
      <c r="DZ199" s="558"/>
      <c r="EA199" s="558"/>
      <c r="EB199" s="558"/>
      <c r="EC199" s="558"/>
      <c r="ED199" s="558"/>
      <c r="EE199" s="558"/>
      <c r="EF199" s="558"/>
      <c r="EG199" s="558"/>
      <c r="EH199" s="558"/>
      <c r="EI199" s="558"/>
      <c r="EJ199" s="558"/>
      <c r="EK199" s="558"/>
      <c r="EL199" s="558"/>
      <c r="EM199" s="558"/>
      <c r="EN199" s="558"/>
      <c r="EO199" s="558"/>
      <c r="EP199" s="558"/>
      <c r="EQ199" s="674"/>
      <c r="ER199" s="305"/>
    </row>
    <row r="200" spans="4:148" s="556" customFormat="1" x14ac:dyDescent="0.2">
      <c r="D200" s="110"/>
      <c r="O200" s="669"/>
      <c r="P200" s="670"/>
      <c r="Q200" s="670"/>
      <c r="S200" s="674"/>
      <c r="AA200" s="674"/>
      <c r="AF200" s="305"/>
      <c r="AG200" s="305"/>
      <c r="AH200" s="305"/>
      <c r="AI200" s="305"/>
      <c r="AJ200" s="305"/>
      <c r="AK200" s="305"/>
      <c r="AL200" s="305"/>
      <c r="AM200" s="305"/>
      <c r="AN200" s="305"/>
      <c r="AO200" s="305"/>
      <c r="AP200" s="305"/>
      <c r="AQ200" s="305"/>
      <c r="AR200" s="305"/>
      <c r="AS200" s="305"/>
      <c r="AT200" s="305"/>
      <c r="AU200" s="305"/>
      <c r="AV200" s="305"/>
      <c r="AW200" s="305"/>
      <c r="AX200" s="305"/>
      <c r="AY200" s="305"/>
      <c r="AZ200" s="305"/>
      <c r="BA200" s="305"/>
      <c r="BB200" s="305"/>
      <c r="BC200" s="305"/>
      <c r="BD200" s="305"/>
      <c r="BE200" s="305"/>
      <c r="BF200" s="305"/>
      <c r="BG200" s="305"/>
      <c r="BH200" s="305"/>
      <c r="BI200" s="305"/>
      <c r="BJ200" s="305"/>
      <c r="BK200" s="305"/>
      <c r="BL200" s="305"/>
      <c r="BM200" s="305"/>
      <c r="BN200" s="305"/>
      <c r="BO200" s="305"/>
      <c r="BP200" s="305"/>
      <c r="BQ200" s="305"/>
      <c r="BR200" s="305"/>
      <c r="BS200" s="305"/>
      <c r="BT200" s="305"/>
      <c r="BU200" s="305"/>
      <c r="BV200" s="305"/>
      <c r="BW200" s="305"/>
      <c r="BX200" s="305"/>
      <c r="BY200" s="305"/>
      <c r="BZ200" s="305"/>
      <c r="CA200" s="305"/>
      <c r="CB200" s="305"/>
      <c r="CC200" s="305"/>
      <c r="CD200" s="305"/>
      <c r="CE200" s="305"/>
      <c r="CF200" s="305"/>
      <c r="CG200" s="305"/>
      <c r="CH200" s="305"/>
      <c r="CI200" s="305"/>
      <c r="CJ200" s="305"/>
      <c r="CK200" s="305"/>
      <c r="CL200" s="305"/>
      <c r="CM200" s="305"/>
      <c r="CN200" s="305"/>
      <c r="CO200" s="305"/>
      <c r="CP200" s="305"/>
      <c r="CQ200" s="305"/>
      <c r="CR200" s="305"/>
      <c r="CS200" s="305"/>
      <c r="CT200" s="305"/>
      <c r="CU200" s="305"/>
      <c r="CV200" s="305"/>
      <c r="CW200" s="305"/>
      <c r="CX200" s="305"/>
      <c r="CY200" s="305"/>
      <c r="CZ200" s="305"/>
      <c r="DA200" s="305"/>
      <c r="DB200" s="305"/>
      <c r="DC200" s="305"/>
      <c r="DD200" s="305"/>
      <c r="DE200" s="305"/>
      <c r="DF200" s="305"/>
      <c r="DG200" s="305"/>
      <c r="DH200" s="305"/>
      <c r="DI200" s="305"/>
      <c r="DJ200" s="305"/>
      <c r="DK200" s="305"/>
      <c r="DL200" s="305"/>
      <c r="DM200" s="305"/>
      <c r="DN200" s="305"/>
      <c r="DO200" s="305"/>
      <c r="DP200" s="305"/>
      <c r="DQ200" s="305"/>
      <c r="DR200" s="305"/>
      <c r="DS200" s="305"/>
      <c r="DT200" s="305"/>
      <c r="DU200" s="305"/>
      <c r="DV200" s="305"/>
      <c r="DW200" s="558"/>
      <c r="DX200" s="558"/>
      <c r="DY200" s="558"/>
      <c r="DZ200" s="558"/>
      <c r="EA200" s="558"/>
      <c r="EB200" s="558"/>
      <c r="EC200" s="558"/>
      <c r="ED200" s="558"/>
      <c r="EE200" s="558"/>
      <c r="EF200" s="558"/>
      <c r="EG200" s="558"/>
      <c r="EH200" s="558"/>
      <c r="EI200" s="558"/>
      <c r="EJ200" s="558"/>
      <c r="EK200" s="558"/>
      <c r="EL200" s="558"/>
      <c r="EM200" s="558"/>
      <c r="EN200" s="558"/>
      <c r="EO200" s="558"/>
      <c r="EP200" s="558"/>
      <c r="EQ200" s="674"/>
      <c r="ER200" s="305"/>
    </row>
    <row r="201" spans="4:148" s="556" customFormat="1" x14ac:dyDescent="0.2">
      <c r="D201" s="110"/>
      <c r="O201" s="669"/>
      <c r="P201" s="670"/>
      <c r="Q201" s="670"/>
      <c r="S201" s="674"/>
      <c r="AA201" s="674"/>
      <c r="AF201" s="305"/>
      <c r="AG201" s="305"/>
      <c r="AH201" s="305"/>
      <c r="AI201" s="305"/>
      <c r="AJ201" s="305"/>
      <c r="AK201" s="305"/>
      <c r="AL201" s="305"/>
      <c r="AM201" s="305"/>
      <c r="AN201" s="305"/>
      <c r="AO201" s="305"/>
      <c r="AP201" s="305"/>
      <c r="AQ201" s="305"/>
      <c r="AR201" s="305"/>
      <c r="AS201" s="305"/>
      <c r="AT201" s="305"/>
      <c r="AU201" s="305"/>
      <c r="AV201" s="305"/>
      <c r="AW201" s="305"/>
      <c r="AX201" s="305"/>
      <c r="AY201" s="305"/>
      <c r="AZ201" s="305"/>
      <c r="BA201" s="305"/>
      <c r="BB201" s="305"/>
      <c r="BC201" s="305"/>
      <c r="BD201" s="305"/>
      <c r="BE201" s="305"/>
      <c r="BF201" s="305"/>
      <c r="BG201" s="305"/>
      <c r="BH201" s="305"/>
      <c r="BI201" s="305"/>
      <c r="BJ201" s="305"/>
      <c r="BK201" s="305"/>
      <c r="BL201" s="305"/>
      <c r="BM201" s="305"/>
      <c r="BN201" s="305"/>
      <c r="BO201" s="305"/>
      <c r="BP201" s="305"/>
      <c r="BQ201" s="305"/>
      <c r="BR201" s="305"/>
      <c r="BS201" s="305"/>
      <c r="BT201" s="305"/>
      <c r="BU201" s="305"/>
      <c r="BV201" s="305"/>
      <c r="BW201" s="305"/>
      <c r="BX201" s="305"/>
      <c r="BY201" s="305"/>
      <c r="BZ201" s="305"/>
      <c r="CA201" s="305"/>
      <c r="CB201" s="305"/>
      <c r="CC201" s="305"/>
      <c r="CD201" s="305"/>
      <c r="CE201" s="305"/>
      <c r="CF201" s="305"/>
      <c r="CG201" s="305"/>
      <c r="CH201" s="305"/>
      <c r="CI201" s="305"/>
      <c r="CJ201" s="305"/>
      <c r="CK201" s="305"/>
      <c r="CL201" s="305"/>
      <c r="CM201" s="305"/>
      <c r="CN201" s="305"/>
      <c r="CO201" s="305"/>
      <c r="CP201" s="305"/>
      <c r="CQ201" s="305"/>
      <c r="CR201" s="305"/>
      <c r="CS201" s="305"/>
      <c r="CT201" s="305"/>
      <c r="CU201" s="305"/>
      <c r="CV201" s="305"/>
      <c r="CW201" s="305"/>
      <c r="CX201" s="305"/>
      <c r="CY201" s="305"/>
      <c r="CZ201" s="305"/>
      <c r="DA201" s="305"/>
      <c r="DB201" s="305"/>
      <c r="DC201" s="305"/>
      <c r="DD201" s="305"/>
      <c r="DE201" s="305"/>
      <c r="DF201" s="305"/>
      <c r="DG201" s="305"/>
      <c r="DH201" s="305"/>
      <c r="DI201" s="305"/>
      <c r="DJ201" s="305"/>
      <c r="DK201" s="305"/>
      <c r="DL201" s="305"/>
      <c r="DM201" s="305"/>
      <c r="DN201" s="305"/>
      <c r="DO201" s="305"/>
      <c r="DP201" s="305"/>
      <c r="DQ201" s="305"/>
      <c r="DR201" s="305"/>
      <c r="DS201" s="305"/>
      <c r="DT201" s="305"/>
      <c r="DU201" s="305"/>
      <c r="DV201" s="305"/>
      <c r="DW201" s="558"/>
      <c r="DX201" s="558"/>
      <c r="DY201" s="558"/>
      <c r="DZ201" s="558"/>
      <c r="EA201" s="558"/>
      <c r="EB201" s="558"/>
      <c r="EC201" s="558"/>
      <c r="ED201" s="558"/>
      <c r="EE201" s="558"/>
      <c r="EF201" s="558"/>
      <c r="EG201" s="558"/>
      <c r="EH201" s="558"/>
      <c r="EI201" s="558"/>
      <c r="EJ201" s="558"/>
      <c r="EK201" s="558"/>
      <c r="EL201" s="558"/>
      <c r="EM201" s="558"/>
      <c r="EN201" s="558"/>
      <c r="EO201" s="558"/>
      <c r="EP201" s="558"/>
      <c r="EQ201" s="674"/>
      <c r="ER201" s="305"/>
    </row>
    <row r="202" spans="4:148" s="556" customFormat="1" x14ac:dyDescent="0.2">
      <c r="D202" s="110"/>
      <c r="O202" s="669"/>
      <c r="P202" s="670"/>
      <c r="Q202" s="670"/>
      <c r="S202" s="674"/>
      <c r="AA202" s="674"/>
      <c r="AF202" s="305"/>
      <c r="AG202" s="305"/>
      <c r="AH202" s="305"/>
      <c r="AI202" s="305"/>
      <c r="AJ202" s="305"/>
      <c r="AK202" s="305"/>
      <c r="AL202" s="305"/>
      <c r="AM202" s="305"/>
      <c r="AN202" s="305"/>
      <c r="AO202" s="305"/>
      <c r="AP202" s="305"/>
      <c r="AQ202" s="305"/>
      <c r="AR202" s="305"/>
      <c r="AS202" s="305"/>
      <c r="AT202" s="305"/>
      <c r="AU202" s="305"/>
      <c r="AV202" s="305"/>
      <c r="AW202" s="305"/>
      <c r="AX202" s="305"/>
      <c r="AY202" s="305"/>
      <c r="AZ202" s="305"/>
      <c r="BA202" s="305"/>
      <c r="BB202" s="305"/>
      <c r="BC202" s="305"/>
      <c r="BD202" s="305"/>
      <c r="BE202" s="305"/>
      <c r="BF202" s="305"/>
      <c r="BG202" s="305"/>
      <c r="BH202" s="305"/>
      <c r="BI202" s="305"/>
      <c r="BJ202" s="305"/>
      <c r="BK202" s="305"/>
      <c r="BL202" s="305"/>
      <c r="BM202" s="305"/>
      <c r="BN202" s="305"/>
      <c r="BO202" s="305"/>
      <c r="BP202" s="305"/>
      <c r="BQ202" s="305"/>
      <c r="BR202" s="305"/>
      <c r="BS202" s="305"/>
      <c r="BT202" s="305"/>
      <c r="BU202" s="305"/>
      <c r="BV202" s="305"/>
      <c r="BW202" s="305"/>
      <c r="BX202" s="305"/>
      <c r="BY202" s="305"/>
      <c r="BZ202" s="305"/>
      <c r="CA202" s="305"/>
      <c r="CB202" s="305"/>
      <c r="CC202" s="305"/>
      <c r="CD202" s="305"/>
      <c r="CE202" s="305"/>
      <c r="CF202" s="305"/>
      <c r="CG202" s="305"/>
      <c r="CH202" s="305"/>
      <c r="CI202" s="305"/>
      <c r="CJ202" s="305"/>
      <c r="CK202" s="305"/>
      <c r="CL202" s="305"/>
      <c r="CM202" s="305"/>
      <c r="CN202" s="305"/>
      <c r="CO202" s="305"/>
      <c r="CP202" s="305"/>
      <c r="CQ202" s="305"/>
      <c r="CR202" s="305"/>
      <c r="CS202" s="305"/>
      <c r="CT202" s="305"/>
      <c r="CU202" s="305"/>
      <c r="CV202" s="305"/>
      <c r="CW202" s="305"/>
      <c r="CX202" s="305"/>
      <c r="CY202" s="305"/>
      <c r="CZ202" s="305"/>
      <c r="DA202" s="305"/>
      <c r="DB202" s="305"/>
      <c r="DC202" s="305"/>
      <c r="DD202" s="305"/>
      <c r="DE202" s="305"/>
      <c r="DF202" s="305"/>
      <c r="DG202" s="305"/>
      <c r="DH202" s="305"/>
      <c r="DI202" s="305"/>
      <c r="DJ202" s="305"/>
      <c r="DK202" s="305"/>
      <c r="DL202" s="305"/>
      <c r="DM202" s="305"/>
      <c r="DN202" s="305"/>
      <c r="DO202" s="305"/>
      <c r="DP202" s="305"/>
      <c r="DQ202" s="305"/>
      <c r="DR202" s="305"/>
      <c r="DS202" s="305"/>
      <c r="DT202" s="305"/>
      <c r="DU202" s="305"/>
      <c r="DV202" s="305"/>
      <c r="DW202" s="558"/>
      <c r="DX202" s="558"/>
      <c r="DY202" s="558"/>
      <c r="DZ202" s="558"/>
      <c r="EA202" s="558"/>
      <c r="EB202" s="558"/>
      <c r="EC202" s="558"/>
      <c r="ED202" s="558"/>
      <c r="EE202" s="558"/>
      <c r="EF202" s="558"/>
      <c r="EG202" s="558"/>
      <c r="EH202" s="558"/>
      <c r="EI202" s="558"/>
      <c r="EJ202" s="558"/>
      <c r="EK202" s="558"/>
      <c r="EL202" s="558"/>
      <c r="EM202" s="558"/>
      <c r="EN202" s="558"/>
      <c r="EO202" s="558"/>
      <c r="EP202" s="558"/>
      <c r="EQ202" s="674"/>
      <c r="ER202" s="305"/>
    </row>
    <row r="203" spans="4:148" s="556" customFormat="1" x14ac:dyDescent="0.2">
      <c r="D203" s="110"/>
      <c r="O203" s="669"/>
      <c r="P203" s="670"/>
      <c r="Q203" s="670"/>
      <c r="S203" s="674"/>
      <c r="AA203" s="674"/>
      <c r="AF203" s="305"/>
      <c r="AG203" s="305"/>
      <c r="AH203" s="305"/>
      <c r="AI203" s="305"/>
      <c r="AJ203" s="305"/>
      <c r="AK203" s="305"/>
      <c r="AL203" s="305"/>
      <c r="AM203" s="305"/>
      <c r="AN203" s="305"/>
      <c r="AO203" s="305"/>
      <c r="AP203" s="305"/>
      <c r="AQ203" s="305"/>
      <c r="AR203" s="305"/>
      <c r="AS203" s="305"/>
      <c r="AT203" s="305"/>
      <c r="AU203" s="305"/>
      <c r="AV203" s="305"/>
      <c r="AW203" s="305"/>
      <c r="AX203" s="305"/>
      <c r="AY203" s="305"/>
      <c r="AZ203" s="305"/>
      <c r="BA203" s="305"/>
      <c r="BB203" s="305"/>
      <c r="BC203" s="305"/>
      <c r="BD203" s="305"/>
      <c r="BE203" s="305"/>
      <c r="BF203" s="305"/>
      <c r="BG203" s="305"/>
      <c r="BH203" s="305"/>
      <c r="BI203" s="305"/>
      <c r="BJ203" s="305"/>
      <c r="BK203" s="305"/>
      <c r="BL203" s="305"/>
      <c r="BM203" s="305"/>
      <c r="BN203" s="305"/>
      <c r="BO203" s="305"/>
      <c r="BP203" s="305"/>
      <c r="BQ203" s="305"/>
      <c r="BR203" s="305"/>
      <c r="BS203" s="305"/>
      <c r="BT203" s="305"/>
      <c r="BU203" s="305"/>
      <c r="BV203" s="305"/>
      <c r="BW203" s="305"/>
      <c r="BX203" s="305"/>
      <c r="BY203" s="305"/>
      <c r="BZ203" s="305"/>
      <c r="CA203" s="305"/>
      <c r="CB203" s="305"/>
      <c r="CC203" s="305"/>
      <c r="CD203" s="305"/>
      <c r="CE203" s="305"/>
      <c r="CF203" s="305"/>
      <c r="CG203" s="305"/>
      <c r="CH203" s="305"/>
      <c r="CI203" s="305"/>
      <c r="CJ203" s="305"/>
      <c r="CK203" s="305"/>
      <c r="CL203" s="305"/>
      <c r="CM203" s="305"/>
      <c r="CN203" s="305"/>
      <c r="CO203" s="305"/>
      <c r="CP203" s="305"/>
      <c r="CQ203" s="305"/>
      <c r="CR203" s="305"/>
      <c r="CS203" s="305"/>
      <c r="CT203" s="305"/>
      <c r="CU203" s="305"/>
      <c r="CV203" s="305"/>
      <c r="CW203" s="305"/>
      <c r="CX203" s="305"/>
      <c r="CY203" s="305"/>
      <c r="CZ203" s="305"/>
      <c r="DA203" s="305"/>
      <c r="DB203" s="305"/>
      <c r="DC203" s="305"/>
      <c r="DD203" s="305"/>
      <c r="DE203" s="305"/>
      <c r="DF203" s="305"/>
      <c r="DG203" s="305"/>
      <c r="DH203" s="305"/>
      <c r="DI203" s="305"/>
      <c r="DJ203" s="305"/>
      <c r="DK203" s="305"/>
      <c r="DL203" s="305"/>
      <c r="DM203" s="305"/>
      <c r="DN203" s="305"/>
      <c r="DO203" s="305"/>
      <c r="DP203" s="305"/>
      <c r="DQ203" s="305"/>
      <c r="DR203" s="305"/>
      <c r="DS203" s="305"/>
      <c r="DT203" s="305"/>
      <c r="DU203" s="305"/>
      <c r="DV203" s="305"/>
      <c r="DW203" s="558"/>
      <c r="DX203" s="558"/>
      <c r="DY203" s="558"/>
      <c r="DZ203" s="558"/>
      <c r="EA203" s="558"/>
      <c r="EB203" s="558"/>
      <c r="EC203" s="558"/>
      <c r="ED203" s="558"/>
      <c r="EE203" s="558"/>
      <c r="EF203" s="558"/>
      <c r="EG203" s="558"/>
      <c r="EH203" s="558"/>
      <c r="EI203" s="558"/>
      <c r="EJ203" s="558"/>
      <c r="EK203" s="558"/>
      <c r="EL203" s="558"/>
      <c r="EM203" s="558"/>
      <c r="EN203" s="558"/>
      <c r="EO203" s="558"/>
      <c r="EP203" s="558"/>
      <c r="EQ203" s="674"/>
      <c r="ER203" s="305"/>
    </row>
    <row r="204" spans="4:148" s="556" customFormat="1" x14ac:dyDescent="0.2">
      <c r="D204" s="110"/>
      <c r="O204" s="669"/>
      <c r="P204" s="670"/>
      <c r="Q204" s="670"/>
      <c r="S204" s="674"/>
      <c r="AA204" s="674"/>
      <c r="AF204" s="305"/>
      <c r="AG204" s="305"/>
      <c r="AH204" s="305"/>
      <c r="AI204" s="305"/>
      <c r="AJ204" s="305"/>
      <c r="AK204" s="305"/>
      <c r="AL204" s="305"/>
      <c r="AM204" s="305"/>
      <c r="AN204" s="305"/>
      <c r="AO204" s="305"/>
      <c r="AP204" s="305"/>
      <c r="AQ204" s="305"/>
      <c r="AR204" s="305"/>
      <c r="AS204" s="305"/>
      <c r="AT204" s="305"/>
      <c r="AU204" s="305"/>
      <c r="AV204" s="305"/>
      <c r="AW204" s="305"/>
      <c r="AX204" s="305"/>
      <c r="AY204" s="305"/>
      <c r="AZ204" s="305"/>
      <c r="BA204" s="305"/>
      <c r="BB204" s="305"/>
      <c r="BC204" s="305"/>
      <c r="BD204" s="305"/>
      <c r="BE204" s="305"/>
      <c r="BF204" s="305"/>
      <c r="BG204" s="305"/>
      <c r="BH204" s="305"/>
      <c r="BI204" s="305"/>
      <c r="BJ204" s="305"/>
      <c r="BK204" s="305"/>
      <c r="BL204" s="305"/>
      <c r="BM204" s="305"/>
      <c r="BN204" s="305"/>
      <c r="BO204" s="305"/>
      <c r="BP204" s="305"/>
      <c r="BQ204" s="305"/>
      <c r="BR204" s="305"/>
      <c r="BS204" s="305"/>
      <c r="BT204" s="305"/>
      <c r="BU204" s="305"/>
      <c r="BV204" s="305"/>
      <c r="BW204" s="305"/>
      <c r="BX204" s="305"/>
      <c r="BY204" s="305"/>
      <c r="BZ204" s="305"/>
      <c r="CA204" s="305"/>
      <c r="CB204" s="305"/>
      <c r="CC204" s="305"/>
      <c r="CD204" s="305"/>
      <c r="CE204" s="305"/>
      <c r="CF204" s="305"/>
      <c r="CG204" s="305"/>
      <c r="CH204" s="305"/>
      <c r="CI204" s="305"/>
      <c r="CJ204" s="305"/>
      <c r="CK204" s="305"/>
      <c r="CL204" s="305"/>
      <c r="CM204" s="305"/>
      <c r="CN204" s="305"/>
      <c r="CO204" s="305"/>
      <c r="CP204" s="305"/>
      <c r="CQ204" s="305"/>
      <c r="CR204" s="305"/>
      <c r="CS204" s="305"/>
      <c r="CT204" s="305"/>
      <c r="CU204" s="305"/>
      <c r="CV204" s="305"/>
      <c r="CW204" s="305"/>
      <c r="CX204" s="305"/>
      <c r="CY204" s="305"/>
      <c r="CZ204" s="305"/>
      <c r="DA204" s="305"/>
      <c r="DB204" s="305"/>
      <c r="DC204" s="305"/>
      <c r="DD204" s="305"/>
      <c r="DE204" s="305"/>
      <c r="DF204" s="305"/>
      <c r="DG204" s="305"/>
      <c r="DH204" s="305"/>
      <c r="DI204" s="305"/>
      <c r="DJ204" s="305"/>
      <c r="DK204" s="305"/>
      <c r="DL204" s="305"/>
      <c r="DM204" s="305"/>
      <c r="DN204" s="305"/>
      <c r="DO204" s="305"/>
      <c r="DP204" s="305"/>
      <c r="DQ204" s="305"/>
      <c r="DR204" s="305"/>
      <c r="DS204" s="305"/>
      <c r="DT204" s="305"/>
      <c r="DU204" s="305"/>
      <c r="DV204" s="305"/>
      <c r="DW204" s="558"/>
      <c r="DX204" s="558"/>
      <c r="DY204" s="558"/>
      <c r="DZ204" s="558"/>
      <c r="EA204" s="558"/>
      <c r="EB204" s="558"/>
      <c r="EC204" s="558"/>
      <c r="ED204" s="558"/>
      <c r="EE204" s="558"/>
      <c r="EF204" s="558"/>
      <c r="EG204" s="558"/>
      <c r="EH204" s="558"/>
      <c r="EI204" s="558"/>
      <c r="EJ204" s="558"/>
      <c r="EK204" s="558"/>
      <c r="EL204" s="558"/>
      <c r="EM204" s="558"/>
      <c r="EN204" s="558"/>
      <c r="EO204" s="558"/>
      <c r="EP204" s="558"/>
      <c r="EQ204" s="674"/>
      <c r="ER204" s="305"/>
    </row>
    <row r="205" spans="4:148" s="556" customFormat="1" x14ac:dyDescent="0.2">
      <c r="D205" s="110"/>
      <c r="O205" s="669"/>
      <c r="P205" s="670"/>
      <c r="Q205" s="670"/>
      <c r="S205" s="674"/>
      <c r="AA205" s="674"/>
      <c r="AF205" s="305"/>
      <c r="AG205" s="305"/>
      <c r="AH205" s="305"/>
      <c r="AI205" s="305"/>
      <c r="AJ205" s="305"/>
      <c r="AK205" s="305"/>
      <c r="AL205" s="305"/>
      <c r="AM205" s="305"/>
      <c r="AN205" s="305"/>
      <c r="AO205" s="305"/>
      <c r="AP205" s="305"/>
      <c r="AQ205" s="305"/>
      <c r="AR205" s="305"/>
      <c r="AS205" s="305"/>
      <c r="AT205" s="305"/>
      <c r="AU205" s="305"/>
      <c r="AV205" s="305"/>
      <c r="AW205" s="305"/>
      <c r="AX205" s="305"/>
      <c r="AY205" s="305"/>
      <c r="AZ205" s="305"/>
      <c r="BA205" s="305"/>
      <c r="BB205" s="305"/>
      <c r="BC205" s="305"/>
      <c r="BD205" s="305"/>
      <c r="BE205" s="305"/>
      <c r="BF205" s="305"/>
      <c r="BG205" s="305"/>
      <c r="BH205" s="305"/>
      <c r="BI205" s="305"/>
      <c r="BJ205" s="305"/>
      <c r="BK205" s="305"/>
      <c r="BL205" s="305"/>
      <c r="BM205" s="305"/>
      <c r="BN205" s="305"/>
      <c r="BO205" s="305"/>
      <c r="BP205" s="305"/>
      <c r="BQ205" s="305"/>
      <c r="BR205" s="305"/>
      <c r="BS205" s="305"/>
      <c r="BT205" s="305"/>
      <c r="BU205" s="305"/>
      <c r="BV205" s="305"/>
      <c r="BW205" s="305"/>
      <c r="BX205" s="305"/>
      <c r="BY205" s="305"/>
      <c r="BZ205" s="305"/>
      <c r="CA205" s="305"/>
      <c r="CB205" s="305"/>
      <c r="CC205" s="305"/>
      <c r="CD205" s="305"/>
      <c r="CE205" s="305"/>
      <c r="CF205" s="305"/>
      <c r="CG205" s="305"/>
      <c r="CH205" s="305"/>
      <c r="CI205" s="305"/>
      <c r="CJ205" s="305"/>
      <c r="CK205" s="305"/>
      <c r="CL205" s="305"/>
      <c r="CM205" s="305"/>
      <c r="CN205" s="305"/>
      <c r="CO205" s="305"/>
      <c r="CP205" s="305"/>
      <c r="CQ205" s="305"/>
      <c r="CR205" s="305"/>
      <c r="CS205" s="305"/>
      <c r="CT205" s="305"/>
      <c r="CU205" s="305"/>
      <c r="CV205" s="305"/>
      <c r="CW205" s="305"/>
      <c r="CX205" s="305"/>
      <c r="CY205" s="305"/>
      <c r="CZ205" s="305"/>
      <c r="DA205" s="305"/>
      <c r="DB205" s="305"/>
      <c r="DC205" s="305"/>
      <c r="DD205" s="305"/>
      <c r="DE205" s="305"/>
      <c r="DF205" s="305"/>
      <c r="DG205" s="305"/>
      <c r="DH205" s="305"/>
      <c r="DI205" s="305"/>
      <c r="DJ205" s="305"/>
      <c r="DK205" s="305"/>
      <c r="DL205" s="305"/>
      <c r="DM205" s="305"/>
      <c r="DN205" s="305"/>
      <c r="DO205" s="305"/>
      <c r="DP205" s="305"/>
      <c r="DQ205" s="305"/>
      <c r="DR205" s="305"/>
      <c r="DS205" s="305"/>
      <c r="DT205" s="305"/>
      <c r="DU205" s="305"/>
      <c r="DV205" s="305"/>
      <c r="DW205" s="558"/>
      <c r="DX205" s="558"/>
      <c r="DY205" s="558"/>
      <c r="DZ205" s="558"/>
      <c r="EA205" s="558"/>
      <c r="EB205" s="558"/>
      <c r="EC205" s="558"/>
      <c r="ED205" s="558"/>
      <c r="EE205" s="558"/>
      <c r="EF205" s="558"/>
      <c r="EG205" s="558"/>
      <c r="EH205" s="558"/>
      <c r="EI205" s="558"/>
      <c r="EJ205" s="558"/>
      <c r="EK205" s="558"/>
      <c r="EL205" s="558"/>
      <c r="EM205" s="558"/>
      <c r="EN205" s="558"/>
      <c r="EO205" s="558"/>
      <c r="EP205" s="558"/>
      <c r="EQ205" s="674"/>
      <c r="ER205" s="305"/>
    </row>
    <row r="206" spans="4:148" s="556" customFormat="1" x14ac:dyDescent="0.2">
      <c r="D206" s="110"/>
      <c r="O206" s="669"/>
      <c r="P206" s="670"/>
      <c r="Q206" s="670"/>
      <c r="S206" s="674"/>
      <c r="AA206" s="674"/>
      <c r="AF206" s="305"/>
      <c r="AG206" s="305"/>
      <c r="AH206" s="305"/>
      <c r="AI206" s="305"/>
      <c r="AJ206" s="305"/>
      <c r="AK206" s="305"/>
      <c r="AL206" s="305"/>
      <c r="AM206" s="305"/>
      <c r="AN206" s="305"/>
      <c r="AO206" s="305"/>
      <c r="AP206" s="305"/>
      <c r="AQ206" s="305"/>
      <c r="AR206" s="305"/>
      <c r="AS206" s="305"/>
      <c r="AT206" s="305"/>
      <c r="AU206" s="305"/>
      <c r="AV206" s="305"/>
      <c r="AW206" s="305"/>
      <c r="AX206" s="305"/>
      <c r="AY206" s="305"/>
      <c r="AZ206" s="305"/>
      <c r="BA206" s="305"/>
      <c r="BB206" s="305"/>
      <c r="BC206" s="305"/>
      <c r="BD206" s="305"/>
      <c r="BE206" s="305"/>
      <c r="BF206" s="305"/>
      <c r="BG206" s="305"/>
      <c r="BH206" s="305"/>
      <c r="BI206" s="305"/>
      <c r="BJ206" s="305"/>
      <c r="BK206" s="305"/>
      <c r="BL206" s="305"/>
      <c r="BM206" s="305"/>
      <c r="BN206" s="305"/>
      <c r="BO206" s="305"/>
      <c r="BP206" s="305"/>
      <c r="BQ206" s="305"/>
      <c r="BR206" s="305"/>
      <c r="BS206" s="305"/>
      <c r="BT206" s="305"/>
      <c r="BU206" s="305"/>
      <c r="BV206" s="305"/>
      <c r="BW206" s="305"/>
      <c r="BX206" s="305"/>
      <c r="BY206" s="305"/>
      <c r="BZ206" s="305"/>
      <c r="CA206" s="305"/>
      <c r="CB206" s="305"/>
      <c r="CC206" s="305"/>
      <c r="CD206" s="305"/>
      <c r="CE206" s="305"/>
      <c r="CF206" s="305"/>
      <c r="CG206" s="305"/>
      <c r="CH206" s="305"/>
      <c r="CI206" s="305"/>
      <c r="CJ206" s="305"/>
      <c r="CK206" s="305"/>
      <c r="CL206" s="305"/>
      <c r="CM206" s="305"/>
      <c r="CN206" s="305"/>
      <c r="CO206" s="305"/>
      <c r="CP206" s="305"/>
      <c r="CQ206" s="305"/>
      <c r="CR206" s="305"/>
      <c r="CS206" s="305"/>
      <c r="CT206" s="305"/>
      <c r="CU206" s="305"/>
      <c r="CV206" s="305"/>
      <c r="CW206" s="305"/>
      <c r="CX206" s="305"/>
      <c r="CY206" s="305"/>
      <c r="CZ206" s="305"/>
      <c r="DA206" s="305"/>
      <c r="DB206" s="305"/>
      <c r="DC206" s="305"/>
      <c r="DD206" s="305"/>
      <c r="DE206" s="305"/>
      <c r="DF206" s="305"/>
      <c r="DG206" s="305"/>
      <c r="DH206" s="305"/>
      <c r="DI206" s="305"/>
      <c r="DJ206" s="305"/>
      <c r="DK206" s="305"/>
      <c r="DL206" s="305"/>
      <c r="DM206" s="305"/>
      <c r="DN206" s="305"/>
      <c r="DO206" s="305"/>
      <c r="DP206" s="305"/>
      <c r="DQ206" s="305"/>
      <c r="DR206" s="305"/>
      <c r="DS206" s="305"/>
      <c r="DT206" s="305"/>
      <c r="DU206" s="305"/>
      <c r="DV206" s="305"/>
      <c r="DW206" s="558"/>
      <c r="DX206" s="558"/>
      <c r="DY206" s="558"/>
      <c r="DZ206" s="558"/>
      <c r="EA206" s="558"/>
      <c r="EB206" s="558"/>
      <c r="EC206" s="558"/>
      <c r="ED206" s="558"/>
      <c r="EE206" s="558"/>
      <c r="EF206" s="558"/>
      <c r="EG206" s="558"/>
      <c r="EH206" s="558"/>
      <c r="EI206" s="558"/>
      <c r="EJ206" s="558"/>
      <c r="EK206" s="558"/>
      <c r="EL206" s="558"/>
      <c r="EM206" s="558"/>
      <c r="EN206" s="558"/>
      <c r="EO206" s="558"/>
      <c r="EP206" s="558"/>
      <c r="EQ206" s="674"/>
      <c r="ER206" s="305"/>
    </row>
    <row r="207" spans="4:148" s="556" customFormat="1" x14ac:dyDescent="0.2">
      <c r="D207" s="110"/>
      <c r="O207" s="669"/>
      <c r="P207" s="670"/>
      <c r="Q207" s="670"/>
      <c r="S207" s="674"/>
      <c r="AA207" s="674"/>
      <c r="AF207" s="305"/>
      <c r="AG207" s="305"/>
      <c r="AH207" s="305"/>
      <c r="AI207" s="305"/>
      <c r="AJ207" s="305"/>
      <c r="AK207" s="305"/>
      <c r="AL207" s="305"/>
      <c r="AM207" s="305"/>
      <c r="AN207" s="305"/>
      <c r="AO207" s="305"/>
      <c r="AP207" s="305"/>
      <c r="AQ207" s="305"/>
      <c r="AR207" s="305"/>
      <c r="AS207" s="305"/>
      <c r="AT207" s="305"/>
      <c r="AU207" s="305"/>
      <c r="AV207" s="305"/>
      <c r="AW207" s="305"/>
      <c r="AX207" s="305"/>
      <c r="AY207" s="305"/>
      <c r="AZ207" s="305"/>
      <c r="BA207" s="305"/>
      <c r="BB207" s="305"/>
      <c r="BC207" s="305"/>
      <c r="BD207" s="305"/>
      <c r="BE207" s="305"/>
      <c r="BF207" s="305"/>
      <c r="BG207" s="305"/>
      <c r="BH207" s="305"/>
      <c r="BI207" s="305"/>
      <c r="BJ207" s="305"/>
      <c r="BK207" s="305"/>
      <c r="BL207" s="305"/>
      <c r="BM207" s="305"/>
      <c r="BN207" s="305"/>
      <c r="BO207" s="305"/>
      <c r="BP207" s="305"/>
      <c r="BQ207" s="305"/>
      <c r="BR207" s="305"/>
      <c r="BS207" s="305"/>
      <c r="BT207" s="305"/>
      <c r="BU207" s="305"/>
      <c r="BV207" s="305"/>
      <c r="BW207" s="305"/>
      <c r="BX207" s="305"/>
      <c r="BY207" s="305"/>
      <c r="BZ207" s="305"/>
      <c r="CA207" s="305"/>
      <c r="CB207" s="305"/>
      <c r="CC207" s="305"/>
      <c r="CD207" s="305"/>
      <c r="CE207" s="305"/>
      <c r="CF207" s="305"/>
      <c r="CG207" s="305"/>
      <c r="CH207" s="305"/>
      <c r="CI207" s="305"/>
      <c r="CJ207" s="305"/>
      <c r="CK207" s="305"/>
      <c r="CL207" s="305"/>
      <c r="CM207" s="305"/>
      <c r="CN207" s="305"/>
      <c r="CO207" s="305"/>
      <c r="CP207" s="305"/>
      <c r="CQ207" s="305"/>
      <c r="CR207" s="305"/>
      <c r="CS207" s="305"/>
      <c r="CT207" s="305"/>
      <c r="CU207" s="305"/>
      <c r="CV207" s="305"/>
      <c r="CW207" s="305"/>
      <c r="CX207" s="305"/>
      <c r="CY207" s="305"/>
      <c r="CZ207" s="305"/>
      <c r="DA207" s="305"/>
      <c r="DB207" s="305"/>
      <c r="DC207" s="305"/>
      <c r="DD207" s="305"/>
      <c r="DE207" s="305"/>
      <c r="DF207" s="305"/>
      <c r="DG207" s="305"/>
      <c r="DH207" s="305"/>
      <c r="DI207" s="305"/>
      <c r="DJ207" s="305"/>
      <c r="DK207" s="305"/>
      <c r="DL207" s="305"/>
      <c r="DM207" s="305"/>
      <c r="DN207" s="305"/>
      <c r="DO207" s="305"/>
      <c r="DP207" s="305"/>
      <c r="DQ207" s="305"/>
      <c r="DR207" s="305"/>
      <c r="DS207" s="305"/>
      <c r="DT207" s="305"/>
      <c r="DU207" s="305"/>
      <c r="DV207" s="305"/>
      <c r="DW207" s="558"/>
      <c r="DX207" s="558"/>
      <c r="DY207" s="558"/>
      <c r="DZ207" s="558"/>
      <c r="EA207" s="558"/>
      <c r="EB207" s="558"/>
      <c r="EC207" s="558"/>
      <c r="ED207" s="558"/>
      <c r="EE207" s="558"/>
      <c r="EF207" s="558"/>
      <c r="EG207" s="558"/>
      <c r="EH207" s="558"/>
      <c r="EI207" s="558"/>
      <c r="EJ207" s="558"/>
      <c r="EK207" s="558"/>
      <c r="EL207" s="558"/>
      <c r="EM207" s="558"/>
      <c r="EN207" s="558"/>
      <c r="EO207" s="558"/>
      <c r="EP207" s="558"/>
      <c r="EQ207" s="674"/>
      <c r="ER207" s="305"/>
    </row>
    <row r="208" spans="4:148" s="556" customFormat="1" x14ac:dyDescent="0.2">
      <c r="D208" s="110"/>
      <c r="O208" s="669"/>
      <c r="P208" s="670"/>
      <c r="Q208" s="670"/>
      <c r="S208" s="674"/>
      <c r="AA208" s="674"/>
      <c r="AF208" s="305"/>
      <c r="AG208" s="305"/>
      <c r="AH208" s="305"/>
      <c r="AI208" s="305"/>
      <c r="AJ208" s="305"/>
      <c r="AK208" s="305"/>
      <c r="AL208" s="305"/>
      <c r="AM208" s="305"/>
      <c r="AN208" s="305"/>
      <c r="AO208" s="305"/>
      <c r="AP208" s="305"/>
      <c r="AQ208" s="305"/>
      <c r="AR208" s="305"/>
      <c r="AS208" s="305"/>
      <c r="AT208" s="305"/>
      <c r="AU208" s="305"/>
      <c r="AV208" s="305"/>
      <c r="AW208" s="305"/>
      <c r="AX208" s="305"/>
      <c r="AY208" s="305"/>
      <c r="AZ208" s="305"/>
      <c r="BA208" s="305"/>
      <c r="BB208" s="305"/>
      <c r="BC208" s="305"/>
      <c r="BD208" s="305"/>
      <c r="BE208" s="305"/>
      <c r="BF208" s="305"/>
      <c r="BG208" s="305"/>
      <c r="BH208" s="305"/>
      <c r="BI208" s="305"/>
      <c r="BJ208" s="305"/>
      <c r="BK208" s="305"/>
      <c r="BL208" s="305"/>
      <c r="BM208" s="305"/>
      <c r="BN208" s="305"/>
      <c r="BO208" s="305"/>
      <c r="BP208" s="305"/>
      <c r="BQ208" s="305"/>
      <c r="BR208" s="305"/>
      <c r="BS208" s="305"/>
      <c r="BT208" s="305"/>
      <c r="BU208" s="305"/>
      <c r="BV208" s="305"/>
      <c r="BW208" s="305"/>
      <c r="BX208" s="305"/>
      <c r="BY208" s="305"/>
      <c r="BZ208" s="305"/>
      <c r="CA208" s="305"/>
      <c r="CB208" s="305"/>
      <c r="CC208" s="305"/>
      <c r="CD208" s="305"/>
      <c r="CE208" s="305"/>
      <c r="CF208" s="305"/>
      <c r="CG208" s="305"/>
      <c r="CH208" s="305"/>
      <c r="CI208" s="305"/>
      <c r="CJ208" s="305"/>
      <c r="CK208" s="305"/>
      <c r="CL208" s="305"/>
      <c r="CM208" s="305"/>
      <c r="CN208" s="305"/>
      <c r="CO208" s="305"/>
      <c r="CP208" s="305"/>
      <c r="CQ208" s="305"/>
      <c r="CR208" s="305"/>
      <c r="CS208" s="305"/>
      <c r="CT208" s="305"/>
      <c r="CU208" s="305"/>
      <c r="CV208" s="305"/>
      <c r="CW208" s="305"/>
      <c r="CX208" s="305"/>
      <c r="CY208" s="305"/>
      <c r="CZ208" s="305"/>
      <c r="DA208" s="305"/>
      <c r="DB208" s="305"/>
      <c r="DC208" s="305"/>
      <c r="DD208" s="305"/>
      <c r="DE208" s="305"/>
      <c r="DF208" s="305"/>
      <c r="DG208" s="305"/>
      <c r="DH208" s="305"/>
      <c r="DI208" s="305"/>
      <c r="DJ208" s="305"/>
      <c r="DK208" s="305"/>
      <c r="DL208" s="305"/>
      <c r="DM208" s="305"/>
      <c r="DN208" s="305"/>
      <c r="DO208" s="305"/>
      <c r="DP208" s="305"/>
      <c r="DQ208" s="305"/>
      <c r="DR208" s="305"/>
      <c r="DS208" s="305"/>
      <c r="DT208" s="305"/>
      <c r="DU208" s="305"/>
      <c r="DV208" s="305"/>
      <c r="DW208" s="558"/>
      <c r="DX208" s="558"/>
      <c r="DY208" s="558"/>
      <c r="DZ208" s="558"/>
      <c r="EA208" s="558"/>
      <c r="EB208" s="558"/>
      <c r="EC208" s="558"/>
      <c r="ED208" s="558"/>
      <c r="EE208" s="558"/>
      <c r="EF208" s="558"/>
      <c r="EG208" s="558"/>
      <c r="EH208" s="558"/>
      <c r="EI208" s="558"/>
      <c r="EJ208" s="558"/>
      <c r="EK208" s="558"/>
      <c r="EL208" s="558"/>
      <c r="EM208" s="558"/>
      <c r="EN208" s="558"/>
      <c r="EO208" s="558"/>
      <c r="EP208" s="558"/>
      <c r="EQ208" s="674"/>
      <c r="ER208" s="305"/>
    </row>
    <row r="209" spans="4:148" s="556" customFormat="1" x14ac:dyDescent="0.2">
      <c r="D209" s="110"/>
      <c r="O209" s="669"/>
      <c r="P209" s="670"/>
      <c r="Q209" s="670"/>
      <c r="S209" s="674"/>
      <c r="AA209" s="674"/>
      <c r="AF209" s="305"/>
      <c r="AG209" s="305"/>
      <c r="AH209" s="305"/>
      <c r="AI209" s="305"/>
      <c r="AJ209" s="305"/>
      <c r="AK209" s="305"/>
      <c r="AL209" s="305"/>
      <c r="AM209" s="305"/>
      <c r="AN209" s="305"/>
      <c r="AO209" s="305"/>
      <c r="AP209" s="305"/>
      <c r="AQ209" s="305"/>
      <c r="AR209" s="305"/>
      <c r="AS209" s="305"/>
      <c r="AT209" s="305"/>
      <c r="AU209" s="305"/>
      <c r="AV209" s="305"/>
      <c r="AW209" s="305"/>
      <c r="AX209" s="305"/>
      <c r="AY209" s="305"/>
      <c r="AZ209" s="305"/>
      <c r="BA209" s="305"/>
      <c r="BB209" s="305"/>
      <c r="BC209" s="305"/>
      <c r="BD209" s="305"/>
      <c r="BE209" s="305"/>
      <c r="BF209" s="305"/>
      <c r="BG209" s="305"/>
      <c r="BH209" s="305"/>
      <c r="BI209" s="305"/>
      <c r="BJ209" s="305"/>
      <c r="BK209" s="305"/>
      <c r="BL209" s="305"/>
      <c r="BM209" s="305"/>
      <c r="BN209" s="305"/>
      <c r="BO209" s="305"/>
      <c r="BP209" s="305"/>
      <c r="BQ209" s="305"/>
      <c r="BR209" s="305"/>
      <c r="BS209" s="305"/>
      <c r="BT209" s="305"/>
      <c r="BU209" s="305"/>
      <c r="BV209" s="305"/>
      <c r="BW209" s="305"/>
      <c r="BX209" s="305"/>
      <c r="BY209" s="305"/>
      <c r="BZ209" s="305"/>
      <c r="CA209" s="305"/>
      <c r="CB209" s="305"/>
      <c r="CC209" s="305"/>
      <c r="CD209" s="305"/>
      <c r="CE209" s="305"/>
      <c r="CF209" s="305"/>
      <c r="CG209" s="305"/>
      <c r="CH209" s="305"/>
      <c r="CI209" s="305"/>
      <c r="CJ209" s="305"/>
      <c r="CK209" s="305"/>
      <c r="CL209" s="305"/>
      <c r="CM209" s="305"/>
      <c r="CN209" s="305"/>
      <c r="CO209" s="305"/>
      <c r="CP209" s="305"/>
      <c r="CQ209" s="305"/>
      <c r="CR209" s="305"/>
      <c r="CS209" s="305"/>
      <c r="CT209" s="305"/>
      <c r="CU209" s="305"/>
      <c r="CV209" s="305"/>
      <c r="CW209" s="305"/>
      <c r="CX209" s="305"/>
      <c r="CY209" s="305"/>
      <c r="CZ209" s="305"/>
      <c r="DA209" s="305"/>
      <c r="DB209" s="305"/>
      <c r="DC209" s="305"/>
      <c r="DD209" s="305"/>
      <c r="DE209" s="305"/>
      <c r="DF209" s="305"/>
      <c r="DG209" s="305"/>
      <c r="DH209" s="305"/>
      <c r="DI209" s="305"/>
      <c r="DJ209" s="305"/>
      <c r="DK209" s="305"/>
      <c r="DL209" s="305"/>
      <c r="DM209" s="305"/>
      <c r="DN209" s="305"/>
      <c r="DO209" s="305"/>
      <c r="DP209" s="305"/>
      <c r="DQ209" s="305"/>
      <c r="DR209" s="305"/>
      <c r="DS209" s="305"/>
      <c r="DT209" s="305"/>
      <c r="DU209" s="305"/>
      <c r="DV209" s="305"/>
      <c r="DW209" s="558"/>
      <c r="DX209" s="558"/>
      <c r="DY209" s="558"/>
      <c r="DZ209" s="558"/>
      <c r="EA209" s="558"/>
      <c r="EB209" s="558"/>
      <c r="EC209" s="558"/>
      <c r="ED209" s="558"/>
      <c r="EE209" s="558"/>
      <c r="EF209" s="558"/>
      <c r="EG209" s="558"/>
      <c r="EH209" s="558"/>
      <c r="EI209" s="558"/>
      <c r="EJ209" s="558"/>
      <c r="EK209" s="558"/>
      <c r="EL209" s="558"/>
      <c r="EM209" s="558"/>
      <c r="EN209" s="558"/>
      <c r="EO209" s="558"/>
      <c r="EP209" s="558"/>
      <c r="EQ209" s="674"/>
      <c r="ER209" s="305"/>
    </row>
    <row r="210" spans="4:148" s="556" customFormat="1" x14ac:dyDescent="0.2">
      <c r="D210" s="110"/>
      <c r="O210" s="669"/>
      <c r="P210" s="670"/>
      <c r="Q210" s="670"/>
      <c r="S210" s="674"/>
      <c r="AA210" s="674"/>
      <c r="AF210" s="305"/>
      <c r="AG210" s="305"/>
      <c r="AH210" s="305"/>
      <c r="AI210" s="305"/>
      <c r="AJ210" s="305"/>
      <c r="AK210" s="305"/>
      <c r="AL210" s="305"/>
      <c r="AM210" s="305"/>
      <c r="AN210" s="305"/>
      <c r="AO210" s="305"/>
      <c r="AP210" s="305"/>
      <c r="AQ210" s="305"/>
      <c r="AR210" s="305"/>
      <c r="AS210" s="305"/>
      <c r="AT210" s="305"/>
      <c r="AU210" s="305"/>
      <c r="AV210" s="305"/>
      <c r="AW210" s="305"/>
      <c r="AX210" s="305"/>
      <c r="AY210" s="305"/>
      <c r="AZ210" s="305"/>
      <c r="BA210" s="305"/>
      <c r="BB210" s="305"/>
      <c r="BC210" s="305"/>
      <c r="BD210" s="305"/>
      <c r="BE210" s="305"/>
      <c r="BF210" s="305"/>
      <c r="BG210" s="305"/>
      <c r="BH210" s="305"/>
      <c r="BI210" s="305"/>
      <c r="BJ210" s="305"/>
      <c r="BK210" s="305"/>
      <c r="BL210" s="305"/>
      <c r="BM210" s="305"/>
      <c r="BN210" s="305"/>
      <c r="BO210" s="305"/>
      <c r="BP210" s="305"/>
      <c r="BQ210" s="305"/>
      <c r="BR210" s="305"/>
      <c r="BS210" s="305"/>
      <c r="BT210" s="305"/>
      <c r="BU210" s="305"/>
      <c r="BV210" s="305"/>
      <c r="BW210" s="305"/>
      <c r="BX210" s="305"/>
      <c r="BY210" s="305"/>
      <c r="BZ210" s="305"/>
      <c r="CA210" s="305"/>
      <c r="CB210" s="305"/>
      <c r="CC210" s="305"/>
      <c r="CD210" s="305"/>
      <c r="CE210" s="305"/>
      <c r="CF210" s="305"/>
      <c r="CG210" s="305"/>
      <c r="CH210" s="305"/>
      <c r="CI210" s="305"/>
      <c r="CJ210" s="305"/>
      <c r="CK210" s="305"/>
      <c r="CL210" s="305"/>
      <c r="CM210" s="305"/>
      <c r="CN210" s="305"/>
      <c r="CO210" s="305"/>
      <c r="CP210" s="305"/>
      <c r="CQ210" s="305"/>
      <c r="CR210" s="305"/>
      <c r="CS210" s="305"/>
      <c r="CT210" s="305"/>
      <c r="CU210" s="305"/>
      <c r="CV210" s="305"/>
      <c r="CW210" s="305"/>
      <c r="CX210" s="305"/>
      <c r="CY210" s="305"/>
      <c r="CZ210" s="305"/>
      <c r="DA210" s="305"/>
      <c r="DB210" s="305"/>
      <c r="DC210" s="305"/>
      <c r="DD210" s="305"/>
      <c r="DE210" s="305"/>
      <c r="DF210" s="305"/>
      <c r="DG210" s="305"/>
      <c r="DH210" s="305"/>
      <c r="DI210" s="305"/>
      <c r="DJ210" s="305"/>
      <c r="DK210" s="305"/>
      <c r="DL210" s="305"/>
      <c r="DM210" s="305"/>
      <c r="DN210" s="305"/>
      <c r="DO210" s="305"/>
      <c r="DP210" s="305"/>
      <c r="DQ210" s="305"/>
      <c r="DR210" s="305"/>
      <c r="DS210" s="305"/>
      <c r="DT210" s="305"/>
      <c r="DU210" s="305"/>
      <c r="DV210" s="305"/>
      <c r="DW210" s="558"/>
      <c r="DX210" s="558"/>
      <c r="DY210" s="558"/>
      <c r="DZ210" s="558"/>
      <c r="EA210" s="558"/>
      <c r="EB210" s="558"/>
      <c r="EC210" s="558"/>
      <c r="ED210" s="558"/>
      <c r="EE210" s="558"/>
      <c r="EF210" s="558"/>
      <c r="EG210" s="558"/>
      <c r="EH210" s="558"/>
      <c r="EI210" s="558"/>
      <c r="EJ210" s="558"/>
      <c r="EK210" s="558"/>
      <c r="EL210" s="558"/>
      <c r="EM210" s="558"/>
      <c r="EN210" s="558"/>
      <c r="EO210" s="558"/>
      <c r="EP210" s="558"/>
      <c r="EQ210" s="674"/>
      <c r="ER210" s="305"/>
    </row>
    <row r="211" spans="4:148" s="556" customFormat="1" x14ac:dyDescent="0.2">
      <c r="D211" s="110"/>
      <c r="O211" s="669"/>
      <c r="P211" s="670"/>
      <c r="Q211" s="670"/>
      <c r="S211" s="674"/>
      <c r="AA211" s="674"/>
      <c r="AF211" s="305"/>
      <c r="AG211" s="305"/>
      <c r="AH211" s="305"/>
      <c r="AI211" s="305"/>
      <c r="AJ211" s="305"/>
      <c r="AK211" s="305"/>
      <c r="AL211" s="305"/>
      <c r="AM211" s="305"/>
      <c r="AN211" s="305"/>
      <c r="AO211" s="305"/>
      <c r="AP211" s="305"/>
      <c r="AQ211" s="305"/>
      <c r="AR211" s="305"/>
      <c r="AS211" s="305"/>
      <c r="AT211" s="305"/>
      <c r="AU211" s="305"/>
      <c r="AV211" s="305"/>
      <c r="AW211" s="305"/>
      <c r="AX211" s="305"/>
      <c r="AY211" s="305"/>
      <c r="AZ211" s="305"/>
      <c r="BA211" s="305"/>
      <c r="BB211" s="305"/>
      <c r="BC211" s="305"/>
      <c r="BD211" s="305"/>
      <c r="BE211" s="305"/>
      <c r="BF211" s="305"/>
      <c r="BG211" s="305"/>
      <c r="BH211" s="305"/>
      <c r="BI211" s="305"/>
      <c r="BJ211" s="305"/>
      <c r="BK211" s="305"/>
      <c r="BL211" s="305"/>
      <c r="BM211" s="305"/>
      <c r="BN211" s="305"/>
      <c r="BO211" s="305"/>
      <c r="BP211" s="305"/>
      <c r="BQ211" s="305"/>
      <c r="BR211" s="305"/>
      <c r="BS211" s="305"/>
      <c r="BT211" s="305"/>
      <c r="BU211" s="305"/>
      <c r="BV211" s="305"/>
      <c r="BW211" s="305"/>
      <c r="BX211" s="305"/>
      <c r="BY211" s="305"/>
      <c r="BZ211" s="305"/>
      <c r="CA211" s="305"/>
      <c r="CB211" s="305"/>
      <c r="CC211" s="305"/>
      <c r="CD211" s="305"/>
      <c r="CE211" s="305"/>
      <c r="CF211" s="305"/>
      <c r="CG211" s="305"/>
      <c r="CH211" s="305"/>
      <c r="CI211" s="305"/>
      <c r="CJ211" s="305"/>
      <c r="CK211" s="305"/>
      <c r="CL211" s="305"/>
      <c r="CM211" s="305"/>
      <c r="CN211" s="305"/>
      <c r="CO211" s="305"/>
      <c r="CP211" s="305"/>
      <c r="CQ211" s="305"/>
      <c r="CR211" s="305"/>
      <c r="CS211" s="305"/>
      <c r="CT211" s="305"/>
      <c r="CU211" s="305"/>
      <c r="CV211" s="305"/>
      <c r="CW211" s="305"/>
      <c r="CX211" s="305"/>
      <c r="CY211" s="305"/>
      <c r="CZ211" s="305"/>
      <c r="DA211" s="305"/>
      <c r="DB211" s="305"/>
      <c r="DC211" s="305"/>
      <c r="DD211" s="305"/>
      <c r="DE211" s="305"/>
      <c r="DF211" s="305"/>
      <c r="DG211" s="305"/>
      <c r="DH211" s="305"/>
      <c r="DI211" s="305"/>
      <c r="DJ211" s="305"/>
      <c r="DK211" s="305"/>
      <c r="DL211" s="305"/>
      <c r="DM211" s="305"/>
      <c r="DN211" s="305"/>
      <c r="DO211" s="305"/>
      <c r="DP211" s="305"/>
      <c r="DQ211" s="305"/>
      <c r="DR211" s="305"/>
      <c r="DS211" s="305"/>
      <c r="DT211" s="305"/>
      <c r="DU211" s="305"/>
      <c r="DV211" s="305"/>
      <c r="DW211" s="558"/>
      <c r="DX211" s="558"/>
      <c r="DY211" s="558"/>
      <c r="DZ211" s="558"/>
      <c r="EA211" s="558"/>
      <c r="EB211" s="558"/>
      <c r="EC211" s="558"/>
      <c r="ED211" s="558"/>
      <c r="EE211" s="558"/>
      <c r="EF211" s="558"/>
      <c r="EG211" s="558"/>
      <c r="EH211" s="558"/>
      <c r="EI211" s="558"/>
      <c r="EJ211" s="558"/>
      <c r="EK211" s="558"/>
      <c r="EL211" s="558"/>
      <c r="EM211" s="558"/>
      <c r="EN211" s="558"/>
      <c r="EO211" s="558"/>
      <c r="EP211" s="558"/>
      <c r="EQ211" s="674"/>
      <c r="ER211" s="305"/>
    </row>
    <row r="212" spans="4:148" s="556" customFormat="1" x14ac:dyDescent="0.2">
      <c r="D212" s="110"/>
      <c r="O212" s="669"/>
      <c r="P212" s="670"/>
      <c r="Q212" s="670"/>
      <c r="S212" s="674"/>
      <c r="AA212" s="674"/>
      <c r="AF212" s="305"/>
      <c r="AG212" s="305"/>
      <c r="AH212" s="305"/>
      <c r="AI212" s="305"/>
      <c r="AJ212" s="305"/>
      <c r="AK212" s="305"/>
      <c r="AL212" s="305"/>
      <c r="AM212" s="305"/>
      <c r="AN212" s="305"/>
      <c r="AO212" s="305"/>
      <c r="AP212" s="305"/>
      <c r="AQ212" s="305"/>
      <c r="AR212" s="305"/>
      <c r="AS212" s="305"/>
      <c r="AT212" s="305"/>
      <c r="AU212" s="305"/>
      <c r="AV212" s="305"/>
      <c r="AW212" s="305"/>
      <c r="AX212" s="305"/>
      <c r="AY212" s="305"/>
      <c r="AZ212" s="305"/>
      <c r="BA212" s="305"/>
      <c r="BB212" s="305"/>
      <c r="BC212" s="305"/>
      <c r="BD212" s="305"/>
      <c r="BE212" s="305"/>
      <c r="BF212" s="305"/>
      <c r="BG212" s="305"/>
      <c r="BH212" s="305"/>
      <c r="BI212" s="305"/>
      <c r="BJ212" s="305"/>
      <c r="BK212" s="305"/>
      <c r="BL212" s="305"/>
      <c r="BM212" s="305"/>
      <c r="BN212" s="305"/>
      <c r="BO212" s="305"/>
      <c r="BP212" s="305"/>
      <c r="BQ212" s="305"/>
      <c r="BR212" s="305"/>
      <c r="BS212" s="305"/>
      <c r="BT212" s="305"/>
      <c r="BU212" s="305"/>
      <c r="BV212" s="305"/>
      <c r="BW212" s="305"/>
      <c r="BX212" s="305"/>
      <c r="BY212" s="305"/>
      <c r="BZ212" s="305"/>
      <c r="CA212" s="305"/>
      <c r="CB212" s="305"/>
      <c r="CC212" s="305"/>
      <c r="CD212" s="305"/>
      <c r="CE212" s="305"/>
      <c r="CF212" s="305"/>
      <c r="CG212" s="305"/>
      <c r="CH212" s="305"/>
      <c r="CI212" s="305"/>
      <c r="CJ212" s="305"/>
      <c r="CK212" s="305"/>
      <c r="CL212" s="305"/>
      <c r="CM212" s="305"/>
      <c r="CN212" s="305"/>
      <c r="CO212" s="305"/>
      <c r="CP212" s="305"/>
      <c r="CQ212" s="305"/>
      <c r="CR212" s="305"/>
      <c r="CS212" s="305"/>
      <c r="CT212" s="305"/>
      <c r="CU212" s="305"/>
      <c r="CV212" s="305"/>
      <c r="CW212" s="305"/>
      <c r="CX212" s="305"/>
      <c r="CY212" s="305"/>
      <c r="CZ212" s="305"/>
      <c r="DA212" s="305"/>
      <c r="DB212" s="305"/>
      <c r="DC212" s="305"/>
      <c r="DD212" s="305"/>
      <c r="DE212" s="305"/>
      <c r="DF212" s="305"/>
      <c r="DG212" s="305"/>
      <c r="DH212" s="305"/>
      <c r="DI212" s="305"/>
      <c r="DJ212" s="305"/>
      <c r="DK212" s="305"/>
      <c r="DL212" s="305"/>
      <c r="DM212" s="305"/>
      <c r="DN212" s="305"/>
      <c r="DO212" s="305"/>
      <c r="DP212" s="305"/>
      <c r="DQ212" s="305"/>
      <c r="DR212" s="305"/>
      <c r="DS212" s="305"/>
      <c r="DT212" s="305"/>
      <c r="DU212" s="305"/>
      <c r="DV212" s="305"/>
      <c r="DW212" s="558"/>
      <c r="DX212" s="558"/>
      <c r="DY212" s="558"/>
      <c r="DZ212" s="558"/>
      <c r="EA212" s="558"/>
      <c r="EB212" s="558"/>
      <c r="EC212" s="558"/>
      <c r="ED212" s="558"/>
      <c r="EE212" s="558"/>
      <c r="EF212" s="558"/>
      <c r="EG212" s="558"/>
      <c r="EH212" s="558"/>
      <c r="EI212" s="558"/>
      <c r="EJ212" s="558"/>
      <c r="EK212" s="558"/>
      <c r="EL212" s="558"/>
      <c r="EM212" s="558"/>
      <c r="EN212" s="558"/>
      <c r="EO212" s="558"/>
      <c r="EP212" s="558"/>
      <c r="EQ212" s="674"/>
      <c r="ER212" s="305"/>
    </row>
    <row r="213" spans="4:148" s="556" customFormat="1" x14ac:dyDescent="0.2">
      <c r="D213" s="110"/>
      <c r="O213" s="669"/>
      <c r="P213" s="670"/>
      <c r="Q213" s="670"/>
      <c r="S213" s="674"/>
      <c r="AA213" s="674"/>
      <c r="AF213" s="305"/>
      <c r="AG213" s="305"/>
      <c r="AH213" s="305"/>
      <c r="AI213" s="305"/>
      <c r="AJ213" s="305"/>
      <c r="AK213" s="305"/>
      <c r="AL213" s="305"/>
      <c r="AM213" s="305"/>
      <c r="AN213" s="305"/>
      <c r="AO213" s="305"/>
      <c r="AP213" s="305"/>
      <c r="AQ213" s="305"/>
      <c r="AR213" s="305"/>
      <c r="AS213" s="305"/>
      <c r="AT213" s="305"/>
      <c r="AU213" s="305"/>
      <c r="AV213" s="305"/>
      <c r="AW213" s="305"/>
      <c r="AX213" s="305"/>
      <c r="AY213" s="305"/>
      <c r="AZ213" s="305"/>
      <c r="BA213" s="305"/>
      <c r="BB213" s="305"/>
      <c r="BC213" s="305"/>
      <c r="BD213" s="305"/>
      <c r="BE213" s="305"/>
      <c r="BF213" s="305"/>
      <c r="BG213" s="305"/>
      <c r="BH213" s="305"/>
      <c r="BI213" s="305"/>
      <c r="BJ213" s="305"/>
      <c r="BK213" s="305"/>
      <c r="BL213" s="305"/>
      <c r="BM213" s="305"/>
      <c r="BN213" s="305"/>
      <c r="BO213" s="305"/>
      <c r="BP213" s="305"/>
      <c r="BQ213" s="305"/>
      <c r="BR213" s="305"/>
      <c r="BS213" s="305"/>
      <c r="BT213" s="305"/>
      <c r="BU213" s="305"/>
      <c r="BV213" s="305"/>
      <c r="BW213" s="305"/>
      <c r="BX213" s="305"/>
      <c r="BY213" s="305"/>
      <c r="BZ213" s="305"/>
      <c r="CA213" s="305"/>
      <c r="CB213" s="305"/>
      <c r="CC213" s="305"/>
      <c r="CD213" s="305"/>
      <c r="CE213" s="305"/>
      <c r="CF213" s="305"/>
      <c r="CG213" s="305"/>
      <c r="CH213" s="305"/>
      <c r="CI213" s="305"/>
      <c r="CJ213" s="305"/>
      <c r="CK213" s="305"/>
      <c r="CL213" s="305"/>
      <c r="CM213" s="305"/>
      <c r="CN213" s="305"/>
      <c r="CO213" s="305"/>
      <c r="CP213" s="305"/>
      <c r="CQ213" s="305"/>
      <c r="CR213" s="305"/>
      <c r="CS213" s="305"/>
      <c r="CT213" s="305"/>
      <c r="CU213" s="305"/>
      <c r="CV213" s="305"/>
      <c r="CW213" s="305"/>
      <c r="CX213" s="305"/>
      <c r="CY213" s="305"/>
      <c r="CZ213" s="305"/>
      <c r="DA213" s="305"/>
      <c r="DB213" s="305"/>
      <c r="DC213" s="305"/>
      <c r="DD213" s="305"/>
      <c r="DE213" s="305"/>
      <c r="DF213" s="305"/>
      <c r="DG213" s="305"/>
      <c r="DH213" s="305"/>
      <c r="DI213" s="305"/>
      <c r="DJ213" s="305"/>
      <c r="DK213" s="305"/>
      <c r="DL213" s="305"/>
      <c r="DM213" s="305"/>
      <c r="DN213" s="305"/>
      <c r="DO213" s="305"/>
      <c r="DP213" s="305"/>
      <c r="DQ213" s="305"/>
      <c r="DR213" s="305"/>
      <c r="DS213" s="305"/>
      <c r="DT213" s="305"/>
      <c r="DU213" s="305"/>
      <c r="DV213" s="305"/>
      <c r="DW213" s="558"/>
      <c r="DX213" s="558"/>
      <c r="DY213" s="558"/>
      <c r="DZ213" s="558"/>
      <c r="EA213" s="558"/>
      <c r="EB213" s="558"/>
      <c r="EC213" s="558"/>
      <c r="ED213" s="558"/>
      <c r="EE213" s="558"/>
      <c r="EF213" s="558"/>
      <c r="EG213" s="558"/>
      <c r="EH213" s="558"/>
      <c r="EI213" s="558"/>
      <c r="EJ213" s="558"/>
      <c r="EK213" s="558"/>
      <c r="EL213" s="558"/>
      <c r="EM213" s="558"/>
      <c r="EN213" s="558"/>
      <c r="EO213" s="558"/>
      <c r="EP213" s="558"/>
      <c r="EQ213" s="674"/>
      <c r="ER213" s="305"/>
    </row>
    <row r="214" spans="4:148" s="556" customFormat="1" x14ac:dyDescent="0.2">
      <c r="D214" s="110"/>
      <c r="O214" s="669"/>
      <c r="P214" s="670"/>
      <c r="Q214" s="670"/>
      <c r="S214" s="674"/>
      <c r="AA214" s="674"/>
      <c r="AF214" s="305"/>
      <c r="AG214" s="305"/>
      <c r="AH214" s="305"/>
      <c r="AI214" s="305"/>
      <c r="AJ214" s="305"/>
      <c r="AK214" s="305"/>
      <c r="AL214" s="305"/>
      <c r="AM214" s="305"/>
      <c r="AN214" s="305"/>
      <c r="AO214" s="305"/>
      <c r="AP214" s="305"/>
      <c r="AQ214" s="305"/>
      <c r="AR214" s="305"/>
      <c r="AS214" s="305"/>
      <c r="AT214" s="305"/>
      <c r="AU214" s="305"/>
      <c r="AV214" s="305"/>
      <c r="AW214" s="305"/>
      <c r="AX214" s="305"/>
      <c r="AY214" s="305"/>
      <c r="AZ214" s="305"/>
      <c r="BA214" s="305"/>
      <c r="BB214" s="305"/>
      <c r="BC214" s="305"/>
      <c r="BD214" s="305"/>
      <c r="BE214" s="305"/>
      <c r="BF214" s="305"/>
      <c r="BG214" s="305"/>
      <c r="BH214" s="305"/>
      <c r="BI214" s="305"/>
      <c r="BJ214" s="305"/>
      <c r="BK214" s="305"/>
      <c r="BL214" s="305"/>
      <c r="BM214" s="305"/>
      <c r="BN214" s="305"/>
      <c r="BO214" s="305"/>
      <c r="BP214" s="305"/>
      <c r="BQ214" s="305"/>
      <c r="BR214" s="305"/>
      <c r="BS214" s="305"/>
      <c r="BT214" s="305"/>
      <c r="BU214" s="305"/>
      <c r="BV214" s="305"/>
      <c r="BW214" s="305"/>
      <c r="BX214" s="305"/>
      <c r="BY214" s="305"/>
      <c r="BZ214" s="305"/>
      <c r="CA214" s="305"/>
      <c r="CB214" s="305"/>
      <c r="CC214" s="305"/>
      <c r="CD214" s="305"/>
      <c r="CE214" s="305"/>
      <c r="CF214" s="305"/>
      <c r="CG214" s="305"/>
      <c r="CH214" s="305"/>
      <c r="CI214" s="305"/>
      <c r="CJ214" s="305"/>
      <c r="CK214" s="305"/>
      <c r="CL214" s="305"/>
      <c r="CM214" s="305"/>
      <c r="CN214" s="305"/>
      <c r="CO214" s="305"/>
      <c r="CP214" s="305"/>
      <c r="CQ214" s="305"/>
      <c r="CR214" s="305"/>
      <c r="CS214" s="305"/>
      <c r="CT214" s="305"/>
      <c r="CU214" s="305"/>
      <c r="CV214" s="305"/>
      <c r="CW214" s="305"/>
      <c r="CX214" s="305"/>
      <c r="CY214" s="305"/>
      <c r="CZ214" s="305"/>
      <c r="DA214" s="305"/>
      <c r="DB214" s="305"/>
      <c r="DC214" s="305"/>
      <c r="DD214" s="305"/>
      <c r="DE214" s="305"/>
      <c r="DF214" s="305"/>
      <c r="DG214" s="305"/>
      <c r="DH214" s="305"/>
      <c r="DI214" s="305"/>
      <c r="DJ214" s="305"/>
      <c r="DK214" s="305"/>
      <c r="DL214" s="305"/>
      <c r="DM214" s="305"/>
      <c r="DN214" s="305"/>
      <c r="DO214" s="305"/>
      <c r="DP214" s="305"/>
      <c r="DQ214" s="305"/>
      <c r="DR214" s="305"/>
      <c r="DS214" s="305"/>
      <c r="DT214" s="305"/>
      <c r="DU214" s="305"/>
      <c r="DV214" s="305"/>
      <c r="DW214" s="558"/>
      <c r="DX214" s="558"/>
      <c r="DY214" s="558"/>
      <c r="DZ214" s="558"/>
      <c r="EA214" s="558"/>
      <c r="EB214" s="558"/>
      <c r="EC214" s="558"/>
      <c r="ED214" s="558"/>
      <c r="EE214" s="558"/>
      <c r="EF214" s="558"/>
      <c r="EG214" s="558"/>
      <c r="EH214" s="558"/>
      <c r="EI214" s="558"/>
      <c r="EJ214" s="558"/>
      <c r="EK214" s="558"/>
      <c r="EL214" s="558"/>
      <c r="EM214" s="558"/>
      <c r="EN214" s="558"/>
      <c r="EO214" s="558"/>
      <c r="EP214" s="558"/>
      <c r="EQ214" s="674"/>
      <c r="ER214" s="305"/>
    </row>
    <row r="215" spans="4:148" s="556" customFormat="1" x14ac:dyDescent="0.2">
      <c r="D215" s="110"/>
      <c r="O215" s="669"/>
      <c r="P215" s="670"/>
      <c r="Q215" s="670"/>
      <c r="S215" s="674"/>
      <c r="AA215" s="674"/>
      <c r="AF215" s="305"/>
      <c r="AG215" s="305"/>
      <c r="AH215" s="305"/>
      <c r="AI215" s="305"/>
      <c r="AJ215" s="305"/>
      <c r="AK215" s="305"/>
      <c r="AL215" s="305"/>
      <c r="AM215" s="305"/>
      <c r="AN215" s="305"/>
      <c r="AO215" s="305"/>
      <c r="AP215" s="305"/>
      <c r="AQ215" s="305"/>
      <c r="AR215" s="305"/>
      <c r="AS215" s="305"/>
      <c r="AT215" s="305"/>
      <c r="AU215" s="305"/>
      <c r="AV215" s="305"/>
      <c r="AW215" s="305"/>
      <c r="AX215" s="305"/>
      <c r="AY215" s="305"/>
      <c r="AZ215" s="305"/>
      <c r="BA215" s="305"/>
      <c r="BB215" s="305"/>
      <c r="BC215" s="305"/>
      <c r="BD215" s="305"/>
      <c r="BE215" s="305"/>
      <c r="BF215" s="305"/>
      <c r="BG215" s="305"/>
      <c r="BH215" s="305"/>
      <c r="BI215" s="305"/>
      <c r="BJ215" s="305"/>
      <c r="BK215" s="305"/>
      <c r="BL215" s="305"/>
      <c r="BM215" s="305"/>
      <c r="BN215" s="305"/>
      <c r="BO215" s="305"/>
      <c r="BP215" s="305"/>
      <c r="BQ215" s="305"/>
      <c r="BR215" s="305"/>
      <c r="BS215" s="305"/>
      <c r="BT215" s="305"/>
      <c r="BU215" s="305"/>
      <c r="BV215" s="305"/>
      <c r="BW215" s="305"/>
      <c r="BX215" s="305"/>
      <c r="BY215" s="305"/>
      <c r="BZ215" s="305"/>
      <c r="CA215" s="305"/>
      <c r="CB215" s="305"/>
      <c r="CC215" s="305"/>
      <c r="CD215" s="305"/>
      <c r="CE215" s="305"/>
      <c r="CF215" s="305"/>
      <c r="CG215" s="305"/>
      <c r="CH215" s="305"/>
      <c r="CI215" s="305"/>
      <c r="CJ215" s="305"/>
      <c r="CK215" s="305"/>
      <c r="CL215" s="305"/>
      <c r="CM215" s="305"/>
      <c r="CN215" s="305"/>
      <c r="CO215" s="305"/>
      <c r="CP215" s="305"/>
      <c r="CQ215" s="305"/>
      <c r="CR215" s="305"/>
      <c r="CS215" s="305"/>
      <c r="CT215" s="305"/>
      <c r="CU215" s="305"/>
      <c r="CV215" s="305"/>
      <c r="CW215" s="305"/>
      <c r="CX215" s="305"/>
      <c r="CY215" s="305"/>
      <c r="CZ215" s="305"/>
      <c r="DA215" s="305"/>
      <c r="DB215" s="305"/>
      <c r="DC215" s="305"/>
      <c r="DD215" s="305"/>
      <c r="DE215" s="305"/>
      <c r="DF215" s="305"/>
      <c r="DG215" s="305"/>
      <c r="DH215" s="305"/>
      <c r="DI215" s="305"/>
      <c r="DJ215" s="305"/>
      <c r="DK215" s="305"/>
      <c r="DL215" s="305"/>
      <c r="DM215" s="305"/>
      <c r="DN215" s="305"/>
      <c r="DO215" s="305"/>
      <c r="DP215" s="305"/>
      <c r="DQ215" s="305"/>
      <c r="DR215" s="305"/>
      <c r="DS215" s="305"/>
      <c r="DT215" s="305"/>
      <c r="DU215" s="305"/>
      <c r="DV215" s="305"/>
      <c r="DW215" s="558"/>
      <c r="DX215" s="558"/>
      <c r="DY215" s="558"/>
      <c r="DZ215" s="558"/>
      <c r="EA215" s="558"/>
      <c r="EB215" s="558"/>
      <c r="EC215" s="558"/>
      <c r="ED215" s="558"/>
      <c r="EE215" s="558"/>
      <c r="EF215" s="558"/>
      <c r="EG215" s="558"/>
      <c r="EH215" s="558"/>
      <c r="EI215" s="558"/>
      <c r="EJ215" s="558"/>
      <c r="EK215" s="558"/>
      <c r="EL215" s="558"/>
      <c r="EM215" s="558"/>
      <c r="EN215" s="558"/>
      <c r="EO215" s="558"/>
      <c r="EP215" s="558"/>
      <c r="EQ215" s="674"/>
      <c r="ER215" s="305"/>
    </row>
    <row r="216" spans="4:148" s="556" customFormat="1" x14ac:dyDescent="0.2">
      <c r="D216" s="110"/>
      <c r="O216" s="669"/>
      <c r="P216" s="670"/>
      <c r="Q216" s="670"/>
      <c r="S216" s="674"/>
      <c r="AA216" s="674"/>
      <c r="AF216" s="305"/>
      <c r="AG216" s="305"/>
      <c r="AH216" s="305"/>
      <c r="AI216" s="305"/>
      <c r="AJ216" s="305"/>
      <c r="AK216" s="305"/>
      <c r="AL216" s="305"/>
      <c r="AM216" s="305"/>
      <c r="AN216" s="305"/>
      <c r="AO216" s="305"/>
      <c r="AP216" s="305"/>
      <c r="AQ216" s="305"/>
      <c r="AR216" s="305"/>
      <c r="AS216" s="305"/>
      <c r="AT216" s="305"/>
      <c r="AU216" s="305"/>
      <c r="AV216" s="305"/>
      <c r="AW216" s="305"/>
      <c r="AX216" s="305"/>
      <c r="AY216" s="305"/>
      <c r="AZ216" s="305"/>
      <c r="BA216" s="305"/>
      <c r="BB216" s="305"/>
      <c r="BC216" s="305"/>
      <c r="BD216" s="305"/>
      <c r="BE216" s="305"/>
      <c r="BF216" s="305"/>
      <c r="BG216" s="305"/>
      <c r="BH216" s="305"/>
      <c r="BI216" s="305"/>
      <c r="BJ216" s="305"/>
      <c r="BK216" s="305"/>
      <c r="BL216" s="305"/>
      <c r="BM216" s="305"/>
      <c r="BN216" s="305"/>
      <c r="BO216" s="305"/>
      <c r="BP216" s="305"/>
      <c r="BQ216" s="305"/>
      <c r="BR216" s="305"/>
      <c r="BS216" s="305"/>
      <c r="BT216" s="305"/>
      <c r="BU216" s="305"/>
      <c r="BV216" s="305"/>
      <c r="BW216" s="305"/>
      <c r="BX216" s="305"/>
      <c r="BY216" s="305"/>
      <c r="BZ216" s="305"/>
      <c r="CA216" s="305"/>
      <c r="CB216" s="305"/>
      <c r="CC216" s="305"/>
      <c r="CD216" s="305"/>
      <c r="CE216" s="305"/>
      <c r="CF216" s="305"/>
      <c r="CG216" s="305"/>
      <c r="CH216" s="305"/>
      <c r="CI216" s="305"/>
      <c r="CJ216" s="305"/>
      <c r="CK216" s="305"/>
      <c r="CL216" s="305"/>
      <c r="CM216" s="305"/>
      <c r="CN216" s="305"/>
      <c r="CO216" s="305"/>
      <c r="CP216" s="305"/>
      <c r="CQ216" s="305"/>
      <c r="CR216" s="305"/>
      <c r="CS216" s="305"/>
      <c r="CT216" s="305"/>
      <c r="CU216" s="305"/>
      <c r="CV216" s="305"/>
      <c r="CW216" s="305"/>
      <c r="CX216" s="305"/>
      <c r="CY216" s="305"/>
      <c r="CZ216" s="305"/>
      <c r="DA216" s="305"/>
      <c r="DB216" s="305"/>
      <c r="DC216" s="305"/>
      <c r="DD216" s="305"/>
      <c r="DE216" s="305"/>
      <c r="DF216" s="305"/>
      <c r="DG216" s="305"/>
      <c r="DH216" s="305"/>
      <c r="DI216" s="305"/>
      <c r="DJ216" s="305"/>
      <c r="DK216" s="305"/>
      <c r="DL216" s="305"/>
      <c r="DM216" s="305"/>
      <c r="DN216" s="305"/>
      <c r="DO216" s="305"/>
      <c r="DP216" s="305"/>
      <c r="DQ216" s="305"/>
      <c r="DR216" s="305"/>
      <c r="DS216" s="305"/>
      <c r="DT216" s="305"/>
      <c r="DU216" s="305"/>
      <c r="DV216" s="305"/>
      <c r="DW216" s="558"/>
      <c r="DX216" s="558"/>
      <c r="DY216" s="558"/>
      <c r="DZ216" s="558"/>
      <c r="EA216" s="558"/>
      <c r="EB216" s="558"/>
      <c r="EC216" s="558"/>
      <c r="ED216" s="558"/>
      <c r="EE216" s="558"/>
      <c r="EF216" s="558"/>
      <c r="EG216" s="558"/>
      <c r="EH216" s="558"/>
      <c r="EI216" s="558"/>
      <c r="EJ216" s="558"/>
      <c r="EK216" s="558"/>
      <c r="EL216" s="558"/>
      <c r="EM216" s="558"/>
      <c r="EN216" s="558"/>
      <c r="EO216" s="558"/>
      <c r="EP216" s="558"/>
      <c r="EQ216" s="674"/>
      <c r="ER216" s="305"/>
    </row>
    <row r="217" spans="4:148" s="556" customFormat="1" x14ac:dyDescent="0.2">
      <c r="D217" s="110"/>
      <c r="O217" s="669"/>
      <c r="P217" s="670"/>
      <c r="Q217" s="670"/>
      <c r="S217" s="674"/>
      <c r="AA217" s="674"/>
      <c r="AF217" s="305"/>
      <c r="AG217" s="305"/>
      <c r="AH217" s="305"/>
      <c r="AI217" s="305"/>
      <c r="AJ217" s="305"/>
      <c r="AK217" s="305"/>
      <c r="AL217" s="305"/>
      <c r="AM217" s="305"/>
      <c r="AN217" s="305"/>
      <c r="AO217" s="305"/>
      <c r="AP217" s="305"/>
      <c r="AQ217" s="305"/>
      <c r="AR217" s="305"/>
      <c r="AS217" s="305"/>
      <c r="AT217" s="305"/>
      <c r="AU217" s="305"/>
      <c r="AV217" s="305"/>
      <c r="AW217" s="305"/>
      <c r="AX217" s="305"/>
      <c r="AY217" s="305"/>
      <c r="AZ217" s="305"/>
      <c r="BA217" s="305"/>
      <c r="BB217" s="305"/>
      <c r="BC217" s="305"/>
      <c r="BD217" s="305"/>
      <c r="BE217" s="305"/>
      <c r="BF217" s="305"/>
      <c r="BG217" s="305"/>
      <c r="BH217" s="305"/>
      <c r="BI217" s="305"/>
      <c r="BJ217" s="305"/>
      <c r="BK217" s="305"/>
      <c r="BL217" s="305"/>
      <c r="BM217" s="305"/>
      <c r="BN217" s="305"/>
      <c r="BO217" s="305"/>
      <c r="BP217" s="305"/>
      <c r="BQ217" s="305"/>
      <c r="BR217" s="305"/>
      <c r="BS217" s="305"/>
      <c r="BT217" s="305"/>
      <c r="BU217" s="305"/>
      <c r="BV217" s="305"/>
      <c r="BW217" s="305"/>
      <c r="BX217" s="305"/>
      <c r="BY217" s="305"/>
      <c r="BZ217" s="305"/>
      <c r="CA217" s="305"/>
      <c r="CB217" s="305"/>
      <c r="CC217" s="305"/>
      <c r="CD217" s="305"/>
      <c r="CE217" s="305"/>
      <c r="CF217" s="305"/>
      <c r="CG217" s="305"/>
      <c r="CH217" s="305"/>
      <c r="CI217" s="305"/>
      <c r="CJ217" s="305"/>
      <c r="CK217" s="305"/>
      <c r="CL217" s="305"/>
      <c r="CM217" s="305"/>
      <c r="CN217" s="305"/>
      <c r="CO217" s="305"/>
      <c r="CP217" s="305"/>
      <c r="CQ217" s="305"/>
      <c r="CR217" s="305"/>
      <c r="CS217" s="305"/>
      <c r="CT217" s="305"/>
      <c r="CU217" s="305"/>
      <c r="CV217" s="305"/>
      <c r="CW217" s="305"/>
      <c r="CX217" s="305"/>
      <c r="CY217" s="305"/>
      <c r="CZ217" s="305"/>
      <c r="DA217" s="305"/>
      <c r="DB217" s="305"/>
      <c r="DC217" s="305"/>
      <c r="DD217" s="305"/>
      <c r="DE217" s="305"/>
      <c r="DF217" s="305"/>
      <c r="DG217" s="305"/>
      <c r="DH217" s="305"/>
      <c r="DI217" s="305"/>
      <c r="DJ217" s="305"/>
      <c r="DK217" s="305"/>
      <c r="DL217" s="305"/>
      <c r="DM217" s="305"/>
      <c r="DN217" s="305"/>
      <c r="DO217" s="305"/>
      <c r="DP217" s="305"/>
      <c r="DQ217" s="305"/>
      <c r="DR217" s="305"/>
      <c r="DS217" s="305"/>
      <c r="DT217" s="305"/>
      <c r="DU217" s="305"/>
      <c r="DV217" s="305"/>
      <c r="DW217" s="558"/>
      <c r="DX217" s="558"/>
      <c r="DY217" s="558"/>
      <c r="DZ217" s="558"/>
      <c r="EA217" s="558"/>
      <c r="EB217" s="558"/>
      <c r="EC217" s="558"/>
      <c r="ED217" s="558"/>
      <c r="EE217" s="558"/>
      <c r="EF217" s="558"/>
      <c r="EG217" s="558"/>
      <c r="EH217" s="558"/>
      <c r="EI217" s="558"/>
      <c r="EJ217" s="558"/>
      <c r="EK217" s="558"/>
      <c r="EL217" s="558"/>
      <c r="EM217" s="558"/>
      <c r="EN217" s="558"/>
      <c r="EO217" s="558"/>
      <c r="EP217" s="558"/>
      <c r="EQ217" s="674"/>
      <c r="ER217" s="305"/>
    </row>
    <row r="218" spans="4:148" s="556" customFormat="1" x14ac:dyDescent="0.2">
      <c r="D218" s="110"/>
      <c r="O218" s="669"/>
      <c r="P218" s="670"/>
      <c r="Q218" s="670"/>
      <c r="S218" s="674"/>
      <c r="AA218" s="674"/>
      <c r="AF218" s="305"/>
      <c r="AG218" s="305"/>
      <c r="AH218" s="305"/>
      <c r="AI218" s="305"/>
      <c r="AJ218" s="305"/>
      <c r="AK218" s="305"/>
      <c r="AL218" s="305"/>
      <c r="AM218" s="305"/>
      <c r="AN218" s="305"/>
      <c r="AO218" s="305"/>
      <c r="AP218" s="305"/>
      <c r="AQ218" s="305"/>
      <c r="AR218" s="305"/>
      <c r="AS218" s="305"/>
      <c r="AT218" s="305"/>
      <c r="AU218" s="305"/>
      <c r="AV218" s="305"/>
      <c r="AW218" s="305"/>
      <c r="AX218" s="305"/>
      <c r="AY218" s="305"/>
      <c r="AZ218" s="305"/>
      <c r="BA218" s="305"/>
      <c r="BB218" s="305"/>
      <c r="BC218" s="305"/>
      <c r="BD218" s="305"/>
      <c r="BE218" s="305"/>
      <c r="BF218" s="305"/>
      <c r="BG218" s="305"/>
      <c r="BH218" s="305"/>
      <c r="BI218" s="305"/>
      <c r="BJ218" s="305"/>
      <c r="BK218" s="305"/>
      <c r="BL218" s="305"/>
      <c r="BM218" s="305"/>
      <c r="BN218" s="305"/>
      <c r="BO218" s="305"/>
      <c r="BP218" s="305"/>
      <c r="BQ218" s="305"/>
      <c r="BR218" s="305"/>
      <c r="BS218" s="305"/>
      <c r="BT218" s="305"/>
      <c r="BU218" s="305"/>
      <c r="BV218" s="305"/>
      <c r="BW218" s="305"/>
      <c r="BX218" s="305"/>
      <c r="BY218" s="305"/>
      <c r="BZ218" s="305"/>
      <c r="CA218" s="305"/>
      <c r="CB218" s="305"/>
      <c r="CC218" s="305"/>
      <c r="CD218" s="305"/>
      <c r="CE218" s="305"/>
      <c r="CF218" s="305"/>
      <c r="CG218" s="305"/>
      <c r="CH218" s="305"/>
      <c r="CI218" s="305"/>
      <c r="CJ218" s="305"/>
      <c r="CK218" s="305"/>
      <c r="CL218" s="305"/>
      <c r="CM218" s="305"/>
      <c r="CN218" s="305"/>
      <c r="CO218" s="305"/>
      <c r="CP218" s="305"/>
      <c r="CQ218" s="305"/>
      <c r="CR218" s="305"/>
      <c r="CS218" s="305"/>
      <c r="CT218" s="305"/>
      <c r="CU218" s="305"/>
      <c r="CV218" s="305"/>
      <c r="CW218" s="305"/>
      <c r="CX218" s="305"/>
      <c r="CY218" s="305"/>
      <c r="CZ218" s="305"/>
      <c r="DA218" s="305"/>
      <c r="DB218" s="305"/>
      <c r="DC218" s="305"/>
      <c r="DD218" s="305"/>
      <c r="DE218" s="305"/>
      <c r="DF218" s="305"/>
      <c r="DG218" s="305"/>
      <c r="DH218" s="305"/>
      <c r="DI218" s="305"/>
      <c r="DJ218" s="305"/>
      <c r="DK218" s="305"/>
      <c r="DL218" s="305"/>
      <c r="DM218" s="305"/>
      <c r="DN218" s="305"/>
      <c r="DO218" s="305"/>
      <c r="DP218" s="305"/>
      <c r="DQ218" s="305"/>
      <c r="DR218" s="305"/>
      <c r="DS218" s="305"/>
      <c r="DT218" s="305"/>
      <c r="DU218" s="305"/>
      <c r="DV218" s="305"/>
      <c r="DW218" s="558"/>
      <c r="DX218" s="558"/>
      <c r="DY218" s="558"/>
      <c r="DZ218" s="558"/>
      <c r="EA218" s="558"/>
      <c r="EB218" s="558"/>
      <c r="EC218" s="558"/>
      <c r="ED218" s="558"/>
      <c r="EE218" s="558"/>
      <c r="EF218" s="558"/>
      <c r="EG218" s="558"/>
      <c r="EH218" s="558"/>
      <c r="EI218" s="558"/>
      <c r="EJ218" s="558"/>
      <c r="EK218" s="558"/>
      <c r="EL218" s="558"/>
      <c r="EM218" s="558"/>
      <c r="EN218" s="558"/>
      <c r="EO218" s="558"/>
      <c r="EP218" s="558"/>
      <c r="EQ218" s="674"/>
      <c r="ER218" s="305"/>
    </row>
    <row r="219" spans="4:148" s="556" customFormat="1" x14ac:dyDescent="0.2">
      <c r="D219" s="110"/>
      <c r="O219" s="669"/>
      <c r="P219" s="670"/>
      <c r="Q219" s="670"/>
      <c r="S219" s="674"/>
      <c r="AA219" s="674"/>
      <c r="AF219" s="305"/>
      <c r="AG219" s="305"/>
      <c r="AH219" s="305"/>
      <c r="AI219" s="305"/>
      <c r="AJ219" s="305"/>
      <c r="AK219" s="305"/>
      <c r="AL219" s="305"/>
      <c r="AM219" s="305"/>
      <c r="AN219" s="305"/>
      <c r="AO219" s="305"/>
      <c r="AP219" s="305"/>
      <c r="AQ219" s="305"/>
      <c r="AR219" s="305"/>
      <c r="AS219" s="305"/>
      <c r="AT219" s="305"/>
      <c r="AU219" s="305"/>
      <c r="AV219" s="305"/>
      <c r="AW219" s="305"/>
      <c r="AX219" s="305"/>
      <c r="AY219" s="305"/>
      <c r="AZ219" s="305"/>
      <c r="BA219" s="305"/>
      <c r="BB219" s="305"/>
      <c r="BC219" s="305"/>
      <c r="BD219" s="305"/>
      <c r="BE219" s="305"/>
      <c r="BF219" s="305"/>
      <c r="BG219" s="305"/>
      <c r="BH219" s="305"/>
      <c r="BI219" s="305"/>
      <c r="BJ219" s="305"/>
      <c r="BK219" s="305"/>
      <c r="BL219" s="305"/>
      <c r="BM219" s="305"/>
      <c r="BN219" s="305"/>
      <c r="BO219" s="305"/>
      <c r="BP219" s="305"/>
      <c r="BQ219" s="305"/>
      <c r="BR219" s="305"/>
      <c r="BS219" s="305"/>
      <c r="BT219" s="305"/>
      <c r="BU219" s="305"/>
      <c r="BV219" s="305"/>
      <c r="BW219" s="305"/>
      <c r="BX219" s="305"/>
      <c r="BY219" s="305"/>
      <c r="BZ219" s="305"/>
      <c r="CA219" s="305"/>
      <c r="CB219" s="305"/>
      <c r="CC219" s="305"/>
      <c r="CD219" s="305"/>
      <c r="CE219" s="305"/>
      <c r="CF219" s="305"/>
      <c r="CG219" s="305"/>
      <c r="CH219" s="305"/>
      <c r="CI219" s="305"/>
      <c r="CJ219" s="305"/>
      <c r="CK219" s="305"/>
      <c r="CL219" s="305"/>
      <c r="CM219" s="305"/>
      <c r="CN219" s="305"/>
      <c r="CO219" s="305"/>
      <c r="CP219" s="305"/>
      <c r="CQ219" s="305"/>
      <c r="CR219" s="305"/>
      <c r="CS219" s="305"/>
      <c r="CT219" s="305"/>
      <c r="CU219" s="305"/>
      <c r="CV219" s="305"/>
      <c r="CW219" s="305"/>
      <c r="CX219" s="305"/>
      <c r="CY219" s="305"/>
      <c r="CZ219" s="305"/>
      <c r="DA219" s="305"/>
      <c r="DB219" s="305"/>
      <c r="DC219" s="305"/>
      <c r="DD219" s="305"/>
      <c r="DE219" s="305"/>
      <c r="DF219" s="305"/>
      <c r="DG219" s="305"/>
      <c r="DH219" s="305"/>
      <c r="DI219" s="305"/>
      <c r="DJ219" s="305"/>
      <c r="DK219" s="305"/>
      <c r="DL219" s="305"/>
      <c r="DM219" s="305"/>
      <c r="DN219" s="305"/>
      <c r="DO219" s="305"/>
      <c r="DP219" s="305"/>
      <c r="DQ219" s="305"/>
      <c r="DR219" s="305"/>
      <c r="DS219" s="305"/>
      <c r="DT219" s="305"/>
      <c r="DU219" s="305"/>
      <c r="DV219" s="305"/>
      <c r="DW219" s="558"/>
      <c r="DX219" s="558"/>
      <c r="DY219" s="558"/>
      <c r="DZ219" s="558"/>
      <c r="EA219" s="558"/>
      <c r="EB219" s="558"/>
      <c r="EC219" s="558"/>
      <c r="ED219" s="558"/>
      <c r="EE219" s="558"/>
      <c r="EF219" s="558"/>
      <c r="EG219" s="558"/>
      <c r="EH219" s="558"/>
      <c r="EI219" s="558"/>
      <c r="EJ219" s="558"/>
      <c r="EK219" s="558"/>
      <c r="EL219" s="558"/>
      <c r="EM219" s="558"/>
      <c r="EN219" s="558"/>
      <c r="EO219" s="558"/>
      <c r="EP219" s="558"/>
      <c r="EQ219" s="674"/>
      <c r="ER219" s="305"/>
    </row>
    <row r="220" spans="4:148" s="556" customFormat="1" x14ac:dyDescent="0.2">
      <c r="D220" s="110"/>
      <c r="O220" s="669"/>
      <c r="P220" s="670"/>
      <c r="Q220" s="670"/>
      <c r="S220" s="674"/>
      <c r="AA220" s="674"/>
      <c r="AF220" s="305"/>
      <c r="AG220" s="305"/>
      <c r="AH220" s="305"/>
      <c r="AI220" s="305"/>
      <c r="AJ220" s="305"/>
      <c r="AK220" s="305"/>
      <c r="AL220" s="305"/>
      <c r="AM220" s="305"/>
      <c r="AN220" s="305"/>
      <c r="AO220" s="305"/>
      <c r="AP220" s="305"/>
      <c r="AQ220" s="305"/>
      <c r="AR220" s="305"/>
      <c r="AS220" s="305"/>
      <c r="AT220" s="305"/>
      <c r="AU220" s="305"/>
      <c r="AV220" s="305"/>
      <c r="AW220" s="305"/>
      <c r="AX220" s="305"/>
      <c r="AY220" s="305"/>
      <c r="AZ220" s="305"/>
      <c r="BA220" s="305"/>
      <c r="BB220" s="305"/>
      <c r="BC220" s="305"/>
      <c r="BD220" s="305"/>
      <c r="BE220" s="305"/>
      <c r="BF220" s="305"/>
      <c r="BG220" s="305"/>
      <c r="BH220" s="305"/>
      <c r="BI220" s="305"/>
      <c r="BJ220" s="305"/>
      <c r="BK220" s="305"/>
      <c r="BL220" s="305"/>
      <c r="BM220" s="305"/>
      <c r="BN220" s="305"/>
      <c r="BO220" s="305"/>
      <c r="BP220" s="305"/>
      <c r="BQ220" s="305"/>
      <c r="BR220" s="305"/>
      <c r="BS220" s="305"/>
      <c r="BT220" s="305"/>
      <c r="BU220" s="305"/>
      <c r="BV220" s="305"/>
      <c r="BW220" s="305"/>
      <c r="BX220" s="305"/>
      <c r="BY220" s="305"/>
      <c r="BZ220" s="305"/>
      <c r="CA220" s="305"/>
      <c r="CB220" s="305"/>
      <c r="CC220" s="305"/>
      <c r="CD220" s="305"/>
      <c r="CE220" s="305"/>
      <c r="CF220" s="305"/>
      <c r="CG220" s="305"/>
      <c r="CH220" s="305"/>
      <c r="CI220" s="305"/>
      <c r="CJ220" s="305"/>
      <c r="CK220" s="305"/>
      <c r="CL220" s="305"/>
      <c r="CM220" s="305"/>
      <c r="CN220" s="305"/>
      <c r="CO220" s="305"/>
      <c r="CP220" s="305"/>
      <c r="CQ220" s="305"/>
      <c r="CR220" s="305"/>
      <c r="CS220" s="305"/>
      <c r="CT220" s="305"/>
      <c r="CU220" s="305"/>
      <c r="CV220" s="305"/>
      <c r="CW220" s="305"/>
      <c r="CX220" s="305"/>
      <c r="CY220" s="305"/>
      <c r="CZ220" s="305"/>
      <c r="DA220" s="305"/>
      <c r="DB220" s="305"/>
      <c r="DC220" s="305"/>
      <c r="DD220" s="305"/>
      <c r="DE220" s="305"/>
      <c r="DF220" s="305"/>
      <c r="DG220" s="305"/>
      <c r="DH220" s="305"/>
      <c r="DI220" s="305"/>
      <c r="DJ220" s="305"/>
      <c r="DK220" s="305"/>
      <c r="DL220" s="305"/>
      <c r="DM220" s="305"/>
      <c r="DN220" s="305"/>
      <c r="DO220" s="305"/>
      <c r="DP220" s="305"/>
      <c r="DQ220" s="305"/>
      <c r="DR220" s="305"/>
      <c r="DS220" s="305"/>
      <c r="DT220" s="305"/>
      <c r="DU220" s="305"/>
      <c r="DV220" s="305"/>
      <c r="DW220" s="558"/>
      <c r="DX220" s="558"/>
      <c r="DY220" s="558"/>
      <c r="DZ220" s="558"/>
      <c r="EA220" s="558"/>
      <c r="EB220" s="558"/>
      <c r="EC220" s="558"/>
      <c r="ED220" s="558"/>
      <c r="EE220" s="558"/>
      <c r="EF220" s="558"/>
      <c r="EG220" s="558"/>
      <c r="EH220" s="558"/>
      <c r="EI220" s="558"/>
      <c r="EJ220" s="558"/>
      <c r="EK220" s="558"/>
      <c r="EL220" s="558"/>
      <c r="EM220" s="558"/>
      <c r="EN220" s="558"/>
      <c r="EO220" s="558"/>
      <c r="EP220" s="558"/>
      <c r="EQ220" s="674"/>
      <c r="ER220" s="305"/>
    </row>
    <row r="221" spans="4:148" s="556" customFormat="1" x14ac:dyDescent="0.2">
      <c r="D221" s="110"/>
      <c r="O221" s="669"/>
      <c r="P221" s="670"/>
      <c r="Q221" s="670"/>
      <c r="S221" s="674"/>
      <c r="AA221" s="674"/>
      <c r="AF221" s="305"/>
      <c r="AG221" s="305"/>
      <c r="AH221" s="305"/>
      <c r="AI221" s="305"/>
      <c r="AJ221" s="305"/>
      <c r="AK221" s="305"/>
      <c r="AL221" s="305"/>
      <c r="AM221" s="305"/>
      <c r="AN221" s="305"/>
      <c r="AO221" s="305"/>
      <c r="AP221" s="305"/>
      <c r="AQ221" s="305"/>
      <c r="AR221" s="305"/>
      <c r="AS221" s="305"/>
      <c r="AT221" s="305"/>
      <c r="AU221" s="305"/>
      <c r="AV221" s="305"/>
      <c r="AW221" s="305"/>
      <c r="AX221" s="305"/>
      <c r="AY221" s="305"/>
      <c r="AZ221" s="305"/>
      <c r="BA221" s="305"/>
      <c r="BB221" s="305"/>
      <c r="BC221" s="305"/>
      <c r="BD221" s="305"/>
      <c r="BE221" s="305"/>
      <c r="BF221" s="305"/>
      <c r="BG221" s="305"/>
      <c r="BH221" s="305"/>
      <c r="BI221" s="305"/>
      <c r="BJ221" s="305"/>
      <c r="BK221" s="305"/>
      <c r="BL221" s="305"/>
      <c r="BM221" s="305"/>
      <c r="BN221" s="305"/>
      <c r="BO221" s="305"/>
      <c r="BP221" s="305"/>
      <c r="BQ221" s="305"/>
      <c r="BR221" s="305"/>
      <c r="BS221" s="305"/>
      <c r="BT221" s="305"/>
      <c r="BU221" s="305"/>
      <c r="BV221" s="305"/>
      <c r="BW221" s="305"/>
      <c r="BX221" s="305"/>
      <c r="BY221" s="305"/>
      <c r="BZ221" s="305"/>
      <c r="CA221" s="305"/>
      <c r="CB221" s="305"/>
      <c r="CC221" s="305"/>
      <c r="CD221" s="305"/>
      <c r="CE221" s="305"/>
      <c r="CF221" s="305"/>
      <c r="CG221" s="305"/>
      <c r="CH221" s="305"/>
      <c r="CI221" s="305"/>
      <c r="CJ221" s="305"/>
      <c r="CK221" s="305"/>
      <c r="CL221" s="305"/>
      <c r="CM221" s="305"/>
      <c r="CN221" s="305"/>
      <c r="CO221" s="305"/>
      <c r="CP221" s="305"/>
      <c r="CQ221" s="305"/>
      <c r="CR221" s="305"/>
      <c r="CS221" s="305"/>
      <c r="CT221" s="305"/>
      <c r="CU221" s="305"/>
      <c r="CV221" s="305"/>
      <c r="CW221" s="305"/>
      <c r="CX221" s="305"/>
      <c r="CY221" s="305"/>
      <c r="CZ221" s="305"/>
      <c r="DA221" s="305"/>
      <c r="DB221" s="305"/>
      <c r="DC221" s="305"/>
      <c r="DD221" s="305"/>
      <c r="DE221" s="305"/>
      <c r="DF221" s="305"/>
      <c r="DG221" s="305"/>
      <c r="DH221" s="305"/>
      <c r="DI221" s="305"/>
      <c r="DJ221" s="305"/>
      <c r="DK221" s="305"/>
      <c r="DL221" s="305"/>
      <c r="DM221" s="305"/>
      <c r="DN221" s="305"/>
      <c r="DO221" s="305"/>
      <c r="DP221" s="305"/>
      <c r="DQ221" s="305"/>
      <c r="DR221" s="305"/>
      <c r="DS221" s="305"/>
      <c r="DT221" s="305"/>
      <c r="DU221" s="305"/>
      <c r="DV221" s="305"/>
      <c r="DW221" s="558"/>
      <c r="DX221" s="558"/>
      <c r="DY221" s="558"/>
      <c r="DZ221" s="558"/>
      <c r="EA221" s="558"/>
      <c r="EB221" s="558"/>
      <c r="EC221" s="558"/>
      <c r="ED221" s="558"/>
      <c r="EE221" s="558"/>
      <c r="EF221" s="558"/>
      <c r="EG221" s="558"/>
      <c r="EH221" s="558"/>
      <c r="EI221" s="558"/>
      <c r="EJ221" s="558"/>
      <c r="EK221" s="558"/>
      <c r="EL221" s="558"/>
      <c r="EM221" s="558"/>
      <c r="EN221" s="558"/>
      <c r="EO221" s="558"/>
      <c r="EP221" s="558"/>
      <c r="EQ221" s="674"/>
      <c r="ER221" s="305"/>
    </row>
    <row r="222" spans="4:148" s="556" customFormat="1" x14ac:dyDescent="0.2">
      <c r="D222" s="110"/>
      <c r="O222" s="669"/>
      <c r="P222" s="670"/>
      <c r="Q222" s="670"/>
      <c r="S222" s="674"/>
      <c r="AA222" s="674"/>
      <c r="AF222" s="305"/>
      <c r="AG222" s="305"/>
      <c r="AH222" s="305"/>
      <c r="AI222" s="305"/>
      <c r="AJ222" s="305"/>
      <c r="AK222" s="305"/>
      <c r="AL222" s="305"/>
      <c r="AM222" s="305"/>
      <c r="AN222" s="305"/>
      <c r="AO222" s="305"/>
      <c r="AP222" s="305"/>
      <c r="AQ222" s="305"/>
      <c r="AR222" s="305"/>
      <c r="AS222" s="305"/>
      <c r="AT222" s="305"/>
      <c r="AU222" s="305"/>
      <c r="AV222" s="305"/>
      <c r="AW222" s="305"/>
      <c r="AX222" s="305"/>
      <c r="AY222" s="305"/>
      <c r="AZ222" s="305"/>
      <c r="BA222" s="305"/>
      <c r="BB222" s="305"/>
      <c r="BC222" s="305"/>
      <c r="BD222" s="305"/>
      <c r="BE222" s="305"/>
      <c r="BF222" s="305"/>
      <c r="BG222" s="305"/>
      <c r="BH222" s="305"/>
      <c r="BI222" s="305"/>
      <c r="BJ222" s="305"/>
      <c r="BK222" s="305"/>
      <c r="BL222" s="305"/>
      <c r="BM222" s="305"/>
      <c r="BN222" s="305"/>
      <c r="BO222" s="305"/>
      <c r="BP222" s="305"/>
      <c r="BQ222" s="305"/>
      <c r="BR222" s="305"/>
      <c r="BS222" s="305"/>
      <c r="BT222" s="305"/>
      <c r="BU222" s="305"/>
      <c r="BV222" s="305"/>
      <c r="BW222" s="305"/>
      <c r="BX222" s="305"/>
      <c r="BY222" s="305"/>
      <c r="BZ222" s="305"/>
      <c r="CA222" s="305"/>
      <c r="CB222" s="305"/>
      <c r="CC222" s="305"/>
      <c r="CD222" s="305"/>
      <c r="CE222" s="305"/>
      <c r="CF222" s="305"/>
      <c r="CG222" s="305"/>
      <c r="CH222" s="305"/>
      <c r="CI222" s="305"/>
      <c r="CJ222" s="305"/>
      <c r="CK222" s="305"/>
      <c r="CL222" s="305"/>
      <c r="CM222" s="305"/>
      <c r="CN222" s="305"/>
      <c r="CO222" s="305"/>
      <c r="CP222" s="305"/>
      <c r="CQ222" s="305"/>
      <c r="CR222" s="305"/>
      <c r="CS222" s="305"/>
      <c r="CT222" s="305"/>
      <c r="CU222" s="305"/>
      <c r="CV222" s="305"/>
      <c r="CW222" s="305"/>
      <c r="CX222" s="305"/>
      <c r="CY222" s="305"/>
      <c r="CZ222" s="305"/>
      <c r="DA222" s="305"/>
      <c r="DB222" s="305"/>
      <c r="DC222" s="305"/>
      <c r="DD222" s="305"/>
      <c r="DE222" s="305"/>
      <c r="DF222" s="305"/>
      <c r="DG222" s="305"/>
      <c r="DH222" s="305"/>
      <c r="DI222" s="305"/>
      <c r="DJ222" s="305"/>
      <c r="DK222" s="305"/>
      <c r="DL222" s="305"/>
      <c r="DM222" s="305"/>
      <c r="DN222" s="305"/>
      <c r="DO222" s="305"/>
      <c r="DP222" s="305"/>
      <c r="DQ222" s="305"/>
      <c r="DR222" s="305"/>
      <c r="DS222" s="305"/>
      <c r="DT222" s="305"/>
      <c r="DU222" s="305"/>
      <c r="DV222" s="305"/>
      <c r="DW222" s="558"/>
      <c r="DX222" s="558"/>
      <c r="DY222" s="558"/>
      <c r="DZ222" s="558"/>
      <c r="EA222" s="558"/>
      <c r="EB222" s="558"/>
      <c r="EC222" s="558"/>
      <c r="ED222" s="558"/>
      <c r="EE222" s="558"/>
      <c r="EF222" s="558"/>
      <c r="EG222" s="558"/>
      <c r="EH222" s="558"/>
      <c r="EI222" s="558"/>
      <c r="EJ222" s="558"/>
      <c r="EK222" s="558"/>
      <c r="EL222" s="558"/>
      <c r="EM222" s="558"/>
      <c r="EN222" s="558"/>
      <c r="EO222" s="558"/>
      <c r="EP222" s="558"/>
      <c r="EQ222" s="674"/>
      <c r="ER222" s="305"/>
    </row>
    <row r="223" spans="4:148" s="556" customFormat="1" x14ac:dyDescent="0.2">
      <c r="D223" s="110"/>
      <c r="O223" s="669"/>
      <c r="P223" s="670"/>
      <c r="Q223" s="670"/>
      <c r="S223" s="674"/>
      <c r="AA223" s="674"/>
      <c r="AF223" s="305"/>
      <c r="AG223" s="305"/>
      <c r="AH223" s="305"/>
      <c r="AI223" s="305"/>
      <c r="AJ223" s="305"/>
      <c r="AK223" s="305"/>
      <c r="AL223" s="305"/>
      <c r="AM223" s="305"/>
      <c r="AN223" s="305"/>
      <c r="AO223" s="305"/>
      <c r="AP223" s="305"/>
      <c r="AQ223" s="305"/>
      <c r="AR223" s="305"/>
      <c r="AS223" s="305"/>
      <c r="AT223" s="305"/>
      <c r="AU223" s="305"/>
      <c r="AV223" s="305"/>
      <c r="AW223" s="305"/>
      <c r="AX223" s="305"/>
      <c r="AY223" s="305"/>
      <c r="AZ223" s="305"/>
      <c r="BA223" s="305"/>
      <c r="BB223" s="305"/>
      <c r="BC223" s="305"/>
      <c r="BD223" s="305"/>
      <c r="BE223" s="305"/>
      <c r="BF223" s="305"/>
      <c r="BG223" s="305"/>
      <c r="BH223" s="305"/>
      <c r="BI223" s="305"/>
      <c r="BJ223" s="305"/>
      <c r="BK223" s="305"/>
      <c r="BL223" s="305"/>
      <c r="BM223" s="305"/>
      <c r="BN223" s="305"/>
      <c r="BO223" s="305"/>
      <c r="BP223" s="305"/>
      <c r="BQ223" s="305"/>
      <c r="BR223" s="305"/>
      <c r="BS223" s="305"/>
      <c r="BT223" s="305"/>
      <c r="BU223" s="305"/>
      <c r="BV223" s="305"/>
      <c r="BW223" s="305"/>
      <c r="BX223" s="305"/>
      <c r="BY223" s="305"/>
      <c r="BZ223" s="305"/>
      <c r="CA223" s="305"/>
      <c r="CB223" s="305"/>
      <c r="CC223" s="305"/>
      <c r="CD223" s="305"/>
      <c r="CE223" s="305"/>
      <c r="CF223" s="305"/>
      <c r="CG223" s="305"/>
      <c r="CH223" s="305"/>
      <c r="CI223" s="305"/>
      <c r="CJ223" s="305"/>
      <c r="CK223" s="305"/>
      <c r="CL223" s="305"/>
      <c r="CM223" s="305"/>
      <c r="CN223" s="305"/>
      <c r="CO223" s="305"/>
      <c r="CP223" s="305"/>
      <c r="CQ223" s="305"/>
      <c r="CR223" s="305"/>
      <c r="CS223" s="305"/>
      <c r="CT223" s="305"/>
      <c r="CU223" s="305"/>
      <c r="CV223" s="305"/>
      <c r="CW223" s="305"/>
      <c r="CX223" s="305"/>
      <c r="CY223" s="305"/>
      <c r="CZ223" s="305"/>
      <c r="DA223" s="305"/>
      <c r="DB223" s="305"/>
      <c r="DC223" s="305"/>
      <c r="DD223" s="305"/>
      <c r="DE223" s="305"/>
      <c r="DF223" s="305"/>
      <c r="DG223" s="305"/>
      <c r="DH223" s="305"/>
      <c r="DI223" s="305"/>
      <c r="DJ223" s="305"/>
      <c r="DK223" s="305"/>
      <c r="DL223" s="305"/>
      <c r="DM223" s="305"/>
      <c r="DN223" s="305"/>
      <c r="DO223" s="305"/>
      <c r="DP223" s="305"/>
      <c r="DQ223" s="305"/>
      <c r="DR223" s="305"/>
      <c r="DS223" s="305"/>
      <c r="DT223" s="305"/>
      <c r="DU223" s="305"/>
      <c r="DV223" s="305"/>
      <c r="DW223" s="558"/>
      <c r="DX223" s="558"/>
      <c r="DY223" s="558"/>
      <c r="DZ223" s="558"/>
      <c r="EA223" s="558"/>
      <c r="EB223" s="558"/>
      <c r="EC223" s="558"/>
      <c r="ED223" s="558"/>
      <c r="EE223" s="558"/>
      <c r="EF223" s="558"/>
      <c r="EG223" s="558"/>
      <c r="EH223" s="558"/>
      <c r="EI223" s="558"/>
      <c r="EJ223" s="558"/>
      <c r="EK223" s="558"/>
      <c r="EL223" s="558"/>
      <c r="EM223" s="558"/>
      <c r="EN223" s="558"/>
      <c r="EO223" s="558"/>
      <c r="EP223" s="558"/>
      <c r="EQ223" s="674"/>
      <c r="ER223" s="305"/>
    </row>
    <row r="224" spans="4:148" s="556" customFormat="1" x14ac:dyDescent="0.2">
      <c r="D224" s="110"/>
      <c r="O224" s="669"/>
      <c r="P224" s="670"/>
      <c r="Q224" s="670"/>
      <c r="S224" s="674"/>
      <c r="AA224" s="674"/>
      <c r="AF224" s="305"/>
      <c r="AG224" s="305"/>
      <c r="AH224" s="305"/>
      <c r="AI224" s="305"/>
      <c r="AJ224" s="305"/>
      <c r="AK224" s="305"/>
      <c r="AL224" s="305"/>
      <c r="AM224" s="305"/>
      <c r="AN224" s="305"/>
      <c r="AO224" s="305"/>
      <c r="AP224" s="305"/>
      <c r="AQ224" s="305"/>
      <c r="AR224" s="305"/>
      <c r="AS224" s="305"/>
      <c r="AT224" s="305"/>
      <c r="AU224" s="305"/>
      <c r="AV224" s="305"/>
      <c r="AW224" s="305"/>
      <c r="AX224" s="305"/>
      <c r="AY224" s="305"/>
      <c r="AZ224" s="305"/>
      <c r="BA224" s="305"/>
      <c r="BB224" s="305"/>
      <c r="BC224" s="305"/>
      <c r="BD224" s="305"/>
      <c r="BE224" s="305"/>
      <c r="BF224" s="305"/>
      <c r="BG224" s="305"/>
      <c r="BH224" s="305"/>
      <c r="BI224" s="305"/>
      <c r="BJ224" s="305"/>
      <c r="BK224" s="305"/>
      <c r="BL224" s="305"/>
      <c r="BM224" s="305"/>
      <c r="BN224" s="305"/>
      <c r="BO224" s="305"/>
      <c r="BP224" s="305"/>
      <c r="BQ224" s="305"/>
      <c r="BR224" s="305"/>
      <c r="BS224" s="305"/>
      <c r="BT224" s="305"/>
      <c r="BU224" s="305"/>
      <c r="BV224" s="305"/>
      <c r="BW224" s="305"/>
      <c r="BX224" s="305"/>
      <c r="BY224" s="305"/>
      <c r="BZ224" s="305"/>
      <c r="CA224" s="305"/>
      <c r="CB224" s="305"/>
      <c r="CC224" s="305"/>
      <c r="CD224" s="305"/>
      <c r="CE224" s="305"/>
      <c r="CF224" s="305"/>
      <c r="CG224" s="305"/>
      <c r="CH224" s="305"/>
      <c r="CI224" s="305"/>
      <c r="CJ224" s="305"/>
      <c r="CK224" s="305"/>
      <c r="CL224" s="305"/>
      <c r="CM224" s="305"/>
      <c r="CN224" s="305"/>
      <c r="CO224" s="305"/>
      <c r="CP224" s="305"/>
      <c r="CQ224" s="305"/>
      <c r="CR224" s="305"/>
      <c r="CS224" s="305"/>
      <c r="CT224" s="305"/>
      <c r="CU224" s="305"/>
      <c r="CV224" s="305"/>
      <c r="CW224" s="305"/>
      <c r="CX224" s="305"/>
      <c r="CY224" s="305"/>
      <c r="CZ224" s="305"/>
      <c r="DA224" s="305"/>
      <c r="DB224" s="305"/>
      <c r="DC224" s="305"/>
      <c r="DD224" s="305"/>
      <c r="DE224" s="305"/>
      <c r="DF224" s="305"/>
      <c r="DG224" s="305"/>
      <c r="DH224" s="305"/>
      <c r="DI224" s="305"/>
      <c r="DJ224" s="305"/>
      <c r="DK224" s="305"/>
      <c r="DL224" s="305"/>
      <c r="DM224" s="305"/>
      <c r="DN224" s="305"/>
      <c r="DO224" s="305"/>
      <c r="DP224" s="305"/>
      <c r="DQ224" s="305"/>
      <c r="DR224" s="305"/>
      <c r="DS224" s="305"/>
      <c r="DT224" s="305"/>
      <c r="DU224" s="305"/>
      <c r="DV224" s="305"/>
      <c r="DW224" s="558"/>
      <c r="DX224" s="558"/>
      <c r="DY224" s="558"/>
      <c r="DZ224" s="558"/>
      <c r="EA224" s="558"/>
      <c r="EB224" s="558"/>
      <c r="EC224" s="558"/>
      <c r="ED224" s="558"/>
      <c r="EE224" s="558"/>
      <c r="EF224" s="558"/>
      <c r="EG224" s="558"/>
      <c r="EH224" s="558"/>
      <c r="EI224" s="558"/>
      <c r="EJ224" s="558"/>
      <c r="EK224" s="558"/>
      <c r="EL224" s="558"/>
      <c r="EM224" s="558"/>
      <c r="EN224" s="558"/>
      <c r="EO224" s="558"/>
      <c r="EP224" s="558"/>
      <c r="EQ224" s="674"/>
      <c r="ER224" s="305"/>
    </row>
    <row r="225" spans="4:148" s="556" customFormat="1" x14ac:dyDescent="0.2">
      <c r="D225" s="110"/>
      <c r="O225" s="669"/>
      <c r="P225" s="670"/>
      <c r="Q225" s="670"/>
      <c r="S225" s="674"/>
      <c r="AA225" s="674"/>
      <c r="AF225" s="305"/>
      <c r="AG225" s="305"/>
      <c r="AH225" s="305"/>
      <c r="AI225" s="305"/>
      <c r="AJ225" s="305"/>
      <c r="AK225" s="305"/>
      <c r="AL225" s="305"/>
      <c r="AM225" s="305"/>
      <c r="AN225" s="305"/>
      <c r="AO225" s="305"/>
      <c r="AP225" s="305"/>
      <c r="AQ225" s="305"/>
      <c r="AR225" s="305"/>
      <c r="AS225" s="305"/>
      <c r="AT225" s="305"/>
      <c r="AU225" s="305"/>
      <c r="AV225" s="305"/>
      <c r="AW225" s="305"/>
      <c r="AX225" s="305"/>
      <c r="AY225" s="305"/>
      <c r="AZ225" s="305"/>
      <c r="BA225" s="305"/>
      <c r="BB225" s="305"/>
      <c r="BC225" s="305"/>
      <c r="BD225" s="305"/>
      <c r="BE225" s="305"/>
      <c r="BF225" s="305"/>
      <c r="BG225" s="305"/>
      <c r="BH225" s="305"/>
      <c r="BI225" s="305"/>
      <c r="BJ225" s="305"/>
      <c r="BK225" s="305"/>
      <c r="BL225" s="305"/>
      <c r="BM225" s="305"/>
      <c r="BN225" s="305"/>
      <c r="BO225" s="305"/>
      <c r="BP225" s="305"/>
      <c r="BQ225" s="305"/>
      <c r="BR225" s="305"/>
      <c r="BS225" s="305"/>
      <c r="BT225" s="305"/>
      <c r="BU225" s="305"/>
      <c r="BV225" s="305"/>
      <c r="BW225" s="305"/>
      <c r="BX225" s="305"/>
      <c r="BY225" s="305"/>
      <c r="BZ225" s="305"/>
      <c r="CA225" s="305"/>
      <c r="CB225" s="305"/>
      <c r="CC225" s="305"/>
      <c r="CD225" s="305"/>
      <c r="CE225" s="305"/>
      <c r="CF225" s="305"/>
      <c r="CG225" s="305"/>
      <c r="CH225" s="305"/>
      <c r="CI225" s="305"/>
      <c r="CJ225" s="305"/>
      <c r="CK225" s="305"/>
      <c r="CL225" s="305"/>
      <c r="CM225" s="305"/>
      <c r="CN225" s="305"/>
      <c r="CO225" s="305"/>
      <c r="CP225" s="305"/>
      <c r="CQ225" s="305"/>
      <c r="CR225" s="305"/>
      <c r="CS225" s="305"/>
      <c r="CT225" s="305"/>
      <c r="CU225" s="305"/>
      <c r="CV225" s="305"/>
      <c r="CW225" s="305"/>
      <c r="CX225" s="305"/>
      <c r="CY225" s="305"/>
      <c r="CZ225" s="305"/>
      <c r="DA225" s="305"/>
      <c r="DB225" s="305"/>
      <c r="DC225" s="305"/>
      <c r="DD225" s="305"/>
      <c r="DE225" s="305"/>
      <c r="DF225" s="305"/>
      <c r="DG225" s="305"/>
      <c r="DH225" s="305"/>
      <c r="DI225" s="305"/>
      <c r="DJ225" s="305"/>
      <c r="DK225" s="305"/>
      <c r="DL225" s="305"/>
      <c r="DM225" s="305"/>
      <c r="DN225" s="305"/>
      <c r="DO225" s="305"/>
      <c r="DP225" s="305"/>
      <c r="DQ225" s="305"/>
      <c r="DR225" s="305"/>
      <c r="DS225" s="305"/>
      <c r="DT225" s="305"/>
      <c r="DU225" s="305"/>
      <c r="DV225" s="305"/>
      <c r="DW225" s="558"/>
      <c r="DX225" s="558"/>
      <c r="DY225" s="558"/>
      <c r="DZ225" s="558"/>
      <c r="EA225" s="558"/>
      <c r="EB225" s="558"/>
      <c r="EC225" s="558"/>
      <c r="ED225" s="558"/>
      <c r="EE225" s="558"/>
      <c r="EF225" s="558"/>
      <c r="EG225" s="558"/>
      <c r="EH225" s="558"/>
      <c r="EI225" s="558"/>
      <c r="EJ225" s="558"/>
      <c r="EK225" s="558"/>
      <c r="EL225" s="558"/>
      <c r="EM225" s="558"/>
      <c r="EN225" s="558"/>
      <c r="EO225" s="558"/>
      <c r="EP225" s="558"/>
      <c r="EQ225" s="674"/>
      <c r="ER225" s="305"/>
    </row>
    <row r="226" spans="4:148" s="556" customFormat="1" x14ac:dyDescent="0.2">
      <c r="D226" s="110"/>
      <c r="O226" s="669"/>
      <c r="P226" s="670"/>
      <c r="Q226" s="670"/>
      <c r="S226" s="674"/>
      <c r="AA226" s="674"/>
      <c r="AF226" s="305"/>
      <c r="AG226" s="305"/>
      <c r="AH226" s="305"/>
      <c r="AI226" s="305"/>
      <c r="AJ226" s="305"/>
      <c r="AK226" s="305"/>
      <c r="AL226" s="305"/>
      <c r="AM226" s="305"/>
      <c r="AN226" s="305"/>
      <c r="AO226" s="305"/>
      <c r="AP226" s="305"/>
      <c r="AQ226" s="305"/>
      <c r="AR226" s="305"/>
      <c r="AS226" s="305"/>
      <c r="AT226" s="305"/>
      <c r="AU226" s="305"/>
      <c r="AV226" s="305"/>
      <c r="AW226" s="305"/>
      <c r="AX226" s="305"/>
      <c r="AY226" s="305"/>
      <c r="AZ226" s="305"/>
      <c r="BA226" s="305"/>
      <c r="BB226" s="305"/>
      <c r="BC226" s="305"/>
      <c r="BD226" s="305"/>
      <c r="BE226" s="305"/>
      <c r="BF226" s="305"/>
      <c r="BG226" s="305"/>
      <c r="BH226" s="305"/>
      <c r="BI226" s="305"/>
      <c r="BJ226" s="305"/>
      <c r="BK226" s="305"/>
      <c r="BL226" s="305"/>
      <c r="BM226" s="305"/>
      <c r="BN226" s="305"/>
      <c r="BO226" s="305"/>
      <c r="BP226" s="305"/>
      <c r="BQ226" s="305"/>
      <c r="BR226" s="305"/>
      <c r="BS226" s="305"/>
      <c r="BT226" s="305"/>
      <c r="BU226" s="305"/>
      <c r="BV226" s="305"/>
      <c r="BW226" s="305"/>
      <c r="BX226" s="305"/>
      <c r="BY226" s="305"/>
      <c r="BZ226" s="305"/>
      <c r="CA226" s="305"/>
      <c r="CB226" s="305"/>
      <c r="CC226" s="305"/>
      <c r="CD226" s="305"/>
      <c r="CE226" s="305"/>
      <c r="CF226" s="305"/>
      <c r="CG226" s="305"/>
      <c r="CH226" s="305"/>
      <c r="CI226" s="305"/>
      <c r="CJ226" s="305"/>
      <c r="CK226" s="305"/>
      <c r="CL226" s="305"/>
      <c r="CM226" s="305"/>
      <c r="CN226" s="305"/>
      <c r="CO226" s="305"/>
      <c r="CP226" s="305"/>
      <c r="CQ226" s="305"/>
      <c r="CR226" s="305"/>
      <c r="CS226" s="305"/>
      <c r="CT226" s="305"/>
      <c r="CU226" s="305"/>
      <c r="CV226" s="305"/>
      <c r="CW226" s="305"/>
      <c r="CX226" s="305"/>
      <c r="CY226" s="305"/>
      <c r="CZ226" s="305"/>
      <c r="DA226" s="305"/>
      <c r="DB226" s="305"/>
      <c r="DC226" s="305"/>
      <c r="DD226" s="305"/>
      <c r="DE226" s="305"/>
      <c r="DF226" s="305"/>
      <c r="DG226" s="305"/>
      <c r="DH226" s="305"/>
      <c r="DI226" s="305"/>
      <c r="DJ226" s="305"/>
      <c r="DK226" s="305"/>
      <c r="DL226" s="305"/>
      <c r="DM226" s="305"/>
      <c r="DN226" s="305"/>
      <c r="DO226" s="305"/>
      <c r="DP226" s="305"/>
      <c r="DQ226" s="305"/>
      <c r="DR226" s="305"/>
      <c r="DS226" s="305"/>
      <c r="DT226" s="305"/>
      <c r="DU226" s="305"/>
      <c r="DV226" s="305"/>
      <c r="DW226" s="558"/>
      <c r="DX226" s="558"/>
      <c r="DY226" s="558"/>
      <c r="DZ226" s="558"/>
      <c r="EA226" s="558"/>
      <c r="EB226" s="558"/>
      <c r="EC226" s="558"/>
      <c r="ED226" s="558"/>
      <c r="EE226" s="558"/>
      <c r="EF226" s="558"/>
      <c r="EG226" s="558"/>
      <c r="EH226" s="558"/>
      <c r="EI226" s="558"/>
      <c r="EJ226" s="558"/>
      <c r="EK226" s="558"/>
      <c r="EL226" s="558"/>
      <c r="EM226" s="558"/>
      <c r="EN226" s="558"/>
      <c r="EO226" s="558"/>
      <c r="EP226" s="558"/>
      <c r="EQ226" s="674"/>
      <c r="ER226" s="305"/>
    </row>
    <row r="227" spans="4:148" s="556" customFormat="1" x14ac:dyDescent="0.2">
      <c r="D227" s="110"/>
      <c r="O227" s="669"/>
      <c r="P227" s="670"/>
      <c r="Q227" s="670"/>
      <c r="S227" s="674"/>
      <c r="AA227" s="674"/>
      <c r="AF227" s="305"/>
      <c r="AG227" s="305"/>
      <c r="AH227" s="305"/>
      <c r="AI227" s="305"/>
      <c r="AJ227" s="305"/>
      <c r="AK227" s="305"/>
      <c r="AL227" s="305"/>
      <c r="AM227" s="305"/>
      <c r="AN227" s="305"/>
      <c r="AO227" s="305"/>
      <c r="AP227" s="305"/>
      <c r="AQ227" s="305"/>
      <c r="AR227" s="305"/>
      <c r="AS227" s="305"/>
      <c r="AT227" s="305"/>
      <c r="AU227" s="305"/>
      <c r="AV227" s="305"/>
      <c r="AW227" s="305"/>
      <c r="AX227" s="305"/>
      <c r="AY227" s="305"/>
      <c r="AZ227" s="305"/>
      <c r="BA227" s="305"/>
      <c r="BB227" s="305"/>
      <c r="BC227" s="305"/>
      <c r="BD227" s="305"/>
      <c r="BE227" s="305"/>
      <c r="BF227" s="305"/>
      <c r="BG227" s="305"/>
      <c r="BH227" s="305"/>
      <c r="BI227" s="305"/>
      <c r="BJ227" s="305"/>
      <c r="BK227" s="305"/>
      <c r="BL227" s="305"/>
      <c r="BM227" s="305"/>
      <c r="BN227" s="305"/>
      <c r="BO227" s="305"/>
      <c r="BP227" s="305"/>
      <c r="BQ227" s="305"/>
      <c r="BR227" s="305"/>
      <c r="BS227" s="305"/>
      <c r="BT227" s="305"/>
      <c r="BU227" s="305"/>
      <c r="BV227" s="305"/>
      <c r="BW227" s="305"/>
      <c r="BX227" s="305"/>
      <c r="BY227" s="305"/>
      <c r="BZ227" s="305"/>
      <c r="CA227" s="305"/>
      <c r="CB227" s="305"/>
      <c r="CC227" s="305"/>
      <c r="CD227" s="305"/>
      <c r="CE227" s="305"/>
      <c r="CF227" s="305"/>
      <c r="CG227" s="305"/>
      <c r="CH227" s="305"/>
      <c r="CI227" s="305"/>
      <c r="CJ227" s="305"/>
      <c r="CK227" s="305"/>
      <c r="CL227" s="305"/>
      <c r="CM227" s="305"/>
      <c r="CN227" s="305"/>
      <c r="CO227" s="305"/>
      <c r="CP227" s="305"/>
      <c r="CQ227" s="305"/>
      <c r="CR227" s="305"/>
      <c r="CS227" s="305"/>
      <c r="CT227" s="305"/>
      <c r="CU227" s="305"/>
      <c r="CV227" s="305"/>
      <c r="CW227" s="305"/>
      <c r="CX227" s="305"/>
      <c r="CY227" s="305"/>
      <c r="CZ227" s="305"/>
      <c r="DA227" s="305"/>
      <c r="DB227" s="305"/>
      <c r="DC227" s="305"/>
      <c r="DD227" s="305"/>
      <c r="DE227" s="305"/>
      <c r="DF227" s="305"/>
      <c r="DG227" s="305"/>
      <c r="DH227" s="305"/>
      <c r="DI227" s="305"/>
      <c r="DJ227" s="305"/>
      <c r="DK227" s="305"/>
      <c r="DL227" s="305"/>
      <c r="DM227" s="305"/>
      <c r="DN227" s="305"/>
      <c r="DO227" s="305"/>
      <c r="DP227" s="305"/>
      <c r="DQ227" s="305"/>
      <c r="DR227" s="305"/>
      <c r="DS227" s="305"/>
      <c r="DT227" s="305"/>
      <c r="DU227" s="305"/>
      <c r="DV227" s="305"/>
      <c r="DW227" s="558"/>
      <c r="DX227" s="558"/>
      <c r="DY227" s="558"/>
      <c r="DZ227" s="558"/>
      <c r="EA227" s="558"/>
      <c r="EB227" s="558"/>
      <c r="EC227" s="558"/>
      <c r="ED227" s="558"/>
      <c r="EE227" s="558"/>
      <c r="EF227" s="558"/>
      <c r="EG227" s="558"/>
      <c r="EH227" s="558"/>
      <c r="EI227" s="558"/>
      <c r="EJ227" s="558"/>
      <c r="EK227" s="558"/>
      <c r="EL227" s="558"/>
      <c r="EM227" s="558"/>
      <c r="EN227" s="558"/>
      <c r="EO227" s="558"/>
      <c r="EP227" s="558"/>
      <c r="EQ227" s="674"/>
      <c r="ER227" s="305"/>
    </row>
    <row r="228" spans="4:148" s="556" customFormat="1" x14ac:dyDescent="0.2">
      <c r="D228" s="110"/>
      <c r="O228" s="669"/>
      <c r="P228" s="670"/>
      <c r="Q228" s="670"/>
      <c r="S228" s="674"/>
      <c r="AA228" s="674"/>
      <c r="AF228" s="305"/>
      <c r="AG228" s="305"/>
      <c r="AH228" s="305"/>
      <c r="AI228" s="305"/>
      <c r="AJ228" s="305"/>
      <c r="AK228" s="305"/>
      <c r="AL228" s="305"/>
      <c r="AM228" s="305"/>
      <c r="AN228" s="305"/>
      <c r="AO228" s="305"/>
      <c r="AP228" s="305"/>
      <c r="AQ228" s="305"/>
      <c r="AR228" s="305"/>
      <c r="AS228" s="305"/>
      <c r="AT228" s="305"/>
      <c r="AU228" s="305"/>
      <c r="AV228" s="305"/>
      <c r="AW228" s="305"/>
      <c r="AX228" s="305"/>
      <c r="AY228" s="305"/>
      <c r="AZ228" s="305"/>
      <c r="BA228" s="305"/>
      <c r="BB228" s="305"/>
      <c r="BC228" s="305"/>
      <c r="BD228" s="305"/>
      <c r="BE228" s="305"/>
      <c r="BF228" s="305"/>
      <c r="BG228" s="305"/>
      <c r="BH228" s="305"/>
      <c r="BI228" s="305"/>
      <c r="BJ228" s="305"/>
      <c r="BK228" s="305"/>
      <c r="BL228" s="305"/>
      <c r="BM228" s="305"/>
      <c r="BN228" s="305"/>
      <c r="BO228" s="305"/>
      <c r="BP228" s="305"/>
      <c r="BQ228" s="305"/>
      <c r="BR228" s="305"/>
      <c r="BS228" s="305"/>
      <c r="BT228" s="305"/>
      <c r="BU228" s="305"/>
      <c r="BV228" s="305"/>
      <c r="BW228" s="305"/>
      <c r="BX228" s="305"/>
      <c r="BY228" s="305"/>
      <c r="BZ228" s="305"/>
      <c r="CA228" s="305"/>
      <c r="CB228" s="305"/>
      <c r="CC228" s="305"/>
      <c r="CD228" s="305"/>
      <c r="CE228" s="305"/>
      <c r="CF228" s="305"/>
      <c r="CG228" s="305"/>
      <c r="CH228" s="305"/>
      <c r="CI228" s="305"/>
      <c r="CJ228" s="305"/>
      <c r="CK228" s="305"/>
      <c r="CL228" s="305"/>
      <c r="CM228" s="305"/>
      <c r="CN228" s="305"/>
      <c r="CO228" s="305"/>
      <c r="CP228" s="305"/>
      <c r="CQ228" s="305"/>
      <c r="CR228" s="305"/>
      <c r="CS228" s="305"/>
      <c r="CT228" s="305"/>
      <c r="CU228" s="305"/>
      <c r="CV228" s="305"/>
      <c r="CW228" s="305"/>
      <c r="CX228" s="305"/>
      <c r="CY228" s="305"/>
      <c r="CZ228" s="305"/>
      <c r="DA228" s="305"/>
      <c r="DB228" s="305"/>
      <c r="DC228" s="305"/>
      <c r="DD228" s="305"/>
      <c r="DE228" s="305"/>
      <c r="DF228" s="305"/>
      <c r="DG228" s="305"/>
      <c r="DH228" s="305"/>
      <c r="DI228" s="305"/>
      <c r="DJ228" s="305"/>
      <c r="DK228" s="305"/>
      <c r="DL228" s="305"/>
      <c r="DM228" s="305"/>
      <c r="DN228" s="305"/>
      <c r="DO228" s="305"/>
      <c r="DP228" s="305"/>
      <c r="DQ228" s="305"/>
      <c r="DR228" s="305"/>
      <c r="DS228" s="305"/>
      <c r="DT228" s="305"/>
      <c r="DU228" s="305"/>
      <c r="DV228" s="305"/>
      <c r="DW228" s="558"/>
      <c r="DX228" s="558"/>
      <c r="DY228" s="558"/>
      <c r="DZ228" s="558"/>
      <c r="EA228" s="558"/>
      <c r="EB228" s="558"/>
      <c r="EC228" s="558"/>
      <c r="ED228" s="558"/>
      <c r="EE228" s="558"/>
      <c r="EF228" s="558"/>
      <c r="EG228" s="558"/>
      <c r="EH228" s="558"/>
      <c r="EI228" s="558"/>
      <c r="EJ228" s="558"/>
      <c r="EK228" s="558"/>
      <c r="EL228" s="558"/>
      <c r="EM228" s="558"/>
      <c r="EN228" s="558"/>
      <c r="EO228" s="558"/>
      <c r="EP228" s="558"/>
      <c r="EQ228" s="674"/>
      <c r="ER228" s="305"/>
    </row>
    <row r="229" spans="4:148" s="556" customFormat="1" x14ac:dyDescent="0.2">
      <c r="D229" s="110"/>
      <c r="O229" s="669"/>
      <c r="P229" s="670"/>
      <c r="Q229" s="670"/>
      <c r="S229" s="674"/>
      <c r="AA229" s="674"/>
      <c r="AF229" s="305"/>
      <c r="AG229" s="305"/>
      <c r="AH229" s="305"/>
      <c r="AI229" s="305"/>
      <c r="AJ229" s="305"/>
      <c r="AK229" s="305"/>
      <c r="AL229" s="305"/>
      <c r="AM229" s="305"/>
      <c r="AN229" s="305"/>
      <c r="AO229" s="305"/>
      <c r="AP229" s="305"/>
      <c r="AQ229" s="305"/>
      <c r="AR229" s="305"/>
      <c r="AS229" s="305"/>
      <c r="AT229" s="305"/>
      <c r="AU229" s="305"/>
      <c r="AV229" s="305"/>
      <c r="AW229" s="305"/>
      <c r="AX229" s="305"/>
      <c r="AY229" s="305"/>
      <c r="AZ229" s="305"/>
      <c r="BA229" s="305"/>
      <c r="BB229" s="305"/>
      <c r="BC229" s="305"/>
      <c r="BD229" s="305"/>
      <c r="BE229" s="305"/>
      <c r="BF229" s="305"/>
      <c r="BG229" s="305"/>
      <c r="BH229" s="305"/>
      <c r="BI229" s="305"/>
      <c r="BJ229" s="305"/>
      <c r="BK229" s="305"/>
      <c r="BL229" s="305"/>
      <c r="BM229" s="305"/>
      <c r="BN229" s="305"/>
      <c r="BO229" s="305"/>
      <c r="BP229" s="305"/>
      <c r="BQ229" s="305"/>
      <c r="BR229" s="305"/>
      <c r="BS229" s="305"/>
      <c r="BT229" s="305"/>
      <c r="BU229" s="305"/>
      <c r="BV229" s="305"/>
      <c r="BW229" s="305"/>
      <c r="BX229" s="305"/>
      <c r="BY229" s="305"/>
      <c r="BZ229" s="305"/>
      <c r="CA229" s="305"/>
      <c r="CB229" s="305"/>
      <c r="CC229" s="305"/>
      <c r="CD229" s="305"/>
      <c r="CE229" s="305"/>
      <c r="CF229" s="305"/>
      <c r="CG229" s="305"/>
      <c r="CH229" s="305"/>
      <c r="CI229" s="305"/>
      <c r="CJ229" s="305"/>
      <c r="CK229" s="305"/>
      <c r="CL229" s="305"/>
      <c r="CM229" s="305"/>
      <c r="CN229" s="305"/>
      <c r="CO229" s="305"/>
      <c r="CP229" s="305"/>
      <c r="CQ229" s="305"/>
      <c r="CR229" s="305"/>
      <c r="CS229" s="305"/>
      <c r="CT229" s="305"/>
      <c r="CU229" s="305"/>
      <c r="CV229" s="305"/>
      <c r="CW229" s="305"/>
      <c r="CX229" s="305"/>
      <c r="CY229" s="305"/>
      <c r="CZ229" s="305"/>
      <c r="DA229" s="305"/>
      <c r="DB229" s="305"/>
      <c r="DC229" s="305"/>
      <c r="DD229" s="305"/>
      <c r="DE229" s="305"/>
      <c r="DF229" s="305"/>
      <c r="DG229" s="305"/>
      <c r="DH229" s="305"/>
      <c r="DI229" s="305"/>
      <c r="DJ229" s="305"/>
      <c r="DK229" s="305"/>
      <c r="DL229" s="305"/>
      <c r="DM229" s="305"/>
      <c r="DN229" s="305"/>
      <c r="DO229" s="305"/>
      <c r="DP229" s="305"/>
      <c r="DQ229" s="305"/>
      <c r="DR229" s="305"/>
      <c r="DS229" s="305"/>
      <c r="DT229" s="305"/>
      <c r="DU229" s="305"/>
      <c r="DV229" s="305"/>
      <c r="DW229" s="558"/>
      <c r="DX229" s="558"/>
      <c r="DY229" s="558"/>
      <c r="DZ229" s="558"/>
      <c r="EA229" s="558"/>
      <c r="EB229" s="558"/>
      <c r="EC229" s="558"/>
      <c r="ED229" s="558"/>
      <c r="EE229" s="558"/>
      <c r="EF229" s="558"/>
      <c r="EG229" s="558"/>
      <c r="EH229" s="558"/>
      <c r="EI229" s="558"/>
      <c r="EJ229" s="558"/>
      <c r="EK229" s="558"/>
      <c r="EL229" s="558"/>
      <c r="EM229" s="558"/>
      <c r="EN229" s="558"/>
      <c r="EO229" s="558"/>
      <c r="EP229" s="558"/>
      <c r="EQ229" s="674"/>
      <c r="ER229" s="305"/>
    </row>
    <row r="230" spans="4:148" s="556" customFormat="1" x14ac:dyDescent="0.2">
      <c r="D230" s="110"/>
      <c r="O230" s="669"/>
      <c r="P230" s="670"/>
      <c r="Q230" s="670"/>
      <c r="S230" s="674"/>
      <c r="AA230" s="674"/>
      <c r="AF230" s="305"/>
      <c r="AG230" s="305"/>
      <c r="AH230" s="305"/>
      <c r="AI230" s="305"/>
      <c r="AJ230" s="305"/>
      <c r="AK230" s="305"/>
      <c r="AL230" s="305"/>
      <c r="AM230" s="305"/>
      <c r="AN230" s="305"/>
      <c r="AO230" s="305"/>
      <c r="AP230" s="305"/>
      <c r="AQ230" s="305"/>
      <c r="AR230" s="305"/>
      <c r="AS230" s="305"/>
      <c r="AT230" s="305"/>
      <c r="AU230" s="305"/>
      <c r="AV230" s="305"/>
      <c r="AW230" s="305"/>
      <c r="AX230" s="305"/>
      <c r="AY230" s="305"/>
      <c r="AZ230" s="305"/>
      <c r="BA230" s="305"/>
      <c r="BB230" s="305"/>
      <c r="BC230" s="305"/>
      <c r="BD230" s="305"/>
      <c r="BE230" s="305"/>
      <c r="BF230" s="305"/>
      <c r="BG230" s="305"/>
      <c r="BH230" s="305"/>
      <c r="BI230" s="305"/>
      <c r="BJ230" s="305"/>
      <c r="BK230" s="305"/>
      <c r="BL230" s="305"/>
      <c r="BM230" s="305"/>
      <c r="BN230" s="305"/>
      <c r="BO230" s="305"/>
      <c r="BP230" s="305"/>
      <c r="BQ230" s="305"/>
      <c r="BR230" s="305"/>
      <c r="BS230" s="305"/>
      <c r="BT230" s="305"/>
      <c r="BU230" s="305"/>
      <c r="BV230" s="305"/>
      <c r="BW230" s="305"/>
      <c r="BX230" s="305"/>
      <c r="BY230" s="305"/>
      <c r="BZ230" s="305"/>
      <c r="CA230" s="305"/>
      <c r="CB230" s="305"/>
      <c r="CC230" s="305"/>
      <c r="CD230" s="305"/>
      <c r="CE230" s="305"/>
      <c r="CF230" s="305"/>
      <c r="CG230" s="305"/>
      <c r="CH230" s="305"/>
      <c r="CI230" s="305"/>
      <c r="CJ230" s="305"/>
      <c r="CK230" s="305"/>
      <c r="CL230" s="305"/>
      <c r="CM230" s="305"/>
      <c r="CN230" s="305"/>
      <c r="CO230" s="305"/>
      <c r="CP230" s="305"/>
      <c r="CQ230" s="305"/>
      <c r="CR230" s="305"/>
      <c r="CS230" s="305"/>
      <c r="CT230" s="305"/>
      <c r="CU230" s="305"/>
      <c r="CV230" s="305"/>
      <c r="CW230" s="305"/>
      <c r="CX230" s="305"/>
      <c r="CY230" s="305"/>
      <c r="CZ230" s="305"/>
      <c r="DA230" s="305"/>
      <c r="DB230" s="305"/>
      <c r="DC230" s="305"/>
      <c r="DD230" s="305"/>
      <c r="DE230" s="305"/>
      <c r="DF230" s="305"/>
      <c r="DG230" s="305"/>
      <c r="DH230" s="305"/>
      <c r="DI230" s="305"/>
      <c r="DJ230" s="305"/>
      <c r="DK230" s="305"/>
      <c r="DL230" s="305"/>
      <c r="DM230" s="305"/>
      <c r="DN230" s="305"/>
      <c r="DO230" s="305"/>
      <c r="DP230" s="305"/>
      <c r="DQ230" s="305"/>
      <c r="DR230" s="305"/>
      <c r="DS230" s="305"/>
      <c r="DT230" s="305"/>
      <c r="DU230" s="305"/>
      <c r="DV230" s="305"/>
      <c r="DW230" s="558"/>
      <c r="DX230" s="558"/>
      <c r="DY230" s="558"/>
      <c r="DZ230" s="558"/>
      <c r="EA230" s="558"/>
      <c r="EB230" s="558"/>
      <c r="EC230" s="558"/>
      <c r="ED230" s="558"/>
      <c r="EE230" s="558"/>
      <c r="EF230" s="558"/>
      <c r="EG230" s="558"/>
      <c r="EH230" s="558"/>
      <c r="EI230" s="558"/>
      <c r="EJ230" s="558"/>
      <c r="EK230" s="558"/>
      <c r="EL230" s="558"/>
      <c r="EM230" s="558"/>
      <c r="EN230" s="558"/>
      <c r="EO230" s="558"/>
      <c r="EP230" s="558"/>
      <c r="EQ230" s="674"/>
      <c r="ER230" s="305"/>
    </row>
    <row r="231" spans="4:148" s="556" customFormat="1" x14ac:dyDescent="0.2">
      <c r="D231" s="110"/>
      <c r="O231" s="669"/>
      <c r="P231" s="670"/>
      <c r="Q231" s="670"/>
      <c r="S231" s="674"/>
      <c r="AA231" s="674"/>
      <c r="AF231" s="305"/>
      <c r="AG231" s="305"/>
      <c r="AH231" s="305"/>
      <c r="AI231" s="305"/>
      <c r="AJ231" s="305"/>
      <c r="AK231" s="305"/>
      <c r="AL231" s="305"/>
      <c r="AM231" s="305"/>
      <c r="AN231" s="305"/>
      <c r="AO231" s="305"/>
      <c r="AP231" s="305"/>
      <c r="AQ231" s="305"/>
      <c r="AR231" s="305"/>
      <c r="AS231" s="305"/>
      <c r="AT231" s="305"/>
      <c r="AU231" s="305"/>
      <c r="AV231" s="305"/>
      <c r="AW231" s="305"/>
      <c r="AX231" s="305"/>
      <c r="AY231" s="305"/>
      <c r="AZ231" s="305"/>
      <c r="BA231" s="305"/>
      <c r="BB231" s="305"/>
      <c r="BC231" s="305"/>
      <c r="BD231" s="305"/>
      <c r="BE231" s="305"/>
      <c r="BF231" s="305"/>
      <c r="BG231" s="305"/>
      <c r="BH231" s="305"/>
      <c r="BI231" s="305"/>
      <c r="BJ231" s="305"/>
      <c r="BK231" s="305"/>
      <c r="BL231" s="305"/>
      <c r="BM231" s="305"/>
      <c r="BN231" s="305"/>
      <c r="BO231" s="305"/>
      <c r="BP231" s="305"/>
      <c r="BQ231" s="305"/>
      <c r="BR231" s="305"/>
      <c r="BS231" s="305"/>
      <c r="BT231" s="305"/>
      <c r="BU231" s="305"/>
      <c r="BV231" s="305"/>
      <c r="BW231" s="305"/>
      <c r="BX231" s="305"/>
      <c r="BY231" s="305"/>
      <c r="BZ231" s="305"/>
      <c r="CA231" s="305"/>
      <c r="CB231" s="305"/>
      <c r="CC231" s="305"/>
      <c r="CD231" s="305"/>
      <c r="CE231" s="305"/>
      <c r="CF231" s="305"/>
      <c r="CG231" s="305"/>
      <c r="CH231" s="305"/>
      <c r="CI231" s="305"/>
      <c r="CJ231" s="305"/>
      <c r="CK231" s="305"/>
      <c r="CL231" s="305"/>
      <c r="CM231" s="305"/>
      <c r="CN231" s="305"/>
      <c r="CO231" s="305"/>
      <c r="CP231" s="305"/>
      <c r="CQ231" s="305"/>
      <c r="CR231" s="305"/>
      <c r="CS231" s="305"/>
      <c r="CT231" s="305"/>
      <c r="CU231" s="305"/>
      <c r="CV231" s="305"/>
      <c r="CW231" s="305"/>
      <c r="CX231" s="305"/>
      <c r="CY231" s="305"/>
      <c r="CZ231" s="305"/>
      <c r="DA231" s="305"/>
      <c r="DB231" s="305"/>
      <c r="DC231" s="305"/>
      <c r="DD231" s="305"/>
      <c r="DE231" s="305"/>
      <c r="DF231" s="305"/>
      <c r="DG231" s="305"/>
      <c r="DH231" s="305"/>
      <c r="DI231" s="305"/>
      <c r="DJ231" s="305"/>
      <c r="DK231" s="305"/>
      <c r="DL231" s="305"/>
      <c r="DM231" s="305"/>
      <c r="DN231" s="305"/>
      <c r="DO231" s="305"/>
      <c r="DP231" s="305"/>
      <c r="DQ231" s="305"/>
      <c r="DR231" s="305"/>
      <c r="DS231" s="305"/>
      <c r="DT231" s="305"/>
      <c r="DU231" s="305"/>
      <c r="DV231" s="305"/>
      <c r="DW231" s="558"/>
      <c r="DX231" s="558"/>
      <c r="DY231" s="558"/>
      <c r="DZ231" s="558"/>
      <c r="EA231" s="558"/>
      <c r="EB231" s="558"/>
      <c r="EC231" s="558"/>
      <c r="ED231" s="558"/>
      <c r="EE231" s="558"/>
      <c r="EF231" s="558"/>
      <c r="EG231" s="558"/>
      <c r="EH231" s="558"/>
      <c r="EI231" s="558"/>
      <c r="EJ231" s="558"/>
      <c r="EK231" s="558"/>
      <c r="EL231" s="558"/>
      <c r="EM231" s="558"/>
      <c r="EN231" s="558"/>
      <c r="EO231" s="558"/>
      <c r="EP231" s="558"/>
      <c r="EQ231" s="674"/>
      <c r="ER231" s="305"/>
    </row>
    <row r="232" spans="4:148" s="556" customFormat="1" x14ac:dyDescent="0.2">
      <c r="D232" s="110"/>
      <c r="O232" s="669"/>
      <c r="P232" s="670"/>
      <c r="Q232" s="670"/>
      <c r="S232" s="674"/>
      <c r="AA232" s="674"/>
      <c r="AF232" s="305"/>
      <c r="AG232" s="305"/>
      <c r="AH232" s="305"/>
      <c r="AI232" s="305"/>
      <c r="AJ232" s="305"/>
      <c r="AK232" s="305"/>
      <c r="AL232" s="305"/>
      <c r="AM232" s="305"/>
      <c r="AN232" s="305"/>
      <c r="AO232" s="305"/>
      <c r="AP232" s="305"/>
      <c r="AQ232" s="305"/>
      <c r="AR232" s="305"/>
      <c r="AS232" s="305"/>
      <c r="AT232" s="305"/>
      <c r="AU232" s="305"/>
      <c r="AV232" s="305"/>
      <c r="AW232" s="305"/>
      <c r="AX232" s="305"/>
      <c r="AY232" s="305"/>
      <c r="AZ232" s="305"/>
      <c r="BA232" s="305"/>
      <c r="BB232" s="305"/>
      <c r="BC232" s="305"/>
      <c r="BD232" s="305"/>
      <c r="BE232" s="305"/>
      <c r="BF232" s="305"/>
      <c r="BG232" s="305"/>
      <c r="BH232" s="305"/>
      <c r="BI232" s="305"/>
      <c r="BJ232" s="305"/>
      <c r="BK232" s="305"/>
      <c r="BL232" s="305"/>
      <c r="BM232" s="305"/>
      <c r="BN232" s="305"/>
      <c r="BO232" s="305"/>
      <c r="BP232" s="305"/>
      <c r="BQ232" s="305"/>
      <c r="BR232" s="305"/>
      <c r="BS232" s="305"/>
      <c r="BT232" s="305"/>
      <c r="BU232" s="305"/>
      <c r="BV232" s="305"/>
      <c r="BW232" s="305"/>
      <c r="BX232" s="305"/>
      <c r="BY232" s="305"/>
      <c r="BZ232" s="305"/>
      <c r="CA232" s="305"/>
      <c r="CB232" s="305"/>
      <c r="CC232" s="305"/>
      <c r="CD232" s="305"/>
      <c r="CE232" s="305"/>
      <c r="CF232" s="305"/>
      <c r="CG232" s="305"/>
      <c r="CH232" s="305"/>
      <c r="CI232" s="305"/>
      <c r="CJ232" s="305"/>
      <c r="CK232" s="305"/>
      <c r="CL232" s="305"/>
      <c r="CM232" s="305"/>
      <c r="CN232" s="305"/>
      <c r="CO232" s="305"/>
      <c r="CP232" s="305"/>
      <c r="CQ232" s="305"/>
      <c r="CR232" s="305"/>
      <c r="CS232" s="305"/>
      <c r="CT232" s="305"/>
      <c r="CU232" s="305"/>
      <c r="CV232" s="305"/>
      <c r="CW232" s="305"/>
      <c r="CX232" s="305"/>
      <c r="CY232" s="305"/>
      <c r="CZ232" s="305"/>
      <c r="DA232" s="305"/>
      <c r="DB232" s="305"/>
      <c r="DC232" s="305"/>
      <c r="DD232" s="305"/>
      <c r="DE232" s="305"/>
      <c r="DF232" s="305"/>
      <c r="DG232" s="305"/>
      <c r="DH232" s="305"/>
      <c r="DI232" s="305"/>
      <c r="DJ232" s="305"/>
      <c r="DK232" s="305"/>
      <c r="DL232" s="305"/>
      <c r="DM232" s="305"/>
      <c r="DN232" s="305"/>
      <c r="DO232" s="305"/>
      <c r="DP232" s="305"/>
      <c r="DQ232" s="305"/>
      <c r="DR232" s="305"/>
      <c r="DS232" s="305"/>
      <c r="DT232" s="305"/>
      <c r="DU232" s="305"/>
      <c r="DV232" s="305"/>
      <c r="DW232" s="558"/>
      <c r="DX232" s="558"/>
      <c r="DY232" s="558"/>
      <c r="DZ232" s="558"/>
      <c r="EA232" s="558"/>
      <c r="EB232" s="558"/>
      <c r="EC232" s="558"/>
      <c r="ED232" s="558"/>
      <c r="EE232" s="558"/>
      <c r="EF232" s="558"/>
      <c r="EG232" s="558"/>
      <c r="EH232" s="558"/>
      <c r="EI232" s="558"/>
      <c r="EJ232" s="558"/>
      <c r="EK232" s="558"/>
      <c r="EL232" s="558"/>
      <c r="EM232" s="558"/>
      <c r="EN232" s="558"/>
      <c r="EO232" s="558"/>
      <c r="EP232" s="558"/>
      <c r="EQ232" s="674"/>
      <c r="ER232" s="305"/>
    </row>
    <row r="233" spans="4:148" s="556" customFormat="1" x14ac:dyDescent="0.2">
      <c r="D233" s="110"/>
      <c r="O233" s="669"/>
      <c r="P233" s="670"/>
      <c r="Q233" s="670"/>
      <c r="S233" s="674"/>
      <c r="AA233" s="674"/>
      <c r="AF233" s="305"/>
      <c r="AG233" s="305"/>
      <c r="AH233" s="305"/>
      <c r="AI233" s="305"/>
      <c r="AJ233" s="305"/>
      <c r="AK233" s="305"/>
      <c r="AL233" s="305"/>
      <c r="AM233" s="305"/>
      <c r="AN233" s="305"/>
      <c r="AO233" s="305"/>
      <c r="AP233" s="305"/>
      <c r="AQ233" s="305"/>
      <c r="AR233" s="305"/>
      <c r="AS233" s="305"/>
      <c r="AT233" s="305"/>
      <c r="AU233" s="305"/>
      <c r="AV233" s="305"/>
      <c r="AW233" s="305"/>
      <c r="AX233" s="305"/>
      <c r="AY233" s="305"/>
      <c r="AZ233" s="305"/>
      <c r="BA233" s="305"/>
      <c r="BB233" s="305"/>
      <c r="BC233" s="305"/>
      <c r="BD233" s="305"/>
      <c r="BE233" s="305"/>
      <c r="BF233" s="305"/>
      <c r="BG233" s="305"/>
      <c r="BH233" s="305"/>
      <c r="BI233" s="305"/>
      <c r="BJ233" s="305"/>
      <c r="BK233" s="305"/>
      <c r="BL233" s="305"/>
      <c r="BM233" s="305"/>
      <c r="BN233" s="305"/>
      <c r="BO233" s="305"/>
      <c r="BP233" s="305"/>
      <c r="BQ233" s="305"/>
      <c r="BR233" s="305"/>
      <c r="BS233" s="305"/>
      <c r="BT233" s="305"/>
      <c r="BU233" s="305"/>
      <c r="BV233" s="305"/>
      <c r="BW233" s="305"/>
      <c r="BX233" s="305"/>
      <c r="BY233" s="305"/>
      <c r="BZ233" s="305"/>
      <c r="CA233" s="305"/>
      <c r="CB233" s="305"/>
      <c r="CC233" s="305"/>
      <c r="CD233" s="305"/>
      <c r="CE233" s="305"/>
      <c r="CF233" s="305"/>
      <c r="CG233" s="305"/>
      <c r="CH233" s="305"/>
      <c r="CI233" s="305"/>
      <c r="CJ233" s="305"/>
      <c r="CK233" s="305"/>
      <c r="CL233" s="305"/>
      <c r="CM233" s="305"/>
      <c r="CN233" s="305"/>
      <c r="CO233" s="305"/>
      <c r="CP233" s="305"/>
      <c r="CQ233" s="305"/>
      <c r="CR233" s="305"/>
      <c r="CS233" s="305"/>
      <c r="CT233" s="305"/>
      <c r="CU233" s="305"/>
      <c r="CV233" s="305"/>
      <c r="CW233" s="305"/>
      <c r="CX233" s="305"/>
      <c r="CY233" s="305"/>
      <c r="CZ233" s="305"/>
      <c r="DA233" s="305"/>
      <c r="DB233" s="305"/>
      <c r="DC233" s="305"/>
      <c r="DD233" s="305"/>
      <c r="DE233" s="305"/>
      <c r="DF233" s="305"/>
      <c r="DG233" s="305"/>
      <c r="DH233" s="305"/>
      <c r="DI233" s="305"/>
      <c r="DJ233" s="305"/>
      <c r="DK233" s="305"/>
      <c r="DL233" s="305"/>
      <c r="DM233" s="305"/>
      <c r="DN233" s="305"/>
      <c r="DO233" s="305"/>
      <c r="DP233" s="305"/>
      <c r="DQ233" s="305"/>
      <c r="DR233" s="305"/>
      <c r="DS233" s="305"/>
      <c r="DT233" s="305"/>
      <c r="DU233" s="305"/>
      <c r="DV233" s="305"/>
      <c r="DW233" s="558"/>
      <c r="DX233" s="558"/>
      <c r="DY233" s="558"/>
      <c r="DZ233" s="558"/>
      <c r="EA233" s="558"/>
      <c r="EB233" s="558"/>
      <c r="EC233" s="558"/>
      <c r="ED233" s="558"/>
      <c r="EE233" s="558"/>
      <c r="EF233" s="558"/>
      <c r="EG233" s="558"/>
      <c r="EH233" s="558"/>
      <c r="EI233" s="558"/>
      <c r="EJ233" s="558"/>
      <c r="EK233" s="558"/>
      <c r="EL233" s="558"/>
      <c r="EM233" s="558"/>
      <c r="EN233" s="558"/>
      <c r="EO233" s="558"/>
      <c r="EP233" s="558"/>
      <c r="EQ233" s="674"/>
      <c r="ER233" s="305"/>
    </row>
    <row r="234" spans="4:148" s="556" customFormat="1" x14ac:dyDescent="0.2">
      <c r="D234" s="110"/>
      <c r="O234" s="669"/>
      <c r="P234" s="670"/>
      <c r="Q234" s="670"/>
      <c r="S234" s="674"/>
      <c r="AA234" s="674"/>
      <c r="AF234" s="305"/>
      <c r="AG234" s="305"/>
      <c r="AH234" s="305"/>
      <c r="AI234" s="305"/>
      <c r="AJ234" s="305"/>
      <c r="AK234" s="305"/>
      <c r="AL234" s="305"/>
      <c r="AM234" s="305"/>
      <c r="AN234" s="305"/>
      <c r="AO234" s="305"/>
      <c r="AP234" s="305"/>
      <c r="AQ234" s="305"/>
      <c r="AR234" s="305"/>
      <c r="AS234" s="305"/>
      <c r="AT234" s="305"/>
      <c r="AU234" s="305"/>
      <c r="AV234" s="305"/>
      <c r="AW234" s="305"/>
      <c r="AX234" s="305"/>
      <c r="AY234" s="305"/>
      <c r="AZ234" s="305"/>
      <c r="BA234" s="305"/>
      <c r="BB234" s="305"/>
      <c r="BC234" s="305"/>
      <c r="BD234" s="305"/>
      <c r="BE234" s="305"/>
      <c r="BF234" s="305"/>
      <c r="BG234" s="305"/>
      <c r="BH234" s="305"/>
      <c r="BI234" s="305"/>
      <c r="BJ234" s="305"/>
      <c r="BK234" s="305"/>
      <c r="BL234" s="305"/>
      <c r="BM234" s="305"/>
      <c r="BN234" s="305"/>
      <c r="BO234" s="305"/>
      <c r="BP234" s="305"/>
      <c r="BQ234" s="305"/>
      <c r="BR234" s="305"/>
      <c r="BS234" s="305"/>
      <c r="BT234" s="305"/>
      <c r="BU234" s="305"/>
      <c r="BV234" s="305"/>
      <c r="BW234" s="305"/>
      <c r="BX234" s="305"/>
      <c r="BY234" s="305"/>
      <c r="BZ234" s="305"/>
      <c r="CA234" s="305"/>
      <c r="CB234" s="305"/>
      <c r="CC234" s="305"/>
      <c r="CD234" s="305"/>
      <c r="CE234" s="305"/>
      <c r="CF234" s="305"/>
      <c r="CG234" s="305"/>
      <c r="CH234" s="305"/>
      <c r="CI234" s="305"/>
      <c r="CJ234" s="305"/>
      <c r="CK234" s="305"/>
      <c r="CL234" s="305"/>
      <c r="CM234" s="305"/>
      <c r="CN234" s="305"/>
      <c r="CO234" s="305"/>
      <c r="CP234" s="305"/>
      <c r="CQ234" s="305"/>
      <c r="CR234" s="305"/>
      <c r="CS234" s="305"/>
      <c r="CT234" s="305"/>
      <c r="CU234" s="305"/>
      <c r="CV234" s="305"/>
      <c r="CW234" s="305"/>
      <c r="CX234" s="305"/>
      <c r="CY234" s="305"/>
      <c r="CZ234" s="305"/>
      <c r="DA234" s="305"/>
      <c r="DB234" s="305"/>
      <c r="DC234" s="305"/>
      <c r="DD234" s="305"/>
      <c r="DE234" s="305"/>
      <c r="DF234" s="305"/>
      <c r="DG234" s="305"/>
      <c r="DH234" s="305"/>
      <c r="DI234" s="305"/>
      <c r="DJ234" s="305"/>
      <c r="DK234" s="305"/>
      <c r="DL234" s="305"/>
      <c r="DM234" s="305"/>
      <c r="DN234" s="305"/>
      <c r="DO234" s="305"/>
      <c r="DP234" s="305"/>
      <c r="DQ234" s="305"/>
      <c r="DR234" s="305"/>
      <c r="DS234" s="305"/>
      <c r="DT234" s="305"/>
      <c r="DU234" s="305"/>
      <c r="DV234" s="305"/>
      <c r="DW234" s="558"/>
      <c r="DX234" s="558"/>
      <c r="DY234" s="558"/>
      <c r="DZ234" s="558"/>
      <c r="EA234" s="558"/>
      <c r="EB234" s="558"/>
      <c r="EC234" s="558"/>
      <c r="ED234" s="558"/>
      <c r="EE234" s="558"/>
      <c r="EF234" s="558"/>
      <c r="EG234" s="558"/>
      <c r="EH234" s="558"/>
      <c r="EI234" s="558"/>
      <c r="EJ234" s="558"/>
      <c r="EK234" s="558"/>
      <c r="EL234" s="558"/>
      <c r="EM234" s="558"/>
      <c r="EN234" s="558"/>
      <c r="EO234" s="558"/>
      <c r="EP234" s="558"/>
      <c r="EQ234" s="674"/>
      <c r="ER234" s="305"/>
    </row>
    <row r="235" spans="4:148" s="556" customFormat="1" x14ac:dyDescent="0.2">
      <c r="D235" s="110"/>
      <c r="O235" s="669"/>
      <c r="P235" s="670"/>
      <c r="Q235" s="670"/>
      <c r="S235" s="674"/>
      <c r="AA235" s="674"/>
      <c r="AF235" s="305"/>
      <c r="AG235" s="305"/>
      <c r="AH235" s="305"/>
      <c r="AI235" s="305"/>
      <c r="AJ235" s="305"/>
      <c r="AK235" s="305"/>
      <c r="AL235" s="305"/>
      <c r="AM235" s="305"/>
      <c r="AN235" s="305"/>
      <c r="AO235" s="305"/>
      <c r="AP235" s="305"/>
      <c r="AQ235" s="305"/>
      <c r="AR235" s="305"/>
      <c r="AS235" s="305"/>
      <c r="AT235" s="305"/>
      <c r="AU235" s="305"/>
      <c r="AV235" s="305"/>
      <c r="AW235" s="305"/>
      <c r="AX235" s="305"/>
      <c r="AY235" s="305"/>
      <c r="AZ235" s="305"/>
      <c r="BA235" s="305"/>
      <c r="BB235" s="305"/>
      <c r="BC235" s="305"/>
      <c r="BD235" s="305"/>
      <c r="BE235" s="305"/>
      <c r="BF235" s="305"/>
      <c r="BG235" s="305"/>
      <c r="BH235" s="305"/>
      <c r="BI235" s="305"/>
      <c r="BJ235" s="305"/>
      <c r="BK235" s="305"/>
      <c r="BL235" s="305"/>
      <c r="BM235" s="305"/>
      <c r="BN235" s="305"/>
      <c r="BO235" s="305"/>
      <c r="BP235" s="305"/>
      <c r="BQ235" s="305"/>
      <c r="BR235" s="305"/>
      <c r="BS235" s="305"/>
      <c r="BT235" s="305"/>
      <c r="BU235" s="305"/>
      <c r="BV235" s="305"/>
      <c r="BW235" s="305"/>
      <c r="BX235" s="305"/>
      <c r="BY235" s="305"/>
      <c r="BZ235" s="305"/>
      <c r="CA235" s="305"/>
      <c r="CB235" s="305"/>
      <c r="CC235" s="305"/>
      <c r="CD235" s="305"/>
      <c r="CE235" s="305"/>
      <c r="CF235" s="305"/>
      <c r="CG235" s="305"/>
      <c r="CH235" s="305"/>
      <c r="CI235" s="305"/>
      <c r="CJ235" s="305"/>
      <c r="CK235" s="305"/>
      <c r="CL235" s="305"/>
      <c r="CM235" s="305"/>
      <c r="CN235" s="305"/>
      <c r="CO235" s="305"/>
      <c r="CP235" s="305"/>
      <c r="CQ235" s="305"/>
      <c r="CR235" s="305"/>
      <c r="CS235" s="305"/>
      <c r="CT235" s="305"/>
      <c r="CU235" s="305"/>
      <c r="CV235" s="305"/>
      <c r="CW235" s="305"/>
      <c r="CX235" s="305"/>
      <c r="CY235" s="305"/>
      <c r="CZ235" s="305"/>
      <c r="DA235" s="305"/>
      <c r="DB235" s="305"/>
      <c r="DC235" s="305"/>
      <c r="DD235" s="305"/>
      <c r="DE235" s="305"/>
      <c r="DF235" s="305"/>
      <c r="DG235" s="305"/>
      <c r="DH235" s="305"/>
      <c r="DI235" s="305"/>
      <c r="DJ235" s="305"/>
      <c r="DK235" s="305"/>
      <c r="DL235" s="305"/>
      <c r="DM235" s="305"/>
      <c r="DN235" s="305"/>
      <c r="DO235" s="305"/>
      <c r="DP235" s="305"/>
      <c r="DQ235" s="305"/>
      <c r="DR235" s="305"/>
      <c r="DS235" s="305"/>
      <c r="DT235" s="305"/>
      <c r="DU235" s="305"/>
      <c r="DV235" s="305"/>
      <c r="DW235" s="558"/>
      <c r="DX235" s="558"/>
      <c r="DY235" s="558"/>
      <c r="DZ235" s="558"/>
      <c r="EA235" s="558"/>
      <c r="EB235" s="558"/>
      <c r="EC235" s="558"/>
      <c r="ED235" s="558"/>
      <c r="EE235" s="558"/>
      <c r="EF235" s="558"/>
      <c r="EG235" s="558"/>
      <c r="EH235" s="558"/>
      <c r="EI235" s="558"/>
      <c r="EJ235" s="558"/>
      <c r="EK235" s="558"/>
      <c r="EL235" s="558"/>
      <c r="EM235" s="558"/>
      <c r="EN235" s="558"/>
      <c r="EO235" s="558"/>
      <c r="EP235" s="558"/>
      <c r="EQ235" s="674"/>
      <c r="ER235" s="305"/>
    </row>
    <row r="236" spans="4:148" s="556" customFormat="1" x14ac:dyDescent="0.2">
      <c r="D236" s="110"/>
      <c r="O236" s="669"/>
      <c r="P236" s="670"/>
      <c r="Q236" s="670"/>
      <c r="S236" s="674"/>
      <c r="AA236" s="674"/>
      <c r="AF236" s="305"/>
      <c r="AG236" s="305"/>
      <c r="AH236" s="305"/>
      <c r="AI236" s="305"/>
      <c r="AJ236" s="305"/>
      <c r="AK236" s="305"/>
      <c r="AL236" s="305"/>
      <c r="AM236" s="305"/>
      <c r="AN236" s="305"/>
      <c r="AO236" s="305"/>
      <c r="AP236" s="305"/>
      <c r="AQ236" s="305"/>
      <c r="AR236" s="305"/>
      <c r="AS236" s="305"/>
      <c r="AT236" s="305"/>
      <c r="AU236" s="305"/>
      <c r="AV236" s="305"/>
      <c r="AW236" s="305"/>
      <c r="AX236" s="305"/>
      <c r="AY236" s="305"/>
      <c r="AZ236" s="305"/>
      <c r="BA236" s="305"/>
      <c r="BB236" s="305"/>
      <c r="BC236" s="305"/>
      <c r="BD236" s="305"/>
      <c r="BE236" s="305"/>
      <c r="BF236" s="305"/>
      <c r="BG236" s="305"/>
      <c r="BH236" s="305"/>
      <c r="BI236" s="305"/>
      <c r="BJ236" s="305"/>
      <c r="BK236" s="305"/>
      <c r="BL236" s="305"/>
      <c r="BM236" s="305"/>
      <c r="BN236" s="305"/>
      <c r="BO236" s="305"/>
      <c r="BP236" s="305"/>
      <c r="BQ236" s="305"/>
      <c r="BR236" s="305"/>
      <c r="BS236" s="305"/>
      <c r="BT236" s="305"/>
      <c r="BU236" s="305"/>
      <c r="BV236" s="305"/>
      <c r="BW236" s="305"/>
      <c r="BX236" s="305"/>
      <c r="BY236" s="305"/>
      <c r="BZ236" s="305"/>
      <c r="CA236" s="305"/>
      <c r="CB236" s="305"/>
      <c r="CC236" s="305"/>
      <c r="CD236" s="305"/>
      <c r="CE236" s="305"/>
      <c r="CF236" s="305"/>
      <c r="CG236" s="305"/>
      <c r="CH236" s="305"/>
      <c r="CI236" s="305"/>
      <c r="CJ236" s="305"/>
      <c r="CK236" s="305"/>
      <c r="CL236" s="305"/>
      <c r="CM236" s="305"/>
      <c r="CN236" s="305"/>
      <c r="CO236" s="305"/>
      <c r="CP236" s="305"/>
      <c r="CQ236" s="305"/>
      <c r="CR236" s="305"/>
      <c r="CS236" s="305"/>
      <c r="CT236" s="305"/>
      <c r="CU236" s="305"/>
      <c r="CV236" s="305"/>
      <c r="CW236" s="305"/>
      <c r="CX236" s="305"/>
      <c r="CY236" s="305"/>
      <c r="CZ236" s="305"/>
      <c r="DA236" s="305"/>
      <c r="DB236" s="305"/>
      <c r="DC236" s="305"/>
      <c r="DD236" s="305"/>
      <c r="DE236" s="305"/>
      <c r="DF236" s="305"/>
      <c r="DG236" s="305"/>
      <c r="DH236" s="305"/>
      <c r="DI236" s="305"/>
      <c r="DJ236" s="305"/>
      <c r="DK236" s="305"/>
      <c r="DL236" s="305"/>
      <c r="DM236" s="305"/>
      <c r="DN236" s="305"/>
      <c r="DO236" s="305"/>
      <c r="DP236" s="305"/>
      <c r="DQ236" s="305"/>
      <c r="DR236" s="305"/>
      <c r="DS236" s="305"/>
      <c r="DT236" s="305"/>
      <c r="DU236" s="305"/>
      <c r="DV236" s="305"/>
      <c r="DW236" s="558"/>
      <c r="DX236" s="558"/>
      <c r="DY236" s="558"/>
      <c r="DZ236" s="558"/>
      <c r="EA236" s="558"/>
      <c r="EB236" s="558"/>
      <c r="EC236" s="558"/>
      <c r="ED236" s="558"/>
      <c r="EE236" s="558"/>
      <c r="EF236" s="558"/>
      <c r="EG236" s="558"/>
      <c r="EH236" s="558"/>
      <c r="EI236" s="558"/>
      <c r="EJ236" s="558"/>
      <c r="EK236" s="558"/>
      <c r="EL236" s="558"/>
      <c r="EM236" s="558"/>
      <c r="EN236" s="558"/>
      <c r="EO236" s="558"/>
      <c r="EP236" s="558"/>
      <c r="EQ236" s="674"/>
      <c r="ER236" s="305"/>
    </row>
    <row r="237" spans="4:148" s="556" customFormat="1" x14ac:dyDescent="0.2">
      <c r="D237" s="110"/>
      <c r="O237" s="669"/>
      <c r="P237" s="670"/>
      <c r="Q237" s="670"/>
      <c r="S237" s="674"/>
      <c r="AA237" s="674"/>
      <c r="AF237" s="305"/>
      <c r="AG237" s="305"/>
      <c r="AH237" s="305"/>
      <c r="AI237" s="305"/>
      <c r="AJ237" s="305"/>
      <c r="AK237" s="305"/>
      <c r="AL237" s="305"/>
      <c r="AM237" s="305"/>
      <c r="AN237" s="305"/>
      <c r="AO237" s="305"/>
      <c r="AP237" s="305"/>
      <c r="AQ237" s="305"/>
      <c r="AR237" s="305"/>
      <c r="AS237" s="305"/>
      <c r="AT237" s="305"/>
      <c r="AU237" s="305"/>
      <c r="AV237" s="305"/>
      <c r="AW237" s="305"/>
      <c r="AX237" s="305"/>
      <c r="AY237" s="305"/>
      <c r="AZ237" s="305"/>
      <c r="BA237" s="305"/>
      <c r="BB237" s="305"/>
      <c r="BC237" s="305"/>
      <c r="BD237" s="305"/>
      <c r="BE237" s="305"/>
      <c r="BF237" s="305"/>
      <c r="BG237" s="305"/>
      <c r="BH237" s="305"/>
      <c r="BI237" s="305"/>
      <c r="BJ237" s="305"/>
      <c r="BK237" s="305"/>
      <c r="BL237" s="305"/>
      <c r="BM237" s="305"/>
      <c r="BN237" s="305"/>
      <c r="BO237" s="305"/>
      <c r="BP237" s="305"/>
      <c r="BQ237" s="305"/>
      <c r="BR237" s="305"/>
      <c r="BS237" s="305"/>
      <c r="BT237" s="305"/>
      <c r="BU237" s="305"/>
      <c r="BV237" s="305"/>
      <c r="BW237" s="305"/>
      <c r="BX237" s="305"/>
      <c r="BY237" s="305"/>
      <c r="BZ237" s="305"/>
      <c r="CA237" s="305"/>
      <c r="CB237" s="305"/>
      <c r="CC237" s="305"/>
      <c r="CD237" s="305"/>
      <c r="CE237" s="305"/>
      <c r="CF237" s="305"/>
      <c r="CG237" s="305"/>
      <c r="CH237" s="305"/>
      <c r="CI237" s="305"/>
      <c r="CJ237" s="305"/>
      <c r="CK237" s="305"/>
      <c r="CL237" s="305"/>
      <c r="CM237" s="305"/>
      <c r="CN237" s="305"/>
      <c r="CO237" s="305"/>
      <c r="CP237" s="305"/>
      <c r="CQ237" s="305"/>
      <c r="CR237" s="305"/>
      <c r="CS237" s="305"/>
      <c r="CT237" s="305"/>
      <c r="CU237" s="305"/>
      <c r="CV237" s="305"/>
      <c r="CW237" s="305"/>
      <c r="CX237" s="305"/>
      <c r="CY237" s="305"/>
      <c r="CZ237" s="305"/>
      <c r="DA237" s="305"/>
      <c r="DB237" s="305"/>
      <c r="DC237" s="305"/>
      <c r="DD237" s="305"/>
      <c r="DE237" s="305"/>
      <c r="DF237" s="305"/>
      <c r="DG237" s="305"/>
      <c r="DH237" s="305"/>
      <c r="DI237" s="305"/>
      <c r="DJ237" s="305"/>
      <c r="DK237" s="305"/>
      <c r="DL237" s="305"/>
      <c r="DM237" s="305"/>
      <c r="DN237" s="305"/>
      <c r="DO237" s="305"/>
      <c r="DP237" s="305"/>
      <c r="DQ237" s="305"/>
      <c r="DR237" s="305"/>
      <c r="DS237" s="305"/>
      <c r="DT237" s="305"/>
      <c r="DU237" s="305"/>
      <c r="DV237" s="305"/>
      <c r="DW237" s="558"/>
      <c r="DX237" s="558"/>
      <c r="DY237" s="558"/>
      <c r="DZ237" s="558"/>
      <c r="EA237" s="558"/>
      <c r="EB237" s="558"/>
      <c r="EC237" s="558"/>
      <c r="ED237" s="558"/>
      <c r="EE237" s="558"/>
      <c r="EF237" s="558"/>
      <c r="EG237" s="558"/>
      <c r="EH237" s="558"/>
      <c r="EI237" s="558"/>
      <c r="EJ237" s="558"/>
      <c r="EK237" s="558"/>
      <c r="EL237" s="558"/>
      <c r="EM237" s="558"/>
      <c r="EN237" s="558"/>
      <c r="EO237" s="558"/>
      <c r="EP237" s="558"/>
      <c r="EQ237" s="674"/>
      <c r="ER237" s="305"/>
    </row>
    <row r="238" spans="4:148" s="556" customFormat="1" x14ac:dyDescent="0.2">
      <c r="D238" s="110"/>
      <c r="O238" s="669"/>
      <c r="P238" s="670"/>
      <c r="Q238" s="670"/>
      <c r="S238" s="674"/>
      <c r="AA238" s="674"/>
      <c r="AF238" s="305"/>
      <c r="AG238" s="305"/>
      <c r="AH238" s="305"/>
      <c r="AI238" s="305"/>
      <c r="AJ238" s="305"/>
      <c r="AK238" s="305"/>
      <c r="AL238" s="305"/>
      <c r="AM238" s="305"/>
      <c r="AN238" s="305"/>
      <c r="AO238" s="305"/>
      <c r="AP238" s="305"/>
      <c r="AQ238" s="305"/>
      <c r="AR238" s="305"/>
      <c r="AS238" s="305"/>
      <c r="AT238" s="305"/>
      <c r="AU238" s="305"/>
      <c r="AV238" s="305"/>
      <c r="AW238" s="305"/>
      <c r="AX238" s="305"/>
      <c r="AY238" s="305"/>
      <c r="AZ238" s="305"/>
      <c r="BA238" s="305"/>
      <c r="BB238" s="305"/>
      <c r="BC238" s="305"/>
      <c r="BD238" s="305"/>
      <c r="BE238" s="305"/>
      <c r="BF238" s="305"/>
      <c r="BG238" s="305"/>
      <c r="BH238" s="305"/>
      <c r="BI238" s="305"/>
      <c r="BJ238" s="305"/>
      <c r="BK238" s="305"/>
      <c r="BL238" s="305"/>
      <c r="BM238" s="305"/>
      <c r="BN238" s="305"/>
      <c r="BO238" s="305"/>
      <c r="BP238" s="305"/>
      <c r="BQ238" s="305"/>
      <c r="BR238" s="305"/>
      <c r="BS238" s="305"/>
      <c r="BT238" s="305"/>
      <c r="BU238" s="305"/>
      <c r="BV238" s="305"/>
      <c r="BW238" s="305"/>
      <c r="BX238" s="305"/>
      <c r="BY238" s="305"/>
      <c r="BZ238" s="305"/>
      <c r="CA238" s="305"/>
      <c r="CB238" s="305"/>
      <c r="CC238" s="305"/>
      <c r="CD238" s="305"/>
      <c r="CE238" s="305"/>
      <c r="CF238" s="305"/>
      <c r="CG238" s="305"/>
      <c r="CH238" s="305"/>
      <c r="CI238" s="305"/>
      <c r="CJ238" s="305"/>
      <c r="CK238" s="305"/>
      <c r="CL238" s="305"/>
      <c r="CM238" s="305"/>
      <c r="CN238" s="305"/>
      <c r="CO238" s="305"/>
      <c r="CP238" s="305"/>
      <c r="CQ238" s="305"/>
      <c r="CR238" s="305"/>
      <c r="CS238" s="305"/>
      <c r="CT238" s="305"/>
      <c r="CU238" s="305"/>
      <c r="CV238" s="305"/>
      <c r="CW238" s="305"/>
      <c r="CX238" s="305"/>
      <c r="CY238" s="305"/>
      <c r="CZ238" s="305"/>
      <c r="DA238" s="305"/>
      <c r="DB238" s="305"/>
      <c r="DC238" s="305"/>
      <c r="DD238" s="305"/>
      <c r="DE238" s="305"/>
      <c r="DF238" s="305"/>
      <c r="DG238" s="305"/>
      <c r="DH238" s="305"/>
      <c r="DI238" s="305"/>
      <c r="DJ238" s="305"/>
      <c r="DK238" s="305"/>
      <c r="DL238" s="305"/>
      <c r="DM238" s="305"/>
      <c r="DN238" s="305"/>
      <c r="DO238" s="305"/>
      <c r="DP238" s="305"/>
      <c r="DQ238" s="305"/>
      <c r="DR238" s="305"/>
      <c r="DS238" s="305"/>
      <c r="DT238" s="305"/>
      <c r="DU238" s="305"/>
      <c r="DV238" s="305"/>
      <c r="DW238" s="558"/>
      <c r="DX238" s="558"/>
      <c r="DY238" s="558"/>
      <c r="DZ238" s="558"/>
      <c r="EA238" s="558"/>
      <c r="EB238" s="558"/>
      <c r="EC238" s="558"/>
      <c r="ED238" s="558"/>
      <c r="EE238" s="558"/>
      <c r="EF238" s="558"/>
      <c r="EG238" s="558"/>
      <c r="EH238" s="558"/>
      <c r="EI238" s="558"/>
      <c r="EJ238" s="558"/>
      <c r="EK238" s="558"/>
      <c r="EL238" s="558"/>
      <c r="EM238" s="558"/>
      <c r="EN238" s="558"/>
      <c r="EO238" s="558"/>
      <c r="EP238" s="558"/>
      <c r="EQ238" s="674"/>
      <c r="ER238" s="305"/>
    </row>
    <row r="239" spans="4:148" s="556" customFormat="1" x14ac:dyDescent="0.2">
      <c r="D239" s="110"/>
      <c r="O239" s="669"/>
      <c r="P239" s="670"/>
      <c r="Q239" s="670"/>
      <c r="S239" s="674"/>
      <c r="AA239" s="674"/>
      <c r="AF239" s="305"/>
      <c r="AG239" s="305"/>
      <c r="AH239" s="305"/>
      <c r="AI239" s="305"/>
      <c r="AJ239" s="305"/>
      <c r="AK239" s="305"/>
      <c r="AL239" s="305"/>
      <c r="AM239" s="305"/>
      <c r="AN239" s="305"/>
      <c r="AO239" s="305"/>
      <c r="AP239" s="305"/>
      <c r="AQ239" s="305"/>
      <c r="AR239" s="305"/>
      <c r="AS239" s="305"/>
      <c r="AT239" s="305"/>
      <c r="AU239" s="305"/>
      <c r="AV239" s="305"/>
      <c r="AW239" s="305"/>
      <c r="AX239" s="305"/>
      <c r="AY239" s="305"/>
      <c r="AZ239" s="305"/>
      <c r="BA239" s="305"/>
      <c r="BB239" s="305"/>
      <c r="BC239" s="305"/>
      <c r="BD239" s="305"/>
      <c r="BE239" s="305"/>
      <c r="BF239" s="305"/>
      <c r="BG239" s="305"/>
      <c r="BH239" s="305"/>
      <c r="BI239" s="305"/>
      <c r="BJ239" s="305"/>
      <c r="BK239" s="305"/>
      <c r="BL239" s="305"/>
      <c r="BM239" s="305"/>
      <c r="BN239" s="305"/>
      <c r="BO239" s="305"/>
      <c r="BP239" s="305"/>
      <c r="BQ239" s="305"/>
      <c r="BR239" s="305"/>
      <c r="BS239" s="305"/>
      <c r="BT239" s="305"/>
      <c r="BU239" s="305"/>
      <c r="BV239" s="305"/>
      <c r="BW239" s="305"/>
      <c r="BX239" s="305"/>
      <c r="BY239" s="305"/>
      <c r="BZ239" s="305"/>
      <c r="CA239" s="305"/>
      <c r="CB239" s="305"/>
      <c r="CC239" s="305"/>
      <c r="CD239" s="305"/>
      <c r="CE239" s="305"/>
      <c r="CF239" s="305"/>
      <c r="CG239" s="305"/>
      <c r="CH239" s="305"/>
      <c r="CI239" s="305"/>
      <c r="CJ239" s="305"/>
      <c r="CK239" s="305"/>
      <c r="CL239" s="305"/>
      <c r="CM239" s="305"/>
      <c r="CN239" s="305"/>
      <c r="CO239" s="305"/>
      <c r="CP239" s="305"/>
      <c r="CQ239" s="305"/>
      <c r="CR239" s="305"/>
      <c r="CS239" s="305"/>
      <c r="CT239" s="305"/>
      <c r="CU239" s="305"/>
      <c r="CV239" s="305"/>
      <c r="CW239" s="305"/>
      <c r="CX239" s="305"/>
      <c r="CY239" s="305"/>
      <c r="CZ239" s="305"/>
      <c r="DA239" s="305"/>
      <c r="DB239" s="305"/>
      <c r="DC239" s="305"/>
      <c r="DD239" s="305"/>
      <c r="DE239" s="305"/>
      <c r="DF239" s="305"/>
      <c r="DG239" s="305"/>
      <c r="DH239" s="305"/>
      <c r="DI239" s="305"/>
      <c r="DJ239" s="305"/>
      <c r="DK239" s="305"/>
      <c r="DL239" s="305"/>
      <c r="DM239" s="305"/>
      <c r="DN239" s="305"/>
      <c r="DO239" s="305"/>
      <c r="DP239" s="305"/>
      <c r="DQ239" s="305"/>
      <c r="DR239" s="305"/>
      <c r="DS239" s="305"/>
      <c r="DT239" s="305"/>
      <c r="DU239" s="305"/>
      <c r="DV239" s="305"/>
      <c r="DW239" s="558"/>
      <c r="DX239" s="558"/>
      <c r="DY239" s="558"/>
      <c r="DZ239" s="558"/>
      <c r="EA239" s="558"/>
      <c r="EB239" s="558"/>
      <c r="EC239" s="558"/>
      <c r="ED239" s="558"/>
      <c r="EE239" s="558"/>
      <c r="EF239" s="558"/>
      <c r="EG239" s="558"/>
      <c r="EH239" s="558"/>
      <c r="EI239" s="558"/>
      <c r="EJ239" s="558"/>
      <c r="EK239" s="558"/>
      <c r="EL239" s="558"/>
      <c r="EM239" s="558"/>
      <c r="EN239" s="558"/>
      <c r="EO239" s="558"/>
      <c r="EP239" s="558"/>
      <c r="EQ239" s="674"/>
      <c r="ER239" s="305"/>
    </row>
    <row r="240" spans="4:148" s="556" customFormat="1" x14ac:dyDescent="0.2">
      <c r="D240" s="110"/>
      <c r="O240" s="669"/>
      <c r="P240" s="670"/>
      <c r="Q240" s="670"/>
      <c r="S240" s="674"/>
      <c r="AA240" s="674"/>
      <c r="AF240" s="305"/>
      <c r="AG240" s="305"/>
      <c r="AH240" s="305"/>
      <c r="AI240" s="305"/>
      <c r="AJ240" s="305"/>
      <c r="AK240" s="305"/>
      <c r="AL240" s="305"/>
      <c r="AM240" s="305"/>
      <c r="AN240" s="305"/>
      <c r="AO240" s="305"/>
      <c r="AP240" s="305"/>
      <c r="AQ240" s="305"/>
      <c r="AR240" s="305"/>
      <c r="AS240" s="305"/>
      <c r="AT240" s="305"/>
      <c r="AU240" s="305"/>
      <c r="AV240" s="305"/>
      <c r="AW240" s="305"/>
      <c r="AX240" s="305"/>
      <c r="AY240" s="305"/>
      <c r="AZ240" s="305"/>
      <c r="BA240" s="305"/>
      <c r="BB240" s="305"/>
      <c r="BC240" s="305"/>
      <c r="BD240" s="305"/>
      <c r="BE240" s="305"/>
      <c r="BF240" s="305"/>
      <c r="BG240" s="305"/>
      <c r="BH240" s="305"/>
      <c r="BI240" s="305"/>
      <c r="BJ240" s="305"/>
      <c r="BK240" s="305"/>
      <c r="BL240" s="305"/>
      <c r="BM240" s="305"/>
      <c r="BN240" s="305"/>
      <c r="BO240" s="305"/>
      <c r="BP240" s="305"/>
      <c r="BQ240" s="305"/>
      <c r="BR240" s="305"/>
      <c r="BS240" s="305"/>
      <c r="BT240" s="305"/>
      <c r="BU240" s="305"/>
      <c r="BV240" s="305"/>
      <c r="BW240" s="305"/>
      <c r="BX240" s="305"/>
      <c r="BY240" s="305"/>
      <c r="BZ240" s="305"/>
      <c r="CA240" s="305"/>
      <c r="CB240" s="305"/>
      <c r="CC240" s="305"/>
      <c r="CD240" s="305"/>
      <c r="CE240" s="305"/>
      <c r="CF240" s="305"/>
      <c r="CG240" s="305"/>
      <c r="CH240" s="305"/>
      <c r="CI240" s="305"/>
      <c r="CJ240" s="305"/>
      <c r="CK240" s="305"/>
      <c r="CL240" s="305"/>
      <c r="CM240" s="305"/>
      <c r="CN240" s="305"/>
      <c r="CO240" s="305"/>
      <c r="CP240" s="305"/>
      <c r="CQ240" s="305"/>
      <c r="CR240" s="305"/>
      <c r="CS240" s="305"/>
      <c r="CT240" s="305"/>
      <c r="CU240" s="305"/>
      <c r="CV240" s="305"/>
      <c r="CW240" s="305"/>
      <c r="CX240" s="305"/>
      <c r="CY240" s="305"/>
      <c r="CZ240" s="305"/>
      <c r="DA240" s="305"/>
      <c r="DB240" s="305"/>
      <c r="DC240" s="305"/>
      <c r="DD240" s="305"/>
      <c r="DE240" s="305"/>
      <c r="DF240" s="305"/>
      <c r="DG240" s="305"/>
      <c r="DH240" s="305"/>
      <c r="DI240" s="305"/>
      <c r="DJ240" s="305"/>
      <c r="DK240" s="305"/>
      <c r="DL240" s="305"/>
      <c r="DM240" s="305"/>
      <c r="DN240" s="305"/>
      <c r="DO240" s="305"/>
      <c r="DP240" s="305"/>
      <c r="DQ240" s="305"/>
      <c r="DR240" s="305"/>
      <c r="DS240" s="305"/>
      <c r="DT240" s="305"/>
      <c r="DU240" s="305"/>
      <c r="DV240" s="305"/>
      <c r="DW240" s="558"/>
      <c r="DX240" s="558"/>
      <c r="DY240" s="558"/>
      <c r="DZ240" s="558"/>
      <c r="EA240" s="558"/>
      <c r="EB240" s="558"/>
      <c r="EC240" s="558"/>
      <c r="ED240" s="558"/>
      <c r="EE240" s="558"/>
      <c r="EF240" s="558"/>
      <c r="EG240" s="558"/>
      <c r="EH240" s="558"/>
      <c r="EI240" s="558"/>
      <c r="EJ240" s="558"/>
      <c r="EK240" s="558"/>
      <c r="EL240" s="558"/>
      <c r="EM240" s="558"/>
      <c r="EN240" s="558"/>
      <c r="EO240" s="558"/>
      <c r="EP240" s="558"/>
      <c r="EQ240" s="674"/>
      <c r="ER240" s="305"/>
    </row>
    <row r="241" spans="4:148" s="556" customFormat="1" x14ac:dyDescent="0.2">
      <c r="D241" s="110"/>
      <c r="O241" s="669"/>
      <c r="P241" s="670"/>
      <c r="Q241" s="670"/>
      <c r="S241" s="674"/>
      <c r="AA241" s="674"/>
      <c r="AF241" s="305"/>
      <c r="AG241" s="305"/>
      <c r="AH241" s="305"/>
      <c r="AI241" s="305"/>
      <c r="AJ241" s="305"/>
      <c r="AK241" s="305"/>
      <c r="AL241" s="305"/>
      <c r="AM241" s="305"/>
      <c r="AN241" s="305"/>
      <c r="AO241" s="305"/>
      <c r="AP241" s="305"/>
      <c r="AQ241" s="305"/>
      <c r="AR241" s="305"/>
      <c r="AS241" s="305"/>
      <c r="AT241" s="305"/>
      <c r="AU241" s="305"/>
      <c r="AV241" s="305"/>
      <c r="AW241" s="305"/>
      <c r="AX241" s="305"/>
      <c r="AY241" s="305"/>
      <c r="AZ241" s="305"/>
      <c r="BA241" s="305"/>
      <c r="BB241" s="305"/>
      <c r="BC241" s="305"/>
      <c r="BD241" s="305"/>
      <c r="BE241" s="305"/>
      <c r="BF241" s="305"/>
      <c r="BG241" s="305"/>
      <c r="BH241" s="305"/>
      <c r="BI241" s="305"/>
      <c r="BJ241" s="305"/>
      <c r="BK241" s="305"/>
      <c r="BL241" s="305"/>
      <c r="BM241" s="305"/>
      <c r="BN241" s="305"/>
      <c r="BO241" s="305"/>
      <c r="BP241" s="305"/>
      <c r="BQ241" s="305"/>
      <c r="BR241" s="305"/>
      <c r="BS241" s="305"/>
      <c r="BT241" s="305"/>
      <c r="BU241" s="305"/>
      <c r="BV241" s="305"/>
      <c r="BW241" s="305"/>
      <c r="BX241" s="305"/>
      <c r="BY241" s="305"/>
      <c r="BZ241" s="305"/>
      <c r="CA241" s="305"/>
      <c r="CB241" s="305"/>
      <c r="CC241" s="305"/>
      <c r="CD241" s="305"/>
      <c r="CE241" s="305"/>
      <c r="CF241" s="305"/>
      <c r="CG241" s="305"/>
      <c r="CH241" s="305"/>
      <c r="CI241" s="305"/>
      <c r="CJ241" s="305"/>
      <c r="CK241" s="305"/>
      <c r="CL241" s="305"/>
      <c r="CM241" s="305"/>
      <c r="CN241" s="305"/>
      <c r="CO241" s="305"/>
      <c r="CP241" s="305"/>
      <c r="CQ241" s="305"/>
      <c r="CR241" s="305"/>
      <c r="CS241" s="305"/>
      <c r="CT241" s="305"/>
      <c r="CU241" s="305"/>
      <c r="CV241" s="305"/>
      <c r="CW241" s="305"/>
      <c r="CX241" s="305"/>
      <c r="CY241" s="305"/>
      <c r="CZ241" s="305"/>
      <c r="DA241" s="305"/>
      <c r="DB241" s="305"/>
      <c r="DC241" s="305"/>
      <c r="DD241" s="305"/>
      <c r="DE241" s="305"/>
      <c r="DF241" s="305"/>
      <c r="DG241" s="305"/>
      <c r="DH241" s="305"/>
      <c r="DI241" s="305"/>
      <c r="DJ241" s="305"/>
      <c r="DK241" s="305"/>
      <c r="DL241" s="305"/>
      <c r="DM241" s="305"/>
      <c r="DN241" s="305"/>
      <c r="DO241" s="305"/>
      <c r="DP241" s="305"/>
      <c r="DQ241" s="305"/>
      <c r="DR241" s="305"/>
      <c r="DS241" s="305"/>
      <c r="DT241" s="305"/>
      <c r="DU241" s="305"/>
      <c r="DV241" s="305"/>
      <c r="DW241" s="558"/>
      <c r="DX241" s="558"/>
      <c r="DY241" s="558"/>
      <c r="DZ241" s="558"/>
      <c r="EA241" s="558"/>
      <c r="EB241" s="558"/>
      <c r="EC241" s="558"/>
      <c r="ED241" s="558"/>
      <c r="EE241" s="558"/>
      <c r="EF241" s="558"/>
      <c r="EG241" s="558"/>
      <c r="EH241" s="558"/>
      <c r="EI241" s="558"/>
      <c r="EJ241" s="558"/>
      <c r="EK241" s="558"/>
      <c r="EL241" s="558"/>
      <c r="EM241" s="558"/>
      <c r="EN241" s="558"/>
      <c r="EO241" s="558"/>
      <c r="EP241" s="558"/>
      <c r="EQ241" s="674"/>
      <c r="ER241" s="305"/>
    </row>
    <row r="242" spans="4:148" s="556" customFormat="1" x14ac:dyDescent="0.2">
      <c r="D242" s="110"/>
      <c r="O242" s="669"/>
      <c r="P242" s="670"/>
      <c r="Q242" s="670"/>
      <c r="S242" s="674"/>
      <c r="AA242" s="674"/>
      <c r="AF242" s="305"/>
      <c r="AG242" s="305"/>
      <c r="AH242" s="305"/>
      <c r="AI242" s="305"/>
      <c r="AJ242" s="305"/>
      <c r="AK242" s="305"/>
      <c r="AL242" s="305"/>
      <c r="AM242" s="305"/>
      <c r="AN242" s="305"/>
      <c r="AO242" s="305"/>
      <c r="AP242" s="305"/>
      <c r="AQ242" s="305"/>
      <c r="AR242" s="305"/>
      <c r="AS242" s="305"/>
      <c r="AT242" s="305"/>
      <c r="AU242" s="305"/>
      <c r="AV242" s="305"/>
      <c r="AW242" s="305"/>
      <c r="AX242" s="305"/>
      <c r="AY242" s="305"/>
      <c r="AZ242" s="305"/>
      <c r="BA242" s="305"/>
      <c r="BB242" s="305"/>
      <c r="BC242" s="305"/>
      <c r="BD242" s="305"/>
      <c r="BE242" s="305"/>
      <c r="BF242" s="305"/>
      <c r="BG242" s="305"/>
      <c r="BH242" s="305"/>
      <c r="BI242" s="305"/>
      <c r="BJ242" s="305"/>
      <c r="BK242" s="305"/>
      <c r="BL242" s="305"/>
      <c r="BM242" s="305"/>
      <c r="BN242" s="305"/>
      <c r="BO242" s="305"/>
      <c r="BP242" s="305"/>
      <c r="BQ242" s="305"/>
      <c r="BR242" s="305"/>
      <c r="BS242" s="305"/>
      <c r="BT242" s="305"/>
      <c r="BU242" s="305"/>
      <c r="BV242" s="305"/>
      <c r="BW242" s="305"/>
      <c r="BX242" s="305"/>
      <c r="BY242" s="305"/>
      <c r="BZ242" s="305"/>
      <c r="CA242" s="305"/>
      <c r="CB242" s="305"/>
      <c r="CC242" s="305"/>
      <c r="CD242" s="305"/>
      <c r="CE242" s="305"/>
      <c r="CF242" s="305"/>
      <c r="CG242" s="305"/>
      <c r="CH242" s="305"/>
      <c r="CI242" s="305"/>
      <c r="CJ242" s="305"/>
      <c r="CK242" s="305"/>
      <c r="CL242" s="305"/>
      <c r="CM242" s="305"/>
      <c r="CN242" s="305"/>
      <c r="CO242" s="305"/>
      <c r="CP242" s="305"/>
      <c r="CQ242" s="305"/>
      <c r="CR242" s="305"/>
      <c r="CS242" s="305"/>
      <c r="CT242" s="305"/>
      <c r="CU242" s="305"/>
      <c r="CV242" s="305"/>
      <c r="CW242" s="305"/>
      <c r="CX242" s="305"/>
      <c r="CY242" s="305"/>
      <c r="CZ242" s="305"/>
      <c r="DA242" s="305"/>
      <c r="DB242" s="305"/>
      <c r="DC242" s="305"/>
      <c r="DD242" s="305"/>
      <c r="DE242" s="305"/>
      <c r="DF242" s="305"/>
      <c r="DG242" s="305"/>
      <c r="DH242" s="305"/>
      <c r="DI242" s="305"/>
      <c r="DJ242" s="305"/>
      <c r="DK242" s="305"/>
      <c r="DL242" s="305"/>
      <c r="DM242" s="305"/>
      <c r="DN242" s="305"/>
      <c r="DO242" s="305"/>
      <c r="DP242" s="305"/>
      <c r="DQ242" s="305"/>
      <c r="DR242" s="305"/>
      <c r="DS242" s="305"/>
      <c r="DT242" s="305"/>
      <c r="DU242" s="305"/>
      <c r="DV242" s="305"/>
      <c r="DW242" s="558"/>
      <c r="DX242" s="558"/>
      <c r="DY242" s="558"/>
      <c r="DZ242" s="558"/>
      <c r="EA242" s="558"/>
      <c r="EB242" s="558"/>
      <c r="EC242" s="558"/>
      <c r="ED242" s="558"/>
      <c r="EE242" s="558"/>
      <c r="EF242" s="558"/>
      <c r="EG242" s="558"/>
      <c r="EH242" s="558"/>
      <c r="EI242" s="558"/>
      <c r="EJ242" s="558"/>
      <c r="EK242" s="558"/>
      <c r="EL242" s="558"/>
      <c r="EM242" s="558"/>
      <c r="EN242" s="558"/>
      <c r="EO242" s="558"/>
      <c r="EP242" s="558"/>
      <c r="EQ242" s="674"/>
      <c r="ER242" s="305"/>
    </row>
    <row r="243" spans="4:148" s="556" customFormat="1" x14ac:dyDescent="0.2">
      <c r="D243" s="110"/>
      <c r="O243" s="669"/>
      <c r="P243" s="670"/>
      <c r="Q243" s="670"/>
      <c r="S243" s="674"/>
      <c r="AA243" s="674"/>
      <c r="AF243" s="305"/>
      <c r="AG243" s="305"/>
      <c r="AH243" s="305"/>
      <c r="AI243" s="305"/>
      <c r="AJ243" s="305"/>
      <c r="AK243" s="305"/>
      <c r="AL243" s="305"/>
      <c r="AM243" s="305"/>
      <c r="AN243" s="305"/>
      <c r="AO243" s="305"/>
      <c r="AP243" s="305"/>
      <c r="AQ243" s="305"/>
      <c r="AR243" s="305"/>
      <c r="AS243" s="305"/>
      <c r="AT243" s="305"/>
      <c r="AU243" s="305"/>
      <c r="AV243" s="305"/>
      <c r="AW243" s="305"/>
      <c r="AX243" s="305"/>
      <c r="AY243" s="305"/>
      <c r="AZ243" s="305"/>
      <c r="BA243" s="305"/>
      <c r="BB243" s="305"/>
      <c r="BC243" s="305"/>
      <c r="BD243" s="305"/>
      <c r="BE243" s="305"/>
      <c r="BF243" s="305"/>
      <c r="BG243" s="305"/>
      <c r="BH243" s="305"/>
      <c r="BI243" s="305"/>
      <c r="BJ243" s="305"/>
      <c r="BK243" s="305"/>
      <c r="BL243" s="305"/>
      <c r="BM243" s="305"/>
      <c r="BN243" s="305"/>
      <c r="BO243" s="305"/>
      <c r="BP243" s="305"/>
      <c r="BQ243" s="305"/>
      <c r="BR243" s="305"/>
      <c r="BS243" s="305"/>
      <c r="BT243" s="305"/>
      <c r="BU243" s="305"/>
      <c r="BV243" s="305"/>
      <c r="BW243" s="305"/>
      <c r="BX243" s="305"/>
      <c r="BY243" s="305"/>
      <c r="BZ243" s="305"/>
      <c r="CA243" s="305"/>
      <c r="CB243" s="305"/>
      <c r="CC243" s="305"/>
      <c r="CD243" s="305"/>
      <c r="CE243" s="305"/>
      <c r="CF243" s="305"/>
      <c r="CG243" s="305"/>
      <c r="CH243" s="305"/>
      <c r="CI243" s="305"/>
      <c r="CJ243" s="305"/>
      <c r="CK243" s="305"/>
      <c r="CL243" s="305"/>
      <c r="CM243" s="305"/>
      <c r="CN243" s="305"/>
      <c r="CO243" s="305"/>
      <c r="CP243" s="305"/>
      <c r="CQ243" s="305"/>
      <c r="CR243" s="305"/>
      <c r="CS243" s="305"/>
      <c r="CT243" s="305"/>
      <c r="CU243" s="305"/>
      <c r="CV243" s="305"/>
      <c r="CW243" s="305"/>
      <c r="CX243" s="305"/>
      <c r="CY243" s="305"/>
      <c r="CZ243" s="305"/>
      <c r="DA243" s="305"/>
      <c r="DB243" s="305"/>
      <c r="DC243" s="305"/>
      <c r="DD243" s="305"/>
      <c r="DE243" s="305"/>
      <c r="DF243" s="305"/>
      <c r="DG243" s="305"/>
      <c r="DH243" s="305"/>
      <c r="DI243" s="305"/>
      <c r="DJ243" s="305"/>
      <c r="DK243" s="305"/>
      <c r="DL243" s="305"/>
      <c r="DM243" s="305"/>
      <c r="DN243" s="305"/>
      <c r="DO243" s="305"/>
      <c r="DP243" s="305"/>
      <c r="DQ243" s="305"/>
      <c r="DR243" s="305"/>
      <c r="DS243" s="305"/>
      <c r="DT243" s="305"/>
      <c r="DU243" s="305"/>
      <c r="DV243" s="305"/>
      <c r="DW243" s="558"/>
      <c r="DX243" s="558"/>
      <c r="DY243" s="558"/>
      <c r="DZ243" s="558"/>
      <c r="EA243" s="558"/>
      <c r="EB243" s="558"/>
      <c r="EC243" s="558"/>
      <c r="ED243" s="558"/>
      <c r="EE243" s="558"/>
      <c r="EF243" s="558"/>
      <c r="EG243" s="558"/>
      <c r="EH243" s="558"/>
      <c r="EI243" s="558"/>
      <c r="EJ243" s="558"/>
      <c r="EK243" s="558"/>
      <c r="EL243" s="558"/>
      <c r="EM243" s="558"/>
      <c r="EN243" s="558"/>
      <c r="EO243" s="558"/>
      <c r="EP243" s="558"/>
      <c r="EQ243" s="674"/>
      <c r="ER243" s="305"/>
    </row>
    <row r="244" spans="4:148" s="556" customFormat="1" x14ac:dyDescent="0.2">
      <c r="D244" s="110"/>
      <c r="O244" s="669"/>
      <c r="P244" s="670"/>
      <c r="Q244" s="670"/>
      <c r="S244" s="674"/>
      <c r="AA244" s="674"/>
      <c r="AF244" s="305"/>
      <c r="AG244" s="305"/>
      <c r="AH244" s="305"/>
      <c r="AI244" s="305"/>
      <c r="AJ244" s="305"/>
      <c r="AK244" s="305"/>
      <c r="AL244" s="305"/>
      <c r="AM244" s="305"/>
      <c r="AN244" s="305"/>
      <c r="AO244" s="305"/>
      <c r="AP244" s="305"/>
      <c r="AQ244" s="305"/>
      <c r="AR244" s="305"/>
      <c r="AS244" s="305"/>
      <c r="AT244" s="305"/>
      <c r="AU244" s="305"/>
      <c r="AV244" s="305"/>
      <c r="AW244" s="305"/>
      <c r="AX244" s="305"/>
      <c r="AY244" s="305"/>
      <c r="AZ244" s="305"/>
      <c r="BA244" s="305"/>
      <c r="BB244" s="305"/>
      <c r="BC244" s="305"/>
      <c r="BD244" s="305"/>
      <c r="BE244" s="305"/>
      <c r="BF244" s="305"/>
      <c r="BG244" s="305"/>
      <c r="BH244" s="305"/>
      <c r="BI244" s="305"/>
      <c r="BJ244" s="305"/>
      <c r="BK244" s="305"/>
      <c r="BL244" s="305"/>
      <c r="BM244" s="305"/>
      <c r="BN244" s="305"/>
      <c r="BO244" s="305"/>
      <c r="BP244" s="305"/>
      <c r="BQ244" s="305"/>
      <c r="BR244" s="305"/>
      <c r="BS244" s="305"/>
      <c r="BT244" s="305"/>
      <c r="BU244" s="305"/>
      <c r="BV244" s="305"/>
      <c r="BW244" s="305"/>
      <c r="BX244" s="305"/>
      <c r="BY244" s="305"/>
      <c r="BZ244" s="305"/>
      <c r="CA244" s="305"/>
      <c r="CB244" s="305"/>
      <c r="CC244" s="305"/>
      <c r="CD244" s="305"/>
      <c r="CE244" s="305"/>
      <c r="CF244" s="305"/>
      <c r="CG244" s="305"/>
      <c r="CH244" s="305"/>
      <c r="CI244" s="305"/>
      <c r="CJ244" s="305"/>
      <c r="CK244" s="305"/>
      <c r="CL244" s="305"/>
      <c r="CM244" s="305"/>
      <c r="CN244" s="305"/>
      <c r="CO244" s="305"/>
      <c r="CP244" s="305"/>
      <c r="CQ244" s="305"/>
      <c r="CR244" s="305"/>
      <c r="CS244" s="305"/>
      <c r="CT244" s="305"/>
      <c r="CU244" s="305"/>
      <c r="CV244" s="305"/>
      <c r="CW244" s="305"/>
      <c r="CX244" s="305"/>
      <c r="CY244" s="305"/>
      <c r="CZ244" s="305"/>
      <c r="DA244" s="305"/>
      <c r="DB244" s="305"/>
      <c r="DC244" s="305"/>
      <c r="DD244" s="305"/>
      <c r="DE244" s="305"/>
      <c r="DF244" s="305"/>
      <c r="DG244" s="305"/>
      <c r="DH244" s="305"/>
      <c r="DI244" s="305"/>
      <c r="DJ244" s="305"/>
      <c r="DK244" s="305"/>
      <c r="DL244" s="305"/>
      <c r="DM244" s="305"/>
      <c r="DN244" s="305"/>
      <c r="DO244" s="305"/>
      <c r="DP244" s="305"/>
      <c r="DQ244" s="305"/>
      <c r="DR244" s="305"/>
      <c r="DS244" s="305"/>
      <c r="DT244" s="305"/>
      <c r="DU244" s="305"/>
      <c r="DV244" s="305"/>
      <c r="DW244" s="558"/>
      <c r="DX244" s="558"/>
      <c r="DY244" s="558"/>
      <c r="DZ244" s="558"/>
      <c r="EA244" s="558"/>
      <c r="EB244" s="558"/>
      <c r="EC244" s="558"/>
      <c r="ED244" s="558"/>
      <c r="EE244" s="558"/>
      <c r="EF244" s="558"/>
      <c r="EG244" s="558"/>
      <c r="EH244" s="558"/>
      <c r="EI244" s="558"/>
      <c r="EJ244" s="558"/>
      <c r="EK244" s="558"/>
      <c r="EL244" s="558"/>
      <c r="EM244" s="558"/>
      <c r="EN244" s="558"/>
      <c r="EO244" s="558"/>
      <c r="EP244" s="558"/>
      <c r="EQ244" s="674"/>
      <c r="ER244" s="305"/>
    </row>
    <row r="245" spans="4:148" s="556" customFormat="1" x14ac:dyDescent="0.2">
      <c r="D245" s="110"/>
      <c r="O245" s="669"/>
      <c r="P245" s="670"/>
      <c r="Q245" s="670"/>
      <c r="S245" s="674"/>
      <c r="AA245" s="674"/>
      <c r="AF245" s="305"/>
      <c r="AG245" s="305"/>
      <c r="AH245" s="305"/>
      <c r="AI245" s="305"/>
      <c r="AJ245" s="305"/>
      <c r="AK245" s="305"/>
      <c r="AL245" s="305"/>
      <c r="AM245" s="305"/>
      <c r="AN245" s="305"/>
      <c r="AO245" s="305"/>
      <c r="AP245" s="305"/>
      <c r="AQ245" s="305"/>
      <c r="AR245" s="305"/>
      <c r="AS245" s="305"/>
      <c r="AT245" s="305"/>
      <c r="AU245" s="305"/>
      <c r="AV245" s="305"/>
      <c r="AW245" s="305"/>
      <c r="AX245" s="305"/>
      <c r="AY245" s="305"/>
      <c r="AZ245" s="305"/>
      <c r="BA245" s="305"/>
      <c r="BB245" s="305"/>
      <c r="BC245" s="305"/>
      <c r="BD245" s="305"/>
      <c r="BE245" s="305"/>
      <c r="BF245" s="305"/>
      <c r="BG245" s="305"/>
      <c r="BH245" s="305"/>
      <c r="BI245" s="305"/>
      <c r="BJ245" s="305"/>
      <c r="BK245" s="305"/>
      <c r="BL245" s="305"/>
      <c r="BM245" s="305"/>
      <c r="BN245" s="305"/>
      <c r="BO245" s="305"/>
      <c r="BP245" s="305"/>
      <c r="BQ245" s="305"/>
      <c r="BR245" s="305"/>
      <c r="BS245" s="305"/>
      <c r="BT245" s="305"/>
      <c r="BU245" s="305"/>
      <c r="BV245" s="305"/>
      <c r="BW245" s="305"/>
      <c r="BX245" s="305"/>
      <c r="BY245" s="305"/>
      <c r="BZ245" s="305"/>
      <c r="CA245" s="305"/>
      <c r="CB245" s="305"/>
      <c r="CC245" s="305"/>
      <c r="CD245" s="305"/>
      <c r="CE245" s="305"/>
      <c r="CF245" s="305"/>
      <c r="CG245" s="305"/>
      <c r="CH245" s="305"/>
      <c r="CI245" s="305"/>
      <c r="CJ245" s="305"/>
      <c r="CK245" s="305"/>
      <c r="CL245" s="305"/>
      <c r="CM245" s="305"/>
      <c r="CN245" s="305"/>
      <c r="CO245" s="305"/>
      <c r="CP245" s="305"/>
      <c r="CQ245" s="305"/>
      <c r="CR245" s="305"/>
      <c r="CS245" s="305"/>
      <c r="CT245" s="305"/>
      <c r="CU245" s="305"/>
      <c r="CV245" s="305"/>
      <c r="CW245" s="305"/>
      <c r="CX245" s="305"/>
      <c r="CY245" s="305"/>
      <c r="CZ245" s="305"/>
      <c r="DA245" s="305"/>
      <c r="DB245" s="305"/>
      <c r="DC245" s="305"/>
      <c r="DD245" s="305"/>
      <c r="DE245" s="305"/>
      <c r="DF245" s="305"/>
      <c r="DG245" s="305"/>
      <c r="DH245" s="305"/>
      <c r="DI245" s="305"/>
      <c r="DJ245" s="305"/>
      <c r="DK245" s="305"/>
      <c r="DL245" s="305"/>
      <c r="DM245" s="305"/>
      <c r="DN245" s="305"/>
      <c r="DO245" s="305"/>
      <c r="DP245" s="305"/>
      <c r="DQ245" s="305"/>
      <c r="DR245" s="305"/>
      <c r="DS245" s="305"/>
      <c r="DT245" s="305"/>
      <c r="DU245" s="305"/>
      <c r="DV245" s="305"/>
      <c r="DW245" s="558"/>
      <c r="DX245" s="558"/>
      <c r="DY245" s="558"/>
      <c r="DZ245" s="558"/>
      <c r="EA245" s="558"/>
      <c r="EB245" s="558"/>
      <c r="EC245" s="558"/>
      <c r="ED245" s="558"/>
      <c r="EE245" s="558"/>
      <c r="EF245" s="558"/>
      <c r="EG245" s="558"/>
      <c r="EH245" s="558"/>
      <c r="EI245" s="558"/>
      <c r="EJ245" s="558"/>
      <c r="EK245" s="558"/>
      <c r="EL245" s="558"/>
      <c r="EM245" s="558"/>
      <c r="EN245" s="558"/>
      <c r="EO245" s="558"/>
      <c r="EP245" s="558"/>
      <c r="EQ245" s="674"/>
      <c r="ER245" s="305"/>
    </row>
    <row r="246" spans="4:148" s="556" customFormat="1" x14ac:dyDescent="0.2">
      <c r="D246" s="110"/>
      <c r="O246" s="669"/>
      <c r="P246" s="670"/>
      <c r="Q246" s="670"/>
      <c r="S246" s="674"/>
      <c r="AA246" s="674"/>
      <c r="AF246" s="305"/>
      <c r="AG246" s="305"/>
      <c r="AH246" s="305"/>
      <c r="AI246" s="305"/>
      <c r="AJ246" s="305"/>
      <c r="AK246" s="305"/>
      <c r="AL246" s="305"/>
      <c r="AM246" s="305"/>
      <c r="AN246" s="305"/>
      <c r="AO246" s="305"/>
      <c r="AP246" s="305"/>
      <c r="AQ246" s="305"/>
      <c r="AR246" s="305"/>
      <c r="AS246" s="305"/>
      <c r="AT246" s="305"/>
      <c r="AU246" s="305"/>
      <c r="AV246" s="305"/>
      <c r="AW246" s="305"/>
      <c r="AX246" s="305"/>
      <c r="AY246" s="305"/>
      <c r="AZ246" s="305"/>
      <c r="BA246" s="305"/>
      <c r="BB246" s="305"/>
      <c r="BC246" s="305"/>
      <c r="BD246" s="305"/>
      <c r="BE246" s="305"/>
      <c r="BF246" s="305"/>
      <c r="BG246" s="305"/>
      <c r="BH246" s="305"/>
      <c r="BI246" s="305"/>
      <c r="BJ246" s="305"/>
      <c r="BK246" s="305"/>
      <c r="BL246" s="305"/>
      <c r="BM246" s="305"/>
      <c r="BN246" s="305"/>
      <c r="BO246" s="305"/>
      <c r="BP246" s="305"/>
      <c r="BQ246" s="305"/>
      <c r="BR246" s="305"/>
      <c r="BS246" s="305"/>
      <c r="BT246" s="305"/>
      <c r="BU246" s="305"/>
      <c r="BV246" s="305"/>
      <c r="BW246" s="305"/>
      <c r="BX246" s="305"/>
      <c r="BY246" s="305"/>
      <c r="BZ246" s="305"/>
      <c r="CA246" s="305"/>
      <c r="CB246" s="305"/>
      <c r="CC246" s="305"/>
      <c r="CD246" s="305"/>
      <c r="CE246" s="305"/>
      <c r="CF246" s="305"/>
      <c r="CG246" s="305"/>
      <c r="CH246" s="305"/>
      <c r="CI246" s="305"/>
      <c r="CJ246" s="305"/>
      <c r="CK246" s="305"/>
      <c r="CL246" s="305"/>
      <c r="CM246" s="305"/>
      <c r="CN246" s="305"/>
      <c r="CO246" s="305"/>
      <c r="CP246" s="305"/>
      <c r="CQ246" s="305"/>
      <c r="CR246" s="305"/>
      <c r="CS246" s="305"/>
      <c r="CT246" s="305"/>
      <c r="CU246" s="305"/>
      <c r="CV246" s="305"/>
      <c r="CW246" s="305"/>
      <c r="CX246" s="305"/>
      <c r="CY246" s="305"/>
      <c r="CZ246" s="305"/>
      <c r="DA246" s="305"/>
      <c r="DB246" s="305"/>
      <c r="DC246" s="305"/>
      <c r="DD246" s="305"/>
      <c r="DE246" s="305"/>
      <c r="DF246" s="305"/>
      <c r="DG246" s="305"/>
      <c r="DH246" s="305"/>
      <c r="DI246" s="305"/>
      <c r="DJ246" s="305"/>
      <c r="DK246" s="305"/>
      <c r="DL246" s="305"/>
      <c r="DM246" s="305"/>
      <c r="DN246" s="305"/>
      <c r="DO246" s="305"/>
      <c r="DP246" s="305"/>
      <c r="DQ246" s="305"/>
      <c r="DR246" s="305"/>
      <c r="DS246" s="305"/>
      <c r="DT246" s="305"/>
      <c r="DU246" s="305"/>
      <c r="DV246" s="305"/>
      <c r="DW246" s="558"/>
      <c r="DX246" s="558"/>
      <c r="DY246" s="558"/>
      <c r="DZ246" s="558"/>
      <c r="EA246" s="558"/>
      <c r="EB246" s="558"/>
      <c r="EC246" s="558"/>
      <c r="ED246" s="558"/>
      <c r="EE246" s="558"/>
      <c r="EF246" s="558"/>
      <c r="EG246" s="558"/>
      <c r="EH246" s="558"/>
      <c r="EI246" s="558"/>
      <c r="EJ246" s="558"/>
      <c r="EK246" s="558"/>
      <c r="EL246" s="558"/>
      <c r="EM246" s="558"/>
      <c r="EN246" s="558"/>
      <c r="EO246" s="558"/>
      <c r="EP246" s="558"/>
      <c r="EQ246" s="674"/>
      <c r="ER246" s="305"/>
    </row>
    <row r="247" spans="4:148" s="556" customFormat="1" x14ac:dyDescent="0.2">
      <c r="D247" s="110"/>
      <c r="O247" s="669"/>
      <c r="P247" s="670"/>
      <c r="Q247" s="670"/>
      <c r="S247" s="674"/>
      <c r="AA247" s="674"/>
      <c r="AF247" s="305"/>
      <c r="AG247" s="305"/>
      <c r="AH247" s="305"/>
      <c r="AI247" s="305"/>
      <c r="AJ247" s="305"/>
      <c r="AK247" s="305"/>
      <c r="AL247" s="305"/>
      <c r="AM247" s="305"/>
      <c r="AN247" s="305"/>
      <c r="AO247" s="305"/>
      <c r="AP247" s="305"/>
      <c r="AQ247" s="305"/>
      <c r="AR247" s="305"/>
      <c r="AS247" s="305"/>
      <c r="AT247" s="305"/>
      <c r="AU247" s="305"/>
      <c r="AV247" s="305"/>
      <c r="AW247" s="305"/>
      <c r="AX247" s="305"/>
      <c r="AY247" s="305"/>
      <c r="AZ247" s="305"/>
      <c r="BA247" s="305"/>
      <c r="BB247" s="305"/>
      <c r="BC247" s="305"/>
      <c r="BD247" s="305"/>
      <c r="BE247" s="305"/>
      <c r="BF247" s="305"/>
      <c r="BG247" s="305"/>
      <c r="BH247" s="305"/>
      <c r="BI247" s="305"/>
      <c r="BJ247" s="305"/>
      <c r="BK247" s="305"/>
      <c r="BL247" s="305"/>
      <c r="BM247" s="305"/>
      <c r="BN247" s="305"/>
      <c r="BO247" s="305"/>
      <c r="BP247" s="305"/>
      <c r="BQ247" s="305"/>
      <c r="BR247" s="305"/>
      <c r="BS247" s="305"/>
      <c r="BT247" s="305"/>
      <c r="BU247" s="305"/>
      <c r="BV247" s="305"/>
      <c r="BW247" s="305"/>
      <c r="BX247" s="305"/>
      <c r="BY247" s="305"/>
      <c r="BZ247" s="305"/>
      <c r="CA247" s="305"/>
      <c r="CB247" s="305"/>
      <c r="CC247" s="305"/>
      <c r="CD247" s="305"/>
      <c r="CE247" s="305"/>
      <c r="CF247" s="305"/>
      <c r="CG247" s="305"/>
      <c r="CH247" s="305"/>
      <c r="CI247" s="305"/>
      <c r="CJ247" s="305"/>
      <c r="CK247" s="305"/>
      <c r="CL247" s="305"/>
      <c r="CM247" s="305"/>
      <c r="CN247" s="305"/>
      <c r="CO247" s="305"/>
      <c r="CP247" s="305"/>
      <c r="CQ247" s="305"/>
      <c r="CR247" s="305"/>
      <c r="CS247" s="305"/>
      <c r="CT247" s="305"/>
      <c r="CU247" s="305"/>
      <c r="CV247" s="305"/>
      <c r="CW247" s="305"/>
      <c r="CX247" s="305"/>
      <c r="CY247" s="305"/>
      <c r="CZ247" s="305"/>
      <c r="DA247" s="305"/>
      <c r="DB247" s="305"/>
      <c r="DC247" s="305"/>
      <c r="DD247" s="305"/>
      <c r="DE247" s="305"/>
      <c r="DF247" s="305"/>
      <c r="DG247" s="305"/>
      <c r="DH247" s="305"/>
      <c r="DI247" s="305"/>
      <c r="DJ247" s="305"/>
      <c r="DK247" s="305"/>
      <c r="DL247" s="305"/>
      <c r="DM247" s="305"/>
      <c r="DN247" s="305"/>
      <c r="DO247" s="305"/>
      <c r="DP247" s="305"/>
      <c r="DQ247" s="305"/>
      <c r="DR247" s="305"/>
      <c r="DS247" s="305"/>
      <c r="DT247" s="305"/>
      <c r="DU247" s="305"/>
      <c r="DV247" s="305"/>
      <c r="DW247" s="558"/>
      <c r="DX247" s="558"/>
      <c r="DY247" s="558"/>
      <c r="DZ247" s="558"/>
      <c r="EA247" s="558"/>
      <c r="EB247" s="558"/>
      <c r="EC247" s="558"/>
      <c r="ED247" s="558"/>
      <c r="EE247" s="558"/>
      <c r="EF247" s="558"/>
      <c r="EG247" s="558"/>
      <c r="EH247" s="558"/>
      <c r="EI247" s="558"/>
      <c r="EJ247" s="558"/>
      <c r="EK247" s="558"/>
      <c r="EL247" s="558"/>
      <c r="EM247" s="558"/>
      <c r="EN247" s="558"/>
      <c r="EO247" s="558"/>
      <c r="EP247" s="558"/>
      <c r="EQ247" s="674"/>
      <c r="ER247" s="305"/>
    </row>
    <row r="248" spans="4:148" s="556" customFormat="1" x14ac:dyDescent="0.2">
      <c r="D248" s="110"/>
      <c r="O248" s="669"/>
      <c r="P248" s="670"/>
      <c r="Q248" s="670"/>
      <c r="S248" s="674"/>
      <c r="AA248" s="674"/>
      <c r="AF248" s="305"/>
      <c r="AG248" s="305"/>
      <c r="AH248" s="305"/>
      <c r="AI248" s="305"/>
      <c r="AJ248" s="305"/>
      <c r="AK248" s="305"/>
      <c r="AL248" s="305"/>
      <c r="AM248" s="305"/>
      <c r="AN248" s="305"/>
      <c r="AO248" s="305"/>
      <c r="AP248" s="305"/>
      <c r="AQ248" s="305"/>
      <c r="AR248" s="305"/>
      <c r="AS248" s="305"/>
      <c r="AT248" s="305"/>
      <c r="AU248" s="305"/>
      <c r="AV248" s="305"/>
      <c r="AW248" s="305"/>
      <c r="AX248" s="305"/>
      <c r="AY248" s="305"/>
      <c r="AZ248" s="305"/>
      <c r="BA248" s="305"/>
      <c r="BB248" s="305"/>
      <c r="BC248" s="305"/>
      <c r="BD248" s="305"/>
      <c r="BE248" s="305"/>
      <c r="BF248" s="305"/>
      <c r="BG248" s="305"/>
      <c r="BH248" s="305"/>
      <c r="BI248" s="305"/>
      <c r="BJ248" s="305"/>
      <c r="BK248" s="305"/>
      <c r="BL248" s="305"/>
      <c r="BM248" s="305"/>
      <c r="BN248" s="305"/>
      <c r="BO248" s="305"/>
      <c r="BP248" s="305"/>
      <c r="BQ248" s="305"/>
      <c r="BR248" s="305"/>
      <c r="BS248" s="305"/>
      <c r="BT248" s="305"/>
      <c r="BU248" s="305"/>
      <c r="BV248" s="305"/>
      <c r="BW248" s="305"/>
      <c r="BX248" s="305"/>
      <c r="BY248" s="305"/>
      <c r="BZ248" s="305"/>
      <c r="CA248" s="305"/>
      <c r="CB248" s="305"/>
      <c r="CC248" s="305"/>
      <c r="CD248" s="305"/>
      <c r="CE248" s="305"/>
      <c r="CF248" s="305"/>
      <c r="CG248" s="305"/>
      <c r="CH248" s="305"/>
      <c r="CI248" s="305"/>
      <c r="CJ248" s="305"/>
      <c r="CK248" s="305"/>
      <c r="CL248" s="305"/>
      <c r="CM248" s="305"/>
      <c r="CN248" s="305"/>
      <c r="CO248" s="305"/>
      <c r="CP248" s="305"/>
      <c r="CQ248" s="305"/>
      <c r="CR248" s="305"/>
      <c r="CS248" s="305"/>
      <c r="CT248" s="305"/>
      <c r="CU248" s="305"/>
      <c r="CV248" s="305"/>
      <c r="CW248" s="305"/>
      <c r="CX248" s="305"/>
      <c r="CY248" s="305"/>
      <c r="CZ248" s="305"/>
      <c r="DA248" s="305"/>
      <c r="DB248" s="305"/>
      <c r="DC248" s="305"/>
      <c r="DD248" s="305"/>
      <c r="DE248" s="305"/>
      <c r="DF248" s="305"/>
      <c r="DG248" s="305"/>
      <c r="DH248" s="305"/>
      <c r="DI248" s="305"/>
      <c r="DJ248" s="305"/>
      <c r="DK248" s="305"/>
      <c r="DL248" s="305"/>
      <c r="DM248" s="305"/>
      <c r="DN248" s="305"/>
      <c r="DO248" s="305"/>
      <c r="DP248" s="305"/>
      <c r="DQ248" s="305"/>
      <c r="DR248" s="305"/>
      <c r="DS248" s="305"/>
      <c r="DT248" s="305"/>
      <c r="DU248" s="305"/>
      <c r="DV248" s="305"/>
      <c r="DW248" s="558"/>
      <c r="DX248" s="558"/>
      <c r="DY248" s="558"/>
      <c r="DZ248" s="558"/>
      <c r="EA248" s="558"/>
      <c r="EB248" s="558"/>
      <c r="EC248" s="558"/>
      <c r="ED248" s="558"/>
      <c r="EE248" s="558"/>
      <c r="EF248" s="558"/>
      <c r="EG248" s="558"/>
      <c r="EH248" s="558"/>
      <c r="EI248" s="558"/>
      <c r="EJ248" s="558"/>
      <c r="EK248" s="558"/>
      <c r="EL248" s="558"/>
      <c r="EM248" s="558"/>
      <c r="EN248" s="558"/>
      <c r="EO248" s="558"/>
      <c r="EP248" s="558"/>
      <c r="EQ248" s="674"/>
      <c r="ER248" s="305"/>
    </row>
    <row r="249" spans="4:148" s="556" customFormat="1" x14ac:dyDescent="0.2">
      <c r="D249" s="110"/>
      <c r="O249" s="669"/>
      <c r="P249" s="670"/>
      <c r="Q249" s="670"/>
      <c r="S249" s="674"/>
      <c r="AA249" s="674"/>
      <c r="AF249" s="305"/>
      <c r="AG249" s="305"/>
      <c r="AH249" s="305"/>
      <c r="AI249" s="305"/>
      <c r="AJ249" s="305"/>
      <c r="AK249" s="305"/>
      <c r="AL249" s="305"/>
      <c r="AM249" s="305"/>
      <c r="AN249" s="305"/>
      <c r="AO249" s="305"/>
      <c r="AP249" s="305"/>
      <c r="AQ249" s="305"/>
      <c r="AR249" s="305"/>
      <c r="AS249" s="305"/>
      <c r="AT249" s="305"/>
      <c r="AU249" s="305"/>
      <c r="AV249" s="305"/>
      <c r="AW249" s="305"/>
      <c r="AX249" s="305"/>
      <c r="AY249" s="305"/>
      <c r="AZ249" s="305"/>
      <c r="BA249" s="305"/>
      <c r="BB249" s="305"/>
      <c r="BC249" s="305"/>
      <c r="BD249" s="305"/>
      <c r="BE249" s="305"/>
      <c r="BF249" s="305"/>
      <c r="BG249" s="305"/>
      <c r="BH249" s="305"/>
      <c r="BI249" s="305"/>
      <c r="BJ249" s="305"/>
      <c r="BK249" s="305"/>
      <c r="BL249" s="305"/>
      <c r="BM249" s="305"/>
      <c r="BN249" s="305"/>
      <c r="BO249" s="305"/>
      <c r="BP249" s="305"/>
      <c r="BQ249" s="305"/>
      <c r="BR249" s="305"/>
      <c r="BS249" s="305"/>
      <c r="BT249" s="305"/>
      <c r="BU249" s="305"/>
      <c r="BV249" s="305"/>
      <c r="BW249" s="305"/>
      <c r="BX249" s="305"/>
      <c r="BY249" s="305"/>
      <c r="BZ249" s="305"/>
      <c r="CA249" s="305"/>
      <c r="CB249" s="305"/>
      <c r="CC249" s="305"/>
      <c r="CD249" s="305"/>
      <c r="CE249" s="305"/>
      <c r="CF249" s="305"/>
      <c r="CG249" s="305"/>
      <c r="CH249" s="305"/>
      <c r="CI249" s="305"/>
      <c r="CJ249" s="305"/>
      <c r="CK249" s="305"/>
      <c r="CL249" s="305"/>
      <c r="CM249" s="305"/>
      <c r="CN249" s="305"/>
      <c r="CO249" s="305"/>
      <c r="CP249" s="305"/>
      <c r="CQ249" s="305"/>
      <c r="CR249" s="305"/>
      <c r="CS249" s="305"/>
      <c r="CT249" s="305"/>
      <c r="CU249" s="305"/>
      <c r="CV249" s="305"/>
      <c r="CW249" s="305"/>
      <c r="CX249" s="305"/>
      <c r="CY249" s="305"/>
      <c r="CZ249" s="305"/>
      <c r="DA249" s="305"/>
      <c r="DB249" s="305"/>
      <c r="DC249" s="305"/>
      <c r="DD249" s="305"/>
      <c r="DE249" s="305"/>
      <c r="DF249" s="305"/>
      <c r="DG249" s="305"/>
      <c r="DH249" s="305"/>
      <c r="DI249" s="305"/>
      <c r="DJ249" s="305"/>
      <c r="DK249" s="305"/>
      <c r="DL249" s="305"/>
      <c r="DM249" s="305"/>
      <c r="DN249" s="305"/>
      <c r="DO249" s="305"/>
      <c r="DP249" s="305"/>
      <c r="DQ249" s="305"/>
      <c r="DR249" s="305"/>
      <c r="DS249" s="305"/>
      <c r="DT249" s="305"/>
      <c r="DU249" s="305"/>
      <c r="DV249" s="305"/>
      <c r="DW249" s="558"/>
      <c r="DX249" s="558"/>
      <c r="DY249" s="558"/>
      <c r="DZ249" s="558"/>
      <c r="EA249" s="558"/>
      <c r="EB249" s="558"/>
      <c r="EC249" s="558"/>
      <c r="ED249" s="558"/>
      <c r="EE249" s="558"/>
      <c r="EF249" s="558"/>
      <c r="EG249" s="558"/>
      <c r="EH249" s="558"/>
      <c r="EI249" s="558"/>
      <c r="EJ249" s="558"/>
      <c r="EK249" s="558"/>
      <c r="EL249" s="558"/>
      <c r="EM249" s="558"/>
      <c r="EN249" s="558"/>
      <c r="EO249" s="558"/>
      <c r="EP249" s="558"/>
      <c r="EQ249" s="674"/>
      <c r="ER249" s="305"/>
    </row>
    <row r="250" spans="4:148" s="556" customFormat="1" x14ac:dyDescent="0.2">
      <c r="D250" s="110"/>
      <c r="O250" s="669"/>
      <c r="P250" s="670"/>
      <c r="Q250" s="670"/>
      <c r="S250" s="674"/>
      <c r="AA250" s="674"/>
      <c r="AF250" s="305"/>
      <c r="AG250" s="305"/>
      <c r="AH250" s="305"/>
      <c r="AI250" s="305"/>
      <c r="AJ250" s="305"/>
      <c r="AK250" s="305"/>
      <c r="AL250" s="305"/>
      <c r="AM250" s="305"/>
      <c r="AN250" s="305"/>
      <c r="AO250" s="305"/>
      <c r="AP250" s="305"/>
      <c r="AQ250" s="305"/>
      <c r="AR250" s="305"/>
      <c r="AS250" s="305"/>
      <c r="AT250" s="305"/>
      <c r="AU250" s="305"/>
      <c r="AV250" s="305"/>
      <c r="AW250" s="305"/>
      <c r="AX250" s="305"/>
      <c r="AY250" s="305"/>
      <c r="AZ250" s="305"/>
      <c r="BA250" s="305"/>
      <c r="BB250" s="305"/>
      <c r="BC250" s="305"/>
      <c r="BD250" s="305"/>
      <c r="BE250" s="305"/>
      <c r="BF250" s="305"/>
      <c r="BG250" s="305"/>
      <c r="BH250" s="305"/>
      <c r="BI250" s="305"/>
      <c r="BJ250" s="305"/>
      <c r="BK250" s="305"/>
      <c r="BL250" s="305"/>
      <c r="BM250" s="305"/>
      <c r="BN250" s="305"/>
      <c r="BO250" s="305"/>
      <c r="BP250" s="305"/>
      <c r="BQ250" s="305"/>
      <c r="BR250" s="305"/>
      <c r="BS250" s="305"/>
      <c r="BT250" s="305"/>
      <c r="BU250" s="305"/>
      <c r="BV250" s="305"/>
      <c r="BW250" s="305"/>
      <c r="BX250" s="305"/>
      <c r="BY250" s="305"/>
      <c r="BZ250" s="305"/>
      <c r="CA250" s="305"/>
      <c r="CB250" s="305"/>
      <c r="CC250" s="305"/>
      <c r="CD250" s="305"/>
      <c r="CE250" s="305"/>
      <c r="CF250" s="305"/>
      <c r="CG250" s="305"/>
      <c r="CH250" s="305"/>
      <c r="CI250" s="305"/>
      <c r="CJ250" s="305"/>
      <c r="CK250" s="305"/>
      <c r="CL250" s="305"/>
      <c r="CM250" s="305"/>
      <c r="CN250" s="305"/>
      <c r="CO250" s="305"/>
      <c r="CP250" s="305"/>
      <c r="CQ250" s="305"/>
      <c r="CR250" s="305"/>
      <c r="CS250" s="305"/>
      <c r="CT250" s="305"/>
      <c r="CU250" s="305"/>
      <c r="CV250" s="305"/>
      <c r="CW250" s="305"/>
      <c r="CX250" s="305"/>
      <c r="CY250" s="305"/>
      <c r="CZ250" s="305"/>
      <c r="DA250" s="305"/>
      <c r="DB250" s="305"/>
      <c r="DC250" s="305"/>
      <c r="DD250" s="305"/>
      <c r="DE250" s="305"/>
      <c r="DF250" s="305"/>
      <c r="DG250" s="305"/>
      <c r="DH250" s="305"/>
      <c r="DI250" s="305"/>
      <c r="DJ250" s="305"/>
      <c r="DK250" s="305"/>
      <c r="DL250" s="305"/>
      <c r="DM250" s="305"/>
      <c r="DN250" s="305"/>
      <c r="DO250" s="305"/>
      <c r="DP250" s="305"/>
      <c r="DQ250" s="305"/>
      <c r="DR250" s="305"/>
      <c r="DS250" s="305"/>
      <c r="DT250" s="305"/>
      <c r="DU250" s="305"/>
      <c r="DV250" s="305"/>
      <c r="DW250" s="558"/>
      <c r="DX250" s="558"/>
      <c r="DY250" s="558"/>
      <c r="DZ250" s="558"/>
      <c r="EA250" s="558"/>
      <c r="EB250" s="558"/>
      <c r="EC250" s="558"/>
      <c r="ED250" s="558"/>
      <c r="EE250" s="558"/>
      <c r="EF250" s="558"/>
      <c r="EG250" s="558"/>
      <c r="EH250" s="558"/>
      <c r="EI250" s="558"/>
      <c r="EJ250" s="558"/>
      <c r="EK250" s="558"/>
      <c r="EL250" s="558"/>
      <c r="EM250" s="558"/>
      <c r="EN250" s="558"/>
      <c r="EO250" s="558"/>
      <c r="EP250" s="558"/>
      <c r="EQ250" s="674"/>
      <c r="ER250" s="305"/>
    </row>
    <row r="251" spans="4:148" s="556" customFormat="1" x14ac:dyDescent="0.2">
      <c r="D251" s="110"/>
      <c r="O251" s="669"/>
      <c r="P251" s="670"/>
      <c r="Q251" s="670"/>
      <c r="S251" s="674"/>
      <c r="AA251" s="674"/>
      <c r="AF251" s="305"/>
      <c r="AG251" s="305"/>
      <c r="AH251" s="305"/>
      <c r="AI251" s="305"/>
      <c r="AJ251" s="305"/>
      <c r="AK251" s="305"/>
      <c r="AL251" s="305"/>
      <c r="AM251" s="305"/>
      <c r="AN251" s="305"/>
      <c r="AO251" s="305"/>
      <c r="AP251" s="305"/>
      <c r="AQ251" s="305"/>
      <c r="AR251" s="305"/>
      <c r="AS251" s="305"/>
      <c r="AT251" s="305"/>
      <c r="AU251" s="305"/>
      <c r="AV251" s="305"/>
      <c r="AW251" s="305"/>
      <c r="AX251" s="305"/>
      <c r="AY251" s="305"/>
      <c r="AZ251" s="305"/>
      <c r="BA251" s="305"/>
      <c r="BB251" s="305"/>
      <c r="BC251" s="305"/>
      <c r="BD251" s="305"/>
      <c r="BE251" s="305"/>
      <c r="BF251" s="305"/>
      <c r="BG251" s="305"/>
      <c r="BH251" s="305"/>
      <c r="BI251" s="305"/>
      <c r="BJ251" s="305"/>
      <c r="BK251" s="305"/>
      <c r="BL251" s="305"/>
      <c r="BM251" s="305"/>
      <c r="BN251" s="305"/>
      <c r="BO251" s="305"/>
      <c r="BP251" s="305"/>
      <c r="BQ251" s="305"/>
      <c r="BR251" s="305"/>
      <c r="BS251" s="305"/>
      <c r="BT251" s="305"/>
      <c r="BU251" s="305"/>
      <c r="BV251" s="305"/>
      <c r="BW251" s="305"/>
      <c r="BX251" s="305"/>
      <c r="BY251" s="305"/>
      <c r="BZ251" s="305"/>
      <c r="CA251" s="305"/>
      <c r="CB251" s="305"/>
      <c r="CC251" s="305"/>
      <c r="CD251" s="305"/>
      <c r="CE251" s="305"/>
      <c r="CF251" s="305"/>
      <c r="CG251" s="305"/>
      <c r="CH251" s="305"/>
      <c r="CI251" s="305"/>
      <c r="CJ251" s="305"/>
      <c r="CK251" s="305"/>
      <c r="CL251" s="305"/>
      <c r="CM251" s="305"/>
      <c r="CN251" s="305"/>
      <c r="CO251" s="305"/>
      <c r="CP251" s="305"/>
      <c r="CQ251" s="305"/>
      <c r="CR251" s="305"/>
      <c r="CS251" s="305"/>
      <c r="CT251" s="305"/>
      <c r="CU251" s="305"/>
      <c r="CV251" s="305"/>
      <c r="CW251" s="305"/>
      <c r="CX251" s="305"/>
      <c r="CY251" s="305"/>
      <c r="CZ251" s="305"/>
      <c r="DA251" s="305"/>
      <c r="DB251" s="305"/>
      <c r="DC251" s="305"/>
      <c r="DD251" s="305"/>
      <c r="DE251" s="305"/>
      <c r="DF251" s="305"/>
      <c r="DG251" s="305"/>
      <c r="DH251" s="305"/>
      <c r="DI251" s="305"/>
      <c r="DJ251" s="305"/>
      <c r="DK251" s="305"/>
      <c r="DL251" s="305"/>
      <c r="DM251" s="305"/>
      <c r="DN251" s="305"/>
      <c r="DO251" s="305"/>
      <c r="DP251" s="305"/>
      <c r="DQ251" s="305"/>
      <c r="DR251" s="305"/>
      <c r="DS251" s="305"/>
      <c r="DT251" s="305"/>
      <c r="DU251" s="305"/>
      <c r="DV251" s="305"/>
      <c r="DW251" s="558"/>
      <c r="DX251" s="558"/>
      <c r="DY251" s="558"/>
      <c r="DZ251" s="558"/>
      <c r="EA251" s="558"/>
      <c r="EB251" s="558"/>
      <c r="EC251" s="558"/>
      <c r="ED251" s="558"/>
      <c r="EE251" s="558"/>
      <c r="EF251" s="558"/>
      <c r="EG251" s="558"/>
      <c r="EH251" s="558"/>
      <c r="EI251" s="558"/>
      <c r="EJ251" s="558"/>
      <c r="EK251" s="558"/>
      <c r="EL251" s="558"/>
      <c r="EM251" s="558"/>
      <c r="EN251" s="558"/>
      <c r="EO251" s="558"/>
      <c r="EP251" s="558"/>
      <c r="EQ251" s="674"/>
      <c r="ER251" s="305"/>
    </row>
    <row r="252" spans="4:148" s="556" customFormat="1" x14ac:dyDescent="0.2">
      <c r="D252" s="110"/>
      <c r="O252" s="669"/>
      <c r="P252" s="670"/>
      <c r="Q252" s="670"/>
      <c r="S252" s="674"/>
      <c r="AA252" s="674"/>
      <c r="AF252" s="305"/>
      <c r="AG252" s="305"/>
      <c r="AH252" s="305"/>
      <c r="AI252" s="305"/>
      <c r="AJ252" s="305"/>
      <c r="AK252" s="305"/>
      <c r="AL252" s="305"/>
      <c r="AM252" s="305"/>
      <c r="AN252" s="305"/>
      <c r="AO252" s="305"/>
      <c r="AP252" s="305"/>
      <c r="AQ252" s="305"/>
      <c r="AR252" s="305"/>
      <c r="AS252" s="305"/>
      <c r="AT252" s="305"/>
      <c r="AU252" s="305"/>
      <c r="AV252" s="305"/>
      <c r="AW252" s="305"/>
      <c r="AX252" s="305"/>
      <c r="AY252" s="305"/>
      <c r="AZ252" s="305"/>
      <c r="BA252" s="305"/>
      <c r="BB252" s="305"/>
      <c r="BC252" s="305"/>
      <c r="BD252" s="305"/>
      <c r="BE252" s="305"/>
      <c r="BF252" s="305"/>
      <c r="BG252" s="305"/>
      <c r="BH252" s="305"/>
      <c r="BI252" s="305"/>
      <c r="BJ252" s="305"/>
      <c r="BK252" s="305"/>
      <c r="BL252" s="305"/>
      <c r="BM252" s="305"/>
      <c r="BN252" s="305"/>
      <c r="BO252" s="305"/>
      <c r="BP252" s="305"/>
      <c r="BQ252" s="305"/>
      <c r="BR252" s="305"/>
      <c r="BS252" s="305"/>
      <c r="BT252" s="305"/>
      <c r="BU252" s="305"/>
      <c r="BV252" s="305"/>
      <c r="BW252" s="305"/>
      <c r="BX252" s="305"/>
      <c r="BY252" s="305"/>
      <c r="BZ252" s="305"/>
      <c r="CA252" s="305"/>
      <c r="CB252" s="305"/>
      <c r="CC252" s="305"/>
      <c r="CD252" s="305"/>
      <c r="CE252" s="305"/>
      <c r="CF252" s="305"/>
      <c r="CG252" s="305"/>
      <c r="CH252" s="305"/>
      <c r="CI252" s="305"/>
      <c r="CJ252" s="305"/>
      <c r="CK252" s="305"/>
      <c r="CL252" s="305"/>
      <c r="CM252" s="305"/>
      <c r="CN252" s="305"/>
      <c r="CO252" s="305"/>
      <c r="CP252" s="305"/>
      <c r="CQ252" s="305"/>
      <c r="CR252" s="305"/>
      <c r="CS252" s="305"/>
      <c r="CT252" s="305"/>
      <c r="CU252" s="305"/>
      <c r="CV252" s="305"/>
      <c r="CW252" s="305"/>
      <c r="CX252" s="305"/>
      <c r="CY252" s="305"/>
      <c r="CZ252" s="305"/>
      <c r="DA252" s="305"/>
      <c r="DB252" s="305"/>
      <c r="DC252" s="305"/>
      <c r="DD252" s="305"/>
      <c r="DE252" s="305"/>
      <c r="DF252" s="305"/>
      <c r="DG252" s="305"/>
      <c r="DH252" s="305"/>
      <c r="DI252" s="305"/>
      <c r="DJ252" s="305"/>
      <c r="DK252" s="305"/>
      <c r="DL252" s="305"/>
      <c r="DM252" s="305"/>
      <c r="DN252" s="305"/>
      <c r="DO252" s="305"/>
      <c r="DP252" s="305"/>
      <c r="DQ252" s="305"/>
      <c r="DR252" s="305"/>
      <c r="DS252" s="305"/>
      <c r="DT252" s="305"/>
      <c r="DU252" s="305"/>
      <c r="DV252" s="305"/>
      <c r="DW252" s="558"/>
      <c r="DX252" s="558"/>
      <c r="DY252" s="558"/>
      <c r="DZ252" s="558"/>
      <c r="EA252" s="558"/>
      <c r="EB252" s="558"/>
      <c r="EC252" s="558"/>
      <c r="ED252" s="558"/>
      <c r="EE252" s="558"/>
      <c r="EF252" s="558"/>
      <c r="EG252" s="558"/>
      <c r="EH252" s="558"/>
      <c r="EI252" s="558"/>
      <c r="EJ252" s="558"/>
      <c r="EK252" s="558"/>
      <c r="EL252" s="558"/>
      <c r="EM252" s="558"/>
      <c r="EN252" s="558"/>
      <c r="EO252" s="558"/>
      <c r="EP252" s="558"/>
      <c r="EQ252" s="674"/>
      <c r="ER252" s="305"/>
    </row>
    <row r="253" spans="4:148" s="556" customFormat="1" x14ac:dyDescent="0.2">
      <c r="D253" s="110"/>
      <c r="O253" s="669"/>
      <c r="P253" s="670"/>
      <c r="Q253" s="670"/>
      <c r="S253" s="674"/>
      <c r="AA253" s="674"/>
      <c r="AF253" s="305"/>
      <c r="AG253" s="305"/>
      <c r="AH253" s="305"/>
      <c r="AI253" s="305"/>
      <c r="AJ253" s="305"/>
      <c r="AK253" s="305"/>
      <c r="AL253" s="305"/>
      <c r="AM253" s="305"/>
      <c r="AN253" s="305"/>
      <c r="AO253" s="305"/>
      <c r="AP253" s="305"/>
      <c r="AQ253" s="305"/>
      <c r="AR253" s="305"/>
      <c r="AS253" s="305"/>
      <c r="AT253" s="305"/>
      <c r="AU253" s="305"/>
      <c r="AV253" s="305"/>
      <c r="AW253" s="305"/>
      <c r="AX253" s="305"/>
      <c r="AY253" s="305"/>
      <c r="AZ253" s="305"/>
      <c r="BA253" s="305"/>
      <c r="BB253" s="305"/>
      <c r="BC253" s="305"/>
      <c r="BD253" s="305"/>
      <c r="BE253" s="305"/>
      <c r="BF253" s="305"/>
      <c r="BG253" s="305"/>
      <c r="BH253" s="305"/>
      <c r="BI253" s="305"/>
      <c r="BJ253" s="305"/>
      <c r="BK253" s="305"/>
      <c r="BL253" s="305"/>
      <c r="BM253" s="305"/>
      <c r="BN253" s="305"/>
      <c r="BO253" s="305"/>
      <c r="BP253" s="305"/>
      <c r="BQ253" s="305"/>
      <c r="BR253" s="305"/>
      <c r="BS253" s="305"/>
      <c r="BT253" s="305"/>
      <c r="BU253" s="305"/>
      <c r="BV253" s="305"/>
      <c r="BW253" s="305"/>
      <c r="BX253" s="305"/>
      <c r="BY253" s="305"/>
      <c r="BZ253" s="305"/>
      <c r="CA253" s="305"/>
      <c r="CB253" s="305"/>
      <c r="CC253" s="305"/>
      <c r="CD253" s="305"/>
      <c r="CE253" s="305"/>
      <c r="CF253" s="305"/>
      <c r="CG253" s="305"/>
      <c r="CH253" s="305"/>
      <c r="CI253" s="305"/>
      <c r="CJ253" s="305"/>
      <c r="CK253" s="305"/>
      <c r="CL253" s="305"/>
      <c r="CM253" s="305"/>
      <c r="CN253" s="305"/>
      <c r="CO253" s="305"/>
      <c r="CP253" s="305"/>
      <c r="CQ253" s="305"/>
      <c r="CR253" s="305"/>
      <c r="CS253" s="305"/>
      <c r="CT253" s="305"/>
      <c r="CU253" s="305"/>
      <c r="CV253" s="305"/>
      <c r="CW253" s="305"/>
      <c r="CX253" s="305"/>
      <c r="CY253" s="305"/>
      <c r="CZ253" s="305"/>
      <c r="DA253" s="305"/>
      <c r="DB253" s="305"/>
      <c r="DC253" s="305"/>
      <c r="DD253" s="305"/>
      <c r="DE253" s="305"/>
      <c r="DF253" s="305"/>
      <c r="DG253" s="305"/>
      <c r="DH253" s="305"/>
      <c r="DI253" s="305"/>
      <c r="DJ253" s="305"/>
      <c r="DK253" s="305"/>
      <c r="DL253" s="305"/>
      <c r="DM253" s="305"/>
      <c r="DN253" s="305"/>
      <c r="DO253" s="305"/>
      <c r="DP253" s="305"/>
      <c r="DQ253" s="305"/>
      <c r="DR253" s="305"/>
      <c r="DS253" s="305"/>
      <c r="DT253" s="305"/>
      <c r="DU253" s="305"/>
      <c r="DV253" s="305"/>
      <c r="DW253" s="558"/>
      <c r="DX253" s="558"/>
      <c r="DY253" s="558"/>
      <c r="DZ253" s="558"/>
      <c r="EA253" s="558"/>
      <c r="EB253" s="558"/>
      <c r="EC253" s="558"/>
      <c r="ED253" s="558"/>
      <c r="EE253" s="558"/>
      <c r="EF253" s="558"/>
      <c r="EG253" s="558"/>
      <c r="EH253" s="558"/>
      <c r="EI253" s="558"/>
      <c r="EJ253" s="558"/>
      <c r="EK253" s="558"/>
      <c r="EL253" s="558"/>
      <c r="EM253" s="558"/>
      <c r="EN253" s="558"/>
      <c r="EO253" s="558"/>
      <c r="EP253" s="558"/>
      <c r="EQ253" s="674"/>
      <c r="ER253" s="305"/>
    </row>
    <row r="254" spans="4:148" s="556" customFormat="1" x14ac:dyDescent="0.2">
      <c r="D254" s="110"/>
      <c r="O254" s="669"/>
      <c r="P254" s="670"/>
      <c r="Q254" s="670"/>
      <c r="S254" s="674"/>
      <c r="AA254" s="674"/>
      <c r="AF254" s="305"/>
      <c r="AG254" s="305"/>
      <c r="AH254" s="305"/>
      <c r="AI254" s="305"/>
      <c r="AJ254" s="305"/>
      <c r="AK254" s="305"/>
      <c r="AL254" s="305"/>
      <c r="AM254" s="305"/>
      <c r="AN254" s="305"/>
      <c r="AO254" s="305"/>
      <c r="AP254" s="305"/>
      <c r="AQ254" s="305"/>
      <c r="AR254" s="305"/>
      <c r="AS254" s="305"/>
      <c r="AT254" s="305"/>
      <c r="AU254" s="305"/>
      <c r="AV254" s="305"/>
      <c r="AW254" s="305"/>
      <c r="AX254" s="305"/>
      <c r="AY254" s="305"/>
      <c r="AZ254" s="305"/>
      <c r="BA254" s="305"/>
      <c r="BB254" s="305"/>
      <c r="BC254" s="305"/>
      <c r="BD254" s="305"/>
      <c r="BE254" s="305"/>
      <c r="BF254" s="305"/>
      <c r="BG254" s="305"/>
      <c r="BH254" s="305"/>
      <c r="BI254" s="305"/>
      <c r="BJ254" s="305"/>
      <c r="BK254" s="305"/>
      <c r="BL254" s="305"/>
      <c r="BM254" s="305"/>
      <c r="BN254" s="305"/>
      <c r="BO254" s="305"/>
      <c r="BP254" s="305"/>
      <c r="BQ254" s="305"/>
      <c r="BR254" s="305"/>
      <c r="BS254" s="305"/>
      <c r="BT254" s="305"/>
      <c r="BU254" s="305"/>
      <c r="BV254" s="305"/>
      <c r="BW254" s="305"/>
      <c r="BX254" s="305"/>
      <c r="BY254" s="305"/>
      <c r="BZ254" s="305"/>
      <c r="CA254" s="305"/>
      <c r="CB254" s="305"/>
      <c r="CC254" s="305"/>
      <c r="CD254" s="305"/>
      <c r="CE254" s="305"/>
      <c r="CF254" s="305"/>
      <c r="CG254" s="305"/>
      <c r="CH254" s="305"/>
      <c r="CI254" s="305"/>
      <c r="CJ254" s="305"/>
      <c r="CK254" s="305"/>
      <c r="CL254" s="305"/>
      <c r="CM254" s="305"/>
      <c r="CN254" s="305"/>
      <c r="CO254" s="305"/>
      <c r="CP254" s="305"/>
      <c r="CQ254" s="305"/>
      <c r="CR254" s="305"/>
      <c r="CS254" s="305"/>
      <c r="CT254" s="305"/>
      <c r="CU254" s="305"/>
      <c r="CV254" s="305"/>
      <c r="CW254" s="305"/>
      <c r="CX254" s="305"/>
      <c r="CY254" s="305"/>
      <c r="CZ254" s="305"/>
      <c r="DA254" s="305"/>
      <c r="DB254" s="305"/>
      <c r="DC254" s="305"/>
      <c r="DD254" s="305"/>
      <c r="DE254" s="305"/>
      <c r="DF254" s="305"/>
      <c r="DG254" s="305"/>
      <c r="DH254" s="305"/>
      <c r="DI254" s="305"/>
      <c r="DJ254" s="305"/>
      <c r="DK254" s="305"/>
      <c r="DL254" s="305"/>
      <c r="DM254" s="305"/>
      <c r="DN254" s="305"/>
      <c r="DO254" s="305"/>
      <c r="DP254" s="305"/>
      <c r="DQ254" s="305"/>
      <c r="DR254" s="305"/>
      <c r="DS254" s="305"/>
      <c r="DT254" s="305"/>
      <c r="DU254" s="305"/>
      <c r="DV254" s="305"/>
      <c r="DW254" s="558"/>
      <c r="DX254" s="558"/>
      <c r="DY254" s="558"/>
      <c r="DZ254" s="558"/>
      <c r="EA254" s="558"/>
      <c r="EB254" s="558"/>
      <c r="EC254" s="558"/>
      <c r="ED254" s="558"/>
      <c r="EE254" s="558"/>
      <c r="EF254" s="558"/>
      <c r="EG254" s="558"/>
      <c r="EH254" s="558"/>
      <c r="EI254" s="558"/>
      <c r="EJ254" s="558"/>
      <c r="EK254" s="558"/>
      <c r="EL254" s="558"/>
      <c r="EM254" s="558"/>
      <c r="EN254" s="558"/>
      <c r="EO254" s="558"/>
      <c r="EP254" s="558"/>
      <c r="EQ254" s="674"/>
      <c r="ER254" s="305"/>
    </row>
    <row r="255" spans="4:148" s="556" customFormat="1" x14ac:dyDescent="0.2">
      <c r="D255" s="110"/>
      <c r="O255" s="669"/>
      <c r="P255" s="670"/>
      <c r="Q255" s="670"/>
      <c r="S255" s="674"/>
      <c r="AA255" s="674"/>
      <c r="AF255" s="305"/>
      <c r="AG255" s="305"/>
      <c r="AH255" s="305"/>
      <c r="AI255" s="305"/>
      <c r="AJ255" s="305"/>
      <c r="AK255" s="305"/>
      <c r="AL255" s="305"/>
      <c r="AM255" s="305"/>
      <c r="AN255" s="305"/>
      <c r="AO255" s="305"/>
      <c r="AP255" s="305"/>
      <c r="AQ255" s="305"/>
      <c r="AR255" s="305"/>
      <c r="AS255" s="305"/>
      <c r="AT255" s="305"/>
      <c r="AU255" s="305"/>
      <c r="AV255" s="305"/>
      <c r="AW255" s="305"/>
      <c r="AX255" s="305"/>
      <c r="AY255" s="305"/>
      <c r="AZ255" s="305"/>
      <c r="BA255" s="305"/>
      <c r="BB255" s="305"/>
      <c r="BC255" s="305"/>
      <c r="BD255" s="305"/>
      <c r="BE255" s="305"/>
      <c r="BF255" s="305"/>
      <c r="BG255" s="305"/>
      <c r="BH255" s="305"/>
      <c r="BI255" s="305"/>
      <c r="BJ255" s="305"/>
      <c r="BK255" s="305"/>
      <c r="BL255" s="305"/>
      <c r="BM255" s="305"/>
      <c r="BN255" s="305"/>
      <c r="BO255" s="305"/>
      <c r="BP255" s="305"/>
      <c r="BQ255" s="305"/>
      <c r="BR255" s="305"/>
      <c r="BS255" s="305"/>
      <c r="BT255" s="305"/>
      <c r="BU255" s="305"/>
      <c r="BV255" s="305"/>
      <c r="BW255" s="305"/>
      <c r="BX255" s="305"/>
      <c r="BY255" s="305"/>
      <c r="BZ255" s="305"/>
      <c r="CA255" s="305"/>
      <c r="CB255" s="305"/>
      <c r="CC255" s="305"/>
      <c r="CD255" s="305"/>
      <c r="CE255" s="305"/>
      <c r="CF255" s="305"/>
      <c r="CG255" s="305"/>
      <c r="CH255" s="305"/>
      <c r="CI255" s="305"/>
      <c r="CJ255" s="305"/>
      <c r="CK255" s="305"/>
      <c r="CL255" s="305"/>
      <c r="CM255" s="305"/>
      <c r="CN255" s="305"/>
      <c r="CO255" s="305"/>
      <c r="CP255" s="305"/>
      <c r="CQ255" s="305"/>
      <c r="CR255" s="305"/>
      <c r="CS255" s="305"/>
      <c r="CT255" s="305"/>
      <c r="CU255" s="305"/>
      <c r="CV255" s="305"/>
      <c r="CW255" s="305"/>
      <c r="CX255" s="305"/>
      <c r="CY255" s="305"/>
      <c r="CZ255" s="305"/>
      <c r="DA255" s="305"/>
      <c r="DB255" s="305"/>
      <c r="DC255" s="305"/>
      <c r="DD255" s="305"/>
      <c r="DE255" s="305"/>
      <c r="DF255" s="305"/>
      <c r="DG255" s="305"/>
      <c r="DH255" s="305"/>
      <c r="DI255" s="305"/>
      <c r="DJ255" s="305"/>
      <c r="DK255" s="305"/>
      <c r="DL255" s="305"/>
      <c r="DM255" s="305"/>
      <c r="DN255" s="305"/>
      <c r="DO255" s="305"/>
      <c r="DP255" s="305"/>
      <c r="DQ255" s="305"/>
      <c r="DR255" s="305"/>
      <c r="DS255" s="305"/>
      <c r="DT255" s="305"/>
      <c r="DU255" s="305"/>
      <c r="DV255" s="305"/>
      <c r="DW255" s="558"/>
      <c r="DX255" s="558"/>
      <c r="DY255" s="558"/>
      <c r="DZ255" s="558"/>
      <c r="EA255" s="558"/>
      <c r="EB255" s="558"/>
      <c r="EC255" s="558"/>
      <c r="ED255" s="558"/>
      <c r="EE255" s="558"/>
      <c r="EF255" s="558"/>
      <c r="EG255" s="558"/>
      <c r="EH255" s="558"/>
      <c r="EI255" s="558"/>
      <c r="EJ255" s="558"/>
      <c r="EK255" s="558"/>
      <c r="EL255" s="558"/>
      <c r="EM255" s="558"/>
      <c r="EN255" s="558"/>
      <c r="EO255" s="558"/>
      <c r="EP255" s="558"/>
      <c r="EQ255" s="674"/>
      <c r="ER255" s="305"/>
    </row>
    <row r="256" spans="4:148" s="556" customFormat="1" x14ac:dyDescent="0.2">
      <c r="D256" s="110"/>
      <c r="O256" s="669"/>
      <c r="P256" s="670"/>
      <c r="Q256" s="670"/>
      <c r="S256" s="674"/>
      <c r="AA256" s="674"/>
      <c r="AF256" s="305"/>
      <c r="AG256" s="305"/>
      <c r="AH256" s="305"/>
      <c r="AI256" s="305"/>
      <c r="AJ256" s="305"/>
      <c r="AK256" s="305"/>
      <c r="AL256" s="305"/>
      <c r="AM256" s="305"/>
      <c r="AN256" s="305"/>
      <c r="AO256" s="305"/>
      <c r="AP256" s="305"/>
      <c r="AQ256" s="305"/>
      <c r="AR256" s="305"/>
      <c r="AS256" s="305"/>
      <c r="AT256" s="305"/>
      <c r="AU256" s="305"/>
      <c r="AV256" s="305"/>
      <c r="AW256" s="305"/>
      <c r="AX256" s="305"/>
      <c r="AY256" s="305"/>
      <c r="AZ256" s="305"/>
      <c r="BA256" s="305"/>
      <c r="BB256" s="305"/>
      <c r="BC256" s="305"/>
      <c r="BD256" s="305"/>
      <c r="BE256" s="305"/>
      <c r="BF256" s="305"/>
      <c r="BG256" s="305"/>
      <c r="BH256" s="305"/>
      <c r="BI256" s="305"/>
      <c r="BJ256" s="305"/>
      <c r="BK256" s="305"/>
      <c r="BL256" s="305"/>
      <c r="BM256" s="305"/>
      <c r="BN256" s="305"/>
      <c r="BO256" s="305"/>
      <c r="BP256" s="305"/>
      <c r="BQ256" s="305"/>
      <c r="BR256" s="305"/>
      <c r="BS256" s="305"/>
      <c r="BT256" s="305"/>
      <c r="BU256" s="305"/>
      <c r="BV256" s="305"/>
      <c r="BW256" s="305"/>
      <c r="BX256" s="305"/>
      <c r="BY256" s="305"/>
      <c r="BZ256" s="305"/>
      <c r="CA256" s="305"/>
      <c r="CB256" s="305"/>
      <c r="CC256" s="305"/>
      <c r="CD256" s="305"/>
      <c r="CE256" s="305"/>
      <c r="CF256" s="305"/>
      <c r="CG256" s="305"/>
      <c r="CH256" s="305"/>
      <c r="CI256" s="305"/>
      <c r="CJ256" s="305"/>
      <c r="CK256" s="305"/>
      <c r="CL256" s="305"/>
      <c r="CM256" s="305"/>
      <c r="CN256" s="305"/>
      <c r="CO256" s="305"/>
      <c r="CP256" s="305"/>
      <c r="CQ256" s="305"/>
      <c r="CR256" s="305"/>
      <c r="CS256" s="305"/>
      <c r="CT256" s="305"/>
      <c r="CU256" s="305"/>
      <c r="CV256" s="305"/>
      <c r="CW256" s="305"/>
      <c r="CX256" s="305"/>
      <c r="CY256" s="305"/>
      <c r="CZ256" s="305"/>
      <c r="DA256" s="305"/>
      <c r="DB256" s="305"/>
      <c r="DC256" s="305"/>
      <c r="DD256" s="305"/>
      <c r="DE256" s="305"/>
      <c r="DF256" s="305"/>
      <c r="DG256" s="305"/>
      <c r="DH256" s="305"/>
      <c r="DI256" s="305"/>
      <c r="DJ256" s="305"/>
      <c r="DK256" s="305"/>
      <c r="DL256" s="305"/>
      <c r="DM256" s="305"/>
      <c r="DN256" s="305"/>
      <c r="DO256" s="305"/>
      <c r="DP256" s="305"/>
      <c r="DQ256" s="305"/>
      <c r="DR256" s="305"/>
      <c r="DS256" s="305"/>
      <c r="DT256" s="305"/>
      <c r="DU256" s="305"/>
      <c r="DV256" s="305"/>
      <c r="DW256" s="558"/>
      <c r="DX256" s="558"/>
      <c r="DY256" s="558"/>
      <c r="DZ256" s="558"/>
      <c r="EA256" s="558"/>
      <c r="EB256" s="558"/>
      <c r="EC256" s="558"/>
      <c r="ED256" s="558"/>
      <c r="EE256" s="558"/>
      <c r="EF256" s="558"/>
      <c r="EG256" s="558"/>
      <c r="EH256" s="558"/>
      <c r="EI256" s="558"/>
      <c r="EJ256" s="558"/>
      <c r="EK256" s="558"/>
      <c r="EL256" s="558"/>
      <c r="EM256" s="558"/>
      <c r="EN256" s="558"/>
      <c r="EO256" s="558"/>
      <c r="EP256" s="558"/>
      <c r="EQ256" s="674"/>
      <c r="ER256" s="305"/>
    </row>
    <row r="257" spans="4:148" s="556" customFormat="1" x14ac:dyDescent="0.2">
      <c r="D257" s="110"/>
      <c r="O257" s="669"/>
      <c r="P257" s="670"/>
      <c r="Q257" s="670"/>
      <c r="S257" s="674"/>
      <c r="AA257" s="674"/>
      <c r="AF257" s="305"/>
      <c r="AG257" s="305"/>
      <c r="AH257" s="305"/>
      <c r="AI257" s="305"/>
      <c r="AJ257" s="305"/>
      <c r="AK257" s="305"/>
      <c r="AL257" s="305"/>
      <c r="AM257" s="305"/>
      <c r="AN257" s="305"/>
      <c r="AO257" s="305"/>
      <c r="AP257" s="305"/>
      <c r="AQ257" s="305"/>
      <c r="AR257" s="305"/>
      <c r="AS257" s="305"/>
      <c r="AT257" s="305"/>
      <c r="AU257" s="305"/>
      <c r="AV257" s="305"/>
      <c r="AW257" s="305"/>
      <c r="AX257" s="305"/>
      <c r="AY257" s="305"/>
      <c r="AZ257" s="305"/>
      <c r="BA257" s="305"/>
      <c r="BB257" s="305"/>
      <c r="BC257" s="305"/>
      <c r="BD257" s="305"/>
      <c r="BE257" s="305"/>
      <c r="BF257" s="305"/>
      <c r="BG257" s="305"/>
      <c r="BH257" s="305"/>
      <c r="BI257" s="305"/>
      <c r="BJ257" s="305"/>
      <c r="BK257" s="305"/>
      <c r="BL257" s="305"/>
      <c r="BM257" s="305"/>
      <c r="BN257" s="305"/>
      <c r="BO257" s="305"/>
      <c r="BP257" s="305"/>
      <c r="BQ257" s="305"/>
      <c r="BR257" s="305"/>
      <c r="BS257" s="305"/>
      <c r="BT257" s="305"/>
      <c r="BU257" s="305"/>
      <c r="BV257" s="305"/>
      <c r="BW257" s="305"/>
      <c r="BX257" s="305"/>
      <c r="BY257" s="305"/>
      <c r="BZ257" s="305"/>
      <c r="CA257" s="305"/>
      <c r="CB257" s="305"/>
      <c r="CC257" s="305"/>
      <c r="CD257" s="305"/>
      <c r="CE257" s="305"/>
      <c r="CF257" s="305"/>
      <c r="CG257" s="305"/>
      <c r="CH257" s="305"/>
      <c r="CI257" s="305"/>
      <c r="CJ257" s="305"/>
      <c r="CK257" s="305"/>
      <c r="CL257" s="305"/>
      <c r="CM257" s="305"/>
      <c r="CN257" s="305"/>
      <c r="CO257" s="305"/>
      <c r="CP257" s="305"/>
      <c r="CQ257" s="305"/>
      <c r="CR257" s="305"/>
      <c r="CS257" s="305"/>
      <c r="CT257" s="305"/>
      <c r="CU257" s="305"/>
      <c r="CV257" s="305"/>
      <c r="CW257" s="305"/>
      <c r="CX257" s="305"/>
      <c r="CY257" s="305"/>
      <c r="CZ257" s="305"/>
      <c r="DA257" s="305"/>
      <c r="DB257" s="305"/>
      <c r="DC257" s="305"/>
      <c r="DD257" s="305"/>
      <c r="DE257" s="305"/>
      <c r="DF257" s="305"/>
      <c r="DG257" s="305"/>
      <c r="DH257" s="305"/>
      <c r="DI257" s="305"/>
      <c r="DJ257" s="305"/>
      <c r="DK257" s="305"/>
      <c r="DL257" s="305"/>
      <c r="DM257" s="305"/>
      <c r="DN257" s="305"/>
      <c r="DO257" s="305"/>
      <c r="DP257" s="305"/>
      <c r="DQ257" s="305"/>
      <c r="DR257" s="305"/>
      <c r="DS257" s="305"/>
      <c r="DT257" s="305"/>
      <c r="DU257" s="305"/>
      <c r="DV257" s="305"/>
      <c r="DW257" s="558"/>
      <c r="DX257" s="558"/>
      <c r="DY257" s="558"/>
      <c r="DZ257" s="558"/>
      <c r="EA257" s="558"/>
      <c r="EB257" s="558"/>
      <c r="EC257" s="558"/>
      <c r="ED257" s="558"/>
      <c r="EE257" s="558"/>
      <c r="EF257" s="558"/>
      <c r="EG257" s="558"/>
      <c r="EH257" s="558"/>
      <c r="EI257" s="558"/>
      <c r="EJ257" s="558"/>
      <c r="EK257" s="558"/>
      <c r="EL257" s="558"/>
      <c r="EM257" s="558"/>
      <c r="EN257" s="558"/>
      <c r="EO257" s="558"/>
      <c r="EP257" s="558"/>
      <c r="EQ257" s="674"/>
      <c r="ER257" s="305"/>
    </row>
    <row r="258" spans="4:148" s="556" customFormat="1" x14ac:dyDescent="0.2">
      <c r="D258" s="110"/>
      <c r="O258" s="669"/>
      <c r="P258" s="670"/>
      <c r="Q258" s="670"/>
      <c r="S258" s="674"/>
      <c r="AA258" s="674"/>
      <c r="AF258" s="305"/>
      <c r="AG258" s="305"/>
      <c r="AH258" s="305"/>
      <c r="AI258" s="305"/>
      <c r="AJ258" s="305"/>
      <c r="AK258" s="305"/>
      <c r="AL258" s="305"/>
      <c r="AM258" s="305"/>
      <c r="AN258" s="305"/>
      <c r="AO258" s="305"/>
      <c r="AP258" s="305"/>
      <c r="AQ258" s="305"/>
      <c r="AR258" s="305"/>
      <c r="AS258" s="305"/>
      <c r="AT258" s="305"/>
      <c r="AU258" s="305"/>
      <c r="AV258" s="305"/>
      <c r="AW258" s="305"/>
      <c r="AX258" s="305"/>
      <c r="AY258" s="305"/>
      <c r="AZ258" s="305"/>
      <c r="BA258" s="305"/>
      <c r="BB258" s="305"/>
      <c r="BC258" s="305"/>
      <c r="BD258" s="305"/>
      <c r="BE258" s="305"/>
      <c r="BF258" s="305"/>
      <c r="BG258" s="305"/>
      <c r="BH258" s="305"/>
      <c r="BI258" s="305"/>
      <c r="BJ258" s="305"/>
      <c r="BK258" s="305"/>
      <c r="BL258" s="305"/>
      <c r="BM258" s="305"/>
      <c r="BN258" s="305"/>
      <c r="BO258" s="305"/>
      <c r="BP258" s="305"/>
      <c r="BQ258" s="305"/>
      <c r="BR258" s="305"/>
      <c r="BS258" s="305"/>
      <c r="BT258" s="305"/>
      <c r="BU258" s="305"/>
      <c r="BV258" s="305"/>
      <c r="BW258" s="305"/>
      <c r="BX258" s="305"/>
      <c r="BY258" s="305"/>
      <c r="BZ258" s="305"/>
      <c r="CA258" s="305"/>
      <c r="CB258" s="305"/>
      <c r="CC258" s="305"/>
      <c r="CD258" s="305"/>
      <c r="CE258" s="305"/>
      <c r="CF258" s="305"/>
      <c r="CG258" s="305"/>
      <c r="CH258" s="305"/>
      <c r="CI258" s="305"/>
      <c r="CJ258" s="305"/>
      <c r="CK258" s="305"/>
      <c r="CL258" s="305"/>
      <c r="CM258" s="305"/>
      <c r="CN258" s="305"/>
      <c r="CO258" s="305"/>
      <c r="CP258" s="305"/>
      <c r="CQ258" s="305"/>
      <c r="CR258" s="305"/>
      <c r="CS258" s="305"/>
      <c r="CT258" s="305"/>
      <c r="CU258" s="305"/>
      <c r="CV258" s="305"/>
      <c r="CW258" s="305"/>
      <c r="CX258" s="305"/>
      <c r="CY258" s="305"/>
      <c r="CZ258" s="305"/>
      <c r="DA258" s="305"/>
      <c r="DB258" s="305"/>
      <c r="DC258" s="305"/>
      <c r="DD258" s="305"/>
      <c r="DE258" s="305"/>
      <c r="DF258" s="305"/>
      <c r="DG258" s="305"/>
      <c r="DH258" s="305"/>
      <c r="DI258" s="305"/>
      <c r="DJ258" s="305"/>
      <c r="DK258" s="305"/>
      <c r="DL258" s="305"/>
      <c r="DM258" s="305"/>
      <c r="DN258" s="305"/>
      <c r="DO258" s="305"/>
      <c r="DP258" s="305"/>
      <c r="DQ258" s="305"/>
      <c r="DR258" s="305"/>
      <c r="DS258" s="305"/>
      <c r="DT258" s="305"/>
      <c r="DU258" s="305"/>
      <c r="DV258" s="305"/>
      <c r="DW258" s="558"/>
      <c r="DX258" s="558"/>
      <c r="DY258" s="558"/>
      <c r="DZ258" s="558"/>
      <c r="EA258" s="558"/>
      <c r="EB258" s="558"/>
      <c r="EC258" s="558"/>
      <c r="ED258" s="558"/>
      <c r="EE258" s="558"/>
      <c r="EF258" s="558"/>
      <c r="EG258" s="558"/>
      <c r="EH258" s="558"/>
      <c r="EI258" s="558"/>
      <c r="EJ258" s="558"/>
      <c r="EK258" s="558"/>
      <c r="EL258" s="558"/>
      <c r="EM258" s="558"/>
      <c r="EN258" s="558"/>
      <c r="EO258" s="558"/>
      <c r="EP258" s="558"/>
      <c r="EQ258" s="674"/>
      <c r="ER258" s="305"/>
    </row>
    <row r="259" spans="4:148" s="556" customFormat="1" x14ac:dyDescent="0.2">
      <c r="D259" s="110"/>
      <c r="O259" s="669"/>
      <c r="P259" s="670"/>
      <c r="Q259" s="670"/>
      <c r="S259" s="674"/>
      <c r="AA259" s="674"/>
      <c r="AF259" s="305"/>
      <c r="AG259" s="305"/>
      <c r="AH259" s="305"/>
      <c r="AI259" s="305"/>
      <c r="AJ259" s="305"/>
      <c r="AK259" s="305"/>
      <c r="AL259" s="305"/>
      <c r="AM259" s="305"/>
      <c r="AN259" s="305"/>
      <c r="AO259" s="305"/>
      <c r="AP259" s="305"/>
      <c r="AQ259" s="305"/>
      <c r="AR259" s="305"/>
      <c r="AS259" s="305"/>
      <c r="AT259" s="305"/>
      <c r="AU259" s="305"/>
      <c r="AV259" s="305"/>
      <c r="AW259" s="305"/>
      <c r="AX259" s="305"/>
      <c r="AY259" s="305"/>
      <c r="AZ259" s="305"/>
      <c r="BA259" s="305"/>
      <c r="BB259" s="305"/>
      <c r="BC259" s="305"/>
      <c r="BD259" s="305"/>
      <c r="BE259" s="305"/>
      <c r="BF259" s="305"/>
      <c r="BG259" s="305"/>
      <c r="BH259" s="305"/>
      <c r="BI259" s="305"/>
      <c r="BJ259" s="305"/>
      <c r="BK259" s="305"/>
      <c r="BL259" s="305"/>
      <c r="BM259" s="305"/>
      <c r="BN259" s="305"/>
      <c r="BO259" s="305"/>
      <c r="BP259" s="305"/>
      <c r="BQ259" s="305"/>
      <c r="BR259" s="305"/>
      <c r="BS259" s="305"/>
      <c r="BT259" s="305"/>
      <c r="BU259" s="305"/>
      <c r="BV259" s="305"/>
      <c r="BW259" s="305"/>
      <c r="BX259" s="305"/>
      <c r="BY259" s="305"/>
      <c r="BZ259" s="305"/>
      <c r="CA259" s="305"/>
      <c r="CB259" s="305"/>
      <c r="CC259" s="305"/>
      <c r="CD259" s="305"/>
      <c r="CE259" s="305"/>
      <c r="CF259" s="305"/>
      <c r="CG259" s="305"/>
      <c r="CH259" s="305"/>
      <c r="CI259" s="305"/>
      <c r="CJ259" s="305"/>
      <c r="CK259" s="305"/>
      <c r="CL259" s="305"/>
      <c r="CM259" s="305"/>
      <c r="CN259" s="305"/>
      <c r="CO259" s="305"/>
      <c r="CP259" s="305"/>
      <c r="CQ259" s="305"/>
      <c r="CR259" s="305"/>
      <c r="CS259" s="305"/>
      <c r="CT259" s="305"/>
      <c r="CU259" s="305"/>
      <c r="CV259" s="305"/>
      <c r="CW259" s="305"/>
      <c r="CX259" s="305"/>
      <c r="CY259" s="305"/>
      <c r="CZ259" s="305"/>
      <c r="DA259" s="305"/>
      <c r="DB259" s="305"/>
      <c r="DC259" s="305"/>
      <c r="DD259" s="305"/>
      <c r="DE259" s="305"/>
      <c r="DF259" s="305"/>
      <c r="DG259" s="305"/>
      <c r="DH259" s="305"/>
      <c r="DI259" s="305"/>
      <c r="DJ259" s="305"/>
      <c r="DK259" s="305"/>
      <c r="DL259" s="305"/>
      <c r="DM259" s="305"/>
      <c r="DN259" s="305"/>
      <c r="DO259" s="305"/>
      <c r="DP259" s="305"/>
      <c r="DQ259" s="305"/>
      <c r="DR259" s="305"/>
      <c r="DS259" s="305"/>
      <c r="DT259" s="305"/>
      <c r="DU259" s="305"/>
      <c r="DV259" s="305"/>
      <c r="DW259" s="558"/>
      <c r="DX259" s="558"/>
      <c r="DY259" s="558"/>
      <c r="DZ259" s="558"/>
      <c r="EA259" s="558"/>
      <c r="EB259" s="558"/>
      <c r="EC259" s="558"/>
      <c r="ED259" s="558"/>
      <c r="EE259" s="558"/>
      <c r="EF259" s="558"/>
      <c r="EG259" s="558"/>
      <c r="EH259" s="558"/>
      <c r="EI259" s="558"/>
      <c r="EJ259" s="558"/>
      <c r="EK259" s="558"/>
      <c r="EL259" s="558"/>
      <c r="EM259" s="558"/>
      <c r="EN259" s="558"/>
      <c r="EO259" s="558"/>
      <c r="EP259" s="558"/>
      <c r="EQ259" s="674"/>
      <c r="ER259" s="305"/>
    </row>
    <row r="260" spans="4:148" s="556" customFormat="1" x14ac:dyDescent="0.2">
      <c r="D260" s="110"/>
      <c r="O260" s="669"/>
      <c r="P260" s="670"/>
      <c r="Q260" s="670"/>
      <c r="S260" s="674"/>
      <c r="AA260" s="674"/>
      <c r="AF260" s="305"/>
      <c r="AG260" s="305"/>
      <c r="AH260" s="305"/>
      <c r="AI260" s="305"/>
      <c r="AJ260" s="305"/>
      <c r="AK260" s="305"/>
      <c r="AL260" s="305"/>
      <c r="AM260" s="305"/>
      <c r="AN260" s="305"/>
      <c r="AO260" s="305"/>
      <c r="AP260" s="305"/>
      <c r="AQ260" s="305"/>
      <c r="AR260" s="305"/>
      <c r="AS260" s="305"/>
      <c r="AT260" s="305"/>
      <c r="AU260" s="305"/>
      <c r="AV260" s="305"/>
      <c r="AW260" s="305"/>
      <c r="AX260" s="305"/>
      <c r="AY260" s="305"/>
      <c r="AZ260" s="305"/>
      <c r="BA260" s="305"/>
      <c r="BB260" s="305"/>
      <c r="BC260" s="305"/>
      <c r="BD260" s="305"/>
      <c r="BE260" s="305"/>
      <c r="BF260" s="305"/>
      <c r="BG260" s="305"/>
      <c r="BH260" s="305"/>
      <c r="BI260" s="305"/>
      <c r="BJ260" s="305"/>
      <c r="BK260" s="305"/>
      <c r="BL260" s="305"/>
      <c r="BM260" s="305"/>
      <c r="BN260" s="305"/>
      <c r="BO260" s="305"/>
      <c r="BP260" s="305"/>
      <c r="BQ260" s="305"/>
      <c r="BR260" s="305"/>
      <c r="BS260" s="305"/>
      <c r="BT260" s="305"/>
      <c r="BU260" s="305"/>
      <c r="BV260" s="305"/>
      <c r="BW260" s="305"/>
      <c r="BX260" s="305"/>
      <c r="BY260" s="305"/>
      <c r="BZ260" s="305"/>
      <c r="CA260" s="305"/>
      <c r="CB260" s="305"/>
      <c r="CC260" s="305"/>
      <c r="CD260" s="305"/>
      <c r="CE260" s="305"/>
      <c r="CF260" s="305"/>
      <c r="CG260" s="305"/>
      <c r="CH260" s="305"/>
      <c r="CI260" s="305"/>
      <c r="CJ260" s="305"/>
      <c r="CK260" s="305"/>
      <c r="CL260" s="305"/>
      <c r="CM260" s="305"/>
      <c r="CN260" s="305"/>
      <c r="CO260" s="305"/>
      <c r="CP260" s="305"/>
      <c r="CQ260" s="305"/>
      <c r="CR260" s="305"/>
      <c r="CS260" s="305"/>
      <c r="CT260" s="305"/>
      <c r="CU260" s="305"/>
      <c r="CV260" s="305"/>
      <c r="CW260" s="305"/>
      <c r="CX260" s="305"/>
      <c r="CY260" s="305"/>
      <c r="CZ260" s="305"/>
      <c r="DA260" s="305"/>
      <c r="DB260" s="305"/>
      <c r="DC260" s="305"/>
      <c r="DD260" s="305"/>
      <c r="DE260" s="305"/>
      <c r="DF260" s="305"/>
      <c r="DG260" s="305"/>
      <c r="DH260" s="305"/>
      <c r="DI260" s="305"/>
      <c r="DJ260" s="305"/>
      <c r="DK260" s="305"/>
      <c r="DL260" s="305"/>
      <c r="DM260" s="305"/>
      <c r="DN260" s="305"/>
      <c r="DO260" s="305"/>
      <c r="DP260" s="305"/>
      <c r="DQ260" s="305"/>
      <c r="DR260" s="305"/>
      <c r="DS260" s="305"/>
      <c r="DT260" s="305"/>
      <c r="DU260" s="305"/>
      <c r="DV260" s="305"/>
      <c r="DW260" s="558"/>
      <c r="DX260" s="558"/>
      <c r="DY260" s="558"/>
      <c r="DZ260" s="558"/>
      <c r="EA260" s="558"/>
      <c r="EB260" s="558"/>
      <c r="EC260" s="558"/>
      <c r="ED260" s="558"/>
      <c r="EE260" s="558"/>
      <c r="EF260" s="558"/>
      <c r="EG260" s="558"/>
      <c r="EH260" s="558"/>
      <c r="EI260" s="558"/>
      <c r="EJ260" s="558"/>
      <c r="EK260" s="558"/>
      <c r="EL260" s="558"/>
      <c r="EM260" s="558"/>
      <c r="EN260" s="558"/>
      <c r="EO260" s="558"/>
      <c r="EP260" s="558"/>
      <c r="EQ260" s="674"/>
      <c r="ER260" s="305"/>
    </row>
    <row r="261" spans="4:148" s="556" customFormat="1" x14ac:dyDescent="0.2">
      <c r="D261" s="110"/>
      <c r="O261" s="669"/>
      <c r="P261" s="670"/>
      <c r="Q261" s="670"/>
      <c r="S261" s="674"/>
      <c r="AA261" s="674"/>
      <c r="AF261" s="305"/>
      <c r="AG261" s="305"/>
      <c r="AH261" s="305"/>
      <c r="AI261" s="305"/>
      <c r="AJ261" s="305"/>
      <c r="AK261" s="305"/>
      <c r="AL261" s="305"/>
      <c r="AM261" s="305"/>
      <c r="AN261" s="305"/>
      <c r="AO261" s="305"/>
      <c r="AP261" s="305"/>
      <c r="AQ261" s="305"/>
      <c r="AR261" s="305"/>
      <c r="AS261" s="305"/>
      <c r="AT261" s="305"/>
      <c r="AU261" s="305"/>
      <c r="AV261" s="305"/>
      <c r="AW261" s="305"/>
      <c r="AX261" s="305"/>
      <c r="AY261" s="305"/>
      <c r="AZ261" s="305"/>
      <c r="BA261" s="305"/>
      <c r="BB261" s="305"/>
      <c r="BC261" s="305"/>
      <c r="BD261" s="305"/>
      <c r="BE261" s="305"/>
      <c r="BF261" s="305"/>
      <c r="BG261" s="305"/>
      <c r="BH261" s="305"/>
      <c r="BI261" s="305"/>
      <c r="BJ261" s="305"/>
      <c r="BK261" s="305"/>
      <c r="BL261" s="305"/>
      <c r="BM261" s="305"/>
      <c r="BN261" s="305"/>
      <c r="BO261" s="305"/>
      <c r="BP261" s="305"/>
      <c r="BQ261" s="305"/>
      <c r="BR261" s="305"/>
      <c r="BS261" s="305"/>
      <c r="BT261" s="305"/>
      <c r="BU261" s="305"/>
      <c r="BV261" s="305"/>
      <c r="BW261" s="305"/>
      <c r="BX261" s="305"/>
      <c r="BY261" s="305"/>
      <c r="BZ261" s="305"/>
      <c r="CA261" s="305"/>
      <c r="CB261" s="305"/>
      <c r="CC261" s="305"/>
      <c r="CD261" s="305"/>
      <c r="CE261" s="305"/>
      <c r="CF261" s="305"/>
      <c r="CG261" s="305"/>
      <c r="CH261" s="305"/>
      <c r="CI261" s="305"/>
      <c r="CJ261" s="305"/>
      <c r="CK261" s="305"/>
      <c r="CL261" s="305"/>
      <c r="CM261" s="305"/>
      <c r="CN261" s="305"/>
      <c r="CO261" s="305"/>
      <c r="CP261" s="305"/>
      <c r="CQ261" s="305"/>
      <c r="CR261" s="305"/>
      <c r="CS261" s="305"/>
      <c r="CT261" s="305"/>
      <c r="CU261" s="305"/>
      <c r="CV261" s="305"/>
      <c r="CW261" s="305"/>
      <c r="CX261" s="305"/>
      <c r="CY261" s="305"/>
      <c r="CZ261" s="305"/>
      <c r="DA261" s="305"/>
      <c r="DB261" s="305"/>
      <c r="DC261" s="305"/>
      <c r="DD261" s="305"/>
      <c r="DE261" s="305"/>
      <c r="DF261" s="305"/>
      <c r="DG261" s="305"/>
      <c r="DH261" s="305"/>
      <c r="DI261" s="305"/>
      <c r="DJ261" s="305"/>
      <c r="DK261" s="305"/>
      <c r="DL261" s="305"/>
      <c r="DM261" s="305"/>
      <c r="DN261" s="305"/>
      <c r="DO261" s="305"/>
      <c r="DP261" s="305"/>
      <c r="DQ261" s="305"/>
      <c r="DR261" s="305"/>
      <c r="DS261" s="305"/>
      <c r="DT261" s="305"/>
      <c r="DU261" s="305"/>
      <c r="DV261" s="305"/>
      <c r="DW261" s="558"/>
      <c r="DX261" s="558"/>
      <c r="DY261" s="558"/>
      <c r="DZ261" s="558"/>
      <c r="EA261" s="558"/>
      <c r="EB261" s="558"/>
      <c r="EC261" s="558"/>
      <c r="ED261" s="558"/>
      <c r="EE261" s="558"/>
      <c r="EF261" s="558"/>
      <c r="EG261" s="558"/>
      <c r="EH261" s="558"/>
      <c r="EI261" s="558"/>
      <c r="EJ261" s="558"/>
      <c r="EK261" s="558"/>
      <c r="EL261" s="558"/>
      <c r="EM261" s="558"/>
      <c r="EN261" s="558"/>
      <c r="EO261" s="558"/>
      <c r="EP261" s="558"/>
      <c r="EQ261" s="674"/>
      <c r="ER261" s="305"/>
    </row>
    <row r="262" spans="4:148" s="556" customFormat="1" x14ac:dyDescent="0.2">
      <c r="D262" s="110"/>
      <c r="O262" s="669"/>
      <c r="P262" s="670"/>
      <c r="Q262" s="670"/>
      <c r="S262" s="674"/>
      <c r="AA262" s="674"/>
      <c r="AF262" s="305"/>
      <c r="AG262" s="305"/>
      <c r="AH262" s="305"/>
      <c r="AI262" s="305"/>
      <c r="AJ262" s="305"/>
      <c r="AK262" s="305"/>
      <c r="AL262" s="305"/>
      <c r="AM262" s="305"/>
      <c r="AN262" s="305"/>
      <c r="AO262" s="305"/>
      <c r="AP262" s="305"/>
      <c r="AQ262" s="305"/>
      <c r="AR262" s="305"/>
      <c r="AS262" s="305"/>
      <c r="AT262" s="305"/>
      <c r="AU262" s="305"/>
      <c r="AV262" s="305"/>
      <c r="AW262" s="305"/>
      <c r="AX262" s="305"/>
      <c r="AY262" s="305"/>
      <c r="AZ262" s="305"/>
      <c r="BA262" s="305"/>
      <c r="BB262" s="305"/>
      <c r="BC262" s="305"/>
      <c r="BD262" s="305"/>
      <c r="BE262" s="305"/>
      <c r="BF262" s="305"/>
      <c r="BG262" s="305"/>
      <c r="BH262" s="305"/>
      <c r="BI262" s="305"/>
      <c r="BJ262" s="305"/>
      <c r="BK262" s="305"/>
      <c r="BL262" s="305"/>
      <c r="BM262" s="305"/>
      <c r="BN262" s="305"/>
      <c r="BO262" s="305"/>
      <c r="BP262" s="305"/>
      <c r="BQ262" s="305"/>
      <c r="BR262" s="305"/>
      <c r="BS262" s="305"/>
      <c r="BT262" s="305"/>
      <c r="BU262" s="305"/>
      <c r="BV262" s="305"/>
      <c r="BW262" s="305"/>
      <c r="BX262" s="305"/>
      <c r="BY262" s="305"/>
      <c r="BZ262" s="305"/>
      <c r="CA262" s="305"/>
      <c r="CB262" s="305"/>
      <c r="CC262" s="305"/>
      <c r="CD262" s="305"/>
      <c r="CE262" s="305"/>
      <c r="CF262" s="305"/>
      <c r="CG262" s="305"/>
      <c r="CH262" s="305"/>
      <c r="CI262" s="305"/>
      <c r="CJ262" s="305"/>
      <c r="CK262" s="305"/>
      <c r="CL262" s="305"/>
      <c r="CM262" s="305"/>
      <c r="CN262" s="305"/>
      <c r="CO262" s="305"/>
      <c r="CP262" s="305"/>
      <c r="CQ262" s="305"/>
      <c r="CR262" s="305"/>
      <c r="CS262" s="305"/>
      <c r="CT262" s="305"/>
      <c r="CU262" s="305"/>
      <c r="CV262" s="305"/>
      <c r="CW262" s="305"/>
      <c r="CX262" s="305"/>
      <c r="CY262" s="305"/>
      <c r="CZ262" s="305"/>
      <c r="DA262" s="305"/>
      <c r="DB262" s="305"/>
      <c r="DC262" s="305"/>
      <c r="DD262" s="305"/>
      <c r="DE262" s="305"/>
      <c r="DF262" s="305"/>
      <c r="DG262" s="305"/>
      <c r="DH262" s="305"/>
      <c r="DI262" s="305"/>
      <c r="DJ262" s="305"/>
      <c r="DK262" s="305"/>
      <c r="DL262" s="305"/>
      <c r="DM262" s="305"/>
      <c r="DN262" s="305"/>
      <c r="DO262" s="305"/>
      <c r="DP262" s="305"/>
      <c r="DQ262" s="305"/>
      <c r="DR262" s="305"/>
      <c r="DS262" s="305"/>
      <c r="DT262" s="305"/>
      <c r="DU262" s="305"/>
      <c r="DV262" s="305"/>
      <c r="DW262" s="558"/>
      <c r="DX262" s="558"/>
      <c r="DY262" s="558"/>
      <c r="DZ262" s="558"/>
      <c r="EA262" s="558"/>
      <c r="EB262" s="558"/>
      <c r="EC262" s="558"/>
      <c r="ED262" s="558"/>
      <c r="EE262" s="558"/>
      <c r="EF262" s="558"/>
      <c r="EG262" s="558"/>
      <c r="EH262" s="558"/>
      <c r="EI262" s="558"/>
      <c r="EJ262" s="558"/>
      <c r="EK262" s="558"/>
      <c r="EL262" s="558"/>
      <c r="EM262" s="558"/>
      <c r="EN262" s="558"/>
      <c r="EO262" s="558"/>
      <c r="EP262" s="558"/>
      <c r="EQ262" s="674"/>
      <c r="ER262" s="305"/>
    </row>
    <row r="263" spans="4:148" s="556" customFormat="1" x14ac:dyDescent="0.2">
      <c r="D263" s="110"/>
      <c r="O263" s="669"/>
      <c r="P263" s="670"/>
      <c r="Q263" s="670"/>
      <c r="S263" s="674"/>
      <c r="AA263" s="674"/>
      <c r="AF263" s="305"/>
      <c r="AG263" s="305"/>
      <c r="AH263" s="305"/>
      <c r="AI263" s="305"/>
      <c r="AJ263" s="305"/>
      <c r="AK263" s="305"/>
      <c r="AL263" s="305"/>
      <c r="AM263" s="305"/>
      <c r="AN263" s="305"/>
      <c r="AO263" s="305"/>
      <c r="AP263" s="305"/>
      <c r="AQ263" s="305"/>
      <c r="AR263" s="305"/>
      <c r="AS263" s="305"/>
      <c r="AT263" s="305"/>
      <c r="AU263" s="305"/>
      <c r="AV263" s="305"/>
      <c r="AW263" s="305"/>
      <c r="AX263" s="305"/>
      <c r="AY263" s="305"/>
      <c r="AZ263" s="305"/>
      <c r="BA263" s="305"/>
      <c r="BB263" s="305"/>
      <c r="BC263" s="305"/>
      <c r="BD263" s="305"/>
      <c r="BE263" s="305"/>
      <c r="BF263" s="305"/>
      <c r="BG263" s="305"/>
      <c r="BH263" s="305"/>
      <c r="BI263" s="305"/>
      <c r="BJ263" s="305"/>
      <c r="BK263" s="305"/>
      <c r="BL263" s="305"/>
      <c r="BM263" s="305"/>
      <c r="BN263" s="305"/>
      <c r="BO263" s="305"/>
      <c r="BP263" s="305"/>
      <c r="BQ263" s="305"/>
      <c r="BR263" s="305"/>
      <c r="BS263" s="305"/>
      <c r="BT263" s="305"/>
      <c r="BU263" s="305"/>
      <c r="BV263" s="305"/>
      <c r="BW263" s="305"/>
      <c r="BX263" s="305"/>
      <c r="BY263" s="305"/>
      <c r="BZ263" s="305"/>
      <c r="CA263" s="305"/>
      <c r="CB263" s="305"/>
      <c r="CC263" s="305"/>
      <c r="CD263" s="305"/>
      <c r="CE263" s="305"/>
      <c r="CF263" s="305"/>
      <c r="CG263" s="305"/>
      <c r="CH263" s="305"/>
      <c r="CI263" s="305"/>
      <c r="CJ263" s="305"/>
      <c r="CK263" s="305"/>
      <c r="CL263" s="305"/>
      <c r="CM263" s="305"/>
      <c r="CN263" s="305"/>
      <c r="CO263" s="305"/>
      <c r="CP263" s="305"/>
      <c r="CQ263" s="305"/>
      <c r="CR263" s="305"/>
      <c r="CS263" s="305"/>
      <c r="CT263" s="305"/>
      <c r="CU263" s="305"/>
      <c r="CV263" s="305"/>
      <c r="CW263" s="305"/>
      <c r="CX263" s="305"/>
      <c r="CY263" s="305"/>
      <c r="CZ263" s="305"/>
      <c r="DA263" s="305"/>
      <c r="DB263" s="305"/>
      <c r="DC263" s="305"/>
      <c r="DD263" s="305"/>
      <c r="DE263" s="305"/>
      <c r="DF263" s="305"/>
      <c r="DG263" s="305"/>
      <c r="DH263" s="305"/>
      <c r="DI263" s="305"/>
      <c r="DJ263" s="305"/>
      <c r="DK263" s="305"/>
      <c r="DL263" s="305"/>
      <c r="DM263" s="305"/>
      <c r="DN263" s="305"/>
      <c r="DO263" s="305"/>
      <c r="DP263" s="305"/>
      <c r="DQ263" s="305"/>
      <c r="DR263" s="305"/>
      <c r="DS263" s="305"/>
      <c r="DT263" s="305"/>
      <c r="DU263" s="305"/>
      <c r="DV263" s="305"/>
      <c r="DW263" s="558"/>
      <c r="DX263" s="558"/>
      <c r="DY263" s="558"/>
      <c r="DZ263" s="558"/>
      <c r="EA263" s="558"/>
      <c r="EB263" s="558"/>
      <c r="EC263" s="558"/>
      <c r="ED263" s="558"/>
      <c r="EE263" s="558"/>
      <c r="EF263" s="558"/>
      <c r="EG263" s="558"/>
      <c r="EH263" s="558"/>
      <c r="EI263" s="558"/>
      <c r="EJ263" s="558"/>
      <c r="EK263" s="558"/>
      <c r="EL263" s="558"/>
      <c r="EM263" s="558"/>
      <c r="EN263" s="558"/>
      <c r="EO263" s="558"/>
      <c r="EP263" s="558"/>
      <c r="EQ263" s="674"/>
      <c r="ER263" s="305"/>
    </row>
    <row r="264" spans="4:148" s="556" customFormat="1" x14ac:dyDescent="0.2">
      <c r="D264" s="110"/>
      <c r="O264" s="669"/>
      <c r="P264" s="670"/>
      <c r="Q264" s="670"/>
      <c r="S264" s="674"/>
      <c r="AA264" s="674"/>
      <c r="AF264" s="305"/>
      <c r="AG264" s="305"/>
      <c r="AH264" s="305"/>
      <c r="AI264" s="305"/>
      <c r="AJ264" s="305"/>
      <c r="AK264" s="305"/>
      <c r="AL264" s="305"/>
      <c r="AM264" s="305"/>
      <c r="AN264" s="305"/>
      <c r="AO264" s="305"/>
      <c r="AP264" s="305"/>
      <c r="AQ264" s="305"/>
      <c r="AR264" s="305"/>
      <c r="AS264" s="305"/>
      <c r="AT264" s="305"/>
      <c r="AU264" s="305"/>
      <c r="AV264" s="305"/>
      <c r="AW264" s="305"/>
      <c r="AX264" s="305"/>
      <c r="AY264" s="305"/>
      <c r="AZ264" s="305"/>
      <c r="BA264" s="305"/>
      <c r="BB264" s="305"/>
      <c r="BC264" s="305"/>
      <c r="BD264" s="305"/>
      <c r="BE264" s="305"/>
      <c r="BF264" s="305"/>
      <c r="BG264" s="305"/>
      <c r="BH264" s="305"/>
      <c r="BI264" s="305"/>
      <c r="BJ264" s="305"/>
      <c r="BK264" s="305"/>
      <c r="BL264" s="305"/>
      <c r="BM264" s="305"/>
      <c r="BN264" s="305"/>
      <c r="BO264" s="305"/>
      <c r="BP264" s="305"/>
      <c r="BQ264" s="305"/>
      <c r="BR264" s="305"/>
      <c r="BS264" s="305"/>
      <c r="BT264" s="305"/>
      <c r="BU264" s="305"/>
      <c r="BV264" s="305"/>
      <c r="BW264" s="305"/>
      <c r="BX264" s="305"/>
      <c r="BY264" s="305"/>
      <c r="BZ264" s="305"/>
      <c r="CA264" s="305"/>
      <c r="CB264" s="305"/>
      <c r="CC264" s="305"/>
      <c r="CD264" s="305"/>
      <c r="CE264" s="305"/>
      <c r="CF264" s="305"/>
      <c r="CG264" s="305"/>
      <c r="CH264" s="305"/>
      <c r="CI264" s="305"/>
      <c r="CJ264" s="305"/>
      <c r="CK264" s="305"/>
      <c r="CL264" s="305"/>
      <c r="CM264" s="305"/>
      <c r="CN264" s="305"/>
      <c r="CO264" s="305"/>
      <c r="CP264" s="305"/>
      <c r="CQ264" s="305"/>
      <c r="CR264" s="305"/>
      <c r="CS264" s="305"/>
      <c r="CT264" s="305"/>
      <c r="CU264" s="305"/>
      <c r="CV264" s="305"/>
      <c r="CW264" s="305"/>
      <c r="CX264" s="305"/>
      <c r="CY264" s="305"/>
      <c r="CZ264" s="305"/>
      <c r="DA264" s="305"/>
      <c r="DB264" s="305"/>
      <c r="DC264" s="305"/>
      <c r="DD264" s="305"/>
      <c r="DE264" s="305"/>
      <c r="DF264" s="305"/>
      <c r="DG264" s="305"/>
      <c r="DH264" s="305"/>
      <c r="DI264" s="305"/>
      <c r="DJ264" s="305"/>
      <c r="DK264" s="305"/>
      <c r="DL264" s="305"/>
      <c r="DM264" s="305"/>
      <c r="DN264" s="305"/>
      <c r="DO264" s="305"/>
      <c r="DP264" s="305"/>
      <c r="DQ264" s="305"/>
      <c r="DR264" s="305"/>
      <c r="DS264" s="305"/>
      <c r="DT264" s="305"/>
      <c r="DU264" s="305"/>
      <c r="DV264" s="305"/>
      <c r="DW264" s="558"/>
      <c r="DX264" s="558"/>
      <c r="DY264" s="558"/>
      <c r="DZ264" s="558"/>
      <c r="EA264" s="558"/>
      <c r="EB264" s="558"/>
      <c r="EC264" s="558"/>
      <c r="ED264" s="558"/>
      <c r="EE264" s="558"/>
      <c r="EF264" s="558"/>
      <c r="EG264" s="558"/>
      <c r="EH264" s="558"/>
      <c r="EI264" s="558"/>
      <c r="EJ264" s="558"/>
      <c r="EK264" s="558"/>
      <c r="EL264" s="558"/>
      <c r="EM264" s="558"/>
      <c r="EN264" s="558"/>
      <c r="EO264" s="558"/>
      <c r="EP264" s="558"/>
      <c r="EQ264" s="674"/>
      <c r="ER264" s="305"/>
    </row>
    <row r="265" spans="4:148" s="556" customFormat="1" x14ac:dyDescent="0.2">
      <c r="D265" s="110"/>
      <c r="O265" s="669"/>
      <c r="P265" s="670"/>
      <c r="Q265" s="670"/>
      <c r="S265" s="674"/>
      <c r="AA265" s="674"/>
      <c r="AF265" s="305"/>
      <c r="AG265" s="305"/>
      <c r="AH265" s="305"/>
      <c r="AI265" s="305"/>
      <c r="AJ265" s="305"/>
      <c r="AK265" s="305"/>
      <c r="AL265" s="305"/>
      <c r="AM265" s="305"/>
      <c r="AN265" s="305"/>
      <c r="AO265" s="305"/>
      <c r="AP265" s="305"/>
      <c r="AQ265" s="305"/>
      <c r="AR265" s="305"/>
      <c r="AS265" s="305"/>
      <c r="AT265" s="305"/>
      <c r="AU265" s="305"/>
      <c r="AV265" s="305"/>
      <c r="AW265" s="305"/>
      <c r="AX265" s="305"/>
      <c r="AY265" s="305"/>
      <c r="AZ265" s="305"/>
      <c r="BA265" s="305"/>
      <c r="BB265" s="305"/>
      <c r="BC265" s="305"/>
      <c r="BD265" s="305"/>
      <c r="BE265" s="305"/>
      <c r="BF265" s="305"/>
      <c r="BG265" s="305"/>
      <c r="BH265" s="305"/>
      <c r="BI265" s="305"/>
      <c r="BJ265" s="305"/>
      <c r="BK265" s="305"/>
      <c r="BL265" s="305"/>
      <c r="BM265" s="305"/>
      <c r="BN265" s="305"/>
      <c r="BO265" s="305"/>
      <c r="BP265" s="305"/>
      <c r="BQ265" s="305"/>
      <c r="BR265" s="305"/>
      <c r="BS265" s="305"/>
      <c r="BT265" s="305"/>
      <c r="BU265" s="305"/>
      <c r="BV265" s="305"/>
      <c r="BW265" s="305"/>
      <c r="BX265" s="305"/>
      <c r="BY265" s="305"/>
      <c r="BZ265" s="305"/>
      <c r="CA265" s="305"/>
      <c r="CB265" s="305"/>
      <c r="CC265" s="305"/>
      <c r="CD265" s="305"/>
      <c r="CE265" s="305"/>
      <c r="CF265" s="305"/>
      <c r="CG265" s="305"/>
      <c r="CH265" s="305"/>
      <c r="CI265" s="305"/>
      <c r="CJ265" s="305"/>
      <c r="CK265" s="305"/>
      <c r="CL265" s="305"/>
      <c r="CM265" s="305"/>
      <c r="CN265" s="305"/>
      <c r="CO265" s="305"/>
      <c r="CP265" s="305"/>
      <c r="CQ265" s="305"/>
      <c r="CR265" s="305"/>
      <c r="CS265" s="305"/>
      <c r="CT265" s="305"/>
      <c r="CU265" s="305"/>
      <c r="CV265" s="305"/>
      <c r="CW265" s="305"/>
      <c r="CX265" s="305"/>
      <c r="CY265" s="305"/>
      <c r="CZ265" s="305"/>
      <c r="DA265" s="305"/>
      <c r="DB265" s="305"/>
      <c r="DC265" s="305"/>
      <c r="DD265" s="305"/>
      <c r="DE265" s="305"/>
      <c r="DF265" s="305"/>
      <c r="DG265" s="305"/>
      <c r="DH265" s="305"/>
      <c r="DI265" s="305"/>
      <c r="DJ265" s="305"/>
      <c r="DK265" s="305"/>
      <c r="DL265" s="305"/>
      <c r="DM265" s="305"/>
      <c r="DN265" s="305"/>
      <c r="DO265" s="305"/>
      <c r="DP265" s="305"/>
      <c r="DQ265" s="305"/>
      <c r="DR265" s="305"/>
      <c r="DS265" s="305"/>
      <c r="DT265" s="305"/>
      <c r="DU265" s="305"/>
      <c r="DV265" s="305"/>
      <c r="DW265" s="558"/>
      <c r="DX265" s="558"/>
      <c r="DY265" s="558"/>
      <c r="DZ265" s="558"/>
      <c r="EA265" s="558"/>
      <c r="EB265" s="558"/>
      <c r="EC265" s="558"/>
      <c r="ED265" s="558"/>
      <c r="EE265" s="558"/>
      <c r="EF265" s="558"/>
      <c r="EG265" s="558"/>
      <c r="EH265" s="558"/>
      <c r="EI265" s="558"/>
      <c r="EJ265" s="558"/>
      <c r="EK265" s="558"/>
      <c r="EL265" s="558"/>
      <c r="EM265" s="558"/>
      <c r="EN265" s="558"/>
      <c r="EO265" s="558"/>
      <c r="EP265" s="558"/>
      <c r="EQ265" s="674"/>
      <c r="ER265" s="305"/>
    </row>
    <row r="266" spans="4:148" s="556" customFormat="1" x14ac:dyDescent="0.2">
      <c r="D266" s="110"/>
      <c r="O266" s="669"/>
      <c r="P266" s="670"/>
      <c r="Q266" s="670"/>
      <c r="S266" s="674"/>
      <c r="AA266" s="674"/>
      <c r="AF266" s="305"/>
      <c r="AG266" s="305"/>
      <c r="AH266" s="305"/>
      <c r="AI266" s="305"/>
      <c r="AJ266" s="305"/>
      <c r="AK266" s="305"/>
      <c r="AL266" s="305"/>
      <c r="AM266" s="305"/>
      <c r="AN266" s="305"/>
      <c r="AO266" s="305"/>
      <c r="AP266" s="305"/>
      <c r="AQ266" s="305"/>
      <c r="AR266" s="305"/>
      <c r="AS266" s="305"/>
      <c r="AT266" s="305"/>
      <c r="AU266" s="305"/>
      <c r="AV266" s="305"/>
      <c r="AW266" s="305"/>
      <c r="AX266" s="305"/>
      <c r="AY266" s="305"/>
      <c r="AZ266" s="305"/>
      <c r="BA266" s="305"/>
      <c r="BB266" s="305"/>
      <c r="BC266" s="305"/>
      <c r="BD266" s="305"/>
      <c r="BE266" s="305"/>
      <c r="BF266" s="305"/>
      <c r="BG266" s="305"/>
      <c r="BH266" s="305"/>
      <c r="BI266" s="305"/>
      <c r="BJ266" s="305"/>
      <c r="BK266" s="305"/>
      <c r="BL266" s="305"/>
      <c r="BM266" s="305"/>
      <c r="BN266" s="305"/>
      <c r="BO266" s="305"/>
      <c r="BP266" s="305"/>
      <c r="BQ266" s="305"/>
      <c r="BR266" s="305"/>
      <c r="BS266" s="305"/>
      <c r="BT266" s="305"/>
      <c r="BU266" s="305"/>
      <c r="BV266" s="305"/>
      <c r="BW266" s="305"/>
      <c r="BX266" s="305"/>
      <c r="BY266" s="305"/>
      <c r="BZ266" s="305"/>
      <c r="CA266" s="305"/>
      <c r="CB266" s="305"/>
      <c r="CC266" s="305"/>
      <c r="CD266" s="305"/>
      <c r="CE266" s="305"/>
      <c r="CF266" s="305"/>
      <c r="CG266" s="305"/>
      <c r="CH266" s="305"/>
      <c r="CI266" s="305"/>
      <c r="CJ266" s="305"/>
      <c r="CK266" s="305"/>
      <c r="CL266" s="305"/>
      <c r="CM266" s="305"/>
      <c r="CN266" s="305"/>
      <c r="CO266" s="305"/>
      <c r="CP266" s="305"/>
      <c r="CQ266" s="305"/>
      <c r="CR266" s="305"/>
      <c r="CS266" s="305"/>
      <c r="CT266" s="305"/>
      <c r="CU266" s="305"/>
      <c r="CV266" s="305"/>
      <c r="CW266" s="305"/>
      <c r="CX266" s="305"/>
      <c r="CY266" s="305"/>
      <c r="CZ266" s="305"/>
      <c r="DA266" s="305"/>
      <c r="DB266" s="305"/>
      <c r="DC266" s="305"/>
      <c r="DD266" s="305"/>
      <c r="DE266" s="305"/>
      <c r="DF266" s="305"/>
      <c r="DG266" s="305"/>
      <c r="DH266" s="305"/>
      <c r="DI266" s="305"/>
      <c r="DJ266" s="305"/>
      <c r="DK266" s="305"/>
      <c r="DL266" s="305"/>
      <c r="DM266" s="305"/>
      <c r="DN266" s="305"/>
      <c r="DO266" s="305"/>
      <c r="DP266" s="305"/>
      <c r="DQ266" s="305"/>
      <c r="DR266" s="305"/>
      <c r="DS266" s="305"/>
      <c r="DT266" s="305"/>
      <c r="DU266" s="305"/>
      <c r="DV266" s="305"/>
      <c r="DW266" s="558"/>
      <c r="DX266" s="558"/>
      <c r="DY266" s="558"/>
      <c r="DZ266" s="558"/>
      <c r="EA266" s="558"/>
      <c r="EB266" s="558"/>
      <c r="EC266" s="558"/>
      <c r="ED266" s="558"/>
      <c r="EE266" s="558"/>
      <c r="EF266" s="558"/>
      <c r="EG266" s="558"/>
      <c r="EH266" s="558"/>
      <c r="EI266" s="558"/>
      <c r="EJ266" s="558"/>
      <c r="EK266" s="558"/>
      <c r="EL266" s="558"/>
      <c r="EM266" s="558"/>
      <c r="EN266" s="558"/>
      <c r="EO266" s="558"/>
      <c r="EP266" s="558"/>
      <c r="EQ266" s="674"/>
      <c r="ER266" s="305"/>
    </row>
    <row r="267" spans="4:148" s="556" customFormat="1" x14ac:dyDescent="0.2">
      <c r="D267" s="110"/>
      <c r="O267" s="669"/>
      <c r="P267" s="670"/>
      <c r="Q267" s="670"/>
      <c r="S267" s="674"/>
      <c r="AA267" s="674"/>
      <c r="AF267" s="305"/>
      <c r="AG267" s="305"/>
      <c r="AH267" s="305"/>
      <c r="AI267" s="305"/>
      <c r="AJ267" s="305"/>
      <c r="AK267" s="305"/>
      <c r="AL267" s="305"/>
      <c r="AM267" s="305"/>
      <c r="AN267" s="305"/>
      <c r="AO267" s="305"/>
      <c r="AP267" s="305"/>
      <c r="AQ267" s="305"/>
      <c r="AR267" s="305"/>
      <c r="AS267" s="305"/>
      <c r="AT267" s="305"/>
      <c r="AU267" s="305"/>
      <c r="AV267" s="305"/>
      <c r="AW267" s="305"/>
      <c r="AX267" s="305"/>
      <c r="AY267" s="305"/>
      <c r="AZ267" s="305"/>
      <c r="BA267" s="305"/>
      <c r="BB267" s="305"/>
      <c r="BC267" s="305"/>
      <c r="BD267" s="305"/>
      <c r="BE267" s="305"/>
      <c r="BF267" s="305"/>
      <c r="BG267" s="305"/>
      <c r="BH267" s="305"/>
      <c r="BI267" s="305"/>
      <c r="BJ267" s="305"/>
      <c r="BK267" s="305"/>
      <c r="BL267" s="305"/>
      <c r="BM267" s="305"/>
      <c r="BN267" s="305"/>
      <c r="BO267" s="305"/>
      <c r="BP267" s="305"/>
      <c r="BQ267" s="305"/>
      <c r="BR267" s="305"/>
      <c r="BS267" s="305"/>
      <c r="BT267" s="305"/>
      <c r="BU267" s="305"/>
      <c r="BV267" s="305"/>
      <c r="BW267" s="305"/>
      <c r="BX267" s="305"/>
      <c r="BY267" s="305"/>
      <c r="BZ267" s="305"/>
      <c r="CA267" s="305"/>
      <c r="CB267" s="305"/>
      <c r="CC267" s="305"/>
      <c r="CD267" s="305"/>
      <c r="CE267" s="305"/>
      <c r="CF267" s="305"/>
      <c r="CG267" s="305"/>
      <c r="CH267" s="305"/>
      <c r="CI267" s="305"/>
      <c r="CJ267" s="305"/>
      <c r="CK267" s="305"/>
      <c r="CL267" s="305"/>
      <c r="CM267" s="305"/>
      <c r="CN267" s="305"/>
      <c r="CO267" s="305"/>
      <c r="CP267" s="305"/>
      <c r="CQ267" s="305"/>
      <c r="CR267" s="305"/>
      <c r="CS267" s="305"/>
      <c r="CT267" s="305"/>
      <c r="CU267" s="305"/>
      <c r="CV267" s="305"/>
      <c r="CW267" s="305"/>
      <c r="CX267" s="305"/>
      <c r="CY267" s="305"/>
      <c r="CZ267" s="305"/>
      <c r="DA267" s="305"/>
      <c r="DB267" s="305"/>
      <c r="DC267" s="305"/>
      <c r="DD267" s="305"/>
      <c r="DE267" s="305"/>
      <c r="DF267" s="305"/>
      <c r="DG267" s="305"/>
      <c r="DH267" s="305"/>
      <c r="DI267" s="305"/>
      <c r="DJ267" s="305"/>
      <c r="DK267" s="305"/>
      <c r="DL267" s="305"/>
      <c r="DM267" s="305"/>
      <c r="DN267" s="305"/>
      <c r="DO267" s="305"/>
      <c r="DP267" s="305"/>
      <c r="DQ267" s="305"/>
      <c r="DR267" s="305"/>
      <c r="DS267" s="305"/>
      <c r="DT267" s="305"/>
      <c r="DU267" s="305"/>
      <c r="DV267" s="305"/>
      <c r="DW267" s="558"/>
      <c r="DX267" s="558"/>
      <c r="DY267" s="558"/>
      <c r="DZ267" s="558"/>
      <c r="EA267" s="558"/>
      <c r="EB267" s="558"/>
      <c r="EC267" s="558"/>
      <c r="ED267" s="558"/>
      <c r="EE267" s="558"/>
      <c r="EF267" s="558"/>
      <c r="EG267" s="558"/>
      <c r="EH267" s="558"/>
      <c r="EI267" s="558"/>
      <c r="EJ267" s="558"/>
      <c r="EK267" s="558"/>
      <c r="EL267" s="558"/>
      <c r="EM267" s="558"/>
      <c r="EN267" s="558"/>
      <c r="EO267" s="558"/>
      <c r="EP267" s="558"/>
      <c r="EQ267" s="674"/>
      <c r="ER267" s="305"/>
    </row>
    <row r="268" spans="4:148" s="556" customFormat="1" x14ac:dyDescent="0.2">
      <c r="D268" s="110"/>
      <c r="O268" s="669"/>
      <c r="P268" s="670"/>
      <c r="Q268" s="670"/>
      <c r="S268" s="674"/>
      <c r="AA268" s="674"/>
      <c r="AF268" s="305"/>
      <c r="AG268" s="305"/>
      <c r="AH268" s="305"/>
      <c r="AI268" s="305"/>
      <c r="AJ268" s="305"/>
      <c r="AK268" s="305"/>
      <c r="AL268" s="305"/>
      <c r="AM268" s="305"/>
      <c r="AN268" s="305"/>
      <c r="AO268" s="305"/>
      <c r="AP268" s="305"/>
      <c r="AQ268" s="305"/>
      <c r="AR268" s="305"/>
      <c r="AS268" s="305"/>
      <c r="AT268" s="305"/>
      <c r="AU268" s="305"/>
      <c r="AV268" s="305"/>
      <c r="AW268" s="305"/>
      <c r="AX268" s="305"/>
      <c r="AY268" s="305"/>
      <c r="AZ268" s="305"/>
      <c r="BA268" s="305"/>
      <c r="BB268" s="305"/>
      <c r="BC268" s="305"/>
      <c r="BD268" s="305"/>
      <c r="BE268" s="305"/>
      <c r="BF268" s="305"/>
      <c r="BG268" s="305"/>
      <c r="BH268" s="305"/>
      <c r="BI268" s="305"/>
      <c r="BJ268" s="305"/>
      <c r="BK268" s="305"/>
      <c r="BL268" s="305"/>
      <c r="BM268" s="305"/>
      <c r="BN268" s="305"/>
      <c r="BO268" s="305"/>
      <c r="BP268" s="305"/>
      <c r="BQ268" s="305"/>
      <c r="BR268" s="305"/>
      <c r="BS268" s="305"/>
      <c r="BT268" s="305"/>
      <c r="BU268" s="305"/>
      <c r="BV268" s="305"/>
      <c r="BW268" s="305"/>
      <c r="BX268" s="305"/>
      <c r="BY268" s="305"/>
      <c r="BZ268" s="305"/>
      <c r="CA268" s="305"/>
      <c r="CB268" s="305"/>
      <c r="CC268" s="305"/>
      <c r="CD268" s="305"/>
      <c r="CE268" s="305"/>
      <c r="CF268" s="305"/>
      <c r="CG268" s="305"/>
      <c r="CH268" s="305"/>
      <c r="CI268" s="305"/>
      <c r="CJ268" s="305"/>
      <c r="CK268" s="305"/>
      <c r="CL268" s="305"/>
      <c r="CM268" s="305"/>
      <c r="CN268" s="305"/>
      <c r="CO268" s="305"/>
      <c r="CP268" s="305"/>
      <c r="CQ268" s="305"/>
      <c r="CR268" s="305"/>
      <c r="CS268" s="305"/>
      <c r="CT268" s="305"/>
      <c r="CU268" s="305"/>
      <c r="CV268" s="305"/>
      <c r="CW268" s="305"/>
      <c r="CX268" s="305"/>
      <c r="CY268" s="305"/>
      <c r="CZ268" s="305"/>
      <c r="DA268" s="305"/>
      <c r="DB268" s="305"/>
      <c r="DC268" s="305"/>
      <c r="DD268" s="305"/>
      <c r="DE268" s="305"/>
      <c r="DF268" s="305"/>
      <c r="DG268" s="305"/>
      <c r="DH268" s="305"/>
      <c r="DI268" s="305"/>
      <c r="DJ268" s="305"/>
      <c r="DK268" s="305"/>
      <c r="DL268" s="305"/>
      <c r="DM268" s="305"/>
      <c r="DN268" s="305"/>
      <c r="DO268" s="305"/>
      <c r="DP268" s="305"/>
      <c r="DQ268" s="305"/>
      <c r="DR268" s="305"/>
      <c r="DS268" s="305"/>
      <c r="DT268" s="305"/>
      <c r="DU268" s="305"/>
      <c r="DV268" s="305"/>
      <c r="DW268" s="558"/>
      <c r="DX268" s="558"/>
      <c r="DY268" s="558"/>
      <c r="DZ268" s="558"/>
      <c r="EA268" s="558"/>
      <c r="EB268" s="558"/>
      <c r="EC268" s="558"/>
      <c r="ED268" s="558"/>
      <c r="EE268" s="558"/>
      <c r="EF268" s="558"/>
      <c r="EG268" s="558"/>
      <c r="EH268" s="558"/>
      <c r="EI268" s="558"/>
      <c r="EJ268" s="558"/>
      <c r="EK268" s="558"/>
      <c r="EL268" s="558"/>
      <c r="EM268" s="558"/>
      <c r="EN268" s="558"/>
      <c r="EO268" s="558"/>
      <c r="EP268" s="558"/>
      <c r="EQ268" s="674"/>
      <c r="ER268" s="305"/>
    </row>
    <row r="269" spans="4:148" s="556" customFormat="1" x14ac:dyDescent="0.2">
      <c r="D269" s="110"/>
      <c r="O269" s="669"/>
      <c r="P269" s="670"/>
      <c r="Q269" s="670"/>
      <c r="S269" s="674"/>
      <c r="AA269" s="674"/>
      <c r="AF269" s="305"/>
      <c r="AG269" s="305"/>
      <c r="AH269" s="305"/>
      <c r="AI269" s="305"/>
      <c r="AJ269" s="305"/>
      <c r="AK269" s="305"/>
      <c r="AL269" s="305"/>
      <c r="AM269" s="305"/>
      <c r="AN269" s="305"/>
      <c r="AO269" s="305"/>
      <c r="AP269" s="305"/>
      <c r="AQ269" s="305"/>
      <c r="AR269" s="305"/>
      <c r="AS269" s="305"/>
      <c r="AT269" s="305"/>
      <c r="AU269" s="305"/>
      <c r="AV269" s="305"/>
      <c r="AW269" s="305"/>
      <c r="AX269" s="305"/>
      <c r="AY269" s="305"/>
      <c r="AZ269" s="305"/>
      <c r="BA269" s="305"/>
      <c r="BB269" s="305"/>
      <c r="BC269" s="305"/>
      <c r="BD269" s="305"/>
      <c r="BE269" s="305"/>
      <c r="BF269" s="305"/>
      <c r="BG269" s="305"/>
      <c r="BH269" s="305"/>
      <c r="BI269" s="305"/>
      <c r="BJ269" s="305"/>
      <c r="BK269" s="305"/>
      <c r="BL269" s="305"/>
      <c r="BM269" s="305"/>
      <c r="BN269" s="305"/>
      <c r="BO269" s="305"/>
      <c r="BP269" s="305"/>
      <c r="BQ269" s="305"/>
      <c r="BR269" s="305"/>
      <c r="BS269" s="305"/>
      <c r="BT269" s="305"/>
      <c r="BU269" s="305"/>
      <c r="BV269" s="305"/>
      <c r="BW269" s="305"/>
      <c r="BX269" s="305"/>
      <c r="BY269" s="305"/>
      <c r="BZ269" s="305"/>
      <c r="CA269" s="305"/>
      <c r="CB269" s="305"/>
      <c r="CC269" s="305"/>
      <c r="CD269" s="305"/>
      <c r="CE269" s="305"/>
      <c r="CF269" s="305"/>
      <c r="CG269" s="305"/>
      <c r="CH269" s="305"/>
      <c r="CI269" s="305"/>
      <c r="CJ269" s="305"/>
      <c r="CK269" s="305"/>
      <c r="CL269" s="305"/>
      <c r="CM269" s="305"/>
      <c r="CN269" s="305"/>
      <c r="CO269" s="305"/>
      <c r="CP269" s="305"/>
      <c r="CQ269" s="305"/>
      <c r="CR269" s="305"/>
      <c r="CS269" s="305"/>
      <c r="CT269" s="305"/>
      <c r="CU269" s="305"/>
      <c r="CV269" s="305"/>
      <c r="CW269" s="305"/>
      <c r="CX269" s="305"/>
      <c r="CY269" s="305"/>
      <c r="CZ269" s="305"/>
      <c r="DA269" s="305"/>
      <c r="DB269" s="305"/>
      <c r="DC269" s="305"/>
      <c r="DD269" s="305"/>
      <c r="DE269" s="305"/>
      <c r="DF269" s="305"/>
      <c r="DG269" s="305"/>
      <c r="DH269" s="305"/>
      <c r="DI269" s="305"/>
      <c r="DJ269" s="305"/>
      <c r="DK269" s="305"/>
      <c r="DL269" s="305"/>
      <c r="DM269" s="305"/>
      <c r="DN269" s="305"/>
      <c r="DO269" s="305"/>
      <c r="DP269" s="305"/>
      <c r="DQ269" s="305"/>
      <c r="DR269" s="305"/>
      <c r="DS269" s="305"/>
      <c r="DT269" s="305"/>
      <c r="DU269" s="305"/>
      <c r="DV269" s="305"/>
      <c r="DW269" s="558"/>
      <c r="DX269" s="558"/>
      <c r="DY269" s="558"/>
      <c r="DZ269" s="558"/>
      <c r="EA269" s="558"/>
      <c r="EB269" s="558"/>
      <c r="EC269" s="558"/>
      <c r="ED269" s="558"/>
      <c r="EE269" s="558"/>
      <c r="EF269" s="558"/>
      <c r="EG269" s="558"/>
      <c r="EH269" s="558"/>
      <c r="EI269" s="558"/>
      <c r="EJ269" s="558"/>
      <c r="EK269" s="558"/>
      <c r="EL269" s="558"/>
      <c r="EM269" s="558"/>
      <c r="EN269" s="558"/>
      <c r="EO269" s="558"/>
      <c r="EP269" s="558"/>
      <c r="EQ269" s="674"/>
      <c r="ER269" s="305"/>
    </row>
    <row r="270" spans="4:148" s="556" customFormat="1" x14ac:dyDescent="0.2">
      <c r="D270" s="110"/>
      <c r="O270" s="669"/>
      <c r="P270" s="670"/>
      <c r="Q270" s="670"/>
      <c r="S270" s="674"/>
      <c r="AA270" s="674"/>
      <c r="AF270" s="305"/>
      <c r="AG270" s="305"/>
      <c r="AH270" s="305"/>
      <c r="AI270" s="305"/>
      <c r="AJ270" s="305"/>
      <c r="AK270" s="305"/>
      <c r="AL270" s="305"/>
      <c r="AM270" s="305"/>
      <c r="AN270" s="305"/>
      <c r="AO270" s="305"/>
      <c r="AP270" s="305"/>
      <c r="AQ270" s="305"/>
      <c r="AR270" s="305"/>
      <c r="AS270" s="305"/>
      <c r="AT270" s="305"/>
      <c r="AU270" s="305"/>
      <c r="AV270" s="305"/>
      <c r="AW270" s="305"/>
      <c r="AX270" s="305"/>
      <c r="AY270" s="305"/>
      <c r="AZ270" s="305"/>
      <c r="BA270" s="305"/>
      <c r="BB270" s="305"/>
      <c r="BC270" s="305"/>
      <c r="BD270" s="305"/>
      <c r="BE270" s="305"/>
      <c r="BF270" s="305"/>
      <c r="BG270" s="305"/>
      <c r="BH270" s="305"/>
      <c r="BI270" s="305"/>
      <c r="BJ270" s="305"/>
      <c r="BK270" s="305"/>
      <c r="BL270" s="305"/>
      <c r="BM270" s="305"/>
      <c r="BN270" s="305"/>
      <c r="BO270" s="305"/>
      <c r="BP270" s="305"/>
      <c r="BQ270" s="305"/>
      <c r="BR270" s="305"/>
      <c r="BS270" s="305"/>
      <c r="BT270" s="305"/>
      <c r="BU270" s="305"/>
      <c r="BV270" s="305"/>
      <c r="BW270" s="305"/>
      <c r="BX270" s="305"/>
      <c r="BY270" s="305"/>
      <c r="BZ270" s="305"/>
      <c r="CA270" s="305"/>
      <c r="CB270" s="305"/>
      <c r="CC270" s="305"/>
      <c r="CD270" s="305"/>
      <c r="CE270" s="305"/>
      <c r="CF270" s="305"/>
      <c r="CG270" s="305"/>
      <c r="CH270" s="305"/>
      <c r="CI270" s="305"/>
      <c r="CJ270" s="305"/>
      <c r="CK270" s="305"/>
      <c r="CL270" s="305"/>
      <c r="CM270" s="305"/>
      <c r="CN270" s="305"/>
      <c r="CO270" s="305"/>
      <c r="CP270" s="305"/>
      <c r="CQ270" s="305"/>
      <c r="CR270" s="305"/>
      <c r="CS270" s="305"/>
      <c r="CT270" s="305"/>
      <c r="CU270" s="305"/>
      <c r="CV270" s="305"/>
      <c r="CW270" s="305"/>
      <c r="CX270" s="305"/>
      <c r="CY270" s="305"/>
      <c r="CZ270" s="305"/>
      <c r="DA270" s="305"/>
      <c r="DB270" s="305"/>
      <c r="DC270" s="305"/>
      <c r="DD270" s="305"/>
      <c r="DE270" s="305"/>
      <c r="DF270" s="305"/>
      <c r="DG270" s="305"/>
      <c r="DH270" s="305"/>
      <c r="DI270" s="305"/>
      <c r="DJ270" s="305"/>
      <c r="DK270" s="305"/>
      <c r="DL270" s="305"/>
      <c r="DM270" s="305"/>
      <c r="DN270" s="305"/>
      <c r="DO270" s="305"/>
      <c r="DP270" s="305"/>
      <c r="DQ270" s="305"/>
      <c r="DR270" s="305"/>
      <c r="DS270" s="305"/>
      <c r="DT270" s="305"/>
      <c r="DU270" s="305"/>
      <c r="DV270" s="305"/>
      <c r="DW270" s="558"/>
      <c r="DX270" s="558"/>
      <c r="DY270" s="558"/>
      <c r="DZ270" s="558"/>
      <c r="EA270" s="558"/>
      <c r="EB270" s="558"/>
      <c r="EC270" s="558"/>
      <c r="ED270" s="558"/>
      <c r="EE270" s="558"/>
      <c r="EF270" s="558"/>
      <c r="EG270" s="558"/>
      <c r="EH270" s="558"/>
      <c r="EI270" s="558"/>
      <c r="EJ270" s="558"/>
      <c r="EK270" s="558"/>
      <c r="EL270" s="558"/>
      <c r="EM270" s="558"/>
      <c r="EN270" s="558"/>
      <c r="EO270" s="558"/>
      <c r="EP270" s="558"/>
      <c r="EQ270" s="674"/>
      <c r="ER270" s="305"/>
    </row>
    <row r="271" spans="4:148" s="556" customFormat="1" x14ac:dyDescent="0.2">
      <c r="D271" s="110"/>
      <c r="O271" s="669"/>
      <c r="P271" s="670"/>
      <c r="Q271" s="670"/>
      <c r="S271" s="674"/>
      <c r="AA271" s="674"/>
      <c r="AF271" s="305"/>
      <c r="AG271" s="305"/>
      <c r="AH271" s="305"/>
      <c r="AI271" s="305"/>
      <c r="AJ271" s="305"/>
      <c r="AK271" s="305"/>
      <c r="AL271" s="305"/>
      <c r="AM271" s="305"/>
      <c r="AN271" s="305"/>
      <c r="AO271" s="305"/>
      <c r="AP271" s="305"/>
      <c r="AQ271" s="305"/>
      <c r="AR271" s="305"/>
      <c r="AS271" s="305"/>
      <c r="AT271" s="305"/>
      <c r="AU271" s="305"/>
      <c r="AV271" s="305"/>
      <c r="AW271" s="305"/>
      <c r="AX271" s="305"/>
      <c r="AY271" s="305"/>
      <c r="AZ271" s="305"/>
      <c r="BA271" s="305"/>
      <c r="BB271" s="305"/>
      <c r="BC271" s="305"/>
      <c r="BD271" s="305"/>
      <c r="BE271" s="305"/>
      <c r="BF271" s="305"/>
      <c r="BG271" s="305"/>
      <c r="BH271" s="305"/>
      <c r="BI271" s="305"/>
      <c r="BJ271" s="305"/>
      <c r="BK271" s="305"/>
      <c r="BL271" s="305"/>
      <c r="BM271" s="305"/>
      <c r="BN271" s="305"/>
      <c r="BO271" s="305"/>
      <c r="BP271" s="305"/>
      <c r="BQ271" s="305"/>
      <c r="BR271" s="305"/>
      <c r="BS271" s="305"/>
      <c r="BT271" s="305"/>
      <c r="BU271" s="305"/>
      <c r="BV271" s="305"/>
      <c r="BW271" s="305"/>
      <c r="BX271" s="305"/>
      <c r="BY271" s="305"/>
      <c r="BZ271" s="305"/>
      <c r="CA271" s="305"/>
      <c r="CB271" s="305"/>
      <c r="CC271" s="305"/>
      <c r="CD271" s="305"/>
      <c r="CE271" s="305"/>
      <c r="CF271" s="305"/>
      <c r="CG271" s="305"/>
      <c r="CH271" s="305"/>
      <c r="CI271" s="305"/>
      <c r="CJ271" s="305"/>
      <c r="CK271" s="305"/>
      <c r="CL271" s="305"/>
      <c r="CM271" s="305"/>
      <c r="CN271" s="305"/>
      <c r="CO271" s="305"/>
      <c r="CP271" s="305"/>
      <c r="CQ271" s="305"/>
      <c r="CR271" s="305"/>
      <c r="CS271" s="305"/>
      <c r="CT271" s="305"/>
      <c r="CU271" s="305"/>
      <c r="CV271" s="305"/>
      <c r="CW271" s="305"/>
      <c r="CX271" s="305"/>
      <c r="CY271" s="305"/>
      <c r="CZ271" s="305"/>
      <c r="DA271" s="305"/>
      <c r="DB271" s="305"/>
      <c r="DC271" s="305"/>
      <c r="DD271" s="305"/>
      <c r="DE271" s="305"/>
      <c r="DF271" s="305"/>
      <c r="DG271" s="305"/>
      <c r="DH271" s="305"/>
      <c r="DI271" s="305"/>
      <c r="DJ271" s="305"/>
      <c r="DK271" s="305"/>
      <c r="DL271" s="305"/>
      <c r="DM271" s="305"/>
      <c r="DN271" s="305"/>
      <c r="DO271" s="305"/>
      <c r="DP271" s="305"/>
      <c r="DQ271" s="305"/>
      <c r="DR271" s="305"/>
      <c r="DS271" s="305"/>
      <c r="DT271" s="305"/>
      <c r="DU271" s="305"/>
      <c r="DV271" s="305"/>
      <c r="DW271" s="558"/>
      <c r="DX271" s="558"/>
      <c r="DY271" s="558"/>
      <c r="DZ271" s="558"/>
      <c r="EA271" s="558"/>
      <c r="EB271" s="558"/>
      <c r="EC271" s="558"/>
      <c r="ED271" s="558"/>
      <c r="EE271" s="558"/>
      <c r="EF271" s="558"/>
      <c r="EG271" s="558"/>
      <c r="EH271" s="558"/>
      <c r="EI271" s="558"/>
      <c r="EJ271" s="558"/>
      <c r="EK271" s="558"/>
      <c r="EL271" s="558"/>
      <c r="EM271" s="558"/>
      <c r="EN271" s="558"/>
      <c r="EO271" s="558"/>
      <c r="EP271" s="558"/>
      <c r="EQ271" s="674"/>
      <c r="ER271" s="305"/>
    </row>
    <row r="272" spans="4:148" s="556" customFormat="1" x14ac:dyDescent="0.2">
      <c r="D272" s="110"/>
      <c r="O272" s="669"/>
      <c r="P272" s="670"/>
      <c r="Q272" s="670"/>
      <c r="S272" s="674"/>
      <c r="AA272" s="674"/>
      <c r="AF272" s="305"/>
      <c r="AG272" s="305"/>
      <c r="AH272" s="305"/>
      <c r="AI272" s="305"/>
      <c r="AJ272" s="305"/>
      <c r="AK272" s="305"/>
      <c r="AL272" s="305"/>
      <c r="AM272" s="305"/>
      <c r="AN272" s="305"/>
      <c r="AO272" s="305"/>
      <c r="AP272" s="305"/>
      <c r="AQ272" s="305"/>
      <c r="AR272" s="305"/>
      <c r="AS272" s="305"/>
      <c r="AT272" s="305"/>
      <c r="AU272" s="305"/>
      <c r="AV272" s="305"/>
      <c r="AW272" s="305"/>
      <c r="AX272" s="305"/>
      <c r="AY272" s="305"/>
      <c r="AZ272" s="305"/>
      <c r="BA272" s="305"/>
      <c r="BB272" s="305"/>
      <c r="BC272" s="305"/>
      <c r="BD272" s="305"/>
      <c r="BE272" s="305"/>
      <c r="BF272" s="305"/>
      <c r="BG272" s="305"/>
      <c r="BH272" s="305"/>
      <c r="BI272" s="305"/>
      <c r="BJ272" s="305"/>
      <c r="BK272" s="305"/>
      <c r="BL272" s="305"/>
      <c r="BM272" s="305"/>
      <c r="BN272" s="305"/>
      <c r="BO272" s="305"/>
      <c r="BP272" s="305"/>
      <c r="BQ272" s="305"/>
      <c r="BR272" s="305"/>
      <c r="BS272" s="305"/>
      <c r="BT272" s="305"/>
      <c r="BU272" s="305"/>
      <c r="BV272" s="305"/>
      <c r="BW272" s="305"/>
      <c r="BX272" s="305"/>
      <c r="BY272" s="305"/>
      <c r="BZ272" s="305"/>
      <c r="CA272" s="305"/>
      <c r="CB272" s="305"/>
      <c r="CC272" s="305"/>
      <c r="CD272" s="305"/>
      <c r="CE272" s="305"/>
      <c r="CF272" s="305"/>
      <c r="CG272" s="305"/>
      <c r="CH272" s="305"/>
      <c r="CI272" s="305"/>
      <c r="CJ272" s="305"/>
      <c r="CK272" s="305"/>
      <c r="CL272" s="305"/>
      <c r="CM272" s="305"/>
      <c r="CN272" s="305"/>
      <c r="CO272" s="305"/>
      <c r="CP272" s="305"/>
      <c r="CQ272" s="305"/>
      <c r="CR272" s="305"/>
      <c r="CS272" s="305"/>
      <c r="CT272" s="305"/>
      <c r="CU272" s="305"/>
      <c r="CV272" s="305"/>
      <c r="CW272" s="305"/>
      <c r="CX272" s="305"/>
      <c r="CY272" s="305"/>
      <c r="CZ272" s="305"/>
      <c r="DA272" s="305"/>
      <c r="DB272" s="305"/>
      <c r="DC272" s="305"/>
      <c r="DD272" s="305"/>
      <c r="DE272" s="305"/>
      <c r="DF272" s="305"/>
      <c r="DG272" s="305"/>
      <c r="DH272" s="305"/>
      <c r="DI272" s="305"/>
      <c r="DJ272" s="305"/>
      <c r="DK272" s="305"/>
      <c r="DL272" s="305"/>
      <c r="DM272" s="305"/>
      <c r="DN272" s="305"/>
      <c r="DO272" s="305"/>
      <c r="DP272" s="305"/>
      <c r="DQ272" s="305"/>
      <c r="DR272" s="305"/>
      <c r="DS272" s="305"/>
      <c r="DT272" s="305"/>
      <c r="DU272" s="305"/>
      <c r="DV272" s="305"/>
      <c r="DW272" s="558"/>
      <c r="DX272" s="558"/>
      <c r="DY272" s="558"/>
      <c r="DZ272" s="558"/>
      <c r="EA272" s="558"/>
      <c r="EB272" s="558"/>
      <c r="EC272" s="558"/>
      <c r="ED272" s="558"/>
      <c r="EE272" s="558"/>
      <c r="EF272" s="558"/>
      <c r="EG272" s="558"/>
      <c r="EH272" s="558"/>
      <c r="EI272" s="558"/>
      <c r="EJ272" s="558"/>
      <c r="EK272" s="558"/>
      <c r="EL272" s="558"/>
      <c r="EM272" s="558"/>
      <c r="EN272" s="558"/>
      <c r="EO272" s="558"/>
      <c r="EP272" s="558"/>
      <c r="EQ272" s="674"/>
      <c r="ER272" s="305"/>
    </row>
    <row r="273" spans="4:148" s="556" customFormat="1" x14ac:dyDescent="0.2">
      <c r="D273" s="110"/>
      <c r="O273" s="669"/>
      <c r="P273" s="670"/>
      <c r="Q273" s="670"/>
      <c r="S273" s="674"/>
      <c r="AA273" s="674"/>
      <c r="AF273" s="305"/>
      <c r="AG273" s="305"/>
      <c r="AH273" s="305"/>
      <c r="AI273" s="305"/>
      <c r="AJ273" s="305"/>
      <c r="AK273" s="305"/>
      <c r="AL273" s="305"/>
      <c r="AM273" s="305"/>
      <c r="AN273" s="305"/>
      <c r="AO273" s="305"/>
      <c r="AP273" s="305"/>
      <c r="AQ273" s="305"/>
      <c r="AR273" s="305"/>
      <c r="AS273" s="305"/>
      <c r="AT273" s="305"/>
      <c r="AU273" s="305"/>
      <c r="AV273" s="305"/>
      <c r="AW273" s="305"/>
      <c r="AX273" s="305"/>
      <c r="AY273" s="305"/>
      <c r="AZ273" s="305"/>
      <c r="BA273" s="305"/>
      <c r="BB273" s="305"/>
      <c r="BC273" s="305"/>
      <c r="BD273" s="305"/>
      <c r="BE273" s="305"/>
      <c r="BF273" s="305"/>
      <c r="BG273" s="305"/>
      <c r="BH273" s="305"/>
      <c r="BI273" s="305"/>
      <c r="BJ273" s="305"/>
      <c r="BK273" s="305"/>
      <c r="BL273" s="305"/>
      <c r="BM273" s="305"/>
      <c r="BN273" s="305"/>
      <c r="BO273" s="305"/>
      <c r="BP273" s="305"/>
      <c r="BQ273" s="305"/>
      <c r="BR273" s="305"/>
      <c r="BS273" s="305"/>
      <c r="BT273" s="305"/>
      <c r="BU273" s="305"/>
      <c r="BV273" s="305"/>
      <c r="BW273" s="305"/>
      <c r="BX273" s="305"/>
      <c r="BY273" s="305"/>
      <c r="BZ273" s="305"/>
      <c r="CA273" s="305"/>
      <c r="CB273" s="305"/>
      <c r="CC273" s="305"/>
      <c r="CD273" s="305"/>
      <c r="CE273" s="305"/>
      <c r="CF273" s="305"/>
      <c r="CG273" s="305"/>
      <c r="CH273" s="305"/>
      <c r="CI273" s="305"/>
      <c r="CJ273" s="305"/>
      <c r="CK273" s="305"/>
      <c r="CL273" s="305"/>
      <c r="CM273" s="305"/>
      <c r="CN273" s="305"/>
      <c r="CO273" s="305"/>
      <c r="CP273" s="305"/>
      <c r="CQ273" s="305"/>
      <c r="CR273" s="305"/>
      <c r="CS273" s="305"/>
      <c r="CT273" s="305"/>
      <c r="CU273" s="305"/>
      <c r="CV273" s="305"/>
      <c r="CW273" s="305"/>
      <c r="CX273" s="305"/>
      <c r="CY273" s="305"/>
      <c r="CZ273" s="305"/>
      <c r="DA273" s="305"/>
      <c r="DB273" s="305"/>
      <c r="DC273" s="305"/>
      <c r="DD273" s="305"/>
      <c r="DE273" s="305"/>
      <c r="DF273" s="305"/>
      <c r="DG273" s="305"/>
      <c r="DH273" s="305"/>
      <c r="DI273" s="305"/>
      <c r="DJ273" s="305"/>
      <c r="DK273" s="305"/>
      <c r="DL273" s="305"/>
      <c r="DM273" s="305"/>
      <c r="DN273" s="305"/>
      <c r="DO273" s="305"/>
      <c r="DP273" s="305"/>
      <c r="DQ273" s="305"/>
      <c r="DR273" s="305"/>
      <c r="DS273" s="305"/>
      <c r="DT273" s="305"/>
      <c r="DU273" s="305"/>
      <c r="DV273" s="305"/>
      <c r="DW273" s="558"/>
      <c r="DX273" s="558"/>
      <c r="DY273" s="558"/>
      <c r="DZ273" s="558"/>
      <c r="EA273" s="558"/>
      <c r="EB273" s="558"/>
      <c r="EC273" s="558"/>
      <c r="ED273" s="558"/>
      <c r="EE273" s="558"/>
      <c r="EF273" s="558"/>
      <c r="EG273" s="558"/>
      <c r="EH273" s="558"/>
      <c r="EI273" s="558"/>
      <c r="EJ273" s="558"/>
      <c r="EK273" s="558"/>
      <c r="EL273" s="558"/>
      <c r="EM273" s="558"/>
      <c r="EN273" s="558"/>
      <c r="EO273" s="558"/>
      <c r="EP273" s="558"/>
      <c r="EQ273" s="674"/>
      <c r="ER273" s="305"/>
    </row>
    <row r="274" spans="4:148" s="556" customFormat="1" x14ac:dyDescent="0.2">
      <c r="D274" s="110"/>
      <c r="O274" s="669"/>
      <c r="P274" s="670"/>
      <c r="Q274" s="670"/>
      <c r="S274" s="674"/>
      <c r="AA274" s="674"/>
      <c r="AF274" s="305"/>
      <c r="AG274" s="305"/>
      <c r="AH274" s="305"/>
      <c r="AI274" s="305"/>
      <c r="AJ274" s="305"/>
      <c r="AK274" s="305"/>
      <c r="AL274" s="305"/>
      <c r="AM274" s="305"/>
      <c r="AN274" s="305"/>
      <c r="AO274" s="305"/>
      <c r="AP274" s="305"/>
      <c r="AQ274" s="305"/>
      <c r="AR274" s="305"/>
      <c r="AS274" s="305"/>
      <c r="AT274" s="305"/>
      <c r="AU274" s="305"/>
      <c r="AV274" s="305"/>
      <c r="AW274" s="305"/>
      <c r="AX274" s="305"/>
      <c r="AY274" s="305"/>
      <c r="AZ274" s="305"/>
      <c r="BA274" s="305"/>
      <c r="BB274" s="305"/>
      <c r="BC274" s="305"/>
      <c r="BD274" s="305"/>
      <c r="BE274" s="305"/>
      <c r="BF274" s="305"/>
      <c r="BG274" s="305"/>
      <c r="BH274" s="305"/>
      <c r="BI274" s="305"/>
      <c r="BJ274" s="305"/>
      <c r="BK274" s="305"/>
      <c r="BL274" s="305"/>
      <c r="BM274" s="305"/>
      <c r="BN274" s="305"/>
      <c r="BO274" s="305"/>
      <c r="BP274" s="305"/>
      <c r="BQ274" s="305"/>
      <c r="BR274" s="305"/>
      <c r="BS274" s="305"/>
      <c r="BT274" s="305"/>
      <c r="BU274" s="305"/>
      <c r="BV274" s="305"/>
      <c r="BW274" s="305"/>
      <c r="BX274" s="305"/>
      <c r="BY274" s="305"/>
      <c r="BZ274" s="305"/>
      <c r="CA274" s="305"/>
      <c r="CB274" s="305"/>
      <c r="CC274" s="305"/>
      <c r="CD274" s="305"/>
      <c r="CE274" s="305"/>
      <c r="CF274" s="305"/>
      <c r="CG274" s="305"/>
      <c r="CH274" s="305"/>
      <c r="CI274" s="305"/>
      <c r="CJ274" s="305"/>
      <c r="CK274" s="305"/>
      <c r="CL274" s="305"/>
      <c r="CM274" s="305"/>
      <c r="CN274" s="305"/>
      <c r="CO274" s="305"/>
      <c r="CP274" s="305"/>
      <c r="CQ274" s="305"/>
      <c r="CR274" s="305"/>
      <c r="CS274" s="305"/>
      <c r="CT274" s="305"/>
      <c r="CU274" s="305"/>
      <c r="CV274" s="305"/>
      <c r="CW274" s="305"/>
      <c r="CX274" s="305"/>
      <c r="CY274" s="305"/>
      <c r="CZ274" s="305"/>
      <c r="DA274" s="305"/>
      <c r="DB274" s="305"/>
      <c r="DC274" s="305"/>
      <c r="DD274" s="305"/>
      <c r="DE274" s="305"/>
      <c r="DF274" s="305"/>
      <c r="DG274" s="305"/>
      <c r="DH274" s="305"/>
      <c r="DI274" s="305"/>
      <c r="DJ274" s="305"/>
      <c r="DK274" s="305"/>
      <c r="DL274" s="305"/>
      <c r="DM274" s="305"/>
      <c r="DN274" s="305"/>
      <c r="DO274" s="305"/>
      <c r="DP274" s="305"/>
      <c r="DQ274" s="305"/>
      <c r="DR274" s="305"/>
      <c r="DS274" s="305"/>
      <c r="DT274" s="305"/>
      <c r="DU274" s="305"/>
      <c r="DV274" s="305"/>
      <c r="DW274" s="558"/>
      <c r="DX274" s="558"/>
      <c r="DY274" s="558"/>
      <c r="DZ274" s="558"/>
      <c r="EA274" s="558"/>
      <c r="EB274" s="558"/>
      <c r="EC274" s="558"/>
      <c r="ED274" s="558"/>
      <c r="EE274" s="558"/>
      <c r="EF274" s="558"/>
      <c r="EG274" s="558"/>
      <c r="EH274" s="558"/>
      <c r="EI274" s="558"/>
      <c r="EJ274" s="558"/>
      <c r="EK274" s="558"/>
      <c r="EL274" s="558"/>
      <c r="EM274" s="558"/>
      <c r="EN274" s="558"/>
      <c r="EO274" s="558"/>
      <c r="EP274" s="558"/>
      <c r="EQ274" s="674"/>
      <c r="ER274" s="305"/>
    </row>
    <row r="275" spans="4:148" s="556" customFormat="1" x14ac:dyDescent="0.2">
      <c r="D275" s="110"/>
      <c r="O275" s="669"/>
      <c r="P275" s="670"/>
      <c r="Q275" s="670"/>
      <c r="S275" s="674"/>
      <c r="AA275" s="674"/>
      <c r="AF275" s="305"/>
      <c r="AG275" s="305"/>
      <c r="AH275" s="305"/>
      <c r="AI275" s="305"/>
      <c r="AJ275" s="305"/>
      <c r="AK275" s="305"/>
      <c r="AL275" s="305"/>
      <c r="AM275" s="305"/>
      <c r="AN275" s="305"/>
      <c r="AO275" s="305"/>
      <c r="AP275" s="305"/>
      <c r="AQ275" s="305"/>
      <c r="AR275" s="305"/>
      <c r="AS275" s="305"/>
      <c r="AT275" s="305"/>
      <c r="AU275" s="305"/>
      <c r="AV275" s="305"/>
      <c r="AW275" s="305"/>
      <c r="AX275" s="305"/>
      <c r="AY275" s="305"/>
      <c r="AZ275" s="305"/>
      <c r="BA275" s="305"/>
      <c r="BB275" s="305"/>
      <c r="BC275" s="305"/>
      <c r="BD275" s="305"/>
      <c r="BE275" s="305"/>
      <c r="BF275" s="305"/>
      <c r="BG275" s="305"/>
      <c r="BH275" s="305"/>
      <c r="BI275" s="305"/>
      <c r="BJ275" s="305"/>
      <c r="BK275" s="305"/>
      <c r="BL275" s="305"/>
      <c r="BM275" s="305"/>
      <c r="BN275" s="305"/>
      <c r="BO275" s="305"/>
      <c r="BP275" s="305"/>
      <c r="BQ275" s="305"/>
      <c r="BR275" s="305"/>
      <c r="BS275" s="305"/>
      <c r="BT275" s="305"/>
      <c r="BU275" s="305"/>
      <c r="BV275" s="305"/>
      <c r="BW275" s="305"/>
      <c r="BX275" s="305"/>
      <c r="BY275" s="305"/>
      <c r="BZ275" s="305"/>
      <c r="CA275" s="305"/>
      <c r="CB275" s="305"/>
      <c r="CC275" s="305"/>
      <c r="CD275" s="305"/>
      <c r="CE275" s="305"/>
      <c r="CF275" s="305"/>
      <c r="CG275" s="305"/>
      <c r="CH275" s="305"/>
      <c r="CI275" s="305"/>
      <c r="CJ275" s="305"/>
      <c r="CK275" s="305"/>
      <c r="CL275" s="305"/>
      <c r="CM275" s="305"/>
      <c r="CN275" s="305"/>
      <c r="CO275" s="305"/>
      <c r="CP275" s="305"/>
      <c r="CQ275" s="305"/>
      <c r="CR275" s="305"/>
      <c r="CS275" s="305"/>
      <c r="CT275" s="305"/>
      <c r="CU275" s="305"/>
      <c r="CV275" s="305"/>
      <c r="CW275" s="305"/>
      <c r="CX275" s="305"/>
      <c r="CY275" s="305"/>
      <c r="CZ275" s="305"/>
      <c r="DA275" s="305"/>
      <c r="DB275" s="305"/>
      <c r="DC275" s="305"/>
      <c r="DD275" s="305"/>
      <c r="DE275" s="305"/>
      <c r="DF275" s="305"/>
      <c r="DG275" s="305"/>
      <c r="DH275" s="305"/>
      <c r="DI275" s="305"/>
      <c r="DJ275" s="305"/>
      <c r="DK275" s="305"/>
      <c r="DL275" s="305"/>
      <c r="DM275" s="305"/>
      <c r="DN275" s="305"/>
      <c r="DO275" s="305"/>
      <c r="DP275" s="305"/>
      <c r="DQ275" s="305"/>
      <c r="DR275" s="305"/>
      <c r="DS275" s="305"/>
      <c r="DT275" s="305"/>
      <c r="DU275" s="305"/>
      <c r="DV275" s="305"/>
      <c r="DW275" s="558"/>
      <c r="DX275" s="558"/>
      <c r="DY275" s="558"/>
      <c r="DZ275" s="558"/>
      <c r="EA275" s="558"/>
      <c r="EB275" s="558"/>
      <c r="EC275" s="558"/>
      <c r="ED275" s="558"/>
      <c r="EE275" s="558"/>
      <c r="EF275" s="558"/>
      <c r="EG275" s="558"/>
      <c r="EH275" s="558"/>
      <c r="EI275" s="558"/>
      <c r="EJ275" s="558"/>
      <c r="EK275" s="558"/>
      <c r="EL275" s="558"/>
      <c r="EM275" s="558"/>
      <c r="EN275" s="558"/>
      <c r="EO275" s="558"/>
      <c r="EP275" s="558"/>
      <c r="EQ275" s="674"/>
      <c r="ER275" s="305"/>
    </row>
    <row r="276" spans="4:148" s="556" customFormat="1" x14ac:dyDescent="0.2">
      <c r="D276" s="110"/>
      <c r="O276" s="669"/>
      <c r="P276" s="670"/>
      <c r="Q276" s="670"/>
      <c r="S276" s="674"/>
      <c r="AA276" s="674"/>
      <c r="AF276" s="305"/>
      <c r="AG276" s="305"/>
      <c r="AH276" s="305"/>
      <c r="AI276" s="305"/>
      <c r="AJ276" s="305"/>
      <c r="AK276" s="305"/>
      <c r="AL276" s="305"/>
      <c r="AM276" s="305"/>
      <c r="AN276" s="305"/>
      <c r="AO276" s="305"/>
      <c r="AP276" s="305"/>
      <c r="AQ276" s="305"/>
      <c r="AR276" s="305"/>
      <c r="AS276" s="305"/>
      <c r="AT276" s="305"/>
      <c r="AU276" s="305"/>
      <c r="AV276" s="305"/>
      <c r="AW276" s="305"/>
      <c r="AX276" s="305"/>
      <c r="AY276" s="305"/>
      <c r="AZ276" s="305"/>
      <c r="BA276" s="305"/>
      <c r="BB276" s="305"/>
      <c r="BC276" s="305"/>
      <c r="BD276" s="305"/>
      <c r="BE276" s="305"/>
      <c r="BF276" s="305"/>
      <c r="BG276" s="305"/>
      <c r="BH276" s="305"/>
      <c r="BI276" s="305"/>
      <c r="BJ276" s="305"/>
      <c r="BK276" s="305"/>
      <c r="BL276" s="305"/>
      <c r="BM276" s="305"/>
      <c r="BN276" s="305"/>
      <c r="BO276" s="305"/>
      <c r="BP276" s="305"/>
      <c r="BQ276" s="305"/>
      <c r="BR276" s="305"/>
      <c r="BS276" s="305"/>
      <c r="BT276" s="305"/>
      <c r="BU276" s="305"/>
      <c r="BV276" s="305"/>
      <c r="BW276" s="305"/>
      <c r="BX276" s="305"/>
      <c r="BY276" s="305"/>
      <c r="BZ276" s="305"/>
      <c r="CA276" s="305"/>
      <c r="CB276" s="305"/>
      <c r="CC276" s="305"/>
      <c r="CD276" s="305"/>
      <c r="CE276" s="305"/>
      <c r="CF276" s="305"/>
      <c r="CG276" s="305"/>
      <c r="CH276" s="305"/>
      <c r="CI276" s="305"/>
      <c r="CJ276" s="305"/>
      <c r="CK276" s="305"/>
      <c r="CL276" s="305"/>
      <c r="CM276" s="305"/>
      <c r="CN276" s="305"/>
      <c r="CO276" s="305"/>
      <c r="CP276" s="305"/>
      <c r="CQ276" s="305"/>
      <c r="CR276" s="305"/>
      <c r="CS276" s="305"/>
      <c r="CT276" s="305"/>
      <c r="CU276" s="305"/>
      <c r="CV276" s="305"/>
      <c r="CW276" s="305"/>
      <c r="CX276" s="305"/>
      <c r="CY276" s="305"/>
      <c r="CZ276" s="305"/>
      <c r="DA276" s="305"/>
      <c r="DB276" s="305"/>
      <c r="DC276" s="305"/>
      <c r="DD276" s="305"/>
      <c r="DE276" s="305"/>
      <c r="DF276" s="305"/>
      <c r="DG276" s="305"/>
      <c r="DH276" s="305"/>
      <c r="DI276" s="305"/>
      <c r="DJ276" s="305"/>
      <c r="DK276" s="305"/>
      <c r="DL276" s="305"/>
      <c r="DM276" s="305"/>
      <c r="DN276" s="305"/>
      <c r="DO276" s="305"/>
      <c r="DP276" s="305"/>
      <c r="DQ276" s="305"/>
      <c r="DR276" s="305"/>
      <c r="DS276" s="305"/>
      <c r="DT276" s="305"/>
      <c r="DU276" s="305"/>
      <c r="DV276" s="305"/>
      <c r="DW276" s="558"/>
      <c r="DX276" s="558"/>
      <c r="DY276" s="558"/>
      <c r="DZ276" s="558"/>
      <c r="EA276" s="558"/>
      <c r="EB276" s="558"/>
      <c r="EC276" s="558"/>
      <c r="ED276" s="558"/>
      <c r="EE276" s="558"/>
      <c r="EF276" s="558"/>
      <c r="EG276" s="558"/>
      <c r="EH276" s="558"/>
      <c r="EI276" s="558"/>
      <c r="EJ276" s="558"/>
      <c r="EK276" s="558"/>
      <c r="EL276" s="558"/>
      <c r="EM276" s="558"/>
      <c r="EN276" s="558"/>
      <c r="EO276" s="558"/>
      <c r="EP276" s="558"/>
      <c r="EQ276" s="674"/>
      <c r="ER276" s="305"/>
    </row>
    <row r="277" spans="4:148" s="556" customFormat="1" x14ac:dyDescent="0.2">
      <c r="D277" s="110"/>
      <c r="O277" s="669"/>
      <c r="P277" s="670"/>
      <c r="Q277" s="670"/>
      <c r="S277" s="674"/>
      <c r="AA277" s="674"/>
      <c r="AF277" s="305"/>
      <c r="AG277" s="305"/>
      <c r="AH277" s="305"/>
      <c r="AI277" s="305"/>
      <c r="AJ277" s="305"/>
      <c r="AK277" s="305"/>
      <c r="AL277" s="305"/>
      <c r="AM277" s="305"/>
      <c r="AN277" s="305"/>
      <c r="AO277" s="305"/>
      <c r="AP277" s="305"/>
      <c r="AQ277" s="305"/>
      <c r="AR277" s="305"/>
      <c r="AS277" s="305"/>
      <c r="AT277" s="305"/>
      <c r="AU277" s="305"/>
      <c r="AV277" s="305"/>
      <c r="AW277" s="305"/>
      <c r="AX277" s="305"/>
      <c r="AY277" s="305"/>
      <c r="AZ277" s="305"/>
      <c r="BA277" s="305"/>
      <c r="BB277" s="305"/>
      <c r="BC277" s="305"/>
      <c r="BD277" s="305"/>
      <c r="BE277" s="305"/>
      <c r="BF277" s="305"/>
      <c r="BG277" s="305"/>
      <c r="BH277" s="305"/>
      <c r="BI277" s="305"/>
      <c r="BJ277" s="305"/>
      <c r="BK277" s="305"/>
      <c r="BL277" s="305"/>
      <c r="BM277" s="305"/>
      <c r="BN277" s="305"/>
      <c r="BO277" s="305"/>
      <c r="BP277" s="305"/>
      <c r="BQ277" s="305"/>
      <c r="BR277" s="305"/>
      <c r="BS277" s="305"/>
      <c r="BT277" s="305"/>
      <c r="BU277" s="305"/>
      <c r="BV277" s="305"/>
      <c r="BW277" s="305"/>
      <c r="BX277" s="305"/>
      <c r="BY277" s="305"/>
      <c r="BZ277" s="305"/>
      <c r="CA277" s="305"/>
      <c r="CB277" s="305"/>
      <c r="CC277" s="305"/>
      <c r="CD277" s="305"/>
      <c r="CE277" s="305"/>
      <c r="CF277" s="305"/>
      <c r="CG277" s="305"/>
      <c r="CH277" s="305"/>
      <c r="CI277" s="305"/>
      <c r="CJ277" s="305"/>
      <c r="CK277" s="305"/>
      <c r="CL277" s="305"/>
      <c r="CM277" s="305"/>
      <c r="CN277" s="305"/>
      <c r="CO277" s="305"/>
      <c r="CP277" s="305"/>
      <c r="CQ277" s="305"/>
      <c r="CR277" s="305"/>
      <c r="CS277" s="305"/>
      <c r="CT277" s="305"/>
      <c r="CU277" s="305"/>
      <c r="CV277" s="305"/>
      <c r="CW277" s="305"/>
      <c r="CX277" s="305"/>
      <c r="CY277" s="305"/>
      <c r="CZ277" s="305"/>
      <c r="DA277" s="305"/>
      <c r="DB277" s="305"/>
      <c r="DC277" s="305"/>
      <c r="DD277" s="305"/>
      <c r="DE277" s="305"/>
      <c r="DF277" s="305"/>
      <c r="DG277" s="305"/>
      <c r="DH277" s="305"/>
      <c r="DI277" s="305"/>
      <c r="DJ277" s="305"/>
      <c r="DK277" s="305"/>
      <c r="DL277" s="305"/>
      <c r="DM277" s="305"/>
      <c r="DN277" s="305"/>
      <c r="DO277" s="305"/>
      <c r="DP277" s="305"/>
      <c r="DQ277" s="305"/>
      <c r="DR277" s="305"/>
      <c r="DS277" s="305"/>
      <c r="DT277" s="305"/>
      <c r="DU277" s="305"/>
      <c r="DV277" s="305"/>
      <c r="DW277" s="558"/>
      <c r="DX277" s="558"/>
      <c r="DY277" s="558"/>
      <c r="DZ277" s="558"/>
      <c r="EA277" s="558"/>
      <c r="EB277" s="558"/>
      <c r="EC277" s="558"/>
      <c r="ED277" s="558"/>
      <c r="EE277" s="558"/>
      <c r="EF277" s="558"/>
      <c r="EG277" s="558"/>
      <c r="EH277" s="558"/>
      <c r="EI277" s="558"/>
      <c r="EJ277" s="558"/>
      <c r="EK277" s="558"/>
      <c r="EL277" s="558"/>
      <c r="EM277" s="558"/>
      <c r="EN277" s="558"/>
      <c r="EO277" s="558"/>
      <c r="EP277" s="558"/>
      <c r="EQ277" s="674"/>
      <c r="ER277" s="305"/>
    </row>
    <row r="278" spans="4:148" s="556" customFormat="1" x14ac:dyDescent="0.2">
      <c r="D278" s="110"/>
      <c r="O278" s="669"/>
      <c r="P278" s="670"/>
      <c r="Q278" s="670"/>
      <c r="S278" s="674"/>
      <c r="AA278" s="674"/>
      <c r="AF278" s="305"/>
      <c r="AG278" s="305"/>
      <c r="AH278" s="305"/>
      <c r="AI278" s="305"/>
      <c r="AJ278" s="305"/>
      <c r="AK278" s="305"/>
      <c r="AL278" s="305"/>
      <c r="AM278" s="305"/>
      <c r="AN278" s="305"/>
      <c r="AO278" s="305"/>
      <c r="AP278" s="305"/>
      <c r="AQ278" s="305"/>
      <c r="AR278" s="305"/>
      <c r="AS278" s="305"/>
      <c r="AT278" s="305"/>
      <c r="AU278" s="305"/>
      <c r="AV278" s="305"/>
      <c r="AW278" s="305"/>
      <c r="AX278" s="305"/>
      <c r="AY278" s="305"/>
      <c r="AZ278" s="305"/>
      <c r="BA278" s="305"/>
      <c r="BB278" s="305"/>
      <c r="BC278" s="305"/>
      <c r="BD278" s="305"/>
      <c r="BE278" s="305"/>
      <c r="BF278" s="305"/>
      <c r="BG278" s="305"/>
      <c r="BH278" s="305"/>
      <c r="BI278" s="305"/>
      <c r="BJ278" s="305"/>
      <c r="BK278" s="305"/>
      <c r="BL278" s="305"/>
      <c r="BM278" s="305"/>
      <c r="BN278" s="305"/>
      <c r="BO278" s="305"/>
      <c r="BP278" s="305"/>
      <c r="BQ278" s="305"/>
      <c r="BR278" s="305"/>
      <c r="BS278" s="305"/>
      <c r="BT278" s="305"/>
      <c r="BU278" s="305"/>
      <c r="BV278" s="305"/>
      <c r="BW278" s="305"/>
      <c r="BX278" s="305"/>
      <c r="BY278" s="305"/>
      <c r="BZ278" s="305"/>
      <c r="CA278" s="305"/>
      <c r="CB278" s="305"/>
      <c r="CC278" s="305"/>
      <c r="CD278" s="305"/>
      <c r="CE278" s="305"/>
      <c r="CF278" s="305"/>
      <c r="CG278" s="305"/>
      <c r="CH278" s="305"/>
      <c r="CI278" s="305"/>
      <c r="CJ278" s="305"/>
      <c r="CK278" s="305"/>
      <c r="CL278" s="305"/>
      <c r="CM278" s="305"/>
      <c r="CN278" s="305"/>
      <c r="CO278" s="305"/>
      <c r="CP278" s="305"/>
      <c r="CQ278" s="305"/>
      <c r="CR278" s="305"/>
      <c r="CS278" s="305"/>
      <c r="CT278" s="305"/>
      <c r="CU278" s="305"/>
      <c r="CV278" s="305"/>
      <c r="CW278" s="305"/>
      <c r="CX278" s="305"/>
      <c r="CY278" s="305"/>
      <c r="CZ278" s="305"/>
      <c r="DA278" s="305"/>
      <c r="DB278" s="305"/>
      <c r="DC278" s="305"/>
      <c r="DD278" s="305"/>
      <c r="DE278" s="305"/>
      <c r="DF278" s="305"/>
      <c r="DG278" s="305"/>
      <c r="DH278" s="305"/>
      <c r="DI278" s="305"/>
      <c r="DJ278" s="305"/>
      <c r="DK278" s="305"/>
      <c r="DL278" s="305"/>
      <c r="DM278" s="305"/>
      <c r="DN278" s="305"/>
      <c r="DO278" s="305"/>
      <c r="DP278" s="305"/>
      <c r="DQ278" s="305"/>
      <c r="DR278" s="305"/>
      <c r="DS278" s="305"/>
      <c r="DT278" s="305"/>
      <c r="DU278" s="305"/>
      <c r="DV278" s="305"/>
      <c r="DW278" s="558"/>
      <c r="DX278" s="558"/>
      <c r="DY278" s="558"/>
      <c r="DZ278" s="558"/>
      <c r="EA278" s="558"/>
      <c r="EB278" s="558"/>
      <c r="EC278" s="558"/>
      <c r="ED278" s="558"/>
      <c r="EE278" s="558"/>
      <c r="EF278" s="558"/>
      <c r="EG278" s="558"/>
      <c r="EH278" s="558"/>
      <c r="EI278" s="558"/>
      <c r="EJ278" s="558"/>
      <c r="EK278" s="558"/>
      <c r="EL278" s="558"/>
      <c r="EM278" s="558"/>
      <c r="EN278" s="558"/>
      <c r="EO278" s="558"/>
      <c r="EP278" s="558"/>
      <c r="EQ278" s="674"/>
      <c r="ER278" s="305"/>
    </row>
    <row r="279" spans="4:148" s="556" customFormat="1" x14ac:dyDescent="0.2">
      <c r="D279" s="110"/>
      <c r="O279" s="669"/>
      <c r="P279" s="670"/>
      <c r="Q279" s="670"/>
      <c r="S279" s="674"/>
      <c r="AA279" s="674"/>
      <c r="AF279" s="305"/>
      <c r="AG279" s="305"/>
      <c r="AH279" s="305"/>
      <c r="AI279" s="305"/>
      <c r="AJ279" s="305"/>
      <c r="AK279" s="305"/>
      <c r="AL279" s="305"/>
      <c r="AM279" s="305"/>
      <c r="AN279" s="305"/>
      <c r="AO279" s="305"/>
      <c r="AP279" s="305"/>
      <c r="AQ279" s="305"/>
      <c r="AR279" s="305"/>
      <c r="AS279" s="305"/>
      <c r="AT279" s="305"/>
      <c r="AU279" s="305"/>
      <c r="AV279" s="305"/>
      <c r="AW279" s="305"/>
      <c r="AX279" s="305"/>
      <c r="AY279" s="305"/>
      <c r="AZ279" s="305"/>
      <c r="BA279" s="305"/>
      <c r="BB279" s="305"/>
      <c r="BC279" s="305"/>
      <c r="BD279" s="305"/>
      <c r="BE279" s="305"/>
      <c r="BF279" s="305"/>
      <c r="BG279" s="305"/>
      <c r="BH279" s="305"/>
      <c r="BI279" s="305"/>
      <c r="BJ279" s="305"/>
      <c r="BK279" s="305"/>
      <c r="BL279" s="305"/>
      <c r="BM279" s="305"/>
      <c r="BN279" s="305"/>
      <c r="BO279" s="305"/>
      <c r="BP279" s="305"/>
      <c r="BQ279" s="305"/>
      <c r="BR279" s="305"/>
      <c r="BS279" s="305"/>
      <c r="BT279" s="305"/>
      <c r="BU279" s="305"/>
      <c r="BV279" s="305"/>
      <c r="BW279" s="305"/>
      <c r="BX279" s="305"/>
      <c r="BY279" s="305"/>
      <c r="BZ279" s="305"/>
      <c r="CA279" s="305"/>
      <c r="CB279" s="305"/>
      <c r="CC279" s="305"/>
      <c r="CD279" s="305"/>
      <c r="CE279" s="305"/>
      <c r="CF279" s="305"/>
      <c r="CG279" s="305"/>
      <c r="CH279" s="305"/>
      <c r="CI279" s="305"/>
      <c r="CJ279" s="305"/>
      <c r="CK279" s="305"/>
      <c r="CL279" s="305"/>
      <c r="CM279" s="305"/>
      <c r="CN279" s="305"/>
      <c r="CO279" s="305"/>
      <c r="CP279" s="305"/>
      <c r="CQ279" s="305"/>
      <c r="CR279" s="305"/>
      <c r="CS279" s="305"/>
      <c r="CT279" s="305"/>
      <c r="CU279" s="305"/>
      <c r="CV279" s="305"/>
      <c r="CW279" s="305"/>
      <c r="CX279" s="305"/>
      <c r="CY279" s="305"/>
      <c r="CZ279" s="305"/>
      <c r="DA279" s="305"/>
      <c r="DB279" s="305"/>
      <c r="DC279" s="305"/>
      <c r="DD279" s="305"/>
      <c r="DE279" s="305"/>
      <c r="DF279" s="305"/>
      <c r="DG279" s="305"/>
      <c r="DH279" s="305"/>
      <c r="DI279" s="305"/>
      <c r="DJ279" s="305"/>
      <c r="DK279" s="305"/>
      <c r="DL279" s="305"/>
      <c r="DM279" s="305"/>
      <c r="DN279" s="305"/>
      <c r="DO279" s="305"/>
      <c r="DP279" s="305"/>
      <c r="DQ279" s="305"/>
      <c r="DR279" s="305"/>
      <c r="DS279" s="305"/>
      <c r="DT279" s="305"/>
      <c r="DU279" s="305"/>
      <c r="DV279" s="305"/>
      <c r="DW279" s="558"/>
      <c r="DX279" s="558"/>
      <c r="DY279" s="558"/>
      <c r="DZ279" s="558"/>
      <c r="EA279" s="558"/>
      <c r="EB279" s="558"/>
      <c r="EC279" s="558"/>
      <c r="ED279" s="558"/>
      <c r="EE279" s="558"/>
      <c r="EF279" s="558"/>
      <c r="EG279" s="558"/>
      <c r="EH279" s="558"/>
      <c r="EI279" s="558"/>
      <c r="EJ279" s="558"/>
      <c r="EK279" s="558"/>
      <c r="EL279" s="558"/>
      <c r="EM279" s="558"/>
      <c r="EN279" s="558"/>
      <c r="EO279" s="558"/>
      <c r="EP279" s="558"/>
      <c r="EQ279" s="674"/>
      <c r="ER279" s="305"/>
    </row>
    <row r="280" spans="4:148" s="556" customFormat="1" x14ac:dyDescent="0.2">
      <c r="D280" s="110"/>
      <c r="O280" s="669"/>
      <c r="P280" s="670"/>
      <c r="Q280" s="670"/>
      <c r="S280" s="674"/>
      <c r="AA280" s="674"/>
      <c r="AF280" s="305"/>
      <c r="AG280" s="305"/>
      <c r="AH280" s="305"/>
      <c r="AI280" s="305"/>
      <c r="AJ280" s="305"/>
      <c r="AK280" s="305"/>
      <c r="AL280" s="305"/>
      <c r="AM280" s="305"/>
      <c r="AN280" s="305"/>
      <c r="AO280" s="305"/>
      <c r="AP280" s="305"/>
      <c r="AQ280" s="305"/>
      <c r="AR280" s="305"/>
      <c r="AS280" s="305"/>
      <c r="AT280" s="305"/>
      <c r="AU280" s="305"/>
      <c r="AV280" s="305"/>
      <c r="AW280" s="305"/>
      <c r="AX280" s="305"/>
      <c r="AY280" s="305"/>
      <c r="AZ280" s="305"/>
      <c r="BA280" s="305"/>
      <c r="BB280" s="305"/>
      <c r="BC280" s="305"/>
      <c r="BD280" s="305"/>
      <c r="BE280" s="305"/>
      <c r="BF280" s="305"/>
      <c r="BG280" s="305"/>
      <c r="BH280" s="305"/>
      <c r="BI280" s="305"/>
      <c r="BJ280" s="305"/>
      <c r="BK280" s="305"/>
      <c r="BL280" s="305"/>
      <c r="BM280" s="305"/>
      <c r="BN280" s="305"/>
      <c r="BO280" s="305"/>
      <c r="BP280" s="305"/>
      <c r="BQ280" s="305"/>
      <c r="BR280" s="305"/>
      <c r="BS280" s="305"/>
      <c r="BT280" s="305"/>
      <c r="BU280" s="305"/>
      <c r="BV280" s="305"/>
      <c r="BW280" s="305"/>
      <c r="BX280" s="305"/>
      <c r="BY280" s="305"/>
      <c r="BZ280" s="305"/>
      <c r="CA280" s="305"/>
      <c r="CB280" s="305"/>
      <c r="CC280" s="305"/>
      <c r="CD280" s="305"/>
      <c r="CE280" s="305"/>
      <c r="CF280" s="305"/>
      <c r="CG280" s="305"/>
      <c r="CH280" s="305"/>
      <c r="CI280" s="305"/>
      <c r="CJ280" s="305"/>
      <c r="CK280" s="305"/>
      <c r="CL280" s="305"/>
      <c r="CM280" s="305"/>
      <c r="CN280" s="305"/>
      <c r="CO280" s="305"/>
      <c r="CP280" s="305"/>
      <c r="CQ280" s="305"/>
      <c r="CR280" s="305"/>
      <c r="CS280" s="305"/>
      <c r="CT280" s="305"/>
      <c r="CU280" s="305"/>
      <c r="CV280" s="305"/>
      <c r="CW280" s="305"/>
      <c r="CX280" s="305"/>
      <c r="CY280" s="305"/>
      <c r="CZ280" s="305"/>
      <c r="DA280" s="305"/>
      <c r="DB280" s="305"/>
      <c r="DC280" s="305"/>
      <c r="DD280" s="305"/>
      <c r="DE280" s="305"/>
      <c r="DF280" s="305"/>
      <c r="DG280" s="305"/>
      <c r="DH280" s="305"/>
      <c r="DI280" s="305"/>
      <c r="DJ280" s="305"/>
      <c r="DK280" s="305"/>
      <c r="DL280" s="305"/>
      <c r="DM280" s="305"/>
      <c r="DN280" s="305"/>
      <c r="DO280" s="305"/>
      <c r="DP280" s="305"/>
      <c r="DQ280" s="305"/>
      <c r="DR280" s="305"/>
      <c r="DS280" s="305"/>
      <c r="DT280" s="305"/>
      <c r="DU280" s="305"/>
      <c r="DV280" s="305"/>
      <c r="DW280" s="558"/>
      <c r="DX280" s="558"/>
      <c r="DY280" s="558"/>
      <c r="DZ280" s="558"/>
      <c r="EA280" s="558"/>
      <c r="EB280" s="558"/>
      <c r="EC280" s="558"/>
      <c r="ED280" s="558"/>
      <c r="EE280" s="558"/>
      <c r="EF280" s="558"/>
      <c r="EG280" s="558"/>
      <c r="EH280" s="558"/>
      <c r="EI280" s="558"/>
      <c r="EJ280" s="558"/>
      <c r="EK280" s="558"/>
      <c r="EL280" s="558"/>
      <c r="EM280" s="558"/>
      <c r="EN280" s="558"/>
      <c r="EO280" s="558"/>
      <c r="EP280" s="558"/>
      <c r="EQ280" s="674"/>
      <c r="ER280" s="305"/>
    </row>
    <row r="281" spans="4:148" s="556" customFormat="1" x14ac:dyDescent="0.2">
      <c r="D281" s="110"/>
      <c r="O281" s="669"/>
      <c r="P281" s="670"/>
      <c r="Q281" s="670"/>
      <c r="S281" s="674"/>
      <c r="AA281" s="674"/>
      <c r="AF281" s="305"/>
      <c r="AG281" s="305"/>
      <c r="AH281" s="305"/>
      <c r="AI281" s="305"/>
      <c r="AJ281" s="305"/>
      <c r="AK281" s="305"/>
      <c r="AL281" s="305"/>
      <c r="AM281" s="305"/>
      <c r="AN281" s="305"/>
      <c r="AO281" s="305"/>
      <c r="AP281" s="305"/>
      <c r="AQ281" s="305"/>
      <c r="AR281" s="305"/>
      <c r="AS281" s="305"/>
      <c r="AT281" s="305"/>
      <c r="AU281" s="305"/>
      <c r="AV281" s="305"/>
      <c r="AW281" s="305"/>
      <c r="AX281" s="305"/>
      <c r="AY281" s="305"/>
      <c r="AZ281" s="305"/>
      <c r="BA281" s="305"/>
      <c r="BB281" s="305"/>
      <c r="BC281" s="305"/>
      <c r="BD281" s="305"/>
      <c r="BE281" s="305"/>
      <c r="BF281" s="305"/>
      <c r="BG281" s="305"/>
      <c r="BH281" s="305"/>
      <c r="BI281" s="305"/>
      <c r="BJ281" s="305"/>
      <c r="BK281" s="305"/>
      <c r="BL281" s="305"/>
      <c r="BM281" s="305"/>
      <c r="BN281" s="305"/>
      <c r="BO281" s="305"/>
      <c r="BP281" s="305"/>
      <c r="BQ281" s="305"/>
      <c r="BR281" s="305"/>
      <c r="BS281" s="305"/>
      <c r="BT281" s="305"/>
      <c r="BU281" s="305"/>
      <c r="BV281" s="305"/>
      <c r="BW281" s="305"/>
      <c r="BX281" s="305"/>
      <c r="BY281" s="305"/>
      <c r="BZ281" s="305"/>
      <c r="CA281" s="305"/>
      <c r="CB281" s="305"/>
      <c r="CC281" s="305"/>
      <c r="CD281" s="305"/>
      <c r="CE281" s="305"/>
      <c r="CF281" s="305"/>
      <c r="CG281" s="305"/>
      <c r="CH281" s="305"/>
      <c r="CI281" s="305"/>
      <c r="CJ281" s="305"/>
      <c r="CK281" s="305"/>
      <c r="CL281" s="305"/>
      <c r="CM281" s="305"/>
      <c r="CN281" s="305"/>
      <c r="CO281" s="305"/>
      <c r="CP281" s="305"/>
      <c r="CQ281" s="305"/>
      <c r="CR281" s="305"/>
      <c r="CS281" s="305"/>
      <c r="CT281" s="305"/>
      <c r="CU281" s="305"/>
      <c r="CV281" s="305"/>
      <c r="CW281" s="305"/>
      <c r="CX281" s="305"/>
      <c r="CY281" s="305"/>
      <c r="CZ281" s="305"/>
      <c r="DA281" s="305"/>
      <c r="DB281" s="305"/>
      <c r="DC281" s="305"/>
      <c r="DD281" s="305"/>
      <c r="DE281" s="305"/>
      <c r="DF281" s="305"/>
      <c r="DG281" s="305"/>
      <c r="DH281" s="305"/>
      <c r="DI281" s="305"/>
      <c r="DJ281" s="305"/>
      <c r="DK281" s="305"/>
      <c r="DL281" s="305"/>
      <c r="DM281" s="305"/>
      <c r="DN281" s="305"/>
      <c r="DO281" s="305"/>
      <c r="DP281" s="305"/>
      <c r="DQ281" s="305"/>
      <c r="DR281" s="305"/>
      <c r="DS281" s="305"/>
      <c r="DT281" s="305"/>
      <c r="DU281" s="305"/>
      <c r="DV281" s="305"/>
      <c r="DW281" s="558"/>
      <c r="DX281" s="558"/>
      <c r="DY281" s="558"/>
      <c r="DZ281" s="558"/>
      <c r="EA281" s="558"/>
      <c r="EB281" s="558"/>
      <c r="EC281" s="558"/>
      <c r="ED281" s="558"/>
      <c r="EE281" s="558"/>
      <c r="EF281" s="558"/>
      <c r="EG281" s="558"/>
      <c r="EH281" s="558"/>
      <c r="EI281" s="558"/>
      <c r="EJ281" s="558"/>
      <c r="EK281" s="558"/>
      <c r="EL281" s="558"/>
      <c r="EM281" s="558"/>
      <c r="EN281" s="558"/>
      <c r="EO281" s="558"/>
      <c r="EP281" s="558"/>
      <c r="EQ281" s="674"/>
      <c r="ER281" s="305"/>
    </row>
    <row r="282" spans="4:148" s="556" customFormat="1" x14ac:dyDescent="0.2">
      <c r="D282" s="110"/>
      <c r="O282" s="669"/>
      <c r="P282" s="670"/>
      <c r="Q282" s="670"/>
      <c r="S282" s="674"/>
      <c r="AA282" s="674"/>
      <c r="AF282" s="305"/>
      <c r="AG282" s="305"/>
      <c r="AH282" s="305"/>
      <c r="AI282" s="305"/>
      <c r="AJ282" s="305"/>
      <c r="AK282" s="305"/>
      <c r="AL282" s="305"/>
      <c r="AM282" s="305"/>
      <c r="AN282" s="305"/>
      <c r="AO282" s="305"/>
      <c r="AP282" s="305"/>
      <c r="AQ282" s="305"/>
      <c r="AR282" s="305"/>
      <c r="AS282" s="305"/>
      <c r="AT282" s="305"/>
      <c r="AU282" s="305"/>
      <c r="AV282" s="305"/>
      <c r="AW282" s="305"/>
      <c r="AX282" s="305"/>
      <c r="AY282" s="305"/>
      <c r="AZ282" s="305"/>
      <c r="BA282" s="305"/>
      <c r="BB282" s="305"/>
      <c r="BC282" s="305"/>
      <c r="BD282" s="305"/>
      <c r="BE282" s="305"/>
      <c r="BF282" s="305"/>
      <c r="BG282" s="305"/>
      <c r="BH282" s="305"/>
      <c r="BI282" s="305"/>
      <c r="BJ282" s="305"/>
      <c r="BK282" s="305"/>
      <c r="BL282" s="305"/>
      <c r="BM282" s="305"/>
      <c r="BN282" s="305"/>
      <c r="BO282" s="305"/>
      <c r="BP282" s="305"/>
      <c r="BQ282" s="305"/>
      <c r="BR282" s="305"/>
      <c r="BS282" s="305"/>
      <c r="BT282" s="305"/>
      <c r="BU282" s="305"/>
      <c r="BV282" s="305"/>
      <c r="BW282" s="305"/>
      <c r="BX282" s="305"/>
      <c r="BY282" s="305"/>
      <c r="BZ282" s="305"/>
      <c r="CA282" s="305"/>
      <c r="CB282" s="305"/>
      <c r="CC282" s="305"/>
      <c r="CD282" s="305"/>
      <c r="CE282" s="305"/>
      <c r="CF282" s="305"/>
      <c r="CG282" s="305"/>
      <c r="CH282" s="305"/>
      <c r="CI282" s="305"/>
      <c r="CJ282" s="305"/>
      <c r="CK282" s="305"/>
      <c r="CL282" s="305"/>
      <c r="CM282" s="305"/>
      <c r="CN282" s="305"/>
      <c r="CO282" s="305"/>
      <c r="CP282" s="305"/>
      <c r="CQ282" s="305"/>
      <c r="CR282" s="305"/>
      <c r="CS282" s="305"/>
      <c r="CT282" s="305"/>
      <c r="CU282" s="305"/>
      <c r="CV282" s="305"/>
      <c r="CW282" s="305"/>
      <c r="CX282" s="305"/>
      <c r="CY282" s="305"/>
      <c r="CZ282" s="305"/>
      <c r="DA282" s="305"/>
      <c r="DB282" s="305"/>
      <c r="DC282" s="305"/>
      <c r="DD282" s="305"/>
      <c r="DE282" s="305"/>
      <c r="DF282" s="305"/>
      <c r="DG282" s="305"/>
      <c r="DH282" s="305"/>
      <c r="DI282" s="305"/>
      <c r="DJ282" s="305"/>
      <c r="DK282" s="305"/>
      <c r="DL282" s="305"/>
      <c r="DM282" s="305"/>
      <c r="DN282" s="305"/>
      <c r="DO282" s="305"/>
      <c r="DP282" s="305"/>
      <c r="DQ282" s="305"/>
      <c r="DR282" s="305"/>
      <c r="DS282" s="305"/>
      <c r="DT282" s="305"/>
      <c r="DU282" s="305"/>
      <c r="DV282" s="305"/>
      <c r="DW282" s="558"/>
      <c r="DX282" s="558"/>
      <c r="DY282" s="558"/>
      <c r="DZ282" s="558"/>
      <c r="EA282" s="558"/>
      <c r="EB282" s="558"/>
      <c r="EC282" s="558"/>
      <c r="ED282" s="558"/>
      <c r="EE282" s="558"/>
      <c r="EF282" s="558"/>
      <c r="EG282" s="558"/>
      <c r="EH282" s="558"/>
      <c r="EI282" s="558"/>
      <c r="EJ282" s="558"/>
      <c r="EK282" s="558"/>
      <c r="EL282" s="558"/>
      <c r="EM282" s="558"/>
      <c r="EN282" s="558"/>
      <c r="EO282" s="558"/>
      <c r="EP282" s="558"/>
      <c r="EQ282" s="674"/>
      <c r="ER282" s="305"/>
    </row>
    <row r="283" spans="4:148" s="556" customFormat="1" x14ac:dyDescent="0.2">
      <c r="D283" s="110"/>
      <c r="O283" s="669"/>
      <c r="P283" s="670"/>
      <c r="Q283" s="670"/>
      <c r="S283" s="674"/>
      <c r="AA283" s="674"/>
      <c r="AF283" s="305"/>
      <c r="AG283" s="305"/>
      <c r="AH283" s="305"/>
      <c r="AI283" s="305"/>
      <c r="AJ283" s="305"/>
      <c r="AK283" s="305"/>
      <c r="AL283" s="305"/>
      <c r="AM283" s="305"/>
      <c r="AN283" s="305"/>
      <c r="AO283" s="305"/>
      <c r="AP283" s="305"/>
      <c r="AQ283" s="305"/>
      <c r="AR283" s="305"/>
      <c r="AS283" s="305"/>
      <c r="AT283" s="305"/>
      <c r="AU283" s="305"/>
      <c r="AV283" s="305"/>
      <c r="AW283" s="305"/>
      <c r="AX283" s="305"/>
      <c r="AY283" s="305"/>
      <c r="AZ283" s="305"/>
      <c r="BA283" s="305"/>
      <c r="BB283" s="305"/>
      <c r="BC283" s="305"/>
      <c r="BD283" s="305"/>
      <c r="BE283" s="305"/>
      <c r="BF283" s="305"/>
      <c r="BG283" s="305"/>
      <c r="BH283" s="305"/>
      <c r="BI283" s="305"/>
      <c r="BJ283" s="305"/>
      <c r="BK283" s="305"/>
      <c r="BL283" s="305"/>
      <c r="BM283" s="305"/>
      <c r="BN283" s="305"/>
      <c r="BO283" s="305"/>
      <c r="BP283" s="305"/>
      <c r="BQ283" s="305"/>
      <c r="BR283" s="305"/>
      <c r="BS283" s="305"/>
      <c r="BT283" s="305"/>
      <c r="BU283" s="305"/>
      <c r="BV283" s="305"/>
      <c r="BW283" s="305"/>
      <c r="BX283" s="305"/>
      <c r="BY283" s="305"/>
      <c r="BZ283" s="305"/>
      <c r="CA283" s="305"/>
      <c r="CB283" s="305"/>
      <c r="CC283" s="305"/>
      <c r="CD283" s="305"/>
      <c r="CE283" s="305"/>
      <c r="CF283" s="305"/>
      <c r="CG283" s="305"/>
      <c r="CH283" s="305"/>
      <c r="CI283" s="305"/>
      <c r="CJ283" s="305"/>
      <c r="CK283" s="305"/>
      <c r="CL283" s="305"/>
      <c r="CM283" s="305"/>
      <c r="CN283" s="305"/>
      <c r="CO283" s="305"/>
      <c r="CP283" s="305"/>
      <c r="CQ283" s="305"/>
      <c r="CR283" s="305"/>
      <c r="CS283" s="305"/>
      <c r="CT283" s="305"/>
      <c r="CU283" s="305"/>
      <c r="CV283" s="305"/>
      <c r="CW283" s="305"/>
      <c r="CX283" s="305"/>
      <c r="CY283" s="305"/>
      <c r="CZ283" s="305"/>
      <c r="DA283" s="305"/>
      <c r="DB283" s="305"/>
      <c r="DC283" s="305"/>
      <c r="DD283" s="305"/>
      <c r="DE283" s="305"/>
      <c r="DF283" s="305"/>
      <c r="DG283" s="305"/>
      <c r="DH283" s="305"/>
      <c r="DI283" s="305"/>
      <c r="DJ283" s="305"/>
      <c r="DK283" s="305"/>
      <c r="DL283" s="305"/>
      <c r="DM283" s="305"/>
      <c r="DN283" s="305"/>
      <c r="DO283" s="305"/>
      <c r="DP283" s="305"/>
      <c r="DQ283" s="305"/>
      <c r="DR283" s="305"/>
      <c r="DS283" s="305"/>
      <c r="DT283" s="305"/>
      <c r="DU283" s="305"/>
      <c r="DV283" s="305"/>
      <c r="DW283" s="558"/>
      <c r="DX283" s="558"/>
      <c r="DY283" s="558"/>
      <c r="DZ283" s="558"/>
      <c r="EA283" s="558"/>
      <c r="EB283" s="558"/>
      <c r="EC283" s="558"/>
      <c r="ED283" s="558"/>
      <c r="EE283" s="558"/>
      <c r="EF283" s="558"/>
      <c r="EG283" s="558"/>
      <c r="EH283" s="558"/>
      <c r="EI283" s="558"/>
      <c r="EJ283" s="558"/>
      <c r="EK283" s="558"/>
      <c r="EL283" s="558"/>
      <c r="EM283" s="558"/>
      <c r="EN283" s="558"/>
      <c r="EO283" s="558"/>
      <c r="EP283" s="558"/>
      <c r="EQ283" s="674"/>
      <c r="ER283" s="305"/>
    </row>
    <row r="284" spans="4:148" s="556" customFormat="1" x14ac:dyDescent="0.2">
      <c r="D284" s="110"/>
      <c r="O284" s="669"/>
      <c r="P284" s="670"/>
      <c r="Q284" s="670"/>
      <c r="S284" s="674"/>
      <c r="AA284" s="674"/>
      <c r="AF284" s="305"/>
      <c r="AG284" s="305"/>
      <c r="AH284" s="305"/>
      <c r="AI284" s="305"/>
      <c r="AJ284" s="305"/>
      <c r="AK284" s="305"/>
      <c r="AL284" s="305"/>
      <c r="AM284" s="305"/>
      <c r="AN284" s="305"/>
      <c r="AO284" s="305"/>
      <c r="AP284" s="305"/>
      <c r="AQ284" s="305"/>
      <c r="AR284" s="305"/>
      <c r="AS284" s="305"/>
      <c r="AT284" s="305"/>
      <c r="AU284" s="305"/>
      <c r="AV284" s="305"/>
      <c r="AW284" s="305"/>
      <c r="AX284" s="305"/>
      <c r="AY284" s="305"/>
      <c r="AZ284" s="305"/>
      <c r="BA284" s="305"/>
      <c r="BB284" s="305"/>
      <c r="BC284" s="305"/>
      <c r="BD284" s="305"/>
      <c r="BE284" s="305"/>
      <c r="BF284" s="305"/>
      <c r="BG284" s="305"/>
      <c r="BH284" s="305"/>
      <c r="BI284" s="305"/>
      <c r="BJ284" s="305"/>
      <c r="BK284" s="305"/>
      <c r="BL284" s="305"/>
      <c r="BM284" s="305"/>
      <c r="BN284" s="305"/>
      <c r="BO284" s="305"/>
      <c r="BP284" s="305"/>
      <c r="BQ284" s="305"/>
      <c r="BR284" s="305"/>
      <c r="BS284" s="305"/>
      <c r="BT284" s="305"/>
      <c r="BU284" s="305"/>
      <c r="BV284" s="305"/>
      <c r="BW284" s="305"/>
      <c r="BX284" s="305"/>
      <c r="BY284" s="305"/>
      <c r="BZ284" s="305"/>
      <c r="CA284" s="305"/>
      <c r="CB284" s="305"/>
      <c r="CC284" s="305"/>
      <c r="CD284" s="305"/>
      <c r="CE284" s="305"/>
      <c r="CF284" s="305"/>
      <c r="CG284" s="305"/>
      <c r="CH284" s="305"/>
      <c r="CI284" s="305"/>
      <c r="CJ284" s="305"/>
      <c r="CK284" s="305"/>
      <c r="CL284" s="305"/>
      <c r="CM284" s="305"/>
      <c r="CN284" s="305"/>
      <c r="CO284" s="305"/>
      <c r="CP284" s="305"/>
      <c r="CQ284" s="305"/>
      <c r="CR284" s="305"/>
      <c r="CS284" s="305"/>
      <c r="CT284" s="305"/>
      <c r="CU284" s="305"/>
      <c r="CV284" s="305"/>
      <c r="CW284" s="305"/>
      <c r="CX284" s="305"/>
      <c r="CY284" s="305"/>
      <c r="CZ284" s="305"/>
      <c r="DA284" s="305"/>
      <c r="DB284" s="305"/>
      <c r="DC284" s="305"/>
      <c r="DD284" s="305"/>
      <c r="DE284" s="305"/>
      <c r="DF284" s="305"/>
      <c r="DG284" s="305"/>
      <c r="DH284" s="305"/>
      <c r="DI284" s="305"/>
      <c r="DJ284" s="305"/>
      <c r="DK284" s="305"/>
      <c r="DL284" s="305"/>
      <c r="DM284" s="305"/>
      <c r="DN284" s="305"/>
      <c r="DO284" s="305"/>
      <c r="DP284" s="305"/>
      <c r="DQ284" s="305"/>
      <c r="DR284" s="305"/>
      <c r="DS284" s="305"/>
      <c r="DT284" s="305"/>
      <c r="DU284" s="305"/>
      <c r="DV284" s="305"/>
      <c r="DW284" s="558"/>
      <c r="DX284" s="558"/>
      <c r="DY284" s="558"/>
      <c r="DZ284" s="558"/>
      <c r="EA284" s="558"/>
      <c r="EB284" s="558"/>
      <c r="EC284" s="558"/>
      <c r="ED284" s="558"/>
      <c r="EE284" s="558"/>
      <c r="EF284" s="558"/>
      <c r="EG284" s="558"/>
      <c r="EH284" s="558"/>
      <c r="EI284" s="558"/>
      <c r="EJ284" s="558"/>
      <c r="EK284" s="558"/>
      <c r="EL284" s="558"/>
      <c r="EM284" s="558"/>
      <c r="EN284" s="558"/>
      <c r="EO284" s="558"/>
      <c r="EP284" s="558"/>
      <c r="EQ284" s="674"/>
      <c r="ER284" s="305"/>
    </row>
    <row r="285" spans="4:148" s="556" customFormat="1" x14ac:dyDescent="0.2">
      <c r="D285" s="110"/>
      <c r="O285" s="669"/>
      <c r="P285" s="670"/>
      <c r="Q285" s="670"/>
      <c r="S285" s="674"/>
      <c r="AA285" s="674"/>
      <c r="AF285" s="305"/>
      <c r="AG285" s="305"/>
      <c r="AH285" s="305"/>
      <c r="AI285" s="305"/>
      <c r="AJ285" s="305"/>
      <c r="AK285" s="305"/>
      <c r="AL285" s="305"/>
      <c r="AM285" s="305"/>
      <c r="AN285" s="305"/>
      <c r="AO285" s="305"/>
      <c r="AP285" s="305"/>
      <c r="AQ285" s="305"/>
      <c r="AR285" s="305"/>
      <c r="AS285" s="305"/>
      <c r="AT285" s="305"/>
      <c r="AU285" s="305"/>
      <c r="AV285" s="305"/>
      <c r="AW285" s="305"/>
      <c r="AX285" s="305"/>
      <c r="AY285" s="305"/>
      <c r="AZ285" s="305"/>
      <c r="BA285" s="305"/>
      <c r="BB285" s="305"/>
      <c r="BC285" s="305"/>
      <c r="BD285" s="305"/>
      <c r="BE285" s="305"/>
      <c r="BF285" s="305"/>
      <c r="BG285" s="305"/>
      <c r="BH285" s="305"/>
      <c r="BI285" s="305"/>
      <c r="BJ285" s="305"/>
      <c r="BK285" s="305"/>
      <c r="BL285" s="305"/>
      <c r="BM285" s="305"/>
      <c r="BN285" s="305"/>
      <c r="BO285" s="305"/>
      <c r="BP285" s="305"/>
      <c r="BQ285" s="305"/>
      <c r="BR285" s="305"/>
      <c r="BS285" s="305"/>
      <c r="BT285" s="305"/>
      <c r="BU285" s="305"/>
      <c r="BV285" s="305"/>
      <c r="BW285" s="305"/>
      <c r="BX285" s="305"/>
      <c r="BY285" s="305"/>
      <c r="BZ285" s="305"/>
      <c r="CA285" s="305"/>
      <c r="CB285" s="305"/>
      <c r="CC285" s="305"/>
      <c r="CD285" s="305"/>
      <c r="CE285" s="305"/>
      <c r="CF285" s="305"/>
      <c r="CG285" s="305"/>
      <c r="CH285" s="305"/>
      <c r="CI285" s="305"/>
      <c r="CJ285" s="305"/>
      <c r="CK285" s="305"/>
      <c r="CL285" s="305"/>
      <c r="CM285" s="305"/>
      <c r="CN285" s="305"/>
      <c r="CO285" s="305"/>
      <c r="CP285" s="305"/>
      <c r="CQ285" s="305"/>
      <c r="CR285" s="305"/>
      <c r="CS285" s="305"/>
      <c r="CT285" s="305"/>
      <c r="CU285" s="305"/>
      <c r="CV285" s="305"/>
      <c r="CW285" s="305"/>
      <c r="CX285" s="305"/>
      <c r="CY285" s="305"/>
      <c r="CZ285" s="305"/>
      <c r="DA285" s="305"/>
      <c r="DB285" s="305"/>
      <c r="DC285" s="305"/>
      <c r="DD285" s="305"/>
      <c r="DE285" s="305"/>
      <c r="DF285" s="305"/>
      <c r="DG285" s="305"/>
      <c r="DH285" s="305"/>
      <c r="DI285" s="305"/>
      <c r="DJ285" s="305"/>
      <c r="DK285" s="305"/>
      <c r="DL285" s="305"/>
      <c r="DM285" s="305"/>
      <c r="DN285" s="305"/>
      <c r="DO285" s="305"/>
      <c r="DP285" s="305"/>
      <c r="DQ285" s="305"/>
      <c r="DR285" s="305"/>
      <c r="DS285" s="305"/>
      <c r="DT285" s="305"/>
      <c r="DU285" s="305"/>
      <c r="DV285" s="305"/>
      <c r="DW285" s="558"/>
      <c r="DX285" s="558"/>
      <c r="DY285" s="558"/>
      <c r="DZ285" s="558"/>
      <c r="EA285" s="558"/>
      <c r="EB285" s="558"/>
      <c r="EC285" s="558"/>
      <c r="ED285" s="558"/>
      <c r="EE285" s="558"/>
      <c r="EF285" s="558"/>
      <c r="EG285" s="558"/>
      <c r="EH285" s="558"/>
      <c r="EI285" s="558"/>
      <c r="EJ285" s="558"/>
      <c r="EK285" s="558"/>
      <c r="EL285" s="558"/>
      <c r="EM285" s="558"/>
      <c r="EN285" s="558"/>
      <c r="EO285" s="558"/>
      <c r="EP285" s="558"/>
      <c r="EQ285" s="674"/>
      <c r="ER285" s="305"/>
    </row>
    <row r="286" spans="4:148" s="556" customFormat="1" x14ac:dyDescent="0.2">
      <c r="D286" s="110"/>
      <c r="O286" s="669"/>
      <c r="P286" s="670"/>
      <c r="Q286" s="670"/>
      <c r="S286" s="674"/>
      <c r="AA286" s="674"/>
      <c r="AF286" s="305"/>
      <c r="AG286" s="305"/>
      <c r="AH286" s="305"/>
      <c r="AI286" s="305"/>
      <c r="AJ286" s="305"/>
      <c r="AK286" s="305"/>
      <c r="AL286" s="305"/>
      <c r="AM286" s="305"/>
      <c r="AN286" s="305"/>
      <c r="AO286" s="305"/>
      <c r="AP286" s="305"/>
      <c r="AQ286" s="305"/>
      <c r="AR286" s="305"/>
      <c r="AS286" s="305"/>
      <c r="AT286" s="305"/>
      <c r="AU286" s="305"/>
      <c r="AV286" s="305"/>
      <c r="AW286" s="305"/>
      <c r="AX286" s="305"/>
      <c r="AY286" s="305"/>
      <c r="AZ286" s="305"/>
      <c r="BA286" s="305"/>
      <c r="BB286" s="305"/>
      <c r="BC286" s="305"/>
      <c r="BD286" s="305"/>
      <c r="BE286" s="305"/>
      <c r="BF286" s="305"/>
      <c r="BG286" s="305"/>
      <c r="BH286" s="305"/>
      <c r="BI286" s="305"/>
      <c r="BJ286" s="305"/>
      <c r="BK286" s="305"/>
      <c r="BL286" s="305"/>
      <c r="BM286" s="305"/>
      <c r="BN286" s="305"/>
      <c r="BO286" s="305"/>
      <c r="BP286" s="305"/>
      <c r="BQ286" s="305"/>
      <c r="BR286" s="305"/>
      <c r="BS286" s="305"/>
      <c r="BT286" s="305"/>
      <c r="BU286" s="305"/>
      <c r="BV286" s="305"/>
      <c r="BW286" s="305"/>
      <c r="BX286" s="305"/>
      <c r="BY286" s="305"/>
      <c r="BZ286" s="305"/>
      <c r="CA286" s="305"/>
      <c r="CB286" s="305"/>
      <c r="CC286" s="305"/>
      <c r="CD286" s="305"/>
      <c r="CE286" s="305"/>
      <c r="CF286" s="305"/>
      <c r="CG286" s="305"/>
      <c r="CH286" s="305"/>
      <c r="CI286" s="305"/>
      <c r="CJ286" s="305"/>
      <c r="CK286" s="305"/>
      <c r="CL286" s="305"/>
      <c r="CM286" s="305"/>
      <c r="CN286" s="305"/>
      <c r="CO286" s="305"/>
      <c r="CP286" s="305"/>
      <c r="CQ286" s="305"/>
      <c r="CR286" s="305"/>
      <c r="CS286" s="305"/>
      <c r="CT286" s="305"/>
      <c r="CU286" s="305"/>
      <c r="CV286" s="305"/>
      <c r="CW286" s="305"/>
      <c r="CX286" s="305"/>
      <c r="CY286" s="305"/>
      <c r="CZ286" s="305"/>
      <c r="DA286" s="305"/>
      <c r="DB286" s="305"/>
      <c r="DC286" s="305"/>
      <c r="DD286" s="305"/>
      <c r="DE286" s="305"/>
      <c r="DF286" s="305"/>
      <c r="DG286" s="305"/>
      <c r="DH286" s="305"/>
      <c r="DI286" s="305"/>
      <c r="DJ286" s="305"/>
      <c r="DK286" s="305"/>
      <c r="DL286" s="305"/>
      <c r="DM286" s="305"/>
      <c r="DN286" s="305"/>
      <c r="DO286" s="305"/>
      <c r="DP286" s="305"/>
      <c r="DQ286" s="305"/>
      <c r="DR286" s="305"/>
      <c r="DS286" s="305"/>
      <c r="DT286" s="305"/>
      <c r="DU286" s="305"/>
      <c r="DV286" s="305"/>
      <c r="DW286" s="558"/>
      <c r="DX286" s="558"/>
      <c r="DY286" s="558"/>
      <c r="DZ286" s="558"/>
      <c r="EA286" s="558"/>
      <c r="EB286" s="558"/>
      <c r="EC286" s="558"/>
      <c r="ED286" s="558"/>
      <c r="EE286" s="558"/>
      <c r="EF286" s="558"/>
      <c r="EG286" s="558"/>
      <c r="EH286" s="558"/>
      <c r="EI286" s="558"/>
      <c r="EJ286" s="558"/>
      <c r="EK286" s="558"/>
      <c r="EL286" s="558"/>
      <c r="EM286" s="558"/>
      <c r="EN286" s="558"/>
      <c r="EO286" s="558"/>
      <c r="EP286" s="558"/>
      <c r="EQ286" s="674"/>
      <c r="ER286" s="305"/>
    </row>
    <row r="287" spans="4:148" s="556" customFormat="1" x14ac:dyDescent="0.2">
      <c r="D287" s="110"/>
      <c r="O287" s="669"/>
      <c r="P287" s="670"/>
      <c r="Q287" s="670"/>
      <c r="S287" s="674"/>
      <c r="AA287" s="674"/>
      <c r="AF287" s="305"/>
      <c r="AG287" s="305"/>
      <c r="AH287" s="305"/>
      <c r="AI287" s="305"/>
      <c r="AJ287" s="305"/>
      <c r="AK287" s="305"/>
      <c r="AL287" s="305"/>
      <c r="AM287" s="305"/>
      <c r="AN287" s="305"/>
      <c r="AO287" s="305"/>
      <c r="AP287" s="305"/>
      <c r="AQ287" s="305"/>
      <c r="AR287" s="305"/>
      <c r="AS287" s="305"/>
      <c r="AT287" s="305"/>
      <c r="AU287" s="305"/>
      <c r="AV287" s="305"/>
      <c r="AW287" s="305"/>
      <c r="AX287" s="305"/>
      <c r="AY287" s="305"/>
      <c r="AZ287" s="305"/>
      <c r="BA287" s="305"/>
      <c r="BB287" s="305"/>
      <c r="BC287" s="305"/>
      <c r="BD287" s="305"/>
      <c r="BE287" s="305"/>
      <c r="BF287" s="305"/>
      <c r="BG287" s="305"/>
      <c r="BH287" s="305"/>
      <c r="BI287" s="305"/>
      <c r="BJ287" s="305"/>
      <c r="BK287" s="305"/>
      <c r="BL287" s="305"/>
      <c r="BM287" s="305"/>
      <c r="BN287" s="305"/>
      <c r="BO287" s="305"/>
      <c r="BP287" s="305"/>
      <c r="BQ287" s="305"/>
      <c r="BR287" s="305"/>
      <c r="BS287" s="305"/>
      <c r="BT287" s="305"/>
      <c r="BU287" s="305"/>
      <c r="BV287" s="305"/>
      <c r="BW287" s="305"/>
      <c r="BX287" s="305"/>
      <c r="BY287" s="305"/>
      <c r="BZ287" s="305"/>
      <c r="CA287" s="305"/>
      <c r="CB287" s="305"/>
      <c r="CC287" s="305"/>
      <c r="CD287" s="305"/>
      <c r="CE287" s="305"/>
      <c r="CF287" s="305"/>
      <c r="CG287" s="305"/>
      <c r="CH287" s="305"/>
      <c r="CI287" s="305"/>
      <c r="CJ287" s="305"/>
      <c r="CK287" s="305"/>
      <c r="CL287" s="305"/>
      <c r="CM287" s="305"/>
      <c r="CN287" s="305"/>
      <c r="CO287" s="305"/>
      <c r="CP287" s="305"/>
      <c r="CQ287" s="305"/>
      <c r="CR287" s="305"/>
      <c r="CS287" s="305"/>
      <c r="CT287" s="305"/>
      <c r="CU287" s="305"/>
      <c r="CV287" s="305"/>
      <c r="CW287" s="305"/>
      <c r="CX287" s="305"/>
      <c r="CY287" s="305"/>
      <c r="CZ287" s="305"/>
      <c r="DA287" s="305"/>
      <c r="DB287" s="305"/>
      <c r="DC287" s="305"/>
      <c r="DD287" s="305"/>
      <c r="DE287" s="305"/>
      <c r="DF287" s="305"/>
      <c r="DG287" s="305"/>
      <c r="DH287" s="305"/>
      <c r="DI287" s="305"/>
      <c r="DJ287" s="305"/>
      <c r="DK287" s="305"/>
      <c r="DL287" s="305"/>
      <c r="DM287" s="305"/>
      <c r="DN287" s="305"/>
      <c r="DO287" s="305"/>
      <c r="DP287" s="305"/>
      <c r="DQ287" s="305"/>
      <c r="DR287" s="305"/>
      <c r="DS287" s="305"/>
      <c r="DT287" s="305"/>
      <c r="DU287" s="305"/>
      <c r="DV287" s="305"/>
      <c r="DW287" s="558"/>
      <c r="DX287" s="558"/>
      <c r="DY287" s="558"/>
      <c r="DZ287" s="558"/>
      <c r="EA287" s="558"/>
      <c r="EB287" s="558"/>
      <c r="EC287" s="558"/>
      <c r="ED287" s="558"/>
      <c r="EE287" s="558"/>
      <c r="EF287" s="558"/>
      <c r="EG287" s="558"/>
      <c r="EH287" s="558"/>
      <c r="EI287" s="558"/>
      <c r="EJ287" s="558"/>
      <c r="EK287" s="558"/>
      <c r="EL287" s="558"/>
      <c r="EM287" s="558"/>
      <c r="EN287" s="558"/>
      <c r="EO287" s="558"/>
      <c r="EP287" s="558"/>
      <c r="EQ287" s="674"/>
      <c r="ER287" s="305"/>
    </row>
    <row r="288" spans="4:148" s="556" customFormat="1" x14ac:dyDescent="0.2">
      <c r="D288" s="110"/>
      <c r="O288" s="669"/>
      <c r="P288" s="670"/>
      <c r="Q288" s="670"/>
      <c r="S288" s="674"/>
      <c r="AA288" s="674"/>
      <c r="AF288" s="305"/>
      <c r="AG288" s="305"/>
      <c r="AH288" s="305"/>
      <c r="AI288" s="305"/>
      <c r="AJ288" s="305"/>
      <c r="AK288" s="305"/>
      <c r="AL288" s="305"/>
      <c r="AM288" s="305"/>
      <c r="AN288" s="305"/>
      <c r="AO288" s="305"/>
      <c r="AP288" s="305"/>
      <c r="AQ288" s="305"/>
      <c r="AR288" s="305"/>
      <c r="AS288" s="305"/>
      <c r="AT288" s="305"/>
      <c r="AU288" s="305"/>
      <c r="AV288" s="305"/>
      <c r="AW288" s="305"/>
      <c r="AX288" s="305"/>
      <c r="AY288" s="305"/>
      <c r="AZ288" s="305"/>
      <c r="BA288" s="305"/>
      <c r="BB288" s="305"/>
      <c r="BC288" s="305"/>
      <c r="BD288" s="305"/>
      <c r="BE288" s="305"/>
      <c r="BF288" s="305"/>
      <c r="BG288" s="305"/>
      <c r="BH288" s="305"/>
      <c r="BI288" s="305"/>
      <c r="BJ288" s="305"/>
      <c r="BK288" s="305"/>
      <c r="BL288" s="305"/>
      <c r="BM288" s="305"/>
      <c r="BN288" s="305"/>
      <c r="BO288" s="305"/>
      <c r="BP288" s="305"/>
      <c r="BQ288" s="305"/>
      <c r="BR288" s="305"/>
      <c r="BS288" s="305"/>
      <c r="BT288" s="305"/>
      <c r="BU288" s="305"/>
      <c r="BV288" s="305"/>
      <c r="BW288" s="305"/>
      <c r="BX288" s="305"/>
      <c r="BY288" s="305"/>
      <c r="BZ288" s="305"/>
      <c r="CA288" s="305"/>
      <c r="CB288" s="305"/>
      <c r="CC288" s="305"/>
      <c r="CD288" s="305"/>
      <c r="CE288" s="305"/>
      <c r="CF288" s="305"/>
      <c r="CG288" s="305"/>
      <c r="CH288" s="305"/>
      <c r="CI288" s="305"/>
      <c r="CJ288" s="305"/>
      <c r="CK288" s="305"/>
      <c r="CL288" s="305"/>
      <c r="CM288" s="305"/>
      <c r="CN288" s="305"/>
      <c r="CO288" s="305"/>
      <c r="CP288" s="305"/>
      <c r="CQ288" s="305"/>
      <c r="CR288" s="305"/>
      <c r="CS288" s="305"/>
      <c r="CT288" s="305"/>
      <c r="CU288" s="305"/>
      <c r="CV288" s="305"/>
      <c r="CW288" s="305"/>
      <c r="CX288" s="305"/>
      <c r="CY288" s="305"/>
      <c r="CZ288" s="305"/>
      <c r="DA288" s="305"/>
      <c r="DB288" s="305"/>
      <c r="DC288" s="305"/>
      <c r="DD288" s="305"/>
      <c r="DE288" s="305"/>
      <c r="DF288" s="305"/>
      <c r="DG288" s="305"/>
      <c r="DH288" s="305"/>
      <c r="DI288" s="305"/>
      <c r="DJ288" s="305"/>
      <c r="DK288" s="305"/>
      <c r="DL288" s="305"/>
      <c r="DM288" s="305"/>
      <c r="DN288" s="305"/>
      <c r="DO288" s="305"/>
      <c r="DP288" s="305"/>
      <c r="DQ288" s="305"/>
      <c r="DR288" s="305"/>
      <c r="DS288" s="305"/>
      <c r="DT288" s="305"/>
      <c r="DU288" s="305"/>
      <c r="DV288" s="305"/>
      <c r="DW288" s="558"/>
      <c r="DX288" s="558"/>
      <c r="DY288" s="558"/>
      <c r="DZ288" s="558"/>
      <c r="EA288" s="558"/>
      <c r="EB288" s="558"/>
      <c r="EC288" s="558"/>
      <c r="ED288" s="558"/>
      <c r="EE288" s="558"/>
      <c r="EF288" s="558"/>
      <c r="EG288" s="558"/>
      <c r="EH288" s="558"/>
      <c r="EI288" s="558"/>
      <c r="EJ288" s="558"/>
      <c r="EK288" s="558"/>
      <c r="EL288" s="558"/>
      <c r="EM288" s="558"/>
      <c r="EN288" s="558"/>
      <c r="EO288" s="558"/>
      <c r="EP288" s="558"/>
      <c r="EQ288" s="674"/>
      <c r="ER288" s="305"/>
    </row>
    <row r="289" spans="1:152" s="556" customFormat="1" x14ac:dyDescent="0.2">
      <c r="D289" s="110"/>
      <c r="O289" s="669"/>
      <c r="P289" s="670"/>
      <c r="Q289" s="670"/>
      <c r="S289" s="674"/>
      <c r="AA289" s="674"/>
      <c r="AF289" s="305"/>
      <c r="AG289" s="305"/>
      <c r="AH289" s="305"/>
      <c r="AI289" s="305"/>
      <c r="AJ289" s="305"/>
      <c r="AK289" s="305"/>
      <c r="AL289" s="305"/>
      <c r="AM289" s="305"/>
      <c r="AN289" s="305"/>
      <c r="AO289" s="305"/>
      <c r="AP289" s="305"/>
      <c r="AQ289" s="305"/>
      <c r="AR289" s="305"/>
      <c r="AS289" s="305"/>
      <c r="AT289" s="305"/>
      <c r="AU289" s="305"/>
      <c r="AV289" s="305"/>
      <c r="AW289" s="305"/>
      <c r="AX289" s="305"/>
      <c r="AY289" s="305"/>
      <c r="AZ289" s="305"/>
      <c r="BA289" s="305"/>
      <c r="BB289" s="305"/>
      <c r="BC289" s="305"/>
      <c r="BD289" s="305"/>
      <c r="BE289" s="305"/>
      <c r="BF289" s="305"/>
      <c r="BG289" s="305"/>
      <c r="BH289" s="305"/>
      <c r="BI289" s="305"/>
      <c r="BJ289" s="305"/>
      <c r="BK289" s="305"/>
      <c r="BL289" s="305"/>
      <c r="BM289" s="305"/>
      <c r="BN289" s="305"/>
      <c r="BO289" s="305"/>
      <c r="BP289" s="305"/>
      <c r="BQ289" s="305"/>
      <c r="BR289" s="305"/>
      <c r="BS289" s="305"/>
      <c r="BT289" s="305"/>
      <c r="BU289" s="305"/>
      <c r="BV289" s="305"/>
      <c r="BW289" s="305"/>
      <c r="BX289" s="305"/>
      <c r="BY289" s="305"/>
      <c r="BZ289" s="305"/>
      <c r="CA289" s="305"/>
      <c r="CB289" s="305"/>
      <c r="CC289" s="305"/>
      <c r="CD289" s="305"/>
      <c r="CE289" s="305"/>
      <c r="CF289" s="305"/>
      <c r="CG289" s="305"/>
      <c r="CH289" s="305"/>
      <c r="CI289" s="305"/>
      <c r="CJ289" s="305"/>
      <c r="CK289" s="305"/>
      <c r="CL289" s="305"/>
      <c r="CM289" s="305"/>
      <c r="CN289" s="305"/>
      <c r="CO289" s="305"/>
      <c r="CP289" s="305"/>
      <c r="CQ289" s="305"/>
      <c r="CR289" s="305"/>
      <c r="CS289" s="305"/>
      <c r="CT289" s="305"/>
      <c r="CU289" s="305"/>
      <c r="CV289" s="305"/>
      <c r="CW289" s="305"/>
      <c r="CX289" s="305"/>
      <c r="CY289" s="305"/>
      <c r="CZ289" s="305"/>
      <c r="DA289" s="305"/>
      <c r="DB289" s="305"/>
      <c r="DC289" s="305"/>
      <c r="DD289" s="305"/>
      <c r="DE289" s="305"/>
      <c r="DF289" s="305"/>
      <c r="DG289" s="305"/>
      <c r="DH289" s="305"/>
      <c r="DI289" s="305"/>
      <c r="DJ289" s="305"/>
      <c r="DK289" s="305"/>
      <c r="DL289" s="305"/>
      <c r="DM289" s="305"/>
      <c r="DN289" s="305"/>
      <c r="DO289" s="305"/>
      <c r="DP289" s="305"/>
      <c r="DQ289" s="305"/>
      <c r="DR289" s="305"/>
      <c r="DS289" s="305"/>
      <c r="DT289" s="305"/>
      <c r="DU289" s="305"/>
      <c r="DV289" s="305"/>
      <c r="DW289" s="558"/>
      <c r="DX289" s="558"/>
      <c r="DY289" s="558"/>
      <c r="DZ289" s="558"/>
      <c r="EA289" s="558"/>
      <c r="EB289" s="558"/>
      <c r="EC289" s="558"/>
      <c r="ED289" s="558"/>
      <c r="EE289" s="558"/>
      <c r="EF289" s="558"/>
      <c r="EG289" s="558"/>
      <c r="EH289" s="558"/>
      <c r="EI289" s="558"/>
      <c r="EJ289" s="558"/>
      <c r="EK289" s="558"/>
      <c r="EL289" s="558"/>
      <c r="EM289" s="558"/>
      <c r="EN289" s="558"/>
      <c r="EO289" s="558"/>
      <c r="EP289" s="558"/>
      <c r="EQ289" s="674"/>
      <c r="ER289" s="305"/>
    </row>
    <row r="290" spans="1:152" s="556" customFormat="1" x14ac:dyDescent="0.2">
      <c r="D290" s="110"/>
      <c r="O290" s="669"/>
      <c r="P290" s="670"/>
      <c r="Q290" s="670"/>
      <c r="S290" s="674"/>
      <c r="AA290" s="674"/>
      <c r="AF290" s="305"/>
      <c r="AG290" s="305"/>
      <c r="AH290" s="305"/>
      <c r="AI290" s="305"/>
      <c r="AJ290" s="305"/>
      <c r="AK290" s="305"/>
      <c r="AL290" s="305"/>
      <c r="AM290" s="305"/>
      <c r="AN290" s="305"/>
      <c r="AO290" s="305"/>
      <c r="AP290" s="305"/>
      <c r="AQ290" s="305"/>
      <c r="AR290" s="305"/>
      <c r="AS290" s="305"/>
      <c r="AT290" s="305"/>
      <c r="AU290" s="305"/>
      <c r="AV290" s="305"/>
      <c r="AW290" s="305"/>
      <c r="AX290" s="305"/>
      <c r="AY290" s="305"/>
      <c r="AZ290" s="305"/>
      <c r="BA290" s="305"/>
      <c r="BB290" s="305"/>
      <c r="BC290" s="305"/>
      <c r="BD290" s="305"/>
      <c r="BE290" s="305"/>
      <c r="BF290" s="305"/>
      <c r="BG290" s="305"/>
      <c r="BH290" s="305"/>
      <c r="BI290" s="305"/>
      <c r="BJ290" s="305"/>
      <c r="BK290" s="305"/>
      <c r="BL290" s="305"/>
      <c r="BM290" s="305"/>
      <c r="BN290" s="305"/>
      <c r="BO290" s="305"/>
      <c r="BP290" s="305"/>
      <c r="BQ290" s="305"/>
      <c r="BR290" s="305"/>
      <c r="BS290" s="305"/>
      <c r="BT290" s="305"/>
      <c r="BU290" s="305"/>
      <c r="BV290" s="305"/>
      <c r="BW290" s="305"/>
      <c r="BX290" s="305"/>
      <c r="BY290" s="305"/>
      <c r="BZ290" s="305"/>
      <c r="CA290" s="305"/>
      <c r="CB290" s="305"/>
      <c r="CC290" s="305"/>
      <c r="CD290" s="305"/>
      <c r="CE290" s="305"/>
      <c r="CF290" s="305"/>
      <c r="CG290" s="305"/>
      <c r="CH290" s="305"/>
      <c r="CI290" s="305"/>
      <c r="CJ290" s="305"/>
      <c r="CK290" s="305"/>
      <c r="CL290" s="305"/>
      <c r="CM290" s="305"/>
      <c r="CN290" s="305"/>
      <c r="CO290" s="305"/>
      <c r="CP290" s="305"/>
      <c r="CQ290" s="305"/>
      <c r="CR290" s="305"/>
      <c r="CS290" s="305"/>
      <c r="CT290" s="305"/>
      <c r="CU290" s="305"/>
      <c r="CV290" s="305"/>
      <c r="CW290" s="305"/>
      <c r="CX290" s="305"/>
      <c r="CY290" s="305"/>
      <c r="CZ290" s="305"/>
      <c r="DA290" s="305"/>
      <c r="DB290" s="305"/>
      <c r="DC290" s="305"/>
      <c r="DD290" s="305"/>
      <c r="DE290" s="305"/>
      <c r="DF290" s="305"/>
      <c r="DG290" s="305"/>
      <c r="DH290" s="305"/>
      <c r="DI290" s="305"/>
      <c r="DJ290" s="305"/>
      <c r="DK290" s="305"/>
      <c r="DL290" s="305"/>
      <c r="DM290" s="305"/>
      <c r="DN290" s="305"/>
      <c r="DO290" s="305"/>
      <c r="DP290" s="305"/>
      <c r="DQ290" s="305"/>
      <c r="DR290" s="305"/>
      <c r="DS290" s="305"/>
      <c r="DT290" s="305"/>
      <c r="DU290" s="305"/>
      <c r="DV290" s="305"/>
      <c r="DW290" s="558"/>
      <c r="DX290" s="558"/>
      <c r="DY290" s="558"/>
      <c r="DZ290" s="558"/>
      <c r="EA290" s="558"/>
      <c r="EB290" s="558"/>
      <c r="EC290" s="558"/>
      <c r="ED290" s="558"/>
      <c r="EE290" s="558"/>
      <c r="EF290" s="558"/>
      <c r="EG290" s="558"/>
      <c r="EH290" s="558"/>
      <c r="EI290" s="558"/>
      <c r="EJ290" s="558"/>
      <c r="EK290" s="558"/>
      <c r="EL290" s="558"/>
      <c r="EM290" s="558"/>
      <c r="EN290" s="558"/>
      <c r="EO290" s="558"/>
      <c r="EP290" s="558"/>
      <c r="EQ290" s="674"/>
      <c r="ER290" s="305"/>
    </row>
    <row r="291" spans="1:152" s="556" customFormat="1" x14ac:dyDescent="0.2">
      <c r="D291" s="110"/>
      <c r="O291" s="669"/>
      <c r="P291" s="670"/>
      <c r="Q291" s="670"/>
      <c r="S291" s="674"/>
      <c r="AA291" s="674"/>
      <c r="AF291" s="305"/>
      <c r="AG291" s="305"/>
      <c r="AH291" s="305"/>
      <c r="AI291" s="305"/>
      <c r="AJ291" s="305"/>
      <c r="AK291" s="305"/>
      <c r="AL291" s="305"/>
      <c r="AM291" s="305"/>
      <c r="AN291" s="305"/>
      <c r="AO291" s="305"/>
      <c r="AP291" s="305"/>
      <c r="AQ291" s="305"/>
      <c r="AR291" s="305"/>
      <c r="AS291" s="305"/>
      <c r="AT291" s="305"/>
      <c r="AU291" s="305"/>
      <c r="AV291" s="305"/>
      <c r="AW291" s="305"/>
      <c r="AX291" s="305"/>
      <c r="AY291" s="305"/>
      <c r="AZ291" s="305"/>
      <c r="BA291" s="305"/>
      <c r="BB291" s="305"/>
      <c r="BC291" s="305"/>
      <c r="BD291" s="305"/>
      <c r="BE291" s="305"/>
      <c r="BF291" s="305"/>
      <c r="BG291" s="305"/>
      <c r="BH291" s="305"/>
      <c r="BI291" s="305"/>
      <c r="BJ291" s="305"/>
      <c r="BK291" s="305"/>
      <c r="BL291" s="305"/>
      <c r="BM291" s="305"/>
      <c r="BN291" s="305"/>
      <c r="BO291" s="305"/>
      <c r="BP291" s="305"/>
      <c r="BQ291" s="305"/>
      <c r="BR291" s="305"/>
      <c r="BS291" s="305"/>
      <c r="BT291" s="305"/>
      <c r="BU291" s="305"/>
      <c r="BV291" s="305"/>
      <c r="BW291" s="305"/>
      <c r="BX291" s="305"/>
      <c r="BY291" s="305"/>
      <c r="BZ291" s="305"/>
      <c r="CA291" s="305"/>
      <c r="CB291" s="305"/>
      <c r="CC291" s="305"/>
      <c r="CD291" s="305"/>
      <c r="CE291" s="305"/>
      <c r="CF291" s="305"/>
      <c r="CG291" s="305"/>
      <c r="CH291" s="305"/>
      <c r="CI291" s="305"/>
      <c r="CJ291" s="305"/>
      <c r="CK291" s="305"/>
      <c r="CL291" s="305"/>
      <c r="CM291" s="305"/>
      <c r="CN291" s="305"/>
      <c r="CO291" s="305"/>
      <c r="CP291" s="305"/>
      <c r="CQ291" s="305"/>
      <c r="CR291" s="305"/>
      <c r="CS291" s="305"/>
      <c r="CT291" s="305"/>
      <c r="CU291" s="305"/>
      <c r="CV291" s="305"/>
      <c r="CW291" s="305"/>
      <c r="CX291" s="305"/>
      <c r="CY291" s="305"/>
      <c r="CZ291" s="305"/>
      <c r="DA291" s="305"/>
      <c r="DB291" s="305"/>
      <c r="DC291" s="305"/>
      <c r="DD291" s="305"/>
      <c r="DE291" s="305"/>
      <c r="DF291" s="305"/>
      <c r="DG291" s="305"/>
      <c r="DH291" s="305"/>
      <c r="DI291" s="305"/>
      <c r="DJ291" s="305"/>
      <c r="DK291" s="305"/>
      <c r="DL291" s="305"/>
      <c r="DM291" s="305"/>
      <c r="DN291" s="305"/>
      <c r="DO291" s="305"/>
      <c r="DP291" s="305"/>
      <c r="DQ291" s="305"/>
      <c r="DR291" s="305"/>
      <c r="DS291" s="305"/>
      <c r="DT291" s="305"/>
      <c r="DU291" s="305"/>
      <c r="DV291" s="305"/>
      <c r="DW291" s="558"/>
      <c r="DX291" s="558"/>
      <c r="DY291" s="558"/>
      <c r="DZ291" s="558"/>
      <c r="EA291" s="558"/>
      <c r="EB291" s="558"/>
      <c r="EC291" s="558"/>
      <c r="ED291" s="558"/>
      <c r="EE291" s="558"/>
      <c r="EF291" s="558"/>
      <c r="EG291" s="558"/>
      <c r="EH291" s="558"/>
      <c r="EI291" s="558"/>
      <c r="EJ291" s="558"/>
      <c r="EK291" s="558"/>
      <c r="EL291" s="558"/>
      <c r="EM291" s="558"/>
      <c r="EN291" s="558"/>
      <c r="EO291" s="558"/>
      <c r="EP291" s="558"/>
      <c r="EQ291" s="674"/>
      <c r="ER291" s="305"/>
    </row>
    <row r="292" spans="1:152" s="556" customFormat="1" x14ac:dyDescent="0.2">
      <c r="D292" s="110"/>
      <c r="O292" s="669"/>
      <c r="P292" s="670"/>
      <c r="Q292" s="670"/>
      <c r="S292" s="674"/>
      <c r="AA292" s="674"/>
      <c r="AF292" s="305"/>
      <c r="AG292" s="305"/>
      <c r="AH292" s="305"/>
      <c r="AI292" s="305"/>
      <c r="AJ292" s="305"/>
      <c r="AK292" s="305"/>
      <c r="AL292" s="305"/>
      <c r="AM292" s="305"/>
      <c r="AN292" s="305"/>
      <c r="AO292" s="305"/>
      <c r="AP292" s="305"/>
      <c r="AQ292" s="305"/>
      <c r="AR292" s="305"/>
      <c r="AS292" s="305"/>
      <c r="AT292" s="305"/>
      <c r="AU292" s="305"/>
      <c r="AV292" s="305"/>
      <c r="AW292" s="305"/>
      <c r="AX292" s="305"/>
      <c r="AY292" s="305"/>
      <c r="AZ292" s="305"/>
      <c r="BA292" s="305"/>
      <c r="BB292" s="305"/>
      <c r="BC292" s="305"/>
      <c r="BD292" s="305"/>
      <c r="BE292" s="305"/>
      <c r="BF292" s="305"/>
      <c r="BG292" s="305"/>
      <c r="BH292" s="305"/>
      <c r="BI292" s="305"/>
      <c r="BJ292" s="305"/>
      <c r="BK292" s="305"/>
      <c r="BL292" s="305"/>
      <c r="BM292" s="305"/>
      <c r="BN292" s="305"/>
      <c r="BO292" s="305"/>
      <c r="BP292" s="305"/>
      <c r="BQ292" s="305"/>
      <c r="BR292" s="305"/>
      <c r="BS292" s="305"/>
      <c r="BT292" s="305"/>
      <c r="BU292" s="305"/>
      <c r="BV292" s="305"/>
      <c r="BW292" s="305"/>
      <c r="BX292" s="305"/>
      <c r="BY292" s="305"/>
      <c r="BZ292" s="305"/>
      <c r="CA292" s="305"/>
      <c r="CB292" s="305"/>
      <c r="CC292" s="305"/>
      <c r="CD292" s="305"/>
      <c r="CE292" s="305"/>
      <c r="CF292" s="305"/>
      <c r="CG292" s="305"/>
      <c r="CH292" s="305"/>
      <c r="CI292" s="305"/>
      <c r="CJ292" s="305"/>
      <c r="CK292" s="305"/>
      <c r="CL292" s="305"/>
      <c r="CM292" s="305"/>
      <c r="CN292" s="305"/>
      <c r="CO292" s="305"/>
      <c r="CP292" s="305"/>
      <c r="CQ292" s="305"/>
      <c r="CR292" s="305"/>
      <c r="CS292" s="305"/>
      <c r="CT292" s="305"/>
      <c r="CU292" s="305"/>
      <c r="CV292" s="305"/>
      <c r="CW292" s="305"/>
      <c r="CX292" s="305"/>
      <c r="CY292" s="305"/>
      <c r="CZ292" s="305"/>
      <c r="DA292" s="305"/>
      <c r="DB292" s="305"/>
      <c r="DC292" s="305"/>
      <c r="DD292" s="305"/>
      <c r="DE292" s="305"/>
      <c r="DF292" s="305"/>
      <c r="DG292" s="305"/>
      <c r="DH292" s="305"/>
      <c r="DI292" s="305"/>
      <c r="DJ292" s="305"/>
      <c r="DK292" s="305"/>
      <c r="DL292" s="305"/>
      <c r="DM292" s="305"/>
      <c r="DN292" s="305"/>
      <c r="DO292" s="305"/>
      <c r="DP292" s="305"/>
      <c r="DQ292" s="305"/>
      <c r="DR292" s="305"/>
      <c r="DS292" s="305"/>
      <c r="DT292" s="305"/>
      <c r="DU292" s="305"/>
      <c r="DV292" s="305"/>
      <c r="DW292" s="558"/>
      <c r="DX292" s="558"/>
      <c r="DY292" s="558"/>
      <c r="DZ292" s="558"/>
      <c r="EA292" s="558"/>
      <c r="EB292" s="558"/>
      <c r="EC292" s="558"/>
      <c r="ED292" s="558"/>
      <c r="EE292" s="558"/>
      <c r="EF292" s="558"/>
      <c r="EG292" s="558"/>
      <c r="EH292" s="558"/>
      <c r="EI292" s="558"/>
      <c r="EJ292" s="558"/>
      <c r="EK292" s="558"/>
      <c r="EL292" s="558"/>
      <c r="EM292" s="558"/>
      <c r="EN292" s="558"/>
      <c r="EO292" s="558"/>
      <c r="EP292" s="558"/>
      <c r="EQ292" s="674"/>
      <c r="ER292" s="305"/>
    </row>
    <row r="293" spans="1:152" x14ac:dyDescent="0.2">
      <c r="A293" s="556"/>
      <c r="B293" s="556"/>
      <c r="C293" s="556"/>
      <c r="E293" s="556"/>
      <c r="F293" s="556"/>
      <c r="G293" s="556"/>
      <c r="H293" s="556"/>
      <c r="J293" s="556"/>
      <c r="K293" s="556"/>
      <c r="L293" s="556"/>
      <c r="M293" s="556"/>
      <c r="N293" s="556"/>
      <c r="O293" s="669"/>
      <c r="P293" s="670"/>
      <c r="Q293" s="670"/>
      <c r="R293" s="556"/>
      <c r="S293" s="674"/>
      <c r="T293" s="556"/>
      <c r="U293" s="556"/>
      <c r="V293" s="556"/>
      <c r="W293" s="556"/>
      <c r="X293" s="556"/>
      <c r="Y293" s="556"/>
      <c r="Z293" s="556"/>
      <c r="AA293" s="674"/>
      <c r="AB293" s="556"/>
      <c r="AC293" s="556"/>
      <c r="AD293" s="556"/>
      <c r="AE293" s="556"/>
      <c r="AF293" s="305"/>
      <c r="AG293" s="305"/>
      <c r="AH293" s="305"/>
      <c r="AI293" s="305"/>
      <c r="AJ293" s="305"/>
      <c r="AK293" s="305"/>
      <c r="AL293" s="305"/>
      <c r="AM293" s="305"/>
      <c r="AN293" s="305"/>
      <c r="AO293" s="305"/>
      <c r="AP293" s="305"/>
      <c r="AQ293" s="305"/>
      <c r="AR293" s="305"/>
      <c r="AS293" s="305"/>
      <c r="AT293" s="305"/>
      <c r="AU293" s="305"/>
      <c r="AV293" s="305"/>
      <c r="AW293" s="305"/>
      <c r="AX293" s="305"/>
      <c r="AY293" s="305"/>
      <c r="AZ293" s="305"/>
      <c r="BA293" s="305"/>
      <c r="BB293" s="305"/>
      <c r="BC293" s="305"/>
      <c r="BD293" s="305"/>
      <c r="BE293" s="305"/>
      <c r="BF293" s="305"/>
      <c r="BG293" s="305"/>
      <c r="BH293" s="305"/>
      <c r="BI293" s="305"/>
      <c r="BJ293" s="305"/>
      <c r="BK293" s="305"/>
      <c r="BL293" s="305"/>
      <c r="BM293" s="305"/>
      <c r="BN293" s="305"/>
      <c r="BO293" s="305"/>
      <c r="BP293" s="305"/>
      <c r="BQ293" s="305"/>
      <c r="BR293" s="305"/>
      <c r="BS293" s="305"/>
      <c r="BT293" s="305"/>
      <c r="BU293" s="305"/>
      <c r="BV293" s="305"/>
      <c r="BW293" s="305"/>
      <c r="BX293" s="305"/>
      <c r="BY293" s="305"/>
      <c r="BZ293" s="305"/>
      <c r="CA293" s="305"/>
      <c r="CB293" s="305"/>
      <c r="CC293" s="305"/>
      <c r="CD293" s="305"/>
      <c r="CE293" s="305"/>
      <c r="CF293" s="305"/>
      <c r="CG293" s="305"/>
      <c r="CH293" s="305"/>
      <c r="CI293" s="305"/>
      <c r="CJ293" s="305"/>
      <c r="CK293" s="305"/>
      <c r="CL293" s="305"/>
      <c r="CM293" s="305"/>
      <c r="CN293" s="305"/>
      <c r="CO293" s="305"/>
      <c r="CP293" s="305"/>
      <c r="CQ293" s="305"/>
      <c r="CR293" s="305"/>
      <c r="CS293" s="305"/>
      <c r="CT293" s="305"/>
      <c r="CU293" s="305"/>
      <c r="CV293" s="305"/>
      <c r="CW293" s="305"/>
      <c r="CX293" s="305"/>
      <c r="CY293" s="305"/>
      <c r="CZ293" s="305"/>
      <c r="DA293" s="305"/>
      <c r="DB293" s="305"/>
      <c r="DC293" s="305"/>
      <c r="DD293" s="305"/>
      <c r="DE293" s="305"/>
      <c r="DF293" s="305"/>
      <c r="DG293" s="305"/>
      <c r="DH293" s="305"/>
      <c r="DI293" s="305"/>
      <c r="DJ293" s="305"/>
      <c r="DK293" s="305"/>
      <c r="DL293" s="305"/>
      <c r="DM293" s="305"/>
      <c r="DN293" s="305"/>
      <c r="DO293" s="305"/>
      <c r="DP293" s="305"/>
      <c r="DQ293" s="305"/>
      <c r="DR293" s="305"/>
      <c r="DS293" s="305"/>
      <c r="DT293" s="305"/>
      <c r="DU293" s="305"/>
      <c r="DV293" s="305"/>
      <c r="DW293" s="558"/>
      <c r="DX293" s="558"/>
      <c r="DY293" s="558"/>
      <c r="DZ293" s="558"/>
      <c r="EA293" s="558"/>
      <c r="EB293" s="558"/>
      <c r="EC293" s="558"/>
      <c r="ED293" s="558"/>
      <c r="EE293" s="558"/>
      <c r="EF293" s="558"/>
      <c r="EG293" s="558"/>
      <c r="EH293" s="558"/>
      <c r="EI293" s="558"/>
      <c r="EJ293" s="558"/>
      <c r="EK293" s="558"/>
      <c r="EL293" s="558"/>
      <c r="EM293" s="558"/>
      <c r="EN293" s="558"/>
      <c r="EO293" s="558"/>
      <c r="EP293" s="558"/>
      <c r="EQ293" s="674"/>
      <c r="ER293" s="305"/>
      <c r="ES293" s="556"/>
      <c r="ET293" s="556"/>
      <c r="EU293" s="556"/>
      <c r="EV293" s="556"/>
    </row>
    <row r="294" spans="1:152" x14ac:dyDescent="0.2">
      <c r="A294" s="556"/>
      <c r="B294" s="556"/>
      <c r="C294" s="556"/>
      <c r="E294" s="556"/>
      <c r="F294" s="556"/>
      <c r="G294" s="556"/>
      <c r="H294" s="556"/>
      <c r="J294" s="556"/>
      <c r="K294" s="556"/>
      <c r="L294" s="556"/>
      <c r="M294" s="556"/>
      <c r="N294" s="556"/>
      <c r="O294" s="669"/>
      <c r="P294" s="670"/>
      <c r="Q294" s="670"/>
      <c r="R294" s="556"/>
      <c r="S294" s="674"/>
      <c r="T294" s="556"/>
      <c r="U294" s="556"/>
      <c r="V294" s="556"/>
      <c r="W294" s="556"/>
      <c r="X294" s="556"/>
      <c r="Y294" s="556"/>
      <c r="Z294" s="556"/>
      <c r="AA294" s="674"/>
      <c r="AB294" s="556"/>
      <c r="AC294" s="556"/>
      <c r="AD294" s="556"/>
      <c r="AE294" s="556"/>
      <c r="AF294" s="305"/>
      <c r="AG294" s="305"/>
      <c r="AH294" s="305"/>
      <c r="AI294" s="305"/>
      <c r="AJ294" s="305"/>
      <c r="AK294" s="305"/>
      <c r="AL294" s="305"/>
      <c r="AM294" s="305"/>
      <c r="AN294" s="305"/>
      <c r="AO294" s="305"/>
      <c r="AP294" s="305"/>
      <c r="AQ294" s="305"/>
      <c r="AR294" s="305"/>
      <c r="AS294" s="305"/>
      <c r="AT294" s="305"/>
      <c r="AU294" s="305"/>
      <c r="AV294" s="305"/>
      <c r="AW294" s="305"/>
      <c r="AX294" s="305"/>
      <c r="AY294" s="305"/>
      <c r="AZ294" s="305"/>
      <c r="BA294" s="305"/>
      <c r="BB294" s="305"/>
      <c r="BC294" s="305"/>
      <c r="BD294" s="305"/>
      <c r="BE294" s="305"/>
      <c r="BF294" s="305"/>
      <c r="BG294" s="305"/>
      <c r="BH294" s="305"/>
      <c r="BI294" s="305"/>
      <c r="BJ294" s="305"/>
      <c r="BK294" s="305"/>
      <c r="BL294" s="305"/>
      <c r="BM294" s="305"/>
      <c r="BN294" s="305"/>
      <c r="BO294" s="305"/>
      <c r="BP294" s="305"/>
      <c r="BQ294" s="305"/>
      <c r="BR294" s="305"/>
      <c r="BS294" s="305"/>
      <c r="BT294" s="305"/>
      <c r="BU294" s="305"/>
      <c r="BV294" s="305"/>
      <c r="BW294" s="305"/>
      <c r="BX294" s="305"/>
      <c r="BY294" s="305"/>
      <c r="BZ294" s="305"/>
      <c r="CA294" s="305"/>
      <c r="CB294" s="305"/>
      <c r="CC294" s="305"/>
      <c r="CD294" s="305"/>
      <c r="CE294" s="305"/>
      <c r="CF294" s="305"/>
      <c r="CG294" s="305"/>
      <c r="CH294" s="305"/>
      <c r="CI294" s="305"/>
      <c r="CJ294" s="305"/>
      <c r="CK294" s="305"/>
      <c r="CL294" s="305"/>
      <c r="CM294" s="305"/>
      <c r="CN294" s="305"/>
      <c r="CO294" s="305"/>
      <c r="CP294" s="305"/>
      <c r="CQ294" s="305"/>
      <c r="CR294" s="305"/>
      <c r="CS294" s="305"/>
      <c r="CT294" s="305"/>
      <c r="CU294" s="305"/>
      <c r="CV294" s="305"/>
      <c r="CW294" s="305"/>
      <c r="CX294" s="305"/>
      <c r="CY294" s="305"/>
      <c r="CZ294" s="305"/>
      <c r="DA294" s="305"/>
      <c r="DB294" s="305"/>
      <c r="DC294" s="305"/>
      <c r="DD294" s="305"/>
      <c r="DE294" s="305"/>
      <c r="DF294" s="305"/>
      <c r="DG294" s="305"/>
      <c r="DH294" s="305"/>
      <c r="DI294" s="305"/>
      <c r="DJ294" s="305"/>
      <c r="DK294" s="305"/>
      <c r="DL294" s="305"/>
      <c r="DM294" s="305"/>
      <c r="DN294" s="305"/>
      <c r="DO294" s="305"/>
      <c r="DP294" s="305"/>
      <c r="DQ294" s="305"/>
      <c r="DR294" s="305"/>
      <c r="DS294" s="305"/>
      <c r="DT294" s="305"/>
      <c r="DU294" s="305"/>
      <c r="DV294" s="305"/>
      <c r="DW294" s="558"/>
      <c r="DX294" s="558"/>
      <c r="DY294" s="558"/>
      <c r="DZ294" s="558"/>
      <c r="EA294" s="558"/>
      <c r="EB294" s="558"/>
      <c r="EC294" s="558"/>
      <c r="ED294" s="558"/>
      <c r="EE294" s="558"/>
      <c r="EF294" s="558"/>
      <c r="EG294" s="558"/>
      <c r="EH294" s="558"/>
      <c r="EI294" s="558"/>
      <c r="EJ294" s="558"/>
      <c r="EK294" s="558"/>
      <c r="EL294" s="558"/>
      <c r="EM294" s="558"/>
      <c r="EN294" s="558"/>
      <c r="EO294" s="558"/>
      <c r="EP294" s="558"/>
      <c r="EQ294" s="674"/>
      <c r="ER294" s="305"/>
      <c r="ES294" s="556"/>
      <c r="ET294" s="556"/>
      <c r="EU294" s="556"/>
      <c r="EV294" s="556"/>
    </row>
    <row r="295" spans="1:152" x14ac:dyDescent="0.2">
      <c r="A295" s="556"/>
      <c r="B295" s="556"/>
      <c r="C295" s="556"/>
      <c r="E295" s="556"/>
      <c r="F295" s="556"/>
      <c r="G295" s="556"/>
      <c r="H295" s="556"/>
      <c r="J295" s="556"/>
      <c r="K295" s="556"/>
      <c r="L295" s="556"/>
      <c r="M295" s="556"/>
      <c r="N295" s="556"/>
      <c r="O295" s="669"/>
      <c r="P295" s="670"/>
      <c r="Q295" s="670"/>
      <c r="R295" s="556"/>
      <c r="S295" s="674"/>
      <c r="T295" s="556"/>
      <c r="U295" s="556"/>
      <c r="V295" s="556"/>
      <c r="W295" s="556"/>
      <c r="X295" s="556"/>
      <c r="Y295" s="556"/>
      <c r="Z295" s="556"/>
      <c r="AA295" s="674"/>
      <c r="AB295" s="556"/>
      <c r="AC295" s="556"/>
      <c r="AD295" s="556"/>
      <c r="AE295" s="556"/>
      <c r="AF295" s="305"/>
      <c r="AG295" s="305"/>
      <c r="AH295" s="305"/>
      <c r="AI295" s="305"/>
      <c r="AJ295" s="305"/>
      <c r="AK295" s="305"/>
      <c r="AL295" s="305"/>
      <c r="AM295" s="305"/>
      <c r="AN295" s="305"/>
      <c r="AO295" s="305"/>
      <c r="AP295" s="305"/>
      <c r="AQ295" s="305"/>
      <c r="AR295" s="305"/>
      <c r="AS295" s="305"/>
      <c r="AT295" s="305"/>
      <c r="AU295" s="305"/>
      <c r="AV295" s="305"/>
      <c r="AW295" s="305"/>
      <c r="AX295" s="305"/>
      <c r="AY295" s="305"/>
      <c r="AZ295" s="305"/>
      <c r="BA295" s="305"/>
      <c r="BB295" s="305"/>
      <c r="BC295" s="305"/>
      <c r="BD295" s="305"/>
      <c r="BE295" s="305"/>
      <c r="BF295" s="305"/>
      <c r="BG295" s="305"/>
      <c r="BH295" s="305"/>
      <c r="BI295" s="305"/>
      <c r="BJ295" s="305"/>
      <c r="BK295" s="305"/>
      <c r="BL295" s="305"/>
      <c r="BM295" s="305"/>
      <c r="BN295" s="305"/>
      <c r="BO295" s="305"/>
      <c r="BP295" s="305"/>
      <c r="BQ295" s="305"/>
      <c r="BR295" s="305"/>
      <c r="BS295" s="305"/>
      <c r="BT295" s="305"/>
      <c r="BU295" s="305"/>
      <c r="BV295" s="305"/>
      <c r="BW295" s="305"/>
      <c r="BX295" s="305"/>
      <c r="BY295" s="305"/>
      <c r="BZ295" s="305"/>
      <c r="CA295" s="305"/>
      <c r="CB295" s="305"/>
      <c r="CC295" s="305"/>
      <c r="CD295" s="305"/>
      <c r="CE295" s="305"/>
      <c r="CF295" s="305"/>
      <c r="CG295" s="305"/>
      <c r="CH295" s="305"/>
      <c r="CI295" s="305"/>
      <c r="CJ295" s="305"/>
      <c r="CK295" s="305"/>
      <c r="CL295" s="305"/>
      <c r="CM295" s="305"/>
      <c r="CN295" s="305"/>
      <c r="CO295" s="305"/>
      <c r="CP295" s="305"/>
      <c r="CQ295" s="305"/>
      <c r="CR295" s="305"/>
      <c r="CS295" s="305"/>
      <c r="CT295" s="305"/>
      <c r="CU295" s="305"/>
      <c r="CV295" s="305"/>
      <c r="CW295" s="305"/>
      <c r="CX295" s="305"/>
      <c r="CY295" s="305"/>
      <c r="CZ295" s="305"/>
      <c r="DA295" s="305"/>
      <c r="DB295" s="305"/>
      <c r="DC295" s="305"/>
      <c r="DD295" s="305"/>
      <c r="DE295" s="305"/>
      <c r="DF295" s="305"/>
      <c r="DG295" s="305"/>
      <c r="DH295" s="305"/>
      <c r="DI295" s="305"/>
      <c r="DJ295" s="305"/>
      <c r="DK295" s="305"/>
      <c r="DL295" s="305"/>
      <c r="DM295" s="305"/>
      <c r="DN295" s="305"/>
      <c r="DO295" s="305"/>
      <c r="DP295" s="305"/>
      <c r="DQ295" s="305"/>
      <c r="DR295" s="305"/>
      <c r="DS295" s="305"/>
      <c r="DT295" s="305"/>
      <c r="DU295" s="305"/>
      <c r="DV295" s="305"/>
      <c r="DW295" s="558"/>
      <c r="DX295" s="558"/>
      <c r="DY295" s="558"/>
      <c r="DZ295" s="558"/>
      <c r="EA295" s="558"/>
      <c r="EB295" s="558"/>
      <c r="EC295" s="558"/>
      <c r="ED295" s="558"/>
      <c r="EE295" s="558"/>
      <c r="EF295" s="558"/>
      <c r="EG295" s="558"/>
      <c r="EH295" s="558"/>
      <c r="EI295" s="558"/>
      <c r="EJ295" s="558"/>
      <c r="EK295" s="558"/>
      <c r="EL295" s="558"/>
      <c r="EM295" s="558"/>
      <c r="EN295" s="558"/>
      <c r="EO295" s="558"/>
      <c r="EP295" s="558"/>
      <c r="EQ295" s="674"/>
      <c r="ER295" s="305"/>
      <c r="ES295" s="556"/>
      <c r="ET295" s="556"/>
      <c r="EU295" s="556"/>
      <c r="EV295" s="556"/>
    </row>
    <row r="296" spans="1:152" x14ac:dyDescent="0.2">
      <c r="A296" s="556"/>
      <c r="B296" s="556"/>
      <c r="C296" s="556"/>
      <c r="E296" s="556"/>
      <c r="F296" s="556"/>
      <c r="G296" s="556"/>
      <c r="H296" s="556"/>
      <c r="J296" s="556"/>
      <c r="K296" s="556"/>
      <c r="L296" s="556"/>
      <c r="M296" s="556"/>
      <c r="N296" s="556"/>
      <c r="O296" s="669"/>
      <c r="P296" s="670"/>
      <c r="Q296" s="670"/>
      <c r="R296" s="556"/>
      <c r="S296" s="674"/>
      <c r="T296" s="556"/>
      <c r="U296" s="556"/>
      <c r="V296" s="556"/>
      <c r="W296" s="556"/>
      <c r="X296" s="556"/>
      <c r="Y296" s="556"/>
      <c r="Z296" s="556"/>
      <c r="AA296" s="674"/>
      <c r="AB296" s="556"/>
      <c r="AC296" s="556"/>
      <c r="AD296" s="556"/>
      <c r="AE296" s="556"/>
      <c r="AF296" s="305"/>
      <c r="AG296" s="305"/>
      <c r="AH296" s="305"/>
      <c r="AI296" s="305"/>
      <c r="AJ296" s="305"/>
      <c r="AK296" s="305"/>
      <c r="AL296" s="305"/>
      <c r="AM296" s="305"/>
      <c r="AN296" s="305"/>
      <c r="AO296" s="305"/>
      <c r="AP296" s="305"/>
      <c r="AQ296" s="305"/>
      <c r="AR296" s="305"/>
      <c r="AS296" s="305"/>
      <c r="AT296" s="305"/>
      <c r="AU296" s="305"/>
      <c r="AV296" s="305"/>
      <c r="AW296" s="305"/>
      <c r="AX296" s="305"/>
      <c r="AY296" s="305"/>
      <c r="AZ296" s="305"/>
      <c r="BA296" s="305"/>
      <c r="BB296" s="305"/>
      <c r="BC296" s="305"/>
      <c r="BD296" s="305"/>
      <c r="BE296" s="305"/>
      <c r="BF296" s="305"/>
      <c r="BG296" s="305"/>
      <c r="BH296" s="305"/>
      <c r="BI296" s="305"/>
      <c r="BJ296" s="305"/>
      <c r="BK296" s="305"/>
      <c r="BL296" s="305"/>
      <c r="BM296" s="305"/>
      <c r="BN296" s="305"/>
      <c r="BO296" s="305"/>
      <c r="BP296" s="305"/>
      <c r="BQ296" s="305"/>
      <c r="BR296" s="305"/>
      <c r="BS296" s="305"/>
      <c r="BT296" s="305"/>
      <c r="BU296" s="305"/>
      <c r="BV296" s="305"/>
      <c r="BW296" s="305"/>
      <c r="BX296" s="305"/>
      <c r="BY296" s="305"/>
      <c r="BZ296" s="305"/>
      <c r="CA296" s="305"/>
      <c r="CB296" s="305"/>
      <c r="CC296" s="305"/>
      <c r="CD296" s="305"/>
      <c r="CE296" s="305"/>
      <c r="CF296" s="305"/>
      <c r="CG296" s="305"/>
      <c r="CH296" s="305"/>
      <c r="CI296" s="305"/>
      <c r="CJ296" s="305"/>
      <c r="CK296" s="305"/>
      <c r="CL296" s="305"/>
      <c r="CM296" s="305"/>
      <c r="CN296" s="305"/>
      <c r="CO296" s="305"/>
      <c r="CP296" s="305"/>
      <c r="CQ296" s="305"/>
      <c r="CR296" s="305"/>
      <c r="CS296" s="305"/>
      <c r="CT296" s="305"/>
      <c r="CU296" s="305"/>
      <c r="CV296" s="305"/>
      <c r="CW296" s="305"/>
      <c r="CX296" s="305"/>
      <c r="CY296" s="305"/>
      <c r="CZ296" s="305"/>
      <c r="DA296" s="305"/>
      <c r="DB296" s="305"/>
      <c r="DC296" s="305"/>
      <c r="DD296" s="305"/>
      <c r="DE296" s="305"/>
      <c r="DF296" s="305"/>
      <c r="DG296" s="305"/>
      <c r="DH296" s="305"/>
      <c r="DI296" s="305"/>
      <c r="DJ296" s="305"/>
      <c r="DK296" s="305"/>
      <c r="DL296" s="305"/>
      <c r="DM296" s="305"/>
      <c r="DN296" s="305"/>
      <c r="DO296" s="305"/>
      <c r="DP296" s="305"/>
      <c r="DQ296" s="305"/>
      <c r="DR296" s="305"/>
      <c r="DS296" s="305"/>
      <c r="DT296" s="305"/>
      <c r="DU296" s="305"/>
      <c r="DV296" s="305"/>
      <c r="DW296" s="558"/>
      <c r="DX296" s="558"/>
      <c r="DY296" s="558"/>
      <c r="DZ296" s="558"/>
      <c r="EA296" s="558"/>
      <c r="EB296" s="558"/>
      <c r="EC296" s="558"/>
      <c r="ED296" s="558"/>
      <c r="EE296" s="558"/>
      <c r="EF296" s="558"/>
      <c r="EG296" s="558"/>
      <c r="EH296" s="558"/>
      <c r="EI296" s="558"/>
      <c r="EJ296" s="558"/>
      <c r="EK296" s="558"/>
      <c r="EL296" s="558"/>
      <c r="EM296" s="558"/>
      <c r="EN296" s="558"/>
      <c r="EO296" s="558"/>
      <c r="EP296" s="558"/>
      <c r="ER296" s="305"/>
    </row>
    <row r="297" spans="1:152" x14ac:dyDescent="0.2">
      <c r="A297" s="556"/>
      <c r="B297" s="556"/>
      <c r="C297" s="556"/>
      <c r="E297" s="556"/>
      <c r="F297" s="556"/>
      <c r="G297" s="556"/>
      <c r="H297" s="556"/>
      <c r="J297" s="556"/>
      <c r="K297" s="556"/>
      <c r="L297" s="556"/>
      <c r="M297" s="556"/>
      <c r="N297" s="556"/>
      <c r="O297" s="669"/>
      <c r="P297" s="670"/>
      <c r="Q297" s="670"/>
      <c r="R297" s="556"/>
      <c r="S297" s="674"/>
      <c r="T297" s="556"/>
      <c r="U297" s="556"/>
      <c r="V297" s="556"/>
      <c r="W297" s="556"/>
      <c r="X297" s="556"/>
      <c r="Y297" s="556"/>
      <c r="Z297" s="556"/>
      <c r="AA297" s="674"/>
      <c r="AB297" s="556"/>
      <c r="AC297" s="556"/>
      <c r="AD297" s="556"/>
      <c r="AE297" s="556"/>
      <c r="AF297" s="305"/>
      <c r="AG297" s="305"/>
      <c r="AH297" s="305"/>
      <c r="AI297" s="305"/>
      <c r="AJ297" s="305"/>
      <c r="AK297" s="305"/>
      <c r="AL297" s="305"/>
      <c r="AM297" s="305"/>
      <c r="AN297" s="305"/>
      <c r="AO297" s="305"/>
      <c r="AP297" s="305"/>
      <c r="AQ297" s="305"/>
      <c r="AR297" s="305"/>
      <c r="AS297" s="305"/>
      <c r="AT297" s="305"/>
      <c r="AU297" s="305"/>
      <c r="AV297" s="305"/>
      <c r="AW297" s="305"/>
      <c r="AX297" s="305"/>
      <c r="AY297" s="305"/>
      <c r="AZ297" s="305"/>
      <c r="BA297" s="305"/>
      <c r="BB297" s="305"/>
      <c r="BC297" s="305"/>
      <c r="BD297" s="305"/>
      <c r="BE297" s="305"/>
      <c r="BF297" s="305"/>
      <c r="BG297" s="305"/>
      <c r="BH297" s="305"/>
      <c r="BI297" s="305"/>
      <c r="BJ297" s="305"/>
      <c r="BK297" s="305"/>
      <c r="BL297" s="305"/>
      <c r="BM297" s="305"/>
      <c r="BN297" s="305"/>
      <c r="BO297" s="305"/>
      <c r="BP297" s="305"/>
      <c r="BQ297" s="305"/>
      <c r="BR297" s="305"/>
      <c r="BS297" s="305"/>
      <c r="BT297" s="305"/>
      <c r="BU297" s="305"/>
      <c r="BV297" s="305"/>
      <c r="BW297" s="305"/>
      <c r="BX297" s="305"/>
      <c r="BY297" s="305"/>
      <c r="BZ297" s="305"/>
      <c r="CA297" s="305"/>
      <c r="CB297" s="305"/>
      <c r="CC297" s="305"/>
      <c r="CD297" s="305"/>
      <c r="CE297" s="305"/>
      <c r="CF297" s="305"/>
      <c r="CG297" s="305"/>
      <c r="CH297" s="305"/>
      <c r="CI297" s="305"/>
      <c r="CJ297" s="305"/>
      <c r="CK297" s="305"/>
      <c r="CL297" s="305"/>
      <c r="CM297" s="305"/>
      <c r="CN297" s="305"/>
      <c r="CO297" s="305"/>
      <c r="CP297" s="305"/>
      <c r="CQ297" s="305"/>
      <c r="CR297" s="305"/>
      <c r="CS297" s="305"/>
      <c r="CT297" s="305"/>
      <c r="CU297" s="305"/>
      <c r="CV297" s="305"/>
      <c r="CW297" s="305"/>
      <c r="CX297" s="305"/>
      <c r="CY297" s="305"/>
      <c r="CZ297" s="305"/>
      <c r="DA297" s="305"/>
      <c r="DB297" s="305"/>
      <c r="DC297" s="305"/>
      <c r="DD297" s="305"/>
      <c r="DE297" s="305"/>
      <c r="DF297" s="305"/>
      <c r="DG297" s="305"/>
      <c r="DH297" s="305"/>
      <c r="DI297" s="305"/>
      <c r="DJ297" s="305"/>
      <c r="DK297" s="305"/>
      <c r="DL297" s="305"/>
      <c r="DM297" s="305"/>
      <c r="DN297" s="305"/>
      <c r="DO297" s="305"/>
      <c r="DP297" s="305"/>
      <c r="DQ297" s="305"/>
      <c r="DR297" s="305"/>
      <c r="DS297" s="305"/>
      <c r="DT297" s="305"/>
      <c r="DU297" s="305"/>
      <c r="DV297" s="305"/>
      <c r="DW297" s="558"/>
      <c r="DX297" s="558"/>
      <c r="DY297" s="558"/>
      <c r="DZ297" s="558"/>
      <c r="EA297" s="558"/>
      <c r="EB297" s="558"/>
      <c r="EC297" s="558"/>
      <c r="ED297" s="558"/>
      <c r="EE297" s="558"/>
      <c r="EF297" s="558"/>
      <c r="EG297" s="558"/>
      <c r="EH297" s="558"/>
      <c r="EI297" s="558"/>
      <c r="EJ297" s="558"/>
      <c r="EK297" s="558"/>
      <c r="EL297" s="558"/>
      <c r="EM297" s="558"/>
      <c r="EN297" s="558"/>
      <c r="EO297" s="558"/>
      <c r="EP297" s="558"/>
      <c r="ER297" s="305"/>
    </row>
    <row r="298" spans="1:152" x14ac:dyDescent="0.2">
      <c r="A298" s="556"/>
      <c r="B298" s="556"/>
      <c r="C298" s="556"/>
      <c r="E298" s="556"/>
      <c r="F298" s="556"/>
      <c r="G298" s="556"/>
      <c r="H298" s="556"/>
      <c r="J298" s="556"/>
      <c r="K298" s="556"/>
      <c r="L298" s="556"/>
      <c r="M298" s="556"/>
      <c r="N298" s="556"/>
      <c r="O298" s="669"/>
      <c r="P298" s="670"/>
      <c r="Q298" s="670"/>
      <c r="R298" s="556"/>
      <c r="S298" s="674"/>
      <c r="T298" s="556"/>
      <c r="U298" s="556"/>
      <c r="V298" s="556"/>
      <c r="W298" s="556"/>
      <c r="X298" s="556"/>
      <c r="Y298" s="556"/>
      <c r="Z298" s="556"/>
      <c r="AA298" s="674"/>
      <c r="AB298" s="556"/>
      <c r="AC298" s="556"/>
      <c r="AD298" s="556"/>
      <c r="AE298" s="556"/>
      <c r="AF298" s="305"/>
      <c r="AG298" s="305"/>
      <c r="AH298" s="305"/>
      <c r="AI298" s="305"/>
      <c r="AJ298" s="305"/>
      <c r="AK298" s="305"/>
      <c r="AL298" s="305"/>
      <c r="AM298" s="305"/>
      <c r="AN298" s="305"/>
      <c r="AO298" s="305"/>
      <c r="AP298" s="305"/>
      <c r="AQ298" s="305"/>
      <c r="AR298" s="305"/>
      <c r="AS298" s="305"/>
      <c r="AT298" s="305"/>
      <c r="AU298" s="305"/>
      <c r="AV298" s="305"/>
      <c r="AW298" s="305"/>
      <c r="AX298" s="305"/>
      <c r="AY298" s="305"/>
      <c r="AZ298" s="305"/>
      <c r="BA298" s="305"/>
      <c r="BB298" s="305"/>
      <c r="BC298" s="305"/>
      <c r="BD298" s="305"/>
      <c r="BE298" s="305"/>
      <c r="BF298" s="305"/>
      <c r="BG298" s="305"/>
      <c r="BH298" s="305"/>
      <c r="BI298" s="305"/>
      <c r="BJ298" s="305"/>
      <c r="BK298" s="305"/>
      <c r="BL298" s="305"/>
      <c r="BM298" s="305"/>
      <c r="BN298" s="305"/>
      <c r="BO298" s="305"/>
      <c r="BP298" s="305"/>
      <c r="BQ298" s="305"/>
      <c r="BR298" s="305"/>
      <c r="BS298" s="305"/>
      <c r="BT298" s="305"/>
      <c r="BU298" s="305"/>
      <c r="BV298" s="305"/>
      <c r="BW298" s="305"/>
      <c r="BX298" s="305"/>
      <c r="BY298" s="305"/>
      <c r="BZ298" s="305"/>
      <c r="CA298" s="305"/>
      <c r="CB298" s="305"/>
      <c r="CC298" s="305"/>
      <c r="CD298" s="305"/>
      <c r="CE298" s="305"/>
      <c r="CF298" s="305"/>
      <c r="CG298" s="305"/>
      <c r="CH298" s="305"/>
      <c r="CI298" s="305"/>
      <c r="CJ298" s="305"/>
      <c r="CK298" s="305"/>
      <c r="CL298" s="305"/>
      <c r="CM298" s="305"/>
      <c r="CN298" s="305"/>
      <c r="CO298" s="305"/>
      <c r="CP298" s="305"/>
      <c r="CQ298" s="305"/>
      <c r="CR298" s="305"/>
      <c r="CS298" s="305"/>
      <c r="CT298" s="305"/>
      <c r="CU298" s="305"/>
      <c r="CV298" s="305"/>
      <c r="CW298" s="305"/>
      <c r="CX298" s="305"/>
      <c r="CY298" s="305"/>
      <c r="CZ298" s="305"/>
      <c r="DA298" s="305"/>
      <c r="DB298" s="305"/>
      <c r="DC298" s="305"/>
      <c r="DD298" s="305"/>
      <c r="DE298" s="305"/>
      <c r="DF298" s="305"/>
      <c r="DG298" s="305"/>
      <c r="DH298" s="305"/>
      <c r="DI298" s="305"/>
      <c r="DJ298" s="305"/>
      <c r="DK298" s="305"/>
      <c r="DL298" s="305"/>
      <c r="DM298" s="305"/>
      <c r="DN298" s="305"/>
      <c r="DO298" s="305"/>
      <c r="DP298" s="305"/>
      <c r="DQ298" s="305"/>
      <c r="DR298" s="305"/>
      <c r="DS298" s="305"/>
      <c r="DT298" s="305"/>
      <c r="DU298" s="305"/>
      <c r="DV298" s="305"/>
      <c r="DW298" s="558"/>
      <c r="DX298" s="558"/>
      <c r="DY298" s="558"/>
      <c r="DZ298" s="558"/>
      <c r="EA298" s="558"/>
      <c r="EB298" s="558"/>
      <c r="EC298" s="558"/>
      <c r="ED298" s="558"/>
      <c r="EE298" s="558"/>
      <c r="EF298" s="558"/>
      <c r="EG298" s="558"/>
      <c r="EH298" s="558"/>
      <c r="EI298" s="558"/>
      <c r="EJ298" s="558"/>
      <c r="EK298" s="558"/>
      <c r="EL298" s="558"/>
      <c r="EM298" s="558"/>
      <c r="EN298" s="558"/>
      <c r="EO298" s="558"/>
      <c r="EP298" s="558"/>
      <c r="ER298" s="305"/>
    </row>
    <row r="299" spans="1:152" x14ac:dyDescent="0.2">
      <c r="A299" s="556"/>
      <c r="B299" s="556"/>
      <c r="C299" s="556"/>
      <c r="E299" s="556"/>
      <c r="F299" s="556"/>
      <c r="G299" s="556"/>
      <c r="H299" s="556"/>
      <c r="J299" s="556"/>
      <c r="K299" s="556"/>
      <c r="L299" s="556"/>
      <c r="M299" s="556"/>
      <c r="N299" s="556"/>
      <c r="O299" s="669"/>
      <c r="P299" s="670"/>
      <c r="Q299" s="670"/>
      <c r="R299" s="556"/>
      <c r="S299" s="674"/>
      <c r="T299" s="556"/>
      <c r="U299" s="556"/>
      <c r="V299" s="556"/>
      <c r="W299" s="556"/>
      <c r="X299" s="556"/>
      <c r="Y299" s="556"/>
      <c r="Z299" s="556"/>
      <c r="AA299" s="674"/>
      <c r="AB299" s="556"/>
      <c r="AC299" s="556"/>
      <c r="AD299" s="556"/>
      <c r="AE299" s="556"/>
      <c r="AF299" s="305"/>
      <c r="AG299" s="305"/>
      <c r="AH299" s="305"/>
      <c r="AI299" s="305"/>
      <c r="AJ299" s="305"/>
      <c r="AK299" s="305"/>
      <c r="AL299" s="305"/>
      <c r="AM299" s="305"/>
      <c r="AN299" s="305"/>
      <c r="AO299" s="305"/>
      <c r="AP299" s="305"/>
      <c r="AQ299" s="305"/>
      <c r="AR299" s="305"/>
      <c r="AS299" s="305"/>
      <c r="AT299" s="305"/>
      <c r="AU299" s="305"/>
      <c r="AV299" s="305"/>
      <c r="AW299" s="305"/>
      <c r="AX299" s="305"/>
      <c r="AY299" s="305"/>
      <c r="AZ299" s="305"/>
      <c r="BA299" s="305"/>
      <c r="BB299" s="305"/>
      <c r="BC299" s="305"/>
      <c r="BD299" s="305"/>
      <c r="BE299" s="305"/>
      <c r="BF299" s="305"/>
      <c r="BG299" s="305"/>
      <c r="BH299" s="305"/>
      <c r="BI299" s="305"/>
      <c r="BJ299" s="305"/>
      <c r="BK299" s="305"/>
      <c r="BL299" s="305"/>
      <c r="BM299" s="305"/>
      <c r="BN299" s="305"/>
      <c r="BO299" s="305"/>
      <c r="BP299" s="305"/>
      <c r="BQ299" s="305"/>
      <c r="BR299" s="305"/>
      <c r="BS299" s="305"/>
      <c r="BT299" s="305"/>
      <c r="BU299" s="305"/>
      <c r="BV299" s="305"/>
      <c r="BW299" s="305"/>
      <c r="BX299" s="305"/>
      <c r="BY299" s="305"/>
      <c r="BZ299" s="305"/>
      <c r="CA299" s="305"/>
      <c r="CB299" s="305"/>
      <c r="CC299" s="305"/>
      <c r="CD299" s="305"/>
      <c r="CE299" s="305"/>
      <c r="CF299" s="305"/>
      <c r="CG299" s="305"/>
      <c r="CH299" s="305"/>
      <c r="CI299" s="305"/>
      <c r="CJ299" s="305"/>
      <c r="CK299" s="305"/>
      <c r="CL299" s="305"/>
      <c r="CM299" s="305"/>
      <c r="CN299" s="305"/>
      <c r="CO299" s="305"/>
      <c r="CP299" s="305"/>
      <c r="CQ299" s="305"/>
      <c r="CR299" s="305"/>
      <c r="CS299" s="305"/>
      <c r="CT299" s="305"/>
      <c r="CU299" s="305"/>
      <c r="CV299" s="305"/>
      <c r="CW299" s="305"/>
      <c r="CX299" s="305"/>
      <c r="CY299" s="305"/>
      <c r="CZ299" s="305"/>
      <c r="DA299" s="305"/>
      <c r="DB299" s="305"/>
      <c r="DC299" s="305"/>
      <c r="DD299" s="305"/>
      <c r="DE299" s="305"/>
      <c r="DF299" s="305"/>
      <c r="DG299" s="305"/>
      <c r="DH299" s="305"/>
      <c r="DI299" s="305"/>
      <c r="DJ299" s="305"/>
      <c r="DK299" s="305"/>
      <c r="DL299" s="305"/>
      <c r="DM299" s="305"/>
      <c r="DN299" s="305"/>
      <c r="DO299" s="305"/>
      <c r="DP299" s="305"/>
      <c r="DQ299" s="305"/>
      <c r="DR299" s="305"/>
      <c r="DS299" s="305"/>
      <c r="DT299" s="305"/>
      <c r="DU299" s="305"/>
      <c r="DV299" s="305"/>
      <c r="DW299" s="558"/>
      <c r="DX299" s="558"/>
      <c r="DY299" s="558"/>
      <c r="DZ299" s="558"/>
      <c r="EA299" s="558"/>
      <c r="EB299" s="558"/>
      <c r="EC299" s="558"/>
      <c r="ED299" s="558"/>
      <c r="EE299" s="558"/>
      <c r="EF299" s="558"/>
      <c r="EG299" s="558"/>
      <c r="EH299" s="558"/>
      <c r="EI299" s="558"/>
      <c r="EJ299" s="558"/>
      <c r="EK299" s="558"/>
      <c r="EL299" s="558"/>
      <c r="EM299" s="558"/>
      <c r="EN299" s="558"/>
      <c r="EO299" s="558"/>
      <c r="EP299" s="558"/>
      <c r="ER299" s="305"/>
    </row>
    <row r="300" spans="1:152" x14ac:dyDescent="0.2">
      <c r="A300" s="556"/>
      <c r="B300" s="556"/>
      <c r="C300" s="556"/>
      <c r="E300" s="556"/>
      <c r="F300" s="556"/>
      <c r="G300" s="556"/>
      <c r="H300" s="556"/>
      <c r="J300" s="556"/>
      <c r="K300" s="556"/>
      <c r="L300" s="556"/>
      <c r="M300" s="556"/>
      <c r="N300" s="556"/>
      <c r="O300" s="669"/>
      <c r="P300" s="670"/>
      <c r="Q300" s="670"/>
      <c r="R300" s="556"/>
      <c r="S300" s="674"/>
      <c r="T300" s="556"/>
      <c r="U300" s="556"/>
      <c r="V300" s="556"/>
      <c r="W300" s="556"/>
      <c r="X300" s="556"/>
      <c r="Y300" s="556"/>
      <c r="Z300" s="556"/>
      <c r="AA300" s="674"/>
      <c r="AB300" s="556"/>
      <c r="AC300" s="556"/>
      <c r="AD300" s="556"/>
      <c r="AE300" s="556"/>
      <c r="AF300" s="305"/>
      <c r="AG300" s="305"/>
      <c r="AH300" s="305"/>
      <c r="AI300" s="305"/>
      <c r="AJ300" s="305"/>
      <c r="AK300" s="305"/>
      <c r="AL300" s="305"/>
      <c r="AM300" s="305"/>
      <c r="AN300" s="305"/>
      <c r="AO300" s="305"/>
      <c r="AP300" s="305"/>
      <c r="AQ300" s="305"/>
      <c r="AR300" s="305"/>
      <c r="AS300" s="305"/>
      <c r="AT300" s="305"/>
      <c r="AU300" s="305"/>
      <c r="AV300" s="305"/>
      <c r="AW300" s="305"/>
      <c r="AX300" s="305"/>
      <c r="AY300" s="305"/>
      <c r="AZ300" s="305"/>
      <c r="BA300" s="305"/>
      <c r="BB300" s="305"/>
      <c r="BC300" s="305"/>
      <c r="BD300" s="305"/>
      <c r="BE300" s="305"/>
      <c r="BF300" s="305"/>
      <c r="BG300" s="305"/>
      <c r="BH300" s="305"/>
      <c r="BI300" s="305"/>
      <c r="BJ300" s="305"/>
      <c r="BK300" s="305"/>
      <c r="BL300" s="305"/>
      <c r="BM300" s="305"/>
      <c r="BN300" s="305"/>
      <c r="BO300" s="305"/>
      <c r="BP300" s="305"/>
      <c r="BQ300" s="305"/>
      <c r="BR300" s="305"/>
      <c r="BS300" s="305"/>
      <c r="BT300" s="305"/>
      <c r="BU300" s="305"/>
      <c r="BV300" s="305"/>
      <c r="BW300" s="305"/>
      <c r="BX300" s="305"/>
      <c r="BY300" s="305"/>
      <c r="BZ300" s="305"/>
      <c r="CA300" s="305"/>
      <c r="CB300" s="305"/>
      <c r="CC300" s="305"/>
      <c r="CD300" s="305"/>
      <c r="CE300" s="305"/>
      <c r="CF300" s="305"/>
      <c r="CG300" s="305"/>
      <c r="CH300" s="305"/>
      <c r="CI300" s="305"/>
      <c r="CJ300" s="305"/>
      <c r="CK300" s="305"/>
      <c r="CL300" s="305"/>
      <c r="CM300" s="305"/>
      <c r="CN300" s="305"/>
      <c r="CO300" s="305"/>
      <c r="CP300" s="305"/>
      <c r="CQ300" s="305"/>
      <c r="CR300" s="305"/>
      <c r="CS300" s="305"/>
      <c r="CT300" s="305"/>
      <c r="CU300" s="305"/>
      <c r="CV300" s="305"/>
      <c r="CW300" s="305"/>
      <c r="CX300" s="305"/>
      <c r="CY300" s="305"/>
      <c r="CZ300" s="305"/>
      <c r="DA300" s="305"/>
      <c r="DB300" s="305"/>
      <c r="DC300" s="305"/>
      <c r="DD300" s="305"/>
      <c r="DE300" s="305"/>
      <c r="DF300" s="305"/>
      <c r="DG300" s="305"/>
      <c r="DH300" s="305"/>
      <c r="DI300" s="305"/>
      <c r="DJ300" s="305"/>
      <c r="DK300" s="305"/>
      <c r="DL300" s="305"/>
      <c r="DM300" s="305"/>
      <c r="DN300" s="305"/>
      <c r="DO300" s="305"/>
      <c r="DP300" s="305"/>
      <c r="DQ300" s="305"/>
      <c r="DR300" s="305"/>
      <c r="DS300" s="305"/>
      <c r="DT300" s="305"/>
      <c r="DU300" s="305"/>
      <c r="DV300" s="305"/>
      <c r="DW300" s="558"/>
      <c r="DX300" s="558"/>
      <c r="DY300" s="558"/>
      <c r="DZ300" s="558"/>
      <c r="EA300" s="558"/>
      <c r="EB300" s="558"/>
      <c r="EC300" s="558"/>
      <c r="ED300" s="558"/>
      <c r="EE300" s="558"/>
      <c r="EF300" s="558"/>
      <c r="EG300" s="558"/>
      <c r="EH300" s="558"/>
      <c r="EI300" s="558"/>
      <c r="EJ300" s="558"/>
      <c r="EK300" s="558"/>
      <c r="EL300" s="558"/>
      <c r="EM300" s="558"/>
      <c r="EN300" s="558"/>
      <c r="EO300" s="558"/>
      <c r="EP300" s="558"/>
      <c r="ER300" s="305"/>
    </row>
    <row r="301" spans="1:152" x14ac:dyDescent="0.2">
      <c r="A301" s="556"/>
      <c r="B301" s="556"/>
      <c r="C301" s="556"/>
      <c r="E301" s="556"/>
      <c r="F301" s="556"/>
      <c r="G301" s="556"/>
      <c r="H301" s="556"/>
      <c r="J301" s="556"/>
      <c r="K301" s="556"/>
      <c r="L301" s="556"/>
      <c r="M301" s="556"/>
      <c r="N301" s="556"/>
      <c r="O301" s="669"/>
      <c r="P301" s="670"/>
      <c r="Q301" s="670"/>
      <c r="R301" s="556"/>
      <c r="S301" s="674"/>
      <c r="T301" s="556"/>
      <c r="U301" s="556"/>
      <c r="V301" s="556"/>
      <c r="W301" s="556"/>
      <c r="X301" s="556"/>
      <c r="Y301" s="556"/>
      <c r="Z301" s="556"/>
      <c r="AA301" s="674"/>
      <c r="AB301" s="556"/>
      <c r="AC301" s="556"/>
      <c r="AD301" s="556"/>
      <c r="AE301" s="556"/>
      <c r="AF301" s="305"/>
      <c r="AG301" s="305"/>
      <c r="AH301" s="305"/>
      <c r="AI301" s="305"/>
      <c r="AJ301" s="305"/>
      <c r="AK301" s="305"/>
      <c r="AL301" s="305"/>
      <c r="AM301" s="305"/>
      <c r="AN301" s="305"/>
      <c r="AO301" s="305"/>
      <c r="AP301" s="305"/>
      <c r="AQ301" s="305"/>
      <c r="AR301" s="305"/>
      <c r="AS301" s="305"/>
      <c r="AT301" s="305"/>
      <c r="AU301" s="305"/>
      <c r="AV301" s="305"/>
      <c r="AW301" s="305"/>
      <c r="AX301" s="305"/>
      <c r="AY301" s="305"/>
      <c r="AZ301" s="305"/>
      <c r="BA301" s="305"/>
      <c r="BB301" s="305"/>
      <c r="BC301" s="305"/>
      <c r="BD301" s="305"/>
      <c r="BE301" s="305"/>
      <c r="BF301" s="305"/>
      <c r="BG301" s="305"/>
      <c r="BH301" s="305"/>
      <c r="BI301" s="305"/>
      <c r="BJ301" s="305"/>
      <c r="BK301" s="305"/>
      <c r="BL301" s="305"/>
      <c r="BM301" s="305"/>
      <c r="BN301" s="305"/>
      <c r="BO301" s="305"/>
      <c r="BP301" s="305"/>
      <c r="BQ301" s="305"/>
      <c r="BR301" s="305"/>
      <c r="BS301" s="305"/>
      <c r="BT301" s="305"/>
      <c r="BU301" s="305"/>
      <c r="BV301" s="305"/>
      <c r="BW301" s="305"/>
      <c r="BX301" s="305"/>
      <c r="BY301" s="305"/>
      <c r="BZ301" s="305"/>
      <c r="CA301" s="305"/>
      <c r="CB301" s="305"/>
      <c r="CC301" s="305"/>
      <c r="CD301" s="305"/>
      <c r="CE301" s="305"/>
      <c r="CF301" s="305"/>
      <c r="CG301" s="305"/>
      <c r="CH301" s="305"/>
      <c r="CI301" s="305"/>
      <c r="CJ301" s="305"/>
      <c r="CK301" s="305"/>
      <c r="CL301" s="305"/>
      <c r="CM301" s="305"/>
      <c r="CN301" s="305"/>
      <c r="CO301" s="305"/>
      <c r="CP301" s="305"/>
      <c r="CQ301" s="305"/>
      <c r="CR301" s="305"/>
      <c r="CS301" s="305"/>
      <c r="CT301" s="305"/>
      <c r="CU301" s="305"/>
      <c r="CV301" s="305"/>
      <c r="CW301" s="305"/>
      <c r="CX301" s="305"/>
      <c r="CY301" s="305"/>
      <c r="CZ301" s="305"/>
      <c r="DA301" s="305"/>
      <c r="DB301" s="305"/>
      <c r="DC301" s="305"/>
      <c r="DD301" s="305"/>
      <c r="DE301" s="305"/>
      <c r="DF301" s="305"/>
      <c r="DG301" s="305"/>
      <c r="DH301" s="305"/>
      <c r="DI301" s="305"/>
      <c r="DJ301" s="305"/>
      <c r="DK301" s="305"/>
      <c r="DL301" s="305"/>
      <c r="DM301" s="305"/>
      <c r="DN301" s="305"/>
      <c r="DO301" s="305"/>
      <c r="DP301" s="305"/>
      <c r="DQ301" s="305"/>
      <c r="DR301" s="305"/>
      <c r="DS301" s="305"/>
      <c r="DT301" s="305"/>
      <c r="DU301" s="305"/>
      <c r="DV301" s="305"/>
      <c r="DW301" s="558"/>
      <c r="DX301" s="558"/>
      <c r="DY301" s="558"/>
      <c r="DZ301" s="558"/>
      <c r="EA301" s="558"/>
      <c r="EB301" s="558"/>
      <c r="EC301" s="558"/>
      <c r="ED301" s="558"/>
      <c r="EE301" s="558"/>
      <c r="EF301" s="558"/>
      <c r="EG301" s="558"/>
      <c r="EH301" s="558"/>
      <c r="EI301" s="558"/>
      <c r="EJ301" s="558"/>
      <c r="EK301" s="558"/>
      <c r="EL301" s="558"/>
      <c r="EM301" s="558"/>
      <c r="EN301" s="558"/>
      <c r="EO301" s="558"/>
      <c r="EP301" s="558"/>
      <c r="ER301" s="305"/>
    </row>
    <row r="302" spans="1:152" x14ac:dyDescent="0.2">
      <c r="A302" s="556"/>
      <c r="B302" s="556"/>
      <c r="C302" s="556"/>
      <c r="E302" s="556"/>
      <c r="F302" s="556"/>
      <c r="G302" s="556"/>
      <c r="H302" s="556"/>
      <c r="J302" s="556"/>
      <c r="K302" s="556"/>
      <c r="L302" s="556"/>
      <c r="M302" s="556"/>
      <c r="N302" s="556"/>
      <c r="O302" s="669"/>
      <c r="P302" s="670"/>
      <c r="Q302" s="670"/>
      <c r="R302" s="556"/>
      <c r="S302" s="674"/>
      <c r="T302" s="556"/>
      <c r="U302" s="556"/>
      <c r="V302" s="556"/>
      <c r="W302" s="556"/>
      <c r="X302" s="556"/>
      <c r="Y302" s="556"/>
      <c r="Z302" s="556"/>
      <c r="AA302" s="674"/>
      <c r="AB302" s="556"/>
      <c r="AC302" s="556"/>
      <c r="AD302" s="556"/>
      <c r="AE302" s="556"/>
      <c r="AF302" s="305"/>
      <c r="AG302" s="305"/>
      <c r="AH302" s="305"/>
      <c r="AI302" s="305"/>
      <c r="AJ302" s="305"/>
      <c r="AK302" s="305"/>
      <c r="AL302" s="305"/>
      <c r="AM302" s="305"/>
      <c r="AN302" s="305"/>
      <c r="AO302" s="305"/>
      <c r="AP302" s="305"/>
      <c r="AQ302" s="305"/>
      <c r="AR302" s="305"/>
      <c r="AS302" s="305"/>
      <c r="AT302" s="305"/>
      <c r="AU302" s="305"/>
      <c r="AV302" s="305"/>
      <c r="AW302" s="305"/>
      <c r="AX302" s="305"/>
      <c r="AY302" s="305"/>
      <c r="AZ302" s="305"/>
      <c r="BA302" s="305"/>
      <c r="BB302" s="305"/>
      <c r="BC302" s="305"/>
      <c r="BD302" s="305"/>
      <c r="BE302" s="305"/>
      <c r="BF302" s="305"/>
      <c r="BG302" s="305"/>
      <c r="BH302" s="305"/>
      <c r="BI302" s="305"/>
      <c r="BJ302" s="305"/>
      <c r="BK302" s="305"/>
      <c r="BL302" s="305"/>
      <c r="BM302" s="305"/>
      <c r="BN302" s="305"/>
      <c r="BO302" s="305"/>
      <c r="BP302" s="305"/>
      <c r="BQ302" s="305"/>
      <c r="BR302" s="305"/>
      <c r="BS302" s="305"/>
      <c r="BT302" s="305"/>
      <c r="BU302" s="305"/>
      <c r="BV302" s="305"/>
      <c r="BW302" s="305"/>
      <c r="BX302" s="305"/>
      <c r="BY302" s="305"/>
      <c r="BZ302" s="305"/>
      <c r="CA302" s="305"/>
      <c r="CB302" s="305"/>
      <c r="CC302" s="305"/>
      <c r="CD302" s="305"/>
      <c r="CE302" s="305"/>
      <c r="CF302" s="305"/>
      <c r="CG302" s="305"/>
      <c r="CH302" s="305"/>
      <c r="CI302" s="305"/>
      <c r="CJ302" s="305"/>
      <c r="CK302" s="305"/>
      <c r="CL302" s="305"/>
      <c r="CM302" s="305"/>
      <c r="CN302" s="305"/>
      <c r="CO302" s="305"/>
      <c r="CP302" s="305"/>
      <c r="CQ302" s="305"/>
      <c r="CR302" s="305"/>
      <c r="CS302" s="305"/>
      <c r="CT302" s="305"/>
      <c r="CU302" s="305"/>
      <c r="CV302" s="305"/>
      <c r="CW302" s="305"/>
      <c r="CX302" s="305"/>
      <c r="CY302" s="305"/>
      <c r="CZ302" s="305"/>
      <c r="DA302" s="305"/>
      <c r="DB302" s="305"/>
      <c r="DC302" s="305"/>
      <c r="DD302" s="305"/>
      <c r="DE302" s="305"/>
      <c r="DF302" s="305"/>
      <c r="DG302" s="305"/>
      <c r="DH302" s="305"/>
      <c r="DI302" s="305"/>
      <c r="DJ302" s="305"/>
      <c r="DK302" s="305"/>
      <c r="DL302" s="305"/>
      <c r="DM302" s="305"/>
      <c r="DN302" s="305"/>
      <c r="DO302" s="305"/>
      <c r="DP302" s="305"/>
      <c r="DQ302" s="305"/>
      <c r="DR302" s="305"/>
      <c r="DS302" s="305"/>
      <c r="DT302" s="305"/>
      <c r="DU302" s="305"/>
      <c r="DV302" s="305"/>
      <c r="DW302" s="558"/>
      <c r="DX302" s="558"/>
      <c r="DY302" s="558"/>
      <c r="DZ302" s="558"/>
      <c r="EA302" s="558"/>
      <c r="EB302" s="558"/>
      <c r="EC302" s="558"/>
      <c r="ED302" s="558"/>
      <c r="EE302" s="558"/>
      <c r="EF302" s="558"/>
      <c r="EG302" s="558"/>
      <c r="EH302" s="558"/>
      <c r="EI302" s="558"/>
      <c r="EJ302" s="558"/>
      <c r="EK302" s="558"/>
      <c r="EL302" s="558"/>
      <c r="EM302" s="558"/>
      <c r="EN302" s="558"/>
      <c r="EO302" s="558"/>
      <c r="EP302" s="558"/>
      <c r="ER302" s="305"/>
    </row>
    <row r="303" spans="1:152" x14ac:dyDescent="0.2">
      <c r="A303" s="556"/>
      <c r="B303" s="556"/>
      <c r="C303" s="556"/>
      <c r="E303" s="556"/>
      <c r="F303" s="556"/>
      <c r="G303" s="556"/>
      <c r="H303" s="556"/>
      <c r="J303" s="556"/>
      <c r="K303" s="556"/>
      <c r="L303" s="556"/>
      <c r="M303" s="556"/>
      <c r="N303" s="556"/>
      <c r="O303" s="669"/>
      <c r="P303" s="670"/>
      <c r="Q303" s="670"/>
      <c r="R303" s="556"/>
      <c r="S303" s="674"/>
      <c r="T303" s="556"/>
      <c r="U303" s="556"/>
      <c r="V303" s="556"/>
      <c r="W303" s="556"/>
      <c r="X303" s="556"/>
      <c r="Y303" s="556"/>
      <c r="Z303" s="556"/>
      <c r="AA303" s="674"/>
      <c r="AB303" s="556"/>
      <c r="AC303" s="556"/>
      <c r="AD303" s="556"/>
      <c r="AE303" s="556"/>
      <c r="AF303" s="305"/>
      <c r="AG303" s="305"/>
      <c r="AH303" s="305"/>
      <c r="AI303" s="305"/>
      <c r="AJ303" s="305"/>
      <c r="AK303" s="305"/>
      <c r="AL303" s="305"/>
      <c r="AM303" s="305"/>
      <c r="AN303" s="305"/>
      <c r="AO303" s="305"/>
      <c r="AP303" s="305"/>
      <c r="AQ303" s="305"/>
      <c r="AR303" s="305"/>
      <c r="AS303" s="305"/>
      <c r="AT303" s="305"/>
      <c r="AU303" s="305"/>
      <c r="AV303" s="305"/>
      <c r="AW303" s="305"/>
      <c r="AX303" s="305"/>
      <c r="AY303" s="305"/>
      <c r="AZ303" s="305"/>
      <c r="BA303" s="305"/>
      <c r="BB303" s="305"/>
      <c r="BC303" s="305"/>
      <c r="BD303" s="305"/>
      <c r="BE303" s="305"/>
      <c r="BF303" s="305"/>
      <c r="BG303" s="305"/>
      <c r="BH303" s="305"/>
      <c r="BI303" s="305"/>
      <c r="BJ303" s="305"/>
      <c r="BK303" s="305"/>
      <c r="BL303" s="305"/>
      <c r="BM303" s="305"/>
      <c r="BN303" s="305"/>
      <c r="BO303" s="305"/>
      <c r="BP303" s="305"/>
      <c r="BQ303" s="305"/>
      <c r="BR303" s="305"/>
      <c r="BS303" s="305"/>
      <c r="BT303" s="305"/>
      <c r="BU303" s="305"/>
      <c r="BV303" s="305"/>
      <c r="BW303" s="305"/>
      <c r="BX303" s="305"/>
      <c r="BY303" s="305"/>
      <c r="BZ303" s="305"/>
      <c r="CA303" s="305"/>
      <c r="CB303" s="305"/>
      <c r="CC303" s="305"/>
      <c r="CD303" s="305"/>
      <c r="CE303" s="305"/>
      <c r="CF303" s="305"/>
      <c r="CG303" s="305"/>
      <c r="CH303" s="305"/>
      <c r="CI303" s="305"/>
      <c r="CJ303" s="305"/>
      <c r="CK303" s="305"/>
      <c r="CL303" s="305"/>
      <c r="CM303" s="305"/>
      <c r="CN303" s="305"/>
      <c r="CO303" s="305"/>
      <c r="CP303" s="305"/>
      <c r="CQ303" s="305"/>
      <c r="CR303" s="305"/>
      <c r="CS303" s="305"/>
      <c r="CT303" s="305"/>
      <c r="CU303" s="305"/>
      <c r="CV303" s="305"/>
      <c r="CW303" s="305"/>
      <c r="CX303" s="305"/>
      <c r="CY303" s="305"/>
      <c r="CZ303" s="305"/>
      <c r="DA303" s="305"/>
      <c r="DB303" s="305"/>
      <c r="DC303" s="305"/>
      <c r="DD303" s="305"/>
      <c r="DE303" s="305"/>
      <c r="DF303" s="305"/>
      <c r="DG303" s="305"/>
      <c r="DH303" s="305"/>
      <c r="DI303" s="305"/>
      <c r="DJ303" s="305"/>
      <c r="DK303" s="305"/>
      <c r="DL303" s="305"/>
      <c r="DM303" s="305"/>
      <c r="DN303" s="305"/>
      <c r="DO303" s="305"/>
      <c r="DP303" s="305"/>
      <c r="DQ303" s="305"/>
      <c r="DR303" s="305"/>
      <c r="DS303" s="305"/>
      <c r="DT303" s="305"/>
      <c r="DU303" s="305"/>
      <c r="DV303" s="305"/>
      <c r="DW303" s="558"/>
      <c r="DX303" s="558"/>
      <c r="DY303" s="558"/>
      <c r="DZ303" s="558"/>
      <c r="EA303" s="558"/>
      <c r="EB303" s="558"/>
      <c r="EC303" s="558"/>
      <c r="ED303" s="558"/>
      <c r="EE303" s="558"/>
      <c r="EF303" s="558"/>
      <c r="EG303" s="558"/>
      <c r="EH303" s="558"/>
      <c r="EI303" s="558"/>
      <c r="EJ303" s="558"/>
      <c r="EK303" s="558"/>
      <c r="EL303" s="558"/>
      <c r="EM303" s="558"/>
      <c r="EN303" s="558"/>
      <c r="EO303" s="558"/>
      <c r="EP303" s="558"/>
      <c r="ER303" s="305"/>
    </row>
    <row r="304" spans="1:152" x14ac:dyDescent="0.2">
      <c r="A304" s="556"/>
      <c r="B304" s="556"/>
      <c r="C304" s="556"/>
      <c r="E304" s="556"/>
      <c r="F304" s="556"/>
      <c r="G304" s="556"/>
      <c r="H304" s="556"/>
      <c r="J304" s="556"/>
      <c r="K304" s="556"/>
      <c r="L304" s="556"/>
      <c r="M304" s="556"/>
      <c r="N304" s="556"/>
      <c r="O304" s="669"/>
      <c r="P304" s="670"/>
      <c r="Q304" s="670"/>
      <c r="R304" s="556"/>
      <c r="S304" s="674"/>
      <c r="T304" s="556"/>
      <c r="U304" s="556"/>
      <c r="V304" s="556"/>
      <c r="W304" s="556"/>
      <c r="X304" s="556"/>
      <c r="Y304" s="556"/>
      <c r="Z304" s="556"/>
      <c r="AA304" s="674"/>
      <c r="AB304" s="556"/>
      <c r="AC304" s="556"/>
      <c r="AD304" s="556"/>
      <c r="AE304" s="556"/>
      <c r="AF304" s="305"/>
      <c r="AG304" s="305"/>
      <c r="AH304" s="305"/>
      <c r="AI304" s="305"/>
      <c r="AJ304" s="305"/>
      <c r="AK304" s="305"/>
      <c r="AL304" s="305"/>
      <c r="AM304" s="305"/>
      <c r="AN304" s="305"/>
      <c r="AO304" s="305"/>
      <c r="AP304" s="305"/>
      <c r="AQ304" s="305"/>
      <c r="AR304" s="305"/>
      <c r="AS304" s="305"/>
      <c r="AT304" s="305"/>
      <c r="AU304" s="305"/>
      <c r="AV304" s="305"/>
      <c r="AW304" s="305"/>
      <c r="AX304" s="305"/>
      <c r="AY304" s="305"/>
      <c r="AZ304" s="305"/>
      <c r="BA304" s="305"/>
      <c r="BB304" s="305"/>
      <c r="BC304" s="305"/>
      <c r="BD304" s="305"/>
      <c r="BE304" s="305"/>
      <c r="BF304" s="305"/>
      <c r="BG304" s="305"/>
      <c r="BH304" s="305"/>
      <c r="BI304" s="305"/>
      <c r="BJ304" s="305"/>
      <c r="BK304" s="305"/>
      <c r="BL304" s="305"/>
      <c r="BM304" s="305"/>
      <c r="BN304" s="305"/>
      <c r="BO304" s="305"/>
      <c r="BP304" s="305"/>
      <c r="BQ304" s="305"/>
      <c r="BR304" s="305"/>
      <c r="BS304" s="305"/>
      <c r="BT304" s="305"/>
      <c r="BU304" s="305"/>
      <c r="BV304" s="305"/>
      <c r="BW304" s="305"/>
      <c r="BX304" s="305"/>
      <c r="BY304" s="305"/>
      <c r="BZ304" s="305"/>
      <c r="CA304" s="305"/>
      <c r="CB304" s="305"/>
      <c r="CC304" s="305"/>
      <c r="CD304" s="305"/>
      <c r="CE304" s="305"/>
      <c r="CF304" s="305"/>
      <c r="CG304" s="305"/>
      <c r="CH304" s="305"/>
      <c r="CI304" s="305"/>
      <c r="CJ304" s="305"/>
      <c r="CK304" s="305"/>
      <c r="CL304" s="305"/>
      <c r="CM304" s="305"/>
      <c r="CN304" s="305"/>
      <c r="CO304" s="305"/>
      <c r="CP304" s="305"/>
      <c r="CQ304" s="305"/>
      <c r="CR304" s="305"/>
      <c r="CS304" s="305"/>
      <c r="CT304" s="305"/>
      <c r="CU304" s="305"/>
      <c r="CV304" s="305"/>
      <c r="CW304" s="305"/>
      <c r="CX304" s="305"/>
      <c r="CY304" s="305"/>
      <c r="CZ304" s="305"/>
      <c r="DA304" s="305"/>
      <c r="DB304" s="305"/>
      <c r="DC304" s="305"/>
      <c r="DD304" s="305"/>
      <c r="DE304" s="305"/>
      <c r="DF304" s="305"/>
      <c r="DG304" s="305"/>
      <c r="DH304" s="305"/>
      <c r="DI304" s="305"/>
      <c r="DJ304" s="305"/>
      <c r="DK304" s="305"/>
      <c r="DL304" s="305"/>
      <c r="DM304" s="305"/>
      <c r="DN304" s="305"/>
      <c r="DO304" s="305"/>
      <c r="DP304" s="305"/>
      <c r="DQ304" s="305"/>
      <c r="DR304" s="305"/>
      <c r="DS304" s="305"/>
      <c r="DT304" s="305"/>
      <c r="DU304" s="305"/>
      <c r="DV304" s="305"/>
      <c r="DW304" s="558"/>
      <c r="DX304" s="558"/>
      <c r="DY304" s="558"/>
      <c r="DZ304" s="558"/>
      <c r="EA304" s="558"/>
      <c r="EB304" s="558"/>
      <c r="EC304" s="558"/>
      <c r="ED304" s="558"/>
      <c r="EE304" s="558"/>
      <c r="EF304" s="558"/>
      <c r="EG304" s="558"/>
      <c r="EH304" s="558"/>
      <c r="EI304" s="558"/>
      <c r="EJ304" s="558"/>
      <c r="EK304" s="558"/>
      <c r="EL304" s="558"/>
      <c r="EM304" s="558"/>
      <c r="EN304" s="558"/>
      <c r="EO304" s="558"/>
      <c r="EP304" s="558"/>
      <c r="ER304" s="305"/>
    </row>
    <row r="305" spans="1:148" x14ac:dyDescent="0.2">
      <c r="A305" s="556"/>
      <c r="B305" s="556"/>
      <c r="C305" s="556"/>
      <c r="E305" s="556"/>
      <c r="F305" s="556"/>
      <c r="G305" s="556"/>
      <c r="H305" s="556"/>
      <c r="J305" s="556"/>
      <c r="K305" s="556"/>
      <c r="L305" s="556"/>
      <c r="M305" s="556"/>
      <c r="N305" s="556"/>
      <c r="O305" s="669"/>
      <c r="P305" s="670"/>
      <c r="Q305" s="670"/>
      <c r="R305" s="556"/>
      <c r="S305" s="674"/>
      <c r="T305" s="556"/>
      <c r="U305" s="556"/>
      <c r="V305" s="556"/>
      <c r="W305" s="556"/>
      <c r="X305" s="556"/>
      <c r="Y305" s="556"/>
      <c r="Z305" s="556"/>
      <c r="AA305" s="674"/>
      <c r="AB305" s="556"/>
      <c r="AC305" s="556"/>
      <c r="AD305" s="556"/>
      <c r="AE305" s="556"/>
      <c r="AF305" s="305"/>
      <c r="AG305" s="305"/>
      <c r="AH305" s="305"/>
      <c r="AI305" s="305"/>
      <c r="AJ305" s="305"/>
      <c r="AK305" s="305"/>
      <c r="AL305" s="305"/>
      <c r="AM305" s="305"/>
      <c r="AN305" s="305"/>
      <c r="AO305" s="305"/>
      <c r="AP305" s="305"/>
      <c r="AQ305" s="305"/>
      <c r="AR305" s="305"/>
      <c r="AS305" s="305"/>
      <c r="AT305" s="305"/>
      <c r="AU305" s="305"/>
      <c r="AV305" s="305"/>
      <c r="AW305" s="305"/>
      <c r="AX305" s="305"/>
      <c r="AY305" s="305"/>
      <c r="AZ305" s="305"/>
      <c r="BA305" s="305"/>
      <c r="BB305" s="305"/>
      <c r="BC305" s="305"/>
      <c r="BD305" s="305"/>
      <c r="BE305" s="305"/>
      <c r="BF305" s="305"/>
      <c r="BG305" s="305"/>
      <c r="BH305" s="305"/>
      <c r="BI305" s="305"/>
      <c r="BJ305" s="305"/>
      <c r="BK305" s="305"/>
      <c r="BL305" s="305"/>
      <c r="BM305" s="305"/>
      <c r="BN305" s="305"/>
      <c r="BO305" s="305"/>
      <c r="BP305" s="305"/>
      <c r="BQ305" s="305"/>
      <c r="BR305" s="305"/>
      <c r="BS305" s="305"/>
      <c r="BT305" s="305"/>
      <c r="BU305" s="305"/>
      <c r="BV305" s="305"/>
      <c r="BW305" s="305"/>
      <c r="BX305" s="305"/>
      <c r="BY305" s="305"/>
      <c r="BZ305" s="305"/>
      <c r="CA305" s="305"/>
      <c r="CB305" s="305"/>
      <c r="CC305" s="305"/>
      <c r="CD305" s="305"/>
      <c r="CE305" s="305"/>
      <c r="CF305" s="305"/>
      <c r="CG305" s="305"/>
      <c r="CH305" s="305"/>
      <c r="CI305" s="305"/>
      <c r="CJ305" s="305"/>
      <c r="CK305" s="305"/>
      <c r="CL305" s="305"/>
      <c r="CM305" s="305"/>
      <c r="CN305" s="305"/>
      <c r="CO305" s="305"/>
      <c r="CP305" s="305"/>
      <c r="CQ305" s="305"/>
      <c r="CR305" s="305"/>
      <c r="CS305" s="305"/>
      <c r="CT305" s="305"/>
      <c r="CU305" s="305"/>
      <c r="CV305" s="305"/>
      <c r="CW305" s="305"/>
      <c r="CX305" s="305"/>
      <c r="CY305" s="305"/>
      <c r="CZ305" s="305"/>
      <c r="DA305" s="305"/>
      <c r="DB305" s="305"/>
      <c r="DC305" s="305"/>
      <c r="DD305" s="305"/>
      <c r="DE305" s="305"/>
      <c r="DF305" s="305"/>
      <c r="DG305" s="305"/>
      <c r="DH305" s="305"/>
      <c r="DI305" s="305"/>
      <c r="DJ305" s="305"/>
      <c r="DK305" s="305"/>
      <c r="DL305" s="305"/>
      <c r="DM305" s="305"/>
      <c r="DN305" s="305"/>
      <c r="DO305" s="305"/>
      <c r="DP305" s="305"/>
      <c r="DQ305" s="305"/>
      <c r="DR305" s="305"/>
      <c r="DS305" s="305"/>
      <c r="DT305" s="305"/>
      <c r="DU305" s="305"/>
      <c r="DV305" s="305"/>
      <c r="DW305" s="558"/>
      <c r="DX305" s="558"/>
      <c r="DY305" s="558"/>
      <c r="DZ305" s="558"/>
      <c r="EA305" s="558"/>
      <c r="EB305" s="558"/>
      <c r="EC305" s="558"/>
      <c r="ED305" s="558"/>
      <c r="EE305" s="558"/>
      <c r="EF305" s="558"/>
      <c r="EG305" s="558"/>
      <c r="EH305" s="558"/>
      <c r="EI305" s="558"/>
      <c r="EJ305" s="558"/>
      <c r="EK305" s="558"/>
      <c r="EL305" s="558"/>
      <c r="EM305" s="558"/>
      <c r="EN305" s="558"/>
      <c r="EO305" s="558"/>
      <c r="EP305" s="558"/>
      <c r="ER305" s="305"/>
    </row>
    <row r="306" spans="1:148" x14ac:dyDescent="0.2">
      <c r="A306" s="556"/>
      <c r="B306" s="556"/>
      <c r="C306" s="556"/>
      <c r="E306" s="556"/>
      <c r="F306" s="556"/>
      <c r="G306" s="556"/>
      <c r="H306" s="556"/>
      <c r="J306" s="556"/>
      <c r="K306" s="556"/>
      <c r="L306" s="556"/>
      <c r="M306" s="556"/>
      <c r="N306" s="556"/>
      <c r="O306" s="669"/>
      <c r="P306" s="670"/>
      <c r="Q306" s="670"/>
      <c r="R306" s="556"/>
      <c r="S306" s="674"/>
      <c r="T306" s="556"/>
      <c r="U306" s="556"/>
      <c r="V306" s="556"/>
      <c r="W306" s="556"/>
      <c r="X306" s="556"/>
      <c r="Y306" s="556"/>
      <c r="Z306" s="556"/>
      <c r="AA306" s="674"/>
      <c r="AB306" s="556"/>
      <c r="AC306" s="556"/>
      <c r="AD306" s="556"/>
      <c r="AE306" s="556"/>
      <c r="AF306" s="305"/>
      <c r="AG306" s="305"/>
      <c r="AH306" s="305"/>
      <c r="AI306" s="305"/>
      <c r="AJ306" s="305"/>
      <c r="AK306" s="305"/>
      <c r="AL306" s="305"/>
      <c r="AM306" s="305"/>
      <c r="AN306" s="305"/>
      <c r="AO306" s="305"/>
      <c r="AP306" s="305"/>
      <c r="AQ306" s="305"/>
      <c r="AR306" s="305"/>
      <c r="AS306" s="305"/>
      <c r="AT306" s="305"/>
      <c r="AU306" s="305"/>
      <c r="AV306" s="305"/>
      <c r="AW306" s="305"/>
      <c r="AX306" s="305"/>
      <c r="AY306" s="305"/>
      <c r="AZ306" s="305"/>
      <c r="BA306" s="305"/>
      <c r="BB306" s="305"/>
      <c r="BC306" s="305"/>
      <c r="BD306" s="305"/>
      <c r="BE306" s="305"/>
      <c r="BF306" s="305"/>
      <c r="BG306" s="305"/>
      <c r="BH306" s="305"/>
      <c r="BI306" s="305"/>
      <c r="BJ306" s="305"/>
      <c r="BK306" s="305"/>
      <c r="BL306" s="305"/>
      <c r="BM306" s="305"/>
      <c r="BN306" s="305"/>
      <c r="BO306" s="305"/>
      <c r="BP306" s="305"/>
      <c r="BQ306" s="305"/>
      <c r="BR306" s="305"/>
      <c r="BS306" s="305"/>
      <c r="BT306" s="305"/>
      <c r="BU306" s="305"/>
      <c r="BV306" s="305"/>
      <c r="BW306" s="305"/>
      <c r="BX306" s="305"/>
      <c r="BY306" s="305"/>
      <c r="BZ306" s="305"/>
      <c r="CA306" s="305"/>
      <c r="CB306" s="305"/>
      <c r="CC306" s="305"/>
      <c r="CD306" s="305"/>
      <c r="CE306" s="305"/>
      <c r="CF306" s="305"/>
      <c r="CG306" s="305"/>
      <c r="CH306" s="305"/>
      <c r="CI306" s="305"/>
      <c r="CJ306" s="305"/>
      <c r="CK306" s="305"/>
      <c r="CL306" s="305"/>
      <c r="CM306" s="305"/>
      <c r="CN306" s="305"/>
      <c r="CO306" s="305"/>
      <c r="CP306" s="305"/>
      <c r="CQ306" s="305"/>
      <c r="CR306" s="305"/>
      <c r="CS306" s="305"/>
      <c r="CT306" s="305"/>
      <c r="CU306" s="305"/>
      <c r="CV306" s="305"/>
      <c r="CW306" s="305"/>
      <c r="CX306" s="305"/>
      <c r="CY306" s="305"/>
      <c r="CZ306" s="305"/>
      <c r="DA306" s="305"/>
      <c r="DB306" s="305"/>
      <c r="DC306" s="305"/>
      <c r="DD306" s="305"/>
      <c r="DE306" s="305"/>
      <c r="DF306" s="305"/>
      <c r="DG306" s="305"/>
      <c r="DH306" s="305"/>
      <c r="DI306" s="305"/>
      <c r="DJ306" s="305"/>
      <c r="DK306" s="305"/>
      <c r="DL306" s="305"/>
      <c r="DM306" s="305"/>
      <c r="DN306" s="305"/>
      <c r="DO306" s="305"/>
      <c r="DP306" s="305"/>
      <c r="DQ306" s="305"/>
      <c r="DR306" s="305"/>
      <c r="DS306" s="305"/>
      <c r="DT306" s="305"/>
      <c r="DU306" s="305"/>
      <c r="DV306" s="305"/>
      <c r="DW306" s="558"/>
      <c r="DX306" s="558"/>
      <c r="DY306" s="558"/>
      <c r="DZ306" s="558"/>
      <c r="EA306" s="558"/>
      <c r="EB306" s="558"/>
      <c r="EC306" s="558"/>
      <c r="ED306" s="558"/>
      <c r="EE306" s="558"/>
      <c r="EF306" s="558"/>
      <c r="EG306" s="558"/>
      <c r="EH306" s="558"/>
      <c r="EI306" s="558"/>
      <c r="EJ306" s="558"/>
      <c r="EK306" s="558"/>
      <c r="EL306" s="558"/>
      <c r="EM306" s="558"/>
      <c r="EN306" s="558"/>
      <c r="EO306" s="558"/>
      <c r="EP306" s="558"/>
      <c r="ER306" s="305"/>
    </row>
    <row r="307" spans="1:148" x14ac:dyDescent="0.2">
      <c r="A307" s="556"/>
      <c r="B307" s="556"/>
      <c r="C307" s="556"/>
      <c r="E307" s="556"/>
      <c r="F307" s="556"/>
      <c r="G307" s="556"/>
      <c r="H307" s="556"/>
      <c r="J307" s="556"/>
      <c r="K307" s="556"/>
      <c r="L307" s="556"/>
      <c r="M307" s="556"/>
      <c r="N307" s="556"/>
      <c r="O307" s="669"/>
      <c r="P307" s="670"/>
      <c r="Q307" s="670"/>
      <c r="R307" s="556"/>
      <c r="S307" s="674"/>
      <c r="T307" s="556"/>
      <c r="U307" s="556"/>
      <c r="V307" s="556"/>
      <c r="W307" s="556"/>
      <c r="X307" s="556"/>
      <c r="Y307" s="556"/>
      <c r="Z307" s="556"/>
      <c r="AA307" s="674"/>
      <c r="AB307" s="556"/>
      <c r="AC307" s="556"/>
      <c r="AD307" s="556"/>
      <c r="AE307" s="556"/>
      <c r="AF307" s="305"/>
      <c r="AG307" s="305"/>
      <c r="AH307" s="305"/>
      <c r="AI307" s="305"/>
      <c r="AJ307" s="305"/>
      <c r="AK307" s="305"/>
      <c r="AL307" s="305"/>
      <c r="AM307" s="305"/>
      <c r="AN307" s="305"/>
      <c r="AO307" s="305"/>
      <c r="AP307" s="305"/>
      <c r="AQ307" s="305"/>
      <c r="AR307" s="305"/>
      <c r="AS307" s="305"/>
      <c r="AT307" s="305"/>
      <c r="AU307" s="305"/>
      <c r="AV307" s="305"/>
      <c r="AW307" s="305"/>
      <c r="AX307" s="305"/>
      <c r="AY307" s="305"/>
      <c r="AZ307" s="305"/>
      <c r="BA307" s="305"/>
      <c r="BB307" s="305"/>
      <c r="BC307" s="305"/>
      <c r="BD307" s="305"/>
      <c r="BE307" s="305"/>
      <c r="BF307" s="305"/>
      <c r="BG307" s="305"/>
      <c r="BH307" s="305"/>
      <c r="BI307" s="305"/>
      <c r="BJ307" s="305"/>
      <c r="BK307" s="305"/>
      <c r="BL307" s="305"/>
      <c r="BM307" s="305"/>
      <c r="BN307" s="305"/>
      <c r="BO307" s="305"/>
      <c r="BP307" s="305"/>
      <c r="BQ307" s="305"/>
      <c r="BR307" s="305"/>
      <c r="BS307" s="305"/>
      <c r="BT307" s="305"/>
      <c r="BU307" s="305"/>
      <c r="BV307" s="305"/>
      <c r="BW307" s="305"/>
      <c r="BX307" s="305"/>
      <c r="BY307" s="305"/>
      <c r="BZ307" s="305"/>
      <c r="CA307" s="305"/>
      <c r="CB307" s="305"/>
      <c r="CC307" s="305"/>
      <c r="CD307" s="305"/>
      <c r="CE307" s="305"/>
      <c r="CF307" s="305"/>
      <c r="CG307" s="305"/>
      <c r="CH307" s="305"/>
      <c r="CI307" s="305"/>
      <c r="CJ307" s="305"/>
      <c r="CK307" s="305"/>
      <c r="CL307" s="305"/>
      <c r="CM307" s="305"/>
      <c r="CN307" s="305"/>
      <c r="CO307" s="305"/>
      <c r="CP307" s="305"/>
      <c r="CQ307" s="305"/>
      <c r="CR307" s="305"/>
      <c r="CS307" s="305"/>
      <c r="CT307" s="305"/>
      <c r="CU307" s="305"/>
      <c r="CV307" s="305"/>
      <c r="CW307" s="305"/>
      <c r="CX307" s="305"/>
      <c r="CY307" s="305"/>
      <c r="CZ307" s="305"/>
      <c r="DA307" s="305"/>
      <c r="DB307" s="305"/>
      <c r="DC307" s="305"/>
      <c r="DD307" s="305"/>
      <c r="DE307" s="305"/>
      <c r="DF307" s="305"/>
      <c r="DG307" s="305"/>
      <c r="DH307" s="305"/>
      <c r="DI307" s="305"/>
      <c r="DJ307" s="305"/>
      <c r="DK307" s="305"/>
      <c r="DL307" s="305"/>
      <c r="DM307" s="305"/>
      <c r="DN307" s="305"/>
      <c r="DO307" s="305"/>
      <c r="DP307" s="305"/>
      <c r="DQ307" s="305"/>
      <c r="DR307" s="305"/>
      <c r="DS307" s="305"/>
      <c r="DT307" s="305"/>
      <c r="DU307" s="305"/>
      <c r="DV307" s="305"/>
      <c r="DW307" s="558"/>
      <c r="DX307" s="558"/>
      <c r="DY307" s="558"/>
      <c r="DZ307" s="558"/>
      <c r="EA307" s="558"/>
      <c r="EB307" s="558"/>
      <c r="EC307" s="558"/>
      <c r="ED307" s="558"/>
      <c r="EE307" s="558"/>
      <c r="EF307" s="558"/>
      <c r="EG307" s="558"/>
      <c r="EH307" s="558"/>
      <c r="EI307" s="558"/>
      <c r="EJ307" s="558"/>
      <c r="EK307" s="558"/>
      <c r="EL307" s="558"/>
      <c r="EM307" s="558"/>
      <c r="EN307" s="558"/>
      <c r="EO307" s="558"/>
      <c r="EP307" s="558"/>
      <c r="ER307" s="305"/>
    </row>
    <row r="308" spans="1:148" x14ac:dyDescent="0.2">
      <c r="A308" s="556"/>
      <c r="B308" s="556"/>
      <c r="C308" s="556"/>
      <c r="E308" s="556"/>
      <c r="F308" s="556"/>
      <c r="G308" s="556"/>
      <c r="H308" s="556"/>
      <c r="J308" s="556"/>
      <c r="K308" s="556"/>
      <c r="L308" s="556"/>
      <c r="M308" s="556"/>
      <c r="N308" s="556"/>
      <c r="O308" s="669"/>
      <c r="P308" s="670"/>
      <c r="Q308" s="670"/>
      <c r="R308" s="556"/>
      <c r="S308" s="674"/>
      <c r="T308" s="556"/>
      <c r="U308" s="556"/>
      <c r="V308" s="556"/>
      <c r="W308" s="556"/>
      <c r="X308" s="556"/>
      <c r="Y308" s="556"/>
      <c r="Z308" s="556"/>
      <c r="AA308" s="674"/>
      <c r="AB308" s="556"/>
      <c r="AC308" s="556"/>
      <c r="AD308" s="556"/>
      <c r="AE308" s="556"/>
      <c r="AF308" s="305"/>
      <c r="AG308" s="305"/>
      <c r="AH308" s="305"/>
      <c r="AI308" s="305"/>
      <c r="AJ308" s="305"/>
      <c r="AK308" s="305"/>
      <c r="AL308" s="305"/>
      <c r="AM308" s="305"/>
      <c r="AN308" s="305"/>
      <c r="AO308" s="305"/>
      <c r="AP308" s="305"/>
      <c r="AQ308" s="305"/>
      <c r="AR308" s="305"/>
      <c r="AS308" s="305"/>
      <c r="AT308" s="305"/>
      <c r="AU308" s="305"/>
      <c r="AV308" s="305"/>
      <c r="AW308" s="305"/>
      <c r="AX308" s="305"/>
      <c r="AY308" s="305"/>
      <c r="AZ308" s="305"/>
      <c r="BA308" s="305"/>
      <c r="BB308" s="305"/>
      <c r="BC308" s="305"/>
      <c r="BD308" s="305"/>
      <c r="BE308" s="305"/>
      <c r="BF308" s="305"/>
      <c r="BG308" s="305"/>
      <c r="BH308" s="305"/>
      <c r="BI308" s="305"/>
      <c r="BJ308" s="305"/>
      <c r="BK308" s="305"/>
      <c r="BL308" s="305"/>
      <c r="BM308" s="305"/>
      <c r="BN308" s="305"/>
      <c r="BO308" s="305"/>
      <c r="BP308" s="305"/>
      <c r="BQ308" s="305"/>
      <c r="BR308" s="305"/>
      <c r="BS308" s="305"/>
      <c r="BT308" s="305"/>
      <c r="BU308" s="305"/>
      <c r="BV308" s="305"/>
      <c r="BW308" s="305"/>
      <c r="BX308" s="305"/>
      <c r="BY308" s="305"/>
      <c r="BZ308" s="305"/>
      <c r="CA308" s="305"/>
      <c r="CB308" s="305"/>
      <c r="CC308" s="305"/>
      <c r="CD308" s="305"/>
      <c r="CE308" s="305"/>
      <c r="CF308" s="305"/>
      <c r="CG308" s="305"/>
      <c r="CH308" s="305"/>
      <c r="CI308" s="305"/>
      <c r="CJ308" s="305"/>
      <c r="CK308" s="305"/>
      <c r="CL308" s="305"/>
      <c r="CM308" s="305"/>
      <c r="CN308" s="305"/>
      <c r="CO308" s="305"/>
      <c r="CP308" s="305"/>
      <c r="CQ308" s="305"/>
      <c r="CR308" s="305"/>
      <c r="CS308" s="305"/>
      <c r="CT308" s="305"/>
      <c r="CU308" s="305"/>
      <c r="CV308" s="305"/>
      <c r="CW308" s="305"/>
      <c r="CX308" s="305"/>
      <c r="CY308" s="305"/>
      <c r="CZ308" s="305"/>
      <c r="DA308" s="305"/>
      <c r="DB308" s="305"/>
      <c r="DC308" s="305"/>
      <c r="DD308" s="305"/>
      <c r="DE308" s="305"/>
      <c r="DF308" s="305"/>
      <c r="DG308" s="305"/>
      <c r="DH308" s="305"/>
      <c r="DI308" s="305"/>
      <c r="DJ308" s="305"/>
      <c r="DK308" s="305"/>
      <c r="DL308" s="305"/>
      <c r="DM308" s="305"/>
      <c r="DN308" s="305"/>
      <c r="DO308" s="305"/>
      <c r="DP308" s="305"/>
      <c r="DQ308" s="305"/>
      <c r="DR308" s="305"/>
      <c r="DS308" s="305"/>
      <c r="DT308" s="305"/>
      <c r="DU308" s="305"/>
      <c r="DV308" s="305"/>
      <c r="DW308" s="558"/>
      <c r="DX308" s="558"/>
      <c r="DY308" s="558"/>
      <c r="DZ308" s="558"/>
      <c r="EA308" s="558"/>
      <c r="EB308" s="558"/>
      <c r="EC308" s="558"/>
      <c r="ED308" s="558"/>
      <c r="EE308" s="558"/>
      <c r="EF308" s="558"/>
      <c r="EG308" s="558"/>
      <c r="EH308" s="558"/>
      <c r="EI308" s="558"/>
      <c r="EJ308" s="558"/>
      <c r="EK308" s="558"/>
      <c r="EL308" s="558"/>
      <c r="EM308" s="558"/>
      <c r="EN308" s="558"/>
      <c r="EO308" s="558"/>
      <c r="EP308" s="558"/>
      <c r="ER308" s="305"/>
    </row>
    <row r="309" spans="1:148" x14ac:dyDescent="0.2">
      <c r="A309" s="556"/>
      <c r="B309" s="556"/>
      <c r="C309" s="556"/>
      <c r="E309" s="556"/>
      <c r="F309" s="556"/>
      <c r="G309" s="556"/>
      <c r="H309" s="556"/>
      <c r="J309" s="556"/>
      <c r="K309" s="556"/>
      <c r="L309" s="556"/>
      <c r="M309" s="556"/>
      <c r="N309" s="556"/>
      <c r="O309" s="669"/>
      <c r="P309" s="670"/>
      <c r="Q309" s="670"/>
      <c r="R309" s="556"/>
      <c r="S309" s="674"/>
      <c r="T309" s="556"/>
      <c r="U309" s="556"/>
      <c r="V309" s="556"/>
      <c r="W309" s="556"/>
      <c r="X309" s="556"/>
      <c r="Y309" s="556"/>
      <c r="Z309" s="556"/>
      <c r="AA309" s="674"/>
      <c r="AB309" s="556"/>
      <c r="AC309" s="556"/>
      <c r="AD309" s="556"/>
      <c r="AE309" s="556"/>
      <c r="AF309" s="305"/>
      <c r="AG309" s="305"/>
      <c r="AH309" s="305"/>
      <c r="AI309" s="305"/>
      <c r="AJ309" s="305"/>
      <c r="AK309" s="305"/>
      <c r="AL309" s="305"/>
      <c r="AM309" s="305"/>
      <c r="AN309" s="305"/>
      <c r="AO309" s="305"/>
      <c r="AP309" s="305"/>
      <c r="AQ309" s="305"/>
      <c r="AR309" s="305"/>
      <c r="AS309" s="305"/>
      <c r="AT309" s="305"/>
      <c r="AU309" s="305"/>
      <c r="AV309" s="305"/>
      <c r="AW309" s="305"/>
      <c r="AX309" s="305"/>
      <c r="AY309" s="305"/>
      <c r="AZ309" s="305"/>
      <c r="BA309" s="305"/>
      <c r="BB309" s="305"/>
      <c r="BC309" s="305"/>
      <c r="BD309" s="305"/>
      <c r="BE309" s="305"/>
      <c r="BF309" s="305"/>
      <c r="BG309" s="305"/>
      <c r="BH309" s="305"/>
      <c r="BI309" s="305"/>
      <c r="BJ309" s="305"/>
      <c r="BK309" s="305"/>
      <c r="BL309" s="305"/>
      <c r="BM309" s="305"/>
      <c r="BN309" s="305"/>
      <c r="BO309" s="305"/>
      <c r="BP309" s="305"/>
      <c r="BQ309" s="305"/>
      <c r="BR309" s="305"/>
      <c r="BS309" s="305"/>
      <c r="BT309" s="305"/>
      <c r="BU309" s="305"/>
      <c r="BV309" s="305"/>
      <c r="BW309" s="305"/>
      <c r="BX309" s="305"/>
      <c r="BY309" s="305"/>
      <c r="BZ309" s="305"/>
      <c r="CA309" s="305"/>
      <c r="CB309" s="305"/>
      <c r="CC309" s="305"/>
      <c r="CD309" s="305"/>
      <c r="CE309" s="305"/>
      <c r="CF309" s="305"/>
      <c r="CG309" s="305"/>
      <c r="CH309" s="305"/>
      <c r="CI309" s="305"/>
      <c r="CJ309" s="305"/>
      <c r="CK309" s="305"/>
      <c r="CL309" s="305"/>
      <c r="CM309" s="305"/>
      <c r="CN309" s="305"/>
      <c r="CO309" s="305"/>
      <c r="CP309" s="305"/>
      <c r="CQ309" s="305"/>
      <c r="CR309" s="305"/>
      <c r="CS309" s="305"/>
      <c r="CT309" s="305"/>
      <c r="CU309" s="305"/>
      <c r="CV309" s="305"/>
      <c r="CW309" s="305"/>
      <c r="CX309" s="305"/>
      <c r="CY309" s="305"/>
      <c r="CZ309" s="305"/>
      <c r="DA309" s="305"/>
      <c r="DB309" s="305"/>
      <c r="DC309" s="305"/>
      <c r="DD309" s="305"/>
      <c r="DE309" s="305"/>
      <c r="DF309" s="305"/>
      <c r="DG309" s="305"/>
      <c r="DH309" s="305"/>
      <c r="DI309" s="305"/>
      <c r="DJ309" s="305"/>
      <c r="DK309" s="305"/>
      <c r="DL309" s="305"/>
      <c r="DM309" s="305"/>
      <c r="DN309" s="305"/>
      <c r="DO309" s="305"/>
      <c r="DP309" s="305"/>
      <c r="DQ309" s="305"/>
      <c r="DR309" s="305"/>
      <c r="DS309" s="305"/>
      <c r="DT309" s="305"/>
      <c r="DU309" s="305"/>
      <c r="DV309" s="305"/>
      <c r="DW309" s="558"/>
      <c r="DX309" s="558"/>
      <c r="DY309" s="558"/>
      <c r="DZ309" s="558"/>
      <c r="EA309" s="558"/>
      <c r="EB309" s="558"/>
      <c r="EC309" s="558"/>
      <c r="ED309" s="558"/>
      <c r="EE309" s="558"/>
      <c r="EF309" s="558"/>
      <c r="EG309" s="558"/>
      <c r="EH309" s="558"/>
      <c r="EI309" s="558"/>
      <c r="EJ309" s="558"/>
      <c r="EK309" s="558"/>
      <c r="EL309" s="558"/>
      <c r="EM309" s="558"/>
      <c r="EN309" s="558"/>
      <c r="EO309" s="558"/>
      <c r="EP309" s="558"/>
      <c r="ER309" s="305"/>
    </row>
    <row r="310" spans="1:148" x14ac:dyDescent="0.2">
      <c r="A310" s="556"/>
      <c r="B310" s="556"/>
      <c r="C310" s="556"/>
      <c r="E310" s="556"/>
      <c r="F310" s="556"/>
      <c r="G310" s="556"/>
      <c r="H310" s="556"/>
      <c r="J310" s="556"/>
      <c r="K310" s="556"/>
      <c r="L310" s="556"/>
      <c r="M310" s="556"/>
      <c r="N310" s="556"/>
      <c r="O310" s="669"/>
      <c r="P310" s="670"/>
      <c r="Q310" s="670"/>
      <c r="R310" s="556"/>
      <c r="S310" s="674"/>
      <c r="T310" s="556"/>
      <c r="U310" s="556"/>
      <c r="V310" s="556"/>
      <c r="W310" s="556"/>
      <c r="X310" s="556"/>
      <c r="Y310" s="556"/>
      <c r="Z310" s="556"/>
      <c r="AA310" s="674"/>
      <c r="AB310" s="556"/>
      <c r="AC310" s="556"/>
      <c r="AD310" s="556"/>
      <c r="AE310" s="556"/>
      <c r="AF310" s="305"/>
      <c r="AG310" s="305"/>
      <c r="AH310" s="305"/>
      <c r="AI310" s="305"/>
      <c r="AJ310" s="305"/>
      <c r="AK310" s="305"/>
      <c r="AL310" s="305"/>
      <c r="AM310" s="305"/>
      <c r="AN310" s="305"/>
      <c r="AO310" s="305"/>
      <c r="AP310" s="305"/>
      <c r="AQ310" s="305"/>
      <c r="AR310" s="305"/>
      <c r="AS310" s="305"/>
      <c r="AT310" s="305"/>
      <c r="AU310" s="305"/>
      <c r="AV310" s="305"/>
      <c r="AW310" s="305"/>
      <c r="AX310" s="305"/>
      <c r="AY310" s="305"/>
      <c r="AZ310" s="305"/>
      <c r="BA310" s="305"/>
      <c r="BB310" s="305"/>
      <c r="BC310" s="305"/>
      <c r="BD310" s="305"/>
      <c r="BE310" s="305"/>
      <c r="BF310" s="305"/>
      <c r="BG310" s="305"/>
      <c r="BH310" s="305"/>
      <c r="BI310" s="305"/>
      <c r="BJ310" s="305"/>
      <c r="BK310" s="305"/>
      <c r="BL310" s="305"/>
      <c r="BM310" s="305"/>
      <c r="BN310" s="305"/>
      <c r="BO310" s="305"/>
      <c r="BP310" s="305"/>
      <c r="BQ310" s="305"/>
      <c r="BR310" s="305"/>
      <c r="BS310" s="305"/>
      <c r="BT310" s="305"/>
      <c r="BU310" s="305"/>
      <c r="BV310" s="305"/>
      <c r="BW310" s="305"/>
      <c r="BX310" s="305"/>
      <c r="BY310" s="305"/>
      <c r="BZ310" s="305"/>
      <c r="CA310" s="305"/>
      <c r="CB310" s="305"/>
      <c r="CC310" s="305"/>
      <c r="CD310" s="305"/>
      <c r="CE310" s="305"/>
      <c r="CF310" s="305"/>
      <c r="CG310" s="305"/>
      <c r="CH310" s="305"/>
      <c r="CI310" s="305"/>
      <c r="CJ310" s="305"/>
      <c r="CK310" s="305"/>
      <c r="CL310" s="305"/>
      <c r="CM310" s="305"/>
      <c r="CN310" s="305"/>
      <c r="CO310" s="305"/>
      <c r="CP310" s="305"/>
      <c r="CQ310" s="305"/>
      <c r="CR310" s="305"/>
      <c r="CS310" s="305"/>
      <c r="CT310" s="305"/>
      <c r="CU310" s="305"/>
      <c r="CV310" s="305"/>
      <c r="CW310" s="305"/>
      <c r="CX310" s="305"/>
      <c r="CY310" s="305"/>
      <c r="CZ310" s="305"/>
      <c r="DA310" s="305"/>
      <c r="DB310" s="305"/>
      <c r="DC310" s="305"/>
      <c r="DD310" s="305"/>
      <c r="DE310" s="305"/>
      <c r="DF310" s="305"/>
      <c r="DG310" s="305"/>
      <c r="DH310" s="305"/>
      <c r="DI310" s="305"/>
      <c r="DJ310" s="305"/>
      <c r="DK310" s="305"/>
      <c r="DL310" s="305"/>
      <c r="DM310" s="305"/>
      <c r="DN310" s="305"/>
      <c r="DO310" s="305"/>
      <c r="DP310" s="305"/>
      <c r="DQ310" s="305"/>
      <c r="DR310" s="305"/>
      <c r="DS310" s="305"/>
      <c r="DT310" s="305"/>
      <c r="DU310" s="305"/>
      <c r="DV310" s="305"/>
      <c r="DW310" s="558"/>
      <c r="DX310" s="558"/>
      <c r="DY310" s="558"/>
      <c r="DZ310" s="558"/>
      <c r="EA310" s="558"/>
      <c r="EB310" s="558"/>
      <c r="EC310" s="558"/>
      <c r="ED310" s="558"/>
      <c r="EE310" s="558"/>
      <c r="EF310" s="558"/>
      <c r="EG310" s="558"/>
      <c r="EH310" s="558"/>
      <c r="EI310" s="558"/>
      <c r="EJ310" s="558"/>
      <c r="EK310" s="558"/>
      <c r="EL310" s="558"/>
      <c r="EM310" s="558"/>
      <c r="EN310" s="558"/>
      <c r="EO310" s="558"/>
      <c r="EP310" s="558"/>
      <c r="ER310" s="305"/>
    </row>
    <row r="311" spans="1:148" x14ac:dyDescent="0.2">
      <c r="A311" s="556"/>
      <c r="B311" s="556"/>
      <c r="C311" s="556"/>
      <c r="E311" s="556"/>
      <c r="F311" s="556"/>
      <c r="G311" s="556"/>
      <c r="H311" s="556"/>
      <c r="J311" s="556"/>
      <c r="K311" s="556"/>
      <c r="L311" s="556"/>
      <c r="M311" s="556"/>
      <c r="N311" s="556"/>
      <c r="O311" s="669"/>
      <c r="P311" s="670"/>
      <c r="Q311" s="670"/>
      <c r="R311" s="556"/>
      <c r="S311" s="674"/>
      <c r="T311" s="556"/>
      <c r="U311" s="556"/>
      <c r="V311" s="556"/>
      <c r="W311" s="556"/>
      <c r="X311" s="556"/>
      <c r="Y311" s="556"/>
      <c r="Z311" s="556"/>
      <c r="AA311" s="674"/>
      <c r="AB311" s="556"/>
      <c r="AC311" s="556"/>
      <c r="AD311" s="556"/>
      <c r="AE311" s="556"/>
      <c r="AF311" s="305"/>
      <c r="AG311" s="305"/>
      <c r="AH311" s="305"/>
      <c r="AI311" s="305"/>
      <c r="AJ311" s="305"/>
      <c r="AK311" s="305"/>
      <c r="AL311" s="305"/>
      <c r="AM311" s="305"/>
      <c r="AN311" s="305"/>
      <c r="AO311" s="305"/>
      <c r="AP311" s="305"/>
      <c r="AQ311" s="305"/>
      <c r="AR311" s="305"/>
      <c r="AS311" s="305"/>
      <c r="AT311" s="305"/>
      <c r="AU311" s="305"/>
      <c r="AV311" s="305"/>
      <c r="AW311" s="305"/>
      <c r="AX311" s="305"/>
      <c r="AY311" s="305"/>
      <c r="AZ311" s="305"/>
      <c r="BA311" s="305"/>
      <c r="BB311" s="305"/>
      <c r="BC311" s="305"/>
      <c r="BD311" s="305"/>
      <c r="BE311" s="305"/>
      <c r="BF311" s="305"/>
      <c r="BG311" s="305"/>
      <c r="BH311" s="305"/>
      <c r="BI311" s="305"/>
      <c r="BJ311" s="305"/>
      <c r="BK311" s="305"/>
      <c r="BL311" s="305"/>
      <c r="BM311" s="305"/>
      <c r="BN311" s="305"/>
      <c r="BO311" s="305"/>
      <c r="BP311" s="305"/>
      <c r="BQ311" s="305"/>
      <c r="BR311" s="305"/>
      <c r="BS311" s="305"/>
      <c r="BT311" s="305"/>
      <c r="BU311" s="305"/>
      <c r="BV311" s="305"/>
      <c r="BW311" s="305"/>
      <c r="BX311" s="305"/>
      <c r="BY311" s="305"/>
      <c r="BZ311" s="305"/>
      <c r="CA311" s="305"/>
      <c r="CB311" s="305"/>
      <c r="CC311" s="305"/>
      <c r="CD311" s="305"/>
      <c r="CE311" s="305"/>
      <c r="CF311" s="305"/>
      <c r="CG311" s="305"/>
      <c r="CH311" s="305"/>
      <c r="CI311" s="305"/>
      <c r="CJ311" s="305"/>
      <c r="CK311" s="305"/>
      <c r="CL311" s="305"/>
      <c r="CM311" s="305"/>
      <c r="CN311" s="305"/>
      <c r="CO311" s="305"/>
      <c r="CP311" s="305"/>
      <c r="CQ311" s="305"/>
      <c r="CR311" s="305"/>
      <c r="CS311" s="305"/>
      <c r="CT311" s="305"/>
      <c r="CU311" s="305"/>
      <c r="CV311" s="305"/>
      <c r="CW311" s="305"/>
      <c r="CX311" s="305"/>
      <c r="CY311" s="305"/>
      <c r="CZ311" s="305"/>
      <c r="DA311" s="305"/>
      <c r="DB311" s="305"/>
      <c r="DC311" s="305"/>
      <c r="DD311" s="305"/>
      <c r="DE311" s="305"/>
      <c r="DF311" s="305"/>
      <c r="DG311" s="305"/>
      <c r="DH311" s="305"/>
      <c r="DI311" s="305"/>
      <c r="DJ311" s="305"/>
      <c r="DK311" s="305"/>
      <c r="DL311" s="305"/>
      <c r="DM311" s="305"/>
      <c r="DN311" s="305"/>
      <c r="DO311" s="305"/>
      <c r="DP311" s="305"/>
      <c r="DQ311" s="305"/>
      <c r="DR311" s="305"/>
      <c r="DS311" s="305"/>
      <c r="DT311" s="305"/>
      <c r="DU311" s="305"/>
      <c r="DV311" s="305"/>
      <c r="DW311" s="558"/>
      <c r="DX311" s="558"/>
      <c r="DY311" s="558"/>
      <c r="DZ311" s="558"/>
      <c r="EA311" s="558"/>
      <c r="EB311" s="558"/>
      <c r="EC311" s="558"/>
      <c r="ED311" s="558"/>
      <c r="EE311" s="558"/>
      <c r="EF311" s="558"/>
      <c r="EG311" s="558"/>
      <c r="EH311" s="558"/>
      <c r="EI311" s="558"/>
      <c r="EJ311" s="558"/>
      <c r="EK311" s="558"/>
      <c r="EL311" s="558"/>
      <c r="EM311" s="558"/>
      <c r="EN311" s="558"/>
      <c r="EO311" s="558"/>
      <c r="EP311" s="558"/>
      <c r="ER311" s="305"/>
    </row>
    <row r="312" spans="1:148" x14ac:dyDescent="0.2">
      <c r="A312" s="556"/>
      <c r="B312" s="556"/>
      <c r="C312" s="556"/>
      <c r="E312" s="556"/>
      <c r="F312" s="556"/>
      <c r="G312" s="556"/>
      <c r="H312" s="556"/>
      <c r="J312" s="556"/>
      <c r="K312" s="556"/>
      <c r="L312" s="556"/>
      <c r="M312" s="556"/>
      <c r="N312" s="556"/>
      <c r="O312" s="669"/>
      <c r="P312" s="670"/>
      <c r="Q312" s="670"/>
      <c r="R312" s="556"/>
      <c r="S312" s="674"/>
      <c r="T312" s="556"/>
      <c r="U312" s="556"/>
      <c r="V312" s="556"/>
      <c r="W312" s="556"/>
      <c r="X312" s="556"/>
      <c r="Y312" s="556"/>
      <c r="Z312" s="556"/>
      <c r="AA312" s="674"/>
      <c r="AB312" s="556"/>
      <c r="AC312" s="556"/>
      <c r="AD312" s="556"/>
      <c r="AE312" s="556"/>
      <c r="AF312" s="305"/>
      <c r="AG312" s="305"/>
      <c r="AH312" s="305"/>
      <c r="AI312" s="305"/>
      <c r="AJ312" s="305"/>
      <c r="AK312" s="305"/>
      <c r="AL312" s="305"/>
      <c r="AM312" s="305"/>
      <c r="AN312" s="305"/>
      <c r="AO312" s="305"/>
      <c r="AP312" s="305"/>
      <c r="AQ312" s="305"/>
      <c r="AR312" s="305"/>
      <c r="AS312" s="305"/>
      <c r="AT312" s="305"/>
      <c r="AU312" s="305"/>
      <c r="AV312" s="305"/>
      <c r="AW312" s="305"/>
      <c r="AX312" s="305"/>
      <c r="AY312" s="305"/>
      <c r="AZ312" s="305"/>
      <c r="BA312" s="305"/>
      <c r="BB312" s="305"/>
      <c r="BC312" s="305"/>
      <c r="BD312" s="305"/>
      <c r="BE312" s="305"/>
      <c r="BF312" s="305"/>
      <c r="BG312" s="305"/>
      <c r="BH312" s="305"/>
      <c r="BI312" s="305"/>
      <c r="BJ312" s="305"/>
      <c r="BK312" s="305"/>
      <c r="BL312" s="305"/>
      <c r="BM312" s="305"/>
      <c r="BN312" s="305"/>
      <c r="BO312" s="305"/>
      <c r="BP312" s="305"/>
      <c r="BQ312" s="305"/>
      <c r="BR312" s="305"/>
      <c r="BS312" s="305"/>
      <c r="BT312" s="305"/>
      <c r="BU312" s="305"/>
      <c r="BV312" s="305"/>
      <c r="BW312" s="305"/>
      <c r="BX312" s="305"/>
      <c r="BY312" s="305"/>
      <c r="BZ312" s="305"/>
      <c r="CA312" s="305"/>
      <c r="CB312" s="305"/>
      <c r="CC312" s="305"/>
      <c r="CD312" s="305"/>
      <c r="CE312" s="305"/>
      <c r="CF312" s="305"/>
      <c r="CG312" s="305"/>
      <c r="CH312" s="305"/>
      <c r="CI312" s="305"/>
      <c r="CJ312" s="305"/>
      <c r="CK312" s="305"/>
      <c r="CL312" s="305"/>
      <c r="CM312" s="305"/>
      <c r="CN312" s="305"/>
      <c r="CO312" s="305"/>
      <c r="CP312" s="305"/>
      <c r="CQ312" s="305"/>
      <c r="CR312" s="305"/>
      <c r="CS312" s="305"/>
      <c r="CT312" s="305"/>
      <c r="CU312" s="305"/>
      <c r="CV312" s="305"/>
      <c r="CW312" s="305"/>
      <c r="CX312" s="305"/>
      <c r="CY312" s="305"/>
      <c r="CZ312" s="305"/>
      <c r="DA312" s="305"/>
      <c r="DB312" s="305"/>
      <c r="DC312" s="305"/>
      <c r="DD312" s="305"/>
      <c r="DE312" s="305"/>
      <c r="DF312" s="305"/>
      <c r="DG312" s="305"/>
      <c r="DH312" s="305"/>
      <c r="DI312" s="305"/>
      <c r="DJ312" s="305"/>
      <c r="DK312" s="305"/>
      <c r="DL312" s="305"/>
      <c r="DM312" s="305"/>
      <c r="DN312" s="305"/>
      <c r="DO312" s="305"/>
      <c r="DP312" s="305"/>
      <c r="DQ312" s="305"/>
      <c r="DR312" s="305"/>
      <c r="DS312" s="305"/>
      <c r="DT312" s="305"/>
      <c r="DU312" s="305"/>
      <c r="DV312" s="305"/>
      <c r="DW312" s="558"/>
      <c r="DX312" s="558"/>
      <c r="DY312" s="558"/>
      <c r="DZ312" s="558"/>
      <c r="EA312" s="558"/>
      <c r="EB312" s="558"/>
      <c r="EC312" s="558"/>
      <c r="ED312" s="558"/>
      <c r="EE312" s="558"/>
      <c r="EF312" s="558"/>
      <c r="EG312" s="558"/>
      <c r="EH312" s="558"/>
      <c r="EI312" s="558"/>
      <c r="EJ312" s="558"/>
      <c r="EK312" s="558"/>
      <c r="EL312" s="558"/>
      <c r="EM312" s="558"/>
      <c r="EN312" s="558"/>
      <c r="EO312" s="558"/>
      <c r="EP312" s="558"/>
      <c r="ER312" s="305"/>
    </row>
    <row r="313" spans="1:148" x14ac:dyDescent="0.2">
      <c r="A313" s="556"/>
      <c r="B313" s="556"/>
      <c r="C313" s="556"/>
      <c r="E313" s="556"/>
      <c r="F313" s="556"/>
      <c r="G313" s="556"/>
      <c r="H313" s="556"/>
      <c r="J313" s="556"/>
      <c r="K313" s="556"/>
      <c r="L313" s="556"/>
      <c r="M313" s="556"/>
      <c r="N313" s="556"/>
      <c r="O313" s="669"/>
      <c r="P313" s="670"/>
      <c r="Q313" s="670"/>
      <c r="R313" s="556"/>
      <c r="S313" s="674"/>
      <c r="T313" s="556"/>
      <c r="U313" s="556"/>
      <c r="V313" s="556"/>
      <c r="W313" s="556"/>
      <c r="X313" s="556"/>
      <c r="Y313" s="556"/>
      <c r="Z313" s="556"/>
      <c r="AA313" s="674"/>
      <c r="AB313" s="556"/>
      <c r="AC313" s="556"/>
      <c r="AD313" s="556"/>
      <c r="AE313" s="556"/>
      <c r="AF313" s="305"/>
      <c r="AG313" s="305"/>
      <c r="AH313" s="305"/>
      <c r="AI313" s="305"/>
      <c r="AJ313" s="305"/>
      <c r="AK313" s="305"/>
      <c r="AL313" s="305"/>
      <c r="AM313" s="305"/>
      <c r="AN313" s="305"/>
      <c r="AO313" s="305"/>
      <c r="AP313" s="305"/>
      <c r="AQ313" s="305"/>
      <c r="AR313" s="305"/>
      <c r="AS313" s="305"/>
      <c r="AT313" s="305"/>
      <c r="AU313" s="305"/>
      <c r="AV313" s="305"/>
      <c r="AW313" s="305"/>
      <c r="AX313" s="305"/>
      <c r="AY313" s="305"/>
      <c r="AZ313" s="305"/>
      <c r="BA313" s="305"/>
      <c r="BB313" s="305"/>
      <c r="BC313" s="305"/>
      <c r="BD313" s="305"/>
      <c r="BE313" s="305"/>
      <c r="BF313" s="305"/>
      <c r="BG313" s="305"/>
      <c r="BH313" s="305"/>
      <c r="BI313" s="305"/>
      <c r="BJ313" s="305"/>
      <c r="BK313" s="305"/>
      <c r="BL313" s="305"/>
      <c r="BM313" s="305"/>
      <c r="BN313" s="305"/>
      <c r="BO313" s="305"/>
      <c r="BP313" s="305"/>
      <c r="BQ313" s="305"/>
      <c r="BR313" s="305"/>
      <c r="BS313" s="305"/>
      <c r="BT313" s="305"/>
      <c r="BU313" s="305"/>
      <c r="BV313" s="305"/>
      <c r="BW313" s="305"/>
      <c r="BX313" s="305"/>
      <c r="BY313" s="305"/>
      <c r="BZ313" s="305"/>
      <c r="CA313" s="305"/>
      <c r="CB313" s="305"/>
      <c r="CC313" s="305"/>
      <c r="CD313" s="305"/>
      <c r="CE313" s="305"/>
      <c r="CF313" s="305"/>
      <c r="CG313" s="305"/>
      <c r="CH313" s="305"/>
      <c r="CI313" s="305"/>
      <c r="CJ313" s="305"/>
      <c r="CK313" s="305"/>
      <c r="CL313" s="305"/>
      <c r="CM313" s="305"/>
      <c r="CN313" s="305"/>
      <c r="CO313" s="305"/>
      <c r="CP313" s="305"/>
      <c r="CQ313" s="305"/>
      <c r="CR313" s="305"/>
      <c r="CS313" s="305"/>
      <c r="CT313" s="305"/>
      <c r="CU313" s="305"/>
      <c r="CV313" s="305"/>
      <c r="CW313" s="305"/>
      <c r="CX313" s="305"/>
      <c r="CY313" s="305"/>
      <c r="CZ313" s="305"/>
      <c r="DA313" s="305"/>
      <c r="DB313" s="305"/>
      <c r="DC313" s="305"/>
      <c r="DD313" s="305"/>
      <c r="DE313" s="305"/>
      <c r="DF313" s="305"/>
      <c r="DG313" s="305"/>
      <c r="DH313" s="305"/>
      <c r="DI313" s="305"/>
      <c r="DJ313" s="305"/>
      <c r="DK313" s="305"/>
      <c r="DL313" s="305"/>
      <c r="DM313" s="305"/>
      <c r="DN313" s="305"/>
      <c r="DO313" s="305"/>
      <c r="DP313" s="305"/>
      <c r="DQ313" s="305"/>
      <c r="DR313" s="305"/>
      <c r="DS313" s="305"/>
      <c r="DT313" s="305"/>
      <c r="DU313" s="305"/>
      <c r="DV313" s="305"/>
      <c r="DW313" s="558"/>
      <c r="DX313" s="558"/>
      <c r="DY313" s="558"/>
      <c r="DZ313" s="558"/>
      <c r="EA313" s="558"/>
      <c r="EB313" s="558"/>
      <c r="EC313" s="558"/>
      <c r="ED313" s="558"/>
      <c r="EE313" s="558"/>
      <c r="EF313" s="558"/>
      <c r="EG313" s="558"/>
      <c r="EH313" s="558"/>
      <c r="EI313" s="558"/>
      <c r="EJ313" s="558"/>
      <c r="EK313" s="558"/>
      <c r="EL313" s="558"/>
      <c r="EM313" s="558"/>
      <c r="EN313" s="558"/>
      <c r="EO313" s="558"/>
      <c r="EP313" s="558"/>
      <c r="ER313" s="305"/>
    </row>
    <row r="314" spans="1:148" x14ac:dyDescent="0.2">
      <c r="A314" s="556"/>
      <c r="B314" s="556"/>
      <c r="C314" s="556"/>
      <c r="E314" s="556"/>
      <c r="F314" s="556"/>
      <c r="G314" s="556"/>
      <c r="H314" s="556"/>
      <c r="J314" s="556"/>
      <c r="K314" s="556"/>
      <c r="L314" s="556"/>
      <c r="M314" s="556"/>
      <c r="N314" s="556"/>
      <c r="O314" s="669"/>
      <c r="P314" s="670"/>
      <c r="Q314" s="670"/>
      <c r="R314" s="556"/>
      <c r="S314" s="674"/>
      <c r="T314" s="556"/>
      <c r="U314" s="556"/>
      <c r="V314" s="556"/>
      <c r="W314" s="556"/>
      <c r="X314" s="556"/>
      <c r="Y314" s="556"/>
      <c r="Z314" s="556"/>
      <c r="AA314" s="674"/>
      <c r="AB314" s="556"/>
      <c r="AC314" s="556"/>
      <c r="AD314" s="556"/>
      <c r="AE314" s="556"/>
      <c r="AF314" s="305"/>
      <c r="AG314" s="305"/>
      <c r="AH314" s="305"/>
      <c r="AI314" s="305"/>
      <c r="AJ314" s="305"/>
      <c r="AK314" s="305"/>
      <c r="AL314" s="305"/>
      <c r="AM314" s="305"/>
      <c r="AN314" s="305"/>
      <c r="AO314" s="305"/>
      <c r="AP314" s="305"/>
      <c r="AQ314" s="305"/>
      <c r="AR314" s="305"/>
      <c r="AS314" s="305"/>
      <c r="AT314" s="305"/>
      <c r="AU314" s="305"/>
      <c r="AV314" s="305"/>
      <c r="AW314" s="305"/>
      <c r="AX314" s="305"/>
      <c r="AY314" s="305"/>
      <c r="AZ314" s="305"/>
      <c r="BA314" s="305"/>
      <c r="BB314" s="305"/>
      <c r="BC314" s="305"/>
      <c r="BD314" s="305"/>
      <c r="BE314" s="305"/>
      <c r="BF314" s="305"/>
      <c r="BG314" s="305"/>
      <c r="BH314" s="305"/>
      <c r="BI314" s="305"/>
      <c r="BJ314" s="305"/>
      <c r="BK314" s="305"/>
      <c r="BL314" s="305"/>
      <c r="BM314" s="305"/>
      <c r="BN314" s="305"/>
      <c r="BO314" s="305"/>
      <c r="BP314" s="305"/>
      <c r="BQ314" s="305"/>
      <c r="BR314" s="305"/>
      <c r="BS314" s="305"/>
      <c r="BT314" s="305"/>
      <c r="BU314" s="305"/>
      <c r="BV314" s="305"/>
      <c r="BW314" s="305"/>
      <c r="BX314" s="305"/>
      <c r="BY314" s="305"/>
      <c r="BZ314" s="305"/>
      <c r="CA314" s="305"/>
      <c r="CB314" s="305"/>
      <c r="CC314" s="305"/>
      <c r="CD314" s="305"/>
      <c r="CE314" s="305"/>
      <c r="CF314" s="305"/>
      <c r="CG314" s="305"/>
      <c r="CH314" s="305"/>
      <c r="CI314" s="305"/>
      <c r="CJ314" s="305"/>
      <c r="CK314" s="305"/>
      <c r="CL314" s="305"/>
      <c r="CM314" s="305"/>
      <c r="CN314" s="305"/>
      <c r="CO314" s="305"/>
      <c r="CP314" s="305"/>
      <c r="CQ314" s="305"/>
      <c r="CR314" s="305"/>
      <c r="CS314" s="305"/>
      <c r="CT314" s="305"/>
      <c r="CU314" s="305"/>
      <c r="CV314" s="305"/>
      <c r="CW314" s="305"/>
      <c r="CX314" s="305"/>
      <c r="CY314" s="305"/>
      <c r="CZ314" s="305"/>
      <c r="DA314" s="305"/>
      <c r="DB314" s="305"/>
      <c r="DC314" s="305"/>
      <c r="DD314" s="305"/>
      <c r="DE314" s="305"/>
      <c r="DF314" s="305"/>
      <c r="DG314" s="305"/>
      <c r="DH314" s="305"/>
      <c r="DI314" s="305"/>
      <c r="DJ314" s="305"/>
      <c r="DK314" s="305"/>
      <c r="DL314" s="305"/>
      <c r="DM314" s="305"/>
      <c r="DN314" s="305"/>
      <c r="DO314" s="305"/>
      <c r="DP314" s="305"/>
      <c r="DQ314" s="305"/>
      <c r="DR314" s="305"/>
      <c r="DS314" s="305"/>
      <c r="DT314" s="305"/>
      <c r="DU314" s="305"/>
      <c r="DV314" s="305"/>
      <c r="DW314" s="558"/>
      <c r="DX314" s="558"/>
      <c r="DY314" s="558"/>
      <c r="DZ314" s="558"/>
      <c r="EA314" s="558"/>
      <c r="EB314" s="558"/>
      <c r="EC314" s="558"/>
      <c r="ED314" s="558"/>
      <c r="EE314" s="558"/>
      <c r="EF314" s="558"/>
      <c r="EG314" s="558"/>
      <c r="EH314" s="558"/>
      <c r="EI314" s="558"/>
      <c r="EJ314" s="558"/>
      <c r="EK314" s="558"/>
      <c r="EL314" s="558"/>
      <c r="EM314" s="558"/>
      <c r="EN314" s="558"/>
      <c r="EO314" s="558"/>
      <c r="EP314" s="558"/>
      <c r="ER314" s="305"/>
    </row>
    <row r="315" spans="1:148" x14ac:dyDescent="0.2">
      <c r="A315" s="556"/>
      <c r="B315" s="556"/>
      <c r="C315" s="556"/>
      <c r="E315" s="556"/>
      <c r="F315" s="556"/>
      <c r="G315" s="556"/>
      <c r="H315" s="556"/>
      <c r="J315" s="556"/>
      <c r="K315" s="556"/>
      <c r="L315" s="556"/>
      <c r="M315" s="556"/>
      <c r="N315" s="556"/>
      <c r="O315" s="669"/>
      <c r="P315" s="670"/>
      <c r="Q315" s="670"/>
      <c r="R315" s="556"/>
      <c r="S315" s="674"/>
      <c r="T315" s="556"/>
      <c r="U315" s="556"/>
      <c r="V315" s="556"/>
      <c r="W315" s="556"/>
      <c r="X315" s="556"/>
      <c r="Y315" s="556"/>
      <c r="Z315" s="556"/>
      <c r="AA315" s="674"/>
      <c r="AB315" s="556"/>
      <c r="AC315" s="556"/>
      <c r="AD315" s="556"/>
      <c r="AE315" s="556"/>
      <c r="AF315" s="305"/>
      <c r="AG315" s="305"/>
      <c r="AH315" s="305"/>
      <c r="AI315" s="305"/>
      <c r="AJ315" s="305"/>
      <c r="AK315" s="305"/>
      <c r="AL315" s="305"/>
      <c r="AM315" s="305"/>
      <c r="AN315" s="305"/>
      <c r="AO315" s="305"/>
      <c r="AP315" s="305"/>
      <c r="AQ315" s="305"/>
      <c r="AR315" s="305"/>
      <c r="AS315" s="305"/>
      <c r="AT315" s="305"/>
      <c r="AU315" s="305"/>
      <c r="AV315" s="305"/>
      <c r="AW315" s="305"/>
      <c r="AX315" s="305"/>
      <c r="AY315" s="305"/>
      <c r="AZ315" s="305"/>
      <c r="BA315" s="305"/>
      <c r="BB315" s="305"/>
      <c r="BC315" s="305"/>
      <c r="BD315" s="305"/>
      <c r="BE315" s="305"/>
      <c r="BF315" s="305"/>
      <c r="BG315" s="305"/>
      <c r="BH315" s="305"/>
      <c r="BI315" s="305"/>
      <c r="BJ315" s="305"/>
      <c r="BK315" s="305"/>
      <c r="BL315" s="305"/>
      <c r="BM315" s="305"/>
      <c r="BN315" s="305"/>
      <c r="BO315" s="305"/>
      <c r="BP315" s="305"/>
      <c r="BQ315" s="305"/>
      <c r="BR315" s="305"/>
      <c r="BS315" s="305"/>
      <c r="BT315" s="305"/>
      <c r="BU315" s="305"/>
      <c r="BV315" s="305"/>
      <c r="BW315" s="305"/>
      <c r="BX315" s="305"/>
      <c r="BY315" s="305"/>
      <c r="BZ315" s="305"/>
      <c r="CA315" s="305"/>
      <c r="CB315" s="305"/>
      <c r="CC315" s="305"/>
      <c r="CD315" s="305"/>
      <c r="CE315" s="305"/>
      <c r="CF315" s="305"/>
      <c r="CG315" s="305"/>
      <c r="CH315" s="305"/>
      <c r="CI315" s="305"/>
      <c r="CJ315" s="305"/>
      <c r="CK315" s="305"/>
      <c r="CL315" s="305"/>
      <c r="CM315" s="305"/>
      <c r="CN315" s="305"/>
      <c r="CO315" s="305"/>
      <c r="CP315" s="305"/>
      <c r="CQ315" s="305"/>
      <c r="CR315" s="305"/>
      <c r="CS315" s="305"/>
      <c r="CT315" s="305"/>
      <c r="CU315" s="305"/>
      <c r="CV315" s="305"/>
      <c r="CW315" s="305"/>
      <c r="CX315" s="305"/>
      <c r="CY315" s="305"/>
      <c r="CZ315" s="305"/>
      <c r="DA315" s="305"/>
      <c r="DB315" s="305"/>
      <c r="DC315" s="305"/>
      <c r="DD315" s="305"/>
      <c r="DE315" s="305"/>
      <c r="DF315" s="305"/>
      <c r="DG315" s="305"/>
      <c r="DH315" s="305"/>
      <c r="DI315" s="305"/>
      <c r="DJ315" s="305"/>
      <c r="DK315" s="305"/>
      <c r="DL315" s="305"/>
      <c r="DM315" s="305"/>
      <c r="DN315" s="305"/>
      <c r="DO315" s="305"/>
      <c r="DP315" s="305"/>
      <c r="DQ315" s="305"/>
      <c r="DR315" s="305"/>
      <c r="DS315" s="305"/>
      <c r="DT315" s="305"/>
      <c r="DU315" s="305"/>
      <c r="DV315" s="305"/>
      <c r="DW315" s="558"/>
      <c r="DX315" s="558"/>
      <c r="DY315" s="558"/>
      <c r="DZ315" s="558"/>
      <c r="EA315" s="558"/>
      <c r="EB315" s="558"/>
      <c r="EC315" s="558"/>
      <c r="ED315" s="558"/>
      <c r="EE315" s="558"/>
      <c r="EF315" s="558"/>
      <c r="EG315" s="558"/>
      <c r="EH315" s="558"/>
      <c r="EI315" s="558"/>
      <c r="EJ315" s="558"/>
      <c r="EK315" s="558"/>
      <c r="EL315" s="558"/>
      <c r="EM315" s="558"/>
      <c r="EN315" s="558"/>
      <c r="EO315" s="558"/>
      <c r="EP315" s="558"/>
      <c r="ER315" s="305"/>
    </row>
    <row r="316" spans="1:148" x14ac:dyDescent="0.2">
      <c r="A316" s="556"/>
      <c r="B316" s="556"/>
      <c r="C316" s="556"/>
      <c r="E316" s="556"/>
      <c r="F316" s="556"/>
      <c r="G316" s="556"/>
      <c r="H316" s="556"/>
      <c r="J316" s="556"/>
      <c r="K316" s="556"/>
      <c r="L316" s="556"/>
      <c r="M316" s="556"/>
      <c r="N316" s="556"/>
      <c r="O316" s="669"/>
      <c r="P316" s="670"/>
      <c r="Q316" s="670"/>
      <c r="R316" s="556"/>
      <c r="S316" s="674"/>
      <c r="T316" s="556"/>
      <c r="U316" s="556"/>
      <c r="V316" s="556"/>
      <c r="W316" s="556"/>
      <c r="X316" s="556"/>
      <c r="Y316" s="556"/>
      <c r="Z316" s="556"/>
      <c r="AA316" s="674"/>
      <c r="AB316" s="556"/>
      <c r="AC316" s="556"/>
      <c r="AD316" s="556"/>
      <c r="AE316" s="556"/>
      <c r="AF316" s="305"/>
      <c r="AG316" s="305"/>
      <c r="AH316" s="305"/>
      <c r="AI316" s="305"/>
      <c r="AJ316" s="305"/>
      <c r="AK316" s="305"/>
      <c r="AL316" s="305"/>
      <c r="AM316" s="305"/>
      <c r="AN316" s="305"/>
      <c r="AO316" s="305"/>
      <c r="AP316" s="305"/>
      <c r="AQ316" s="305"/>
      <c r="AR316" s="305"/>
      <c r="AS316" s="305"/>
      <c r="AT316" s="305"/>
      <c r="AU316" s="305"/>
      <c r="AV316" s="305"/>
      <c r="AW316" s="305"/>
      <c r="AX316" s="305"/>
      <c r="AY316" s="305"/>
      <c r="AZ316" s="305"/>
      <c r="BA316" s="305"/>
      <c r="BB316" s="305"/>
      <c r="BC316" s="305"/>
      <c r="BD316" s="305"/>
      <c r="BE316" s="305"/>
      <c r="BF316" s="305"/>
      <c r="BG316" s="305"/>
      <c r="BH316" s="305"/>
      <c r="BI316" s="305"/>
      <c r="BJ316" s="305"/>
      <c r="BK316" s="305"/>
      <c r="BL316" s="305"/>
      <c r="BM316" s="305"/>
      <c r="BN316" s="305"/>
      <c r="BO316" s="305"/>
      <c r="BP316" s="305"/>
      <c r="BQ316" s="305"/>
      <c r="BR316" s="305"/>
      <c r="BS316" s="305"/>
      <c r="BT316" s="305"/>
      <c r="BU316" s="305"/>
      <c r="BV316" s="305"/>
      <c r="BW316" s="305"/>
      <c r="BX316" s="305"/>
      <c r="BY316" s="305"/>
      <c r="BZ316" s="305"/>
      <c r="CA316" s="305"/>
      <c r="CB316" s="305"/>
      <c r="CC316" s="305"/>
      <c r="CD316" s="305"/>
      <c r="CE316" s="305"/>
      <c r="CF316" s="305"/>
      <c r="CG316" s="305"/>
      <c r="CH316" s="305"/>
      <c r="CI316" s="305"/>
      <c r="CJ316" s="305"/>
      <c r="CK316" s="305"/>
      <c r="CL316" s="305"/>
      <c r="CM316" s="305"/>
      <c r="CN316" s="305"/>
      <c r="CO316" s="305"/>
      <c r="CP316" s="305"/>
      <c r="CQ316" s="305"/>
      <c r="CR316" s="305"/>
      <c r="CS316" s="305"/>
      <c r="CT316" s="305"/>
      <c r="CU316" s="305"/>
      <c r="CV316" s="305"/>
      <c r="CW316" s="305"/>
      <c r="CX316" s="305"/>
      <c r="CY316" s="305"/>
      <c r="CZ316" s="305"/>
      <c r="DA316" s="305"/>
      <c r="DB316" s="305"/>
      <c r="DC316" s="305"/>
      <c r="DD316" s="305"/>
      <c r="DE316" s="305"/>
      <c r="DF316" s="305"/>
      <c r="DG316" s="305"/>
      <c r="DH316" s="305"/>
      <c r="DI316" s="305"/>
      <c r="DJ316" s="305"/>
      <c r="DK316" s="305"/>
      <c r="DL316" s="305"/>
      <c r="DM316" s="305"/>
      <c r="DN316" s="305"/>
      <c r="DO316" s="305"/>
      <c r="DP316" s="305"/>
      <c r="DQ316" s="305"/>
      <c r="DR316" s="305"/>
      <c r="DS316" s="305"/>
      <c r="DT316" s="305"/>
      <c r="DU316" s="305"/>
      <c r="DV316" s="305"/>
      <c r="DW316" s="558"/>
      <c r="DX316" s="558"/>
      <c r="DY316" s="558"/>
      <c r="DZ316" s="558"/>
      <c r="EA316" s="558"/>
      <c r="EB316" s="558"/>
      <c r="EC316" s="558"/>
      <c r="ED316" s="558"/>
      <c r="EE316" s="558"/>
      <c r="EF316" s="558"/>
      <c r="EG316" s="558"/>
      <c r="EH316" s="558"/>
      <c r="EI316" s="558"/>
      <c r="EJ316" s="558"/>
      <c r="EK316" s="558"/>
      <c r="EL316" s="558"/>
      <c r="EM316" s="558"/>
      <c r="EN316" s="558"/>
      <c r="EO316" s="558"/>
      <c r="EP316" s="558"/>
      <c r="ER316" s="305"/>
    </row>
    <row r="317" spans="1:148" x14ac:dyDescent="0.2">
      <c r="A317" s="556"/>
      <c r="B317" s="556"/>
      <c r="C317" s="556"/>
      <c r="E317" s="556"/>
      <c r="F317" s="556"/>
      <c r="G317" s="556"/>
      <c r="H317" s="556"/>
      <c r="J317" s="556"/>
      <c r="K317" s="556"/>
      <c r="L317" s="556"/>
      <c r="M317" s="556"/>
      <c r="N317" s="556"/>
      <c r="O317" s="669"/>
      <c r="P317" s="670"/>
      <c r="Q317" s="670"/>
      <c r="R317" s="556"/>
      <c r="S317" s="674"/>
      <c r="T317" s="556"/>
      <c r="U317" s="556"/>
      <c r="V317" s="556"/>
      <c r="W317" s="556"/>
      <c r="X317" s="556"/>
      <c r="Y317" s="556"/>
      <c r="Z317" s="556"/>
      <c r="AA317" s="674"/>
      <c r="AB317" s="556"/>
      <c r="AC317" s="556"/>
      <c r="AD317" s="556"/>
      <c r="AE317" s="556"/>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M317" s="305"/>
      <c r="CN317" s="305"/>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c r="DM317" s="305"/>
      <c r="DN317" s="305"/>
      <c r="DO317" s="305"/>
      <c r="DP317" s="305"/>
      <c r="DQ317" s="305"/>
      <c r="DR317" s="305"/>
      <c r="DS317" s="305"/>
      <c r="DT317" s="305"/>
      <c r="DU317" s="305"/>
      <c r="DV317" s="305"/>
      <c r="DW317" s="558"/>
      <c r="DX317" s="558"/>
      <c r="DY317" s="558"/>
      <c r="DZ317" s="558"/>
      <c r="EA317" s="558"/>
      <c r="EB317" s="558"/>
      <c r="EC317" s="558"/>
      <c r="ED317" s="558"/>
      <c r="EE317" s="558"/>
      <c r="EF317" s="558"/>
      <c r="EG317" s="558"/>
      <c r="EH317" s="558"/>
      <c r="EI317" s="558"/>
      <c r="EJ317" s="558"/>
      <c r="EK317" s="558"/>
      <c r="EL317" s="558"/>
      <c r="EM317" s="558"/>
      <c r="EN317" s="558"/>
      <c r="EO317" s="558"/>
      <c r="EP317" s="558"/>
      <c r="ER317" s="305"/>
    </row>
    <row r="318" spans="1:148" x14ac:dyDescent="0.2">
      <c r="A318" s="556"/>
      <c r="B318" s="556"/>
      <c r="C318" s="556"/>
      <c r="E318" s="556"/>
      <c r="F318" s="556"/>
      <c r="G318" s="556"/>
      <c r="H318" s="556"/>
      <c r="J318" s="556"/>
      <c r="K318" s="556"/>
      <c r="L318" s="556"/>
      <c r="M318" s="556"/>
      <c r="N318" s="556"/>
      <c r="O318" s="669"/>
      <c r="P318" s="670"/>
      <c r="Q318" s="670"/>
      <c r="R318" s="556"/>
      <c r="S318" s="674"/>
      <c r="T318" s="556"/>
      <c r="U318" s="556"/>
      <c r="V318" s="556"/>
      <c r="W318" s="556"/>
      <c r="X318" s="556"/>
      <c r="Y318" s="556"/>
      <c r="Z318" s="556"/>
      <c r="AA318" s="674"/>
      <c r="AB318" s="556"/>
      <c r="AC318" s="556"/>
      <c r="AD318" s="556"/>
      <c r="AE318" s="556"/>
      <c r="AF318" s="305"/>
      <c r="AG318" s="305"/>
      <c r="AH318" s="305"/>
      <c r="AI318" s="305"/>
      <c r="AJ318" s="305"/>
      <c r="AK318" s="305"/>
      <c r="AL318" s="305"/>
      <c r="AM318" s="305"/>
      <c r="AN318" s="305"/>
      <c r="AO318" s="305"/>
      <c r="AP318" s="305"/>
      <c r="AQ318" s="305"/>
      <c r="AR318" s="305"/>
      <c r="AS318" s="305"/>
      <c r="AT318" s="305"/>
      <c r="AU318" s="305"/>
      <c r="AV318" s="305"/>
      <c r="AW318" s="305"/>
      <c r="AX318" s="305"/>
      <c r="AY318" s="305"/>
      <c r="AZ318" s="305"/>
      <c r="BA318" s="305"/>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5"/>
      <c r="BZ318" s="305"/>
      <c r="CA318" s="305"/>
      <c r="CB318" s="305"/>
      <c r="CC318" s="305"/>
      <c r="CD318" s="305"/>
      <c r="CE318" s="305"/>
      <c r="CF318" s="305"/>
      <c r="CG318" s="305"/>
      <c r="CH318" s="305"/>
      <c r="CI318" s="305"/>
      <c r="CJ318" s="305"/>
      <c r="CK318" s="305"/>
      <c r="CL318" s="305"/>
      <c r="CM318" s="305"/>
      <c r="CN318" s="305"/>
      <c r="CO318" s="305"/>
      <c r="CP318" s="305"/>
      <c r="CQ318" s="305"/>
      <c r="CR318" s="305"/>
      <c r="CS318" s="305"/>
      <c r="CT318" s="305"/>
      <c r="CU318" s="305"/>
      <c r="CV318" s="305"/>
      <c r="CW318" s="305"/>
      <c r="CX318" s="305"/>
      <c r="CY318" s="305"/>
      <c r="CZ318" s="305"/>
      <c r="DA318" s="305"/>
      <c r="DB318" s="305"/>
      <c r="DC318" s="305"/>
      <c r="DD318" s="305"/>
      <c r="DE318" s="305"/>
      <c r="DF318" s="305"/>
      <c r="DG318" s="305"/>
      <c r="DH318" s="305"/>
      <c r="DI318" s="305"/>
      <c r="DJ318" s="305"/>
      <c r="DK318" s="305"/>
      <c r="DL318" s="305"/>
      <c r="DM318" s="305"/>
      <c r="DN318" s="305"/>
      <c r="DO318" s="305"/>
      <c r="DP318" s="305"/>
      <c r="DQ318" s="305"/>
      <c r="DR318" s="305"/>
      <c r="DS318" s="305"/>
      <c r="DT318" s="305"/>
      <c r="DU318" s="305"/>
      <c r="DV318" s="305"/>
      <c r="DW318" s="558"/>
      <c r="DX318" s="558"/>
      <c r="DY318" s="558"/>
      <c r="DZ318" s="558"/>
      <c r="EA318" s="558"/>
      <c r="EB318" s="558"/>
      <c r="EC318" s="558"/>
      <c r="ED318" s="558"/>
      <c r="EE318" s="558"/>
      <c r="EF318" s="558"/>
      <c r="EG318" s="558"/>
      <c r="EH318" s="558"/>
      <c r="EI318" s="558"/>
      <c r="EJ318" s="558"/>
      <c r="EK318" s="558"/>
      <c r="EL318" s="558"/>
      <c r="EM318" s="558"/>
      <c r="EN318" s="558"/>
      <c r="EO318" s="558"/>
      <c r="EP318" s="558"/>
      <c r="ER318" s="305"/>
    </row>
    <row r="319" spans="1:148" x14ac:dyDescent="0.2">
      <c r="A319" s="556"/>
      <c r="B319" s="556"/>
      <c r="C319" s="556"/>
      <c r="E319" s="556"/>
      <c r="F319" s="556"/>
      <c r="G319" s="556"/>
      <c r="H319" s="556"/>
      <c r="J319" s="556"/>
      <c r="K319" s="556"/>
      <c r="L319" s="556"/>
      <c r="M319" s="556"/>
      <c r="N319" s="556"/>
      <c r="O319" s="669"/>
      <c r="P319" s="670"/>
      <c r="Q319" s="670"/>
      <c r="R319" s="556"/>
      <c r="S319" s="674"/>
      <c r="T319" s="556"/>
      <c r="U319" s="556"/>
      <c r="V319" s="556"/>
      <c r="W319" s="556"/>
      <c r="X319" s="556"/>
      <c r="Y319" s="556"/>
      <c r="Z319" s="556"/>
      <c r="AA319" s="674"/>
      <c r="AB319" s="556"/>
      <c r="AC319" s="556"/>
      <c r="AD319" s="556"/>
      <c r="AE319" s="556"/>
      <c r="AF319" s="305"/>
      <c r="AG319" s="305"/>
      <c r="AH319" s="305"/>
      <c r="AI319" s="305"/>
      <c r="AJ319" s="305"/>
      <c r="AK319" s="305"/>
      <c r="AL319" s="305"/>
      <c r="AM319" s="305"/>
      <c r="AN319" s="305"/>
      <c r="AO319" s="305"/>
      <c r="AP319" s="305"/>
      <c r="AQ319" s="305"/>
      <c r="AR319" s="305"/>
      <c r="AS319" s="305"/>
      <c r="AT319" s="305"/>
      <c r="AU319" s="305"/>
      <c r="AV319" s="305"/>
      <c r="AW319" s="305"/>
      <c r="AX319" s="305"/>
      <c r="AY319" s="305"/>
      <c r="AZ319" s="305"/>
      <c r="BA319" s="305"/>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5"/>
      <c r="BZ319" s="305"/>
      <c r="CA319" s="305"/>
      <c r="CB319" s="305"/>
      <c r="CC319" s="305"/>
      <c r="CD319" s="305"/>
      <c r="CE319" s="305"/>
      <c r="CF319" s="305"/>
      <c r="CG319" s="305"/>
      <c r="CH319" s="305"/>
      <c r="CI319" s="305"/>
      <c r="CJ319" s="305"/>
      <c r="CK319" s="305"/>
      <c r="CL319" s="305"/>
      <c r="CM319" s="305"/>
      <c r="CN319" s="305"/>
      <c r="CO319" s="305"/>
      <c r="CP319" s="305"/>
      <c r="CQ319" s="305"/>
      <c r="CR319" s="305"/>
      <c r="CS319" s="305"/>
      <c r="CT319" s="305"/>
      <c r="CU319" s="305"/>
      <c r="CV319" s="305"/>
      <c r="CW319" s="305"/>
      <c r="CX319" s="305"/>
      <c r="CY319" s="305"/>
      <c r="CZ319" s="305"/>
      <c r="DA319" s="305"/>
      <c r="DB319" s="305"/>
      <c r="DC319" s="305"/>
      <c r="DD319" s="305"/>
      <c r="DE319" s="305"/>
      <c r="DF319" s="305"/>
      <c r="DG319" s="305"/>
      <c r="DH319" s="305"/>
      <c r="DI319" s="305"/>
      <c r="DJ319" s="305"/>
      <c r="DK319" s="305"/>
      <c r="DL319" s="305"/>
      <c r="DM319" s="305"/>
      <c r="DN319" s="305"/>
      <c r="DO319" s="305"/>
      <c r="DP319" s="305"/>
      <c r="DQ319" s="305"/>
      <c r="DR319" s="305"/>
      <c r="DS319" s="305"/>
      <c r="DT319" s="305"/>
      <c r="DU319" s="305"/>
      <c r="DV319" s="305"/>
      <c r="DW319" s="558"/>
      <c r="DX319" s="558"/>
      <c r="DY319" s="558"/>
      <c r="DZ319" s="558"/>
      <c r="EA319" s="558"/>
      <c r="EB319" s="558"/>
      <c r="EC319" s="558"/>
      <c r="ED319" s="558"/>
      <c r="EE319" s="558"/>
      <c r="EF319" s="558"/>
      <c r="EG319" s="558"/>
      <c r="EH319" s="558"/>
      <c r="EI319" s="558"/>
      <c r="EJ319" s="558"/>
      <c r="EK319" s="558"/>
      <c r="EL319" s="558"/>
      <c r="EM319" s="558"/>
      <c r="EN319" s="558"/>
      <c r="EO319" s="558"/>
      <c r="EP319" s="558"/>
      <c r="ER319" s="305"/>
    </row>
    <row r="320" spans="1:148" x14ac:dyDescent="0.2">
      <c r="A320" s="556"/>
      <c r="B320" s="556"/>
      <c r="C320" s="556"/>
      <c r="E320" s="556"/>
      <c r="F320" s="556"/>
      <c r="G320" s="556"/>
      <c r="H320" s="556"/>
      <c r="J320" s="556"/>
      <c r="K320" s="556"/>
      <c r="L320" s="556"/>
      <c r="M320" s="556"/>
      <c r="N320" s="556"/>
      <c r="O320" s="669"/>
      <c r="P320" s="670"/>
      <c r="Q320" s="670"/>
      <c r="R320" s="556"/>
      <c r="S320" s="674"/>
      <c r="T320" s="556"/>
      <c r="U320" s="556"/>
      <c r="V320" s="556"/>
      <c r="W320" s="556"/>
      <c r="X320" s="556"/>
      <c r="Y320" s="556"/>
      <c r="Z320" s="556"/>
      <c r="AA320" s="674"/>
      <c r="AB320" s="556"/>
      <c r="AC320" s="556"/>
      <c r="AD320" s="556"/>
      <c r="AE320" s="556"/>
      <c r="AF320" s="305"/>
      <c r="AG320" s="305"/>
      <c r="AH320" s="305"/>
      <c r="AI320" s="305"/>
      <c r="AJ320" s="305"/>
      <c r="AK320" s="305"/>
      <c r="AL320" s="305"/>
      <c r="AM320" s="305"/>
      <c r="AN320" s="305"/>
      <c r="AO320" s="305"/>
      <c r="AP320" s="305"/>
      <c r="AQ320" s="305"/>
      <c r="AR320" s="305"/>
      <c r="AS320" s="305"/>
      <c r="AT320" s="305"/>
      <c r="AU320" s="305"/>
      <c r="AV320" s="305"/>
      <c r="AW320" s="305"/>
      <c r="AX320" s="305"/>
      <c r="AY320" s="305"/>
      <c r="AZ320" s="305"/>
      <c r="BA320" s="305"/>
      <c r="BB320" s="305"/>
      <c r="BC320" s="305"/>
      <c r="BD320" s="305"/>
      <c r="BE320" s="305"/>
      <c r="BF320" s="305"/>
      <c r="BG320" s="305"/>
      <c r="BH320" s="305"/>
      <c r="BI320" s="305"/>
      <c r="BJ320" s="305"/>
      <c r="BK320" s="305"/>
      <c r="BL320" s="305"/>
      <c r="BM320" s="305"/>
      <c r="BN320" s="305"/>
      <c r="BO320" s="305"/>
      <c r="BP320" s="305"/>
      <c r="BQ320" s="305"/>
      <c r="BR320" s="305"/>
      <c r="BS320" s="305"/>
      <c r="BT320" s="305"/>
      <c r="BU320" s="305"/>
      <c r="BV320" s="305"/>
      <c r="BW320" s="305"/>
      <c r="BX320" s="305"/>
      <c r="BY320" s="305"/>
      <c r="BZ320" s="305"/>
      <c r="CA320" s="305"/>
      <c r="CB320" s="305"/>
      <c r="CC320" s="305"/>
      <c r="CD320" s="305"/>
      <c r="CE320" s="305"/>
      <c r="CF320" s="305"/>
      <c r="CG320" s="305"/>
      <c r="CH320" s="305"/>
      <c r="CI320" s="305"/>
      <c r="CJ320" s="305"/>
      <c r="CK320" s="305"/>
      <c r="CL320" s="305"/>
      <c r="CM320" s="305"/>
      <c r="CN320" s="305"/>
      <c r="CO320" s="305"/>
      <c r="CP320" s="305"/>
      <c r="CQ320" s="305"/>
      <c r="CR320" s="305"/>
      <c r="CS320" s="305"/>
      <c r="CT320" s="305"/>
      <c r="CU320" s="305"/>
      <c r="CV320" s="305"/>
      <c r="CW320" s="305"/>
      <c r="CX320" s="305"/>
      <c r="CY320" s="305"/>
      <c r="CZ320" s="305"/>
      <c r="DA320" s="305"/>
      <c r="DB320" s="305"/>
      <c r="DC320" s="305"/>
      <c r="DD320" s="305"/>
      <c r="DE320" s="305"/>
      <c r="DF320" s="305"/>
      <c r="DG320" s="305"/>
      <c r="DH320" s="305"/>
      <c r="DI320" s="305"/>
      <c r="DJ320" s="305"/>
      <c r="DK320" s="305"/>
      <c r="DL320" s="305"/>
      <c r="DM320" s="305"/>
      <c r="DN320" s="305"/>
      <c r="DO320" s="305"/>
      <c r="DP320" s="305"/>
      <c r="DQ320" s="305"/>
      <c r="DR320" s="305"/>
      <c r="DS320" s="305"/>
      <c r="DT320" s="305"/>
      <c r="DU320" s="305"/>
      <c r="DV320" s="305"/>
      <c r="DW320" s="558"/>
      <c r="DX320" s="558"/>
      <c r="DY320" s="558"/>
      <c r="DZ320" s="558"/>
      <c r="EA320" s="558"/>
      <c r="EB320" s="558"/>
      <c r="EC320" s="558"/>
      <c r="ED320" s="558"/>
      <c r="EE320" s="558"/>
      <c r="EF320" s="558"/>
      <c r="EG320" s="558"/>
      <c r="EH320" s="558"/>
      <c r="EI320" s="558"/>
      <c r="EJ320" s="558"/>
      <c r="EK320" s="558"/>
      <c r="EL320" s="558"/>
      <c r="EM320" s="558"/>
      <c r="EN320" s="558"/>
      <c r="EO320" s="558"/>
      <c r="EP320" s="558"/>
      <c r="ER320" s="305"/>
    </row>
  </sheetData>
  <sheetProtection autoFilter="0"/>
  <conditionalFormatting sqref="DW72:EH75 L86 DW41:EE45 DW78:EH83 DW7:EH8 DW9:EI16 DW17:EH20 DW21:EI39 DW40:EH40 DW46:EH70 AE19:AE70 EI55:EI61 B70:N70 P70:AB70 B71:AB73 B74:N74 P74:AB74 AF7:DV84 N16:AB16 B22:M24 O22:AB24 B17:AB21 B25:AB69 ET87:EV90 ET95:EV97 B7:AB15 B75:AB85 EN7:EV84 AE85:EH85 ET100:EV102 B4:EV6 L104:L105 V86:V90 N86:N93 L91:L93 A4:A102 AC7:AC102 A2:EV3">
    <cfRule type="expression" dxfId="1975" priority="5256">
      <formula>$R2="exigência cumprida"</formula>
    </cfRule>
    <cfRule type="expression" dxfId="1974" priority="5257">
      <formula>$R2="em análise"</formula>
    </cfRule>
    <cfRule type="expression" dxfId="1973" priority="5258">
      <formula>$R2="em exigência"</formula>
    </cfRule>
    <cfRule type="expression" dxfId="1972" priority="5259">
      <formula>$R2="em recurso"</formula>
    </cfRule>
  </conditionalFormatting>
  <conditionalFormatting sqref="AE72:AE75 AE78:AE83 AE8:AE16">
    <cfRule type="expression" dxfId="1971" priority="1606">
      <formula>$R8="exigência cumprida"</formula>
    </cfRule>
    <cfRule type="expression" dxfId="1970" priority="1607">
      <formula>$R8="em análise"</formula>
    </cfRule>
    <cfRule type="expression" dxfId="1969" priority="1608">
      <formula>$R8="em exigência"</formula>
    </cfRule>
    <cfRule type="expression" dxfId="1968" priority="1609">
      <formula>$R8="em recurso"</formula>
    </cfRule>
  </conditionalFormatting>
  <conditionalFormatting sqref="L94 L98:L99">
    <cfRule type="expression" dxfId="1967" priority="1602">
      <formula>$R94="exigência cumprida"</formula>
    </cfRule>
    <cfRule type="expression" dxfId="1966" priority="1603">
      <formula>$R94="em análise"</formula>
    </cfRule>
    <cfRule type="expression" dxfId="1965" priority="1604">
      <formula>$R94="em exigência"</formula>
    </cfRule>
    <cfRule type="expression" dxfId="1964" priority="1605">
      <formula>$R94="em recurso"</formula>
    </cfRule>
  </conditionalFormatting>
  <conditionalFormatting sqref="N94:N99">
    <cfRule type="expression" dxfId="1963" priority="1598">
      <formula>$R94="exigência cumprida"</formula>
    </cfRule>
    <cfRule type="expression" dxfId="1962" priority="1599">
      <formula>$R94="em análise"</formula>
    </cfRule>
    <cfRule type="expression" dxfId="1961" priority="1600">
      <formula>$R94="em exigência"</formula>
    </cfRule>
    <cfRule type="expression" dxfId="1960" priority="1601">
      <formula>$R94="em recurso"</formula>
    </cfRule>
  </conditionalFormatting>
  <conditionalFormatting sqref="EN94:EN97">
    <cfRule type="expression" dxfId="1959" priority="1594">
      <formula>$R94="exigência cumprida"</formula>
    </cfRule>
    <cfRule type="expression" dxfId="1958" priority="1595">
      <formula>$R94="em análise"</formula>
    </cfRule>
    <cfRule type="expression" dxfId="1957" priority="1596">
      <formula>$R94="em exigência"</formula>
    </cfRule>
    <cfRule type="expression" dxfId="1956" priority="1597">
      <formula>$R94="em recurso"</formula>
    </cfRule>
  </conditionalFormatting>
  <conditionalFormatting sqref="EV94">
    <cfRule type="expression" dxfId="1955" priority="1562">
      <formula>$R94="exigência cumprida"</formula>
    </cfRule>
    <cfRule type="expression" dxfId="1954" priority="1563">
      <formula>$R94="em análise"</formula>
    </cfRule>
    <cfRule type="expression" dxfId="1953" priority="1564">
      <formula>$R94="em exigência"</formula>
    </cfRule>
    <cfRule type="expression" dxfId="1952" priority="1565">
      <formula>$R94="em recurso"</formula>
    </cfRule>
  </conditionalFormatting>
  <conditionalFormatting sqref="EF41:EH45">
    <cfRule type="expression" dxfId="1951" priority="1570">
      <formula>$R41="exigência cumprida"</formula>
    </cfRule>
    <cfRule type="expression" dxfId="1950" priority="1571">
      <formula>$R41="em análise"</formula>
    </cfRule>
    <cfRule type="expression" dxfId="1949" priority="1572">
      <formula>$R41="em exigência"</formula>
    </cfRule>
    <cfRule type="expression" dxfId="1948" priority="1573">
      <formula>$R41="em recurso"</formula>
    </cfRule>
  </conditionalFormatting>
  <conditionalFormatting sqref="AE7">
    <cfRule type="expression" dxfId="1947" priority="1521">
      <formula>$R7="exigência cumprida"</formula>
    </cfRule>
    <cfRule type="expression" dxfId="1946" priority="1522">
      <formula>$R7="em análise"</formula>
    </cfRule>
    <cfRule type="expression" dxfId="1945" priority="1523">
      <formula>$R7="em exigência"</formula>
    </cfRule>
    <cfRule type="expression" dxfId="1944" priority="1524">
      <formula>$R7="em recurso"</formula>
    </cfRule>
  </conditionalFormatting>
  <conditionalFormatting sqref="EI47:EI48">
    <cfRule type="expression" dxfId="1943" priority="1421">
      <formula>$R47="exigência cumprida"</formula>
    </cfRule>
    <cfRule type="expression" dxfId="1942" priority="1422">
      <formula>$R47="em análise"</formula>
    </cfRule>
    <cfRule type="expression" dxfId="1941" priority="1423">
      <formula>$R47="em exigência"</formula>
    </cfRule>
    <cfRule type="expression" dxfId="1940" priority="1424">
      <formula>$R47="em recurso"</formula>
    </cfRule>
  </conditionalFormatting>
  <conditionalFormatting sqref="AE17">
    <cfRule type="expression" dxfId="1939" priority="1517">
      <formula>$R17="exigência cumprida"</formula>
    </cfRule>
    <cfRule type="expression" dxfId="1938" priority="1518">
      <formula>$R17="em análise"</formula>
    </cfRule>
    <cfRule type="expression" dxfId="1937" priority="1519">
      <formula>$R17="em exigência"</formula>
    </cfRule>
    <cfRule type="expression" dxfId="1936" priority="1520">
      <formula>$R17="em recurso"</formula>
    </cfRule>
  </conditionalFormatting>
  <conditionalFormatting sqref="AE18">
    <cfRule type="expression" dxfId="1935" priority="1513">
      <formula>$R18="exigência cumprida"</formula>
    </cfRule>
    <cfRule type="expression" dxfId="1934" priority="1514">
      <formula>$R18="em análise"</formula>
    </cfRule>
    <cfRule type="expression" dxfId="1933" priority="1515">
      <formula>$R18="em exigência"</formula>
    </cfRule>
    <cfRule type="expression" dxfId="1932" priority="1516">
      <formula>$R18="em recurso"</formula>
    </cfRule>
  </conditionalFormatting>
  <conditionalFormatting sqref="EI7">
    <cfRule type="expression" dxfId="1931" priority="1501">
      <formula>$R7="exigência cumprida"</formula>
    </cfRule>
    <cfRule type="expression" dxfId="1930" priority="1502">
      <formula>$R7="em análise"</formula>
    </cfRule>
    <cfRule type="expression" dxfId="1929" priority="1503">
      <formula>$R7="em exigência"</formula>
    </cfRule>
    <cfRule type="expression" dxfId="1928" priority="1504">
      <formula>$R7="em recurso"</formula>
    </cfRule>
  </conditionalFormatting>
  <conditionalFormatting sqref="EI8">
    <cfRule type="expression" dxfId="1927" priority="1497">
      <formula>$R8="exigência cumprida"</formula>
    </cfRule>
    <cfRule type="expression" dxfId="1926" priority="1498">
      <formula>$R8="em análise"</formula>
    </cfRule>
    <cfRule type="expression" dxfId="1925" priority="1499">
      <formula>$R8="em exigência"</formula>
    </cfRule>
    <cfRule type="expression" dxfId="1924" priority="1500">
      <formula>$R8="em recurso"</formula>
    </cfRule>
  </conditionalFormatting>
  <conditionalFormatting sqref="EI17">
    <cfRule type="expression" dxfId="1923" priority="1465">
      <formula>$R17="exigência cumprida"</formula>
    </cfRule>
    <cfRule type="expression" dxfId="1922" priority="1466">
      <formula>$R17="em análise"</formula>
    </cfRule>
    <cfRule type="expression" dxfId="1921" priority="1467">
      <formula>$R17="em exigência"</formula>
    </cfRule>
    <cfRule type="expression" dxfId="1920" priority="1468">
      <formula>$R17="em recurso"</formula>
    </cfRule>
  </conditionalFormatting>
  <conditionalFormatting sqref="EI19">
    <cfRule type="expression" dxfId="1919" priority="1461">
      <formula>$R19="exigência cumprida"</formula>
    </cfRule>
    <cfRule type="expression" dxfId="1918" priority="1462">
      <formula>$R19="em análise"</formula>
    </cfRule>
    <cfRule type="expression" dxfId="1917" priority="1463">
      <formula>$R19="em exigência"</formula>
    </cfRule>
    <cfRule type="expression" dxfId="1916" priority="1464">
      <formula>$R19="em recurso"</formula>
    </cfRule>
  </conditionalFormatting>
  <conditionalFormatting sqref="EI18">
    <cfRule type="expression" dxfId="1915" priority="1457">
      <formula>$R18="exigência cumprida"</formula>
    </cfRule>
    <cfRule type="expression" dxfId="1914" priority="1458">
      <formula>$R18="em análise"</formula>
    </cfRule>
    <cfRule type="expression" dxfId="1913" priority="1459">
      <formula>$R18="em exigência"</formula>
    </cfRule>
    <cfRule type="expression" dxfId="1912" priority="1460">
      <formula>$R18="em recurso"</formula>
    </cfRule>
  </conditionalFormatting>
  <conditionalFormatting sqref="EI20">
    <cfRule type="expression" dxfId="1911" priority="1453">
      <formula>$R20="exigência cumprida"</formula>
    </cfRule>
    <cfRule type="expression" dxfId="1910" priority="1454">
      <formula>$R20="em análise"</formula>
    </cfRule>
    <cfRule type="expression" dxfId="1909" priority="1455">
      <formula>$R20="em exigência"</formula>
    </cfRule>
    <cfRule type="expression" dxfId="1908" priority="1456">
      <formula>$R20="em recurso"</formula>
    </cfRule>
  </conditionalFormatting>
  <conditionalFormatting sqref="EI40">
    <cfRule type="expression" dxfId="1907" priority="1449">
      <formula>$R40="exigência cumprida"</formula>
    </cfRule>
    <cfRule type="expression" dxfId="1906" priority="1450">
      <formula>$R40="em análise"</formula>
    </cfRule>
    <cfRule type="expression" dxfId="1905" priority="1451">
      <formula>$R40="em exigência"</formula>
    </cfRule>
    <cfRule type="expression" dxfId="1904" priority="1452">
      <formula>$R40="em recurso"</formula>
    </cfRule>
  </conditionalFormatting>
  <conditionalFormatting sqref="EI41:EI45">
    <cfRule type="expression" dxfId="1903" priority="1445">
      <formula>$R41="exigência cumprida"</formula>
    </cfRule>
    <cfRule type="expression" dxfId="1902" priority="1446">
      <formula>$R41="em análise"</formula>
    </cfRule>
    <cfRule type="expression" dxfId="1901" priority="1447">
      <formula>$R41="em exigência"</formula>
    </cfRule>
    <cfRule type="expression" dxfId="1900" priority="1448">
      <formula>$R41="em recurso"</formula>
    </cfRule>
  </conditionalFormatting>
  <conditionalFormatting sqref="EI46">
    <cfRule type="expression" dxfId="1899" priority="1437">
      <formula>$R46="exigência cumprida"</formula>
    </cfRule>
    <cfRule type="expression" dxfId="1898" priority="1438">
      <formula>$R46="em análise"</formula>
    </cfRule>
    <cfRule type="expression" dxfId="1897" priority="1439">
      <formula>$R46="em exigência"</formula>
    </cfRule>
    <cfRule type="expression" dxfId="1896" priority="1440">
      <formula>$R46="em recurso"</formula>
    </cfRule>
  </conditionalFormatting>
  <conditionalFormatting sqref="EI62">
    <cfRule type="expression" dxfId="1895" priority="1429">
      <formula>$R62="exigência cumprida"</formula>
    </cfRule>
    <cfRule type="expression" dxfId="1894" priority="1430">
      <formula>$R62="em análise"</formula>
    </cfRule>
    <cfRule type="expression" dxfId="1893" priority="1431">
      <formula>$R62="em exigência"</formula>
    </cfRule>
    <cfRule type="expression" dxfId="1892" priority="1432">
      <formula>$R62="em recurso"</formula>
    </cfRule>
  </conditionalFormatting>
  <conditionalFormatting sqref="EI51:EI54">
    <cfRule type="expression" dxfId="1891" priority="1417">
      <formula>$R51="exigência cumprida"</formula>
    </cfRule>
    <cfRule type="expression" dxfId="1890" priority="1418">
      <formula>$R51="em análise"</formula>
    </cfRule>
    <cfRule type="expression" dxfId="1889" priority="1419">
      <formula>$R51="em exigência"</formula>
    </cfRule>
    <cfRule type="expression" dxfId="1888" priority="1420">
      <formula>$R51="em recurso"</formula>
    </cfRule>
  </conditionalFormatting>
  <conditionalFormatting sqref="EI63:EI66">
    <cfRule type="expression" dxfId="1887" priority="1413">
      <formula>$R63="exigência cumprida"</formula>
    </cfRule>
    <cfRule type="expression" dxfId="1886" priority="1414">
      <formula>$R63="em análise"</formula>
    </cfRule>
    <cfRule type="expression" dxfId="1885" priority="1415">
      <formula>$R63="em exigência"</formula>
    </cfRule>
    <cfRule type="expression" dxfId="1884" priority="1416">
      <formula>$R63="em recurso"</formula>
    </cfRule>
  </conditionalFormatting>
  <conditionalFormatting sqref="EI67:EI70">
    <cfRule type="expression" dxfId="1883" priority="1409">
      <formula>$R67="exigência cumprida"</formula>
    </cfRule>
    <cfRule type="expression" dxfId="1882" priority="1410">
      <formula>$R67="em análise"</formula>
    </cfRule>
    <cfRule type="expression" dxfId="1881" priority="1411">
      <formula>$R67="em exigência"</formula>
    </cfRule>
    <cfRule type="expression" dxfId="1880" priority="1412">
      <formula>$R67="em recurso"</formula>
    </cfRule>
  </conditionalFormatting>
  <conditionalFormatting sqref="EI72:EI75">
    <cfRule type="expression" dxfId="1879" priority="1405">
      <formula>$R72="exigência cumprida"</formula>
    </cfRule>
    <cfRule type="expression" dxfId="1878" priority="1406">
      <formula>$R72="em análise"</formula>
    </cfRule>
    <cfRule type="expression" dxfId="1877" priority="1407">
      <formula>$R72="em exigência"</formula>
    </cfRule>
    <cfRule type="expression" dxfId="1876" priority="1408">
      <formula>$R72="em recurso"</formula>
    </cfRule>
  </conditionalFormatting>
  <conditionalFormatting sqref="EI78">
    <cfRule type="expression" dxfId="1875" priority="1401">
      <formula>$R78="exigência cumprida"</formula>
    </cfRule>
    <cfRule type="expression" dxfId="1874" priority="1402">
      <formula>$R78="em análise"</formula>
    </cfRule>
    <cfRule type="expression" dxfId="1873" priority="1403">
      <formula>$R78="em exigência"</formula>
    </cfRule>
    <cfRule type="expression" dxfId="1872" priority="1404">
      <formula>$R78="em recurso"</formula>
    </cfRule>
  </conditionalFormatting>
  <conditionalFormatting sqref="EI79:EI83">
    <cfRule type="expression" dxfId="1871" priority="1393">
      <formula>$R79="exigência cumprida"</formula>
    </cfRule>
    <cfRule type="expression" dxfId="1870" priority="1394">
      <formula>$R79="em análise"</formula>
    </cfRule>
    <cfRule type="expression" dxfId="1869" priority="1395">
      <formula>$R79="em exigência"</formula>
    </cfRule>
    <cfRule type="expression" dxfId="1868" priority="1396">
      <formula>$R79="em recurso"</formula>
    </cfRule>
  </conditionalFormatting>
  <conditionalFormatting sqref="EI85">
    <cfRule type="expression" dxfId="1867" priority="1385">
      <formula>$R85="exigência cumprida"</formula>
    </cfRule>
    <cfRule type="expression" dxfId="1866" priority="1386">
      <formula>$R85="em análise"</formula>
    </cfRule>
    <cfRule type="expression" dxfId="1865" priority="1387">
      <formula>$R85="em exigência"</formula>
    </cfRule>
    <cfRule type="expression" dxfId="1864" priority="1388">
      <formula>$R85="em recurso"</formula>
    </cfRule>
  </conditionalFormatting>
  <conditionalFormatting sqref="EN99">
    <cfRule type="expression" dxfId="1863" priority="1381">
      <formula>$R99="exigência cumprida"</formula>
    </cfRule>
    <cfRule type="expression" dxfId="1862" priority="1382">
      <formula>$R99="em análise"</formula>
    </cfRule>
    <cfRule type="expression" dxfId="1861" priority="1383">
      <formula>$R99="em exigência"</formula>
    </cfRule>
    <cfRule type="expression" dxfId="1860" priority="1384">
      <formula>$R99="em recurso"</formula>
    </cfRule>
  </conditionalFormatting>
  <conditionalFormatting sqref="EV99">
    <cfRule type="expression" dxfId="1859" priority="1377">
      <formula>$R99="exigência cumprida"</formula>
    </cfRule>
    <cfRule type="expression" dxfId="1858" priority="1378">
      <formula>$R99="em análise"</formula>
    </cfRule>
    <cfRule type="expression" dxfId="1857" priority="1379">
      <formula>$R99="em exigência"</formula>
    </cfRule>
    <cfRule type="expression" dxfId="1856" priority="1380">
      <formula>$R99="em recurso"</formula>
    </cfRule>
  </conditionalFormatting>
  <conditionalFormatting sqref="N22:N23">
    <cfRule type="expression" dxfId="1855" priority="1369">
      <formula>$R22="exigência cumprida"</formula>
    </cfRule>
    <cfRule type="expression" dxfId="1854" priority="1370">
      <formula>$R22="em análise"</formula>
    </cfRule>
    <cfRule type="expression" dxfId="1853" priority="1371">
      <formula>$R22="em exigência"</formula>
    </cfRule>
    <cfRule type="expression" dxfId="1852" priority="1372">
      <formula>$R22="em recurso"</formula>
    </cfRule>
  </conditionalFormatting>
  <conditionalFormatting sqref="O74">
    <cfRule type="expression" dxfId="1851" priority="1365">
      <formula>$R74="exigência cumprida"</formula>
    </cfRule>
    <cfRule type="expression" dxfId="1850" priority="1366">
      <formula>$R74="em análise"</formula>
    </cfRule>
    <cfRule type="expression" dxfId="1849" priority="1367">
      <formula>$R74="em exigência"</formula>
    </cfRule>
    <cfRule type="expression" dxfId="1848" priority="1368">
      <formula>$R74="em recurso"</formula>
    </cfRule>
  </conditionalFormatting>
  <conditionalFormatting sqref="L87">
    <cfRule type="expression" dxfId="1847" priority="1361">
      <formula>$R87="exigência cumprida"</formula>
    </cfRule>
    <cfRule type="expression" dxfId="1846" priority="1362">
      <formula>$R87="em análise"</formula>
    </cfRule>
    <cfRule type="expression" dxfId="1845" priority="1363">
      <formula>$R87="em exigência"</formula>
    </cfRule>
    <cfRule type="expression" dxfId="1844" priority="1364">
      <formula>$R87="em recurso"</formula>
    </cfRule>
  </conditionalFormatting>
  <conditionalFormatting sqref="L88">
    <cfRule type="expression" dxfId="1843" priority="1357">
      <formula>$R88="exigência cumprida"</formula>
    </cfRule>
    <cfRule type="expression" dxfId="1842" priority="1358">
      <formula>$R88="em análise"</formula>
    </cfRule>
    <cfRule type="expression" dxfId="1841" priority="1359">
      <formula>$R88="em exigência"</formula>
    </cfRule>
    <cfRule type="expression" dxfId="1840" priority="1360">
      <formula>$R88="em recurso"</formula>
    </cfRule>
  </conditionalFormatting>
  <conditionalFormatting sqref="L89">
    <cfRule type="expression" dxfId="1839" priority="1353">
      <formula>$R89="exigência cumprida"</formula>
    </cfRule>
    <cfRule type="expression" dxfId="1838" priority="1354">
      <formula>$R89="em análise"</formula>
    </cfRule>
    <cfRule type="expression" dxfId="1837" priority="1355">
      <formula>$R89="em exigência"</formula>
    </cfRule>
    <cfRule type="expression" dxfId="1836" priority="1356">
      <formula>$R89="em recurso"</formula>
    </cfRule>
  </conditionalFormatting>
  <conditionalFormatting sqref="L90">
    <cfRule type="expression" dxfId="1835" priority="1349">
      <formula>$R90="exigência cumprida"</formula>
    </cfRule>
    <cfRule type="expression" dxfId="1834" priority="1350">
      <formula>$R90="em análise"</formula>
    </cfRule>
    <cfRule type="expression" dxfId="1833" priority="1351">
      <formula>$R90="em exigência"</formula>
    </cfRule>
    <cfRule type="expression" dxfId="1832" priority="1352">
      <formula>$R90="em recurso"</formula>
    </cfRule>
  </conditionalFormatting>
  <conditionalFormatting sqref="L95">
    <cfRule type="expression" dxfId="1831" priority="1345">
      <formula>$R95="exigência cumprida"</formula>
    </cfRule>
    <cfRule type="expression" dxfId="1830" priority="1346">
      <formula>$R95="em análise"</formula>
    </cfRule>
    <cfRule type="expression" dxfId="1829" priority="1347">
      <formula>$R95="em exigência"</formula>
    </cfRule>
    <cfRule type="expression" dxfId="1828" priority="1348">
      <formula>$R95="em recurso"</formula>
    </cfRule>
  </conditionalFormatting>
  <conditionalFormatting sqref="L96">
    <cfRule type="expression" dxfId="1827" priority="1341">
      <formula>$R96="exigência cumprida"</formula>
    </cfRule>
    <cfRule type="expression" dxfId="1826" priority="1342">
      <formula>$R96="em análise"</formula>
    </cfRule>
    <cfRule type="expression" dxfId="1825" priority="1343">
      <formula>$R96="em exigência"</formula>
    </cfRule>
    <cfRule type="expression" dxfId="1824" priority="1344">
      <formula>$R96="em recurso"</formula>
    </cfRule>
  </conditionalFormatting>
  <conditionalFormatting sqref="L97">
    <cfRule type="expression" dxfId="1823" priority="1337">
      <formula>$R97="exigência cumprida"</formula>
    </cfRule>
    <cfRule type="expression" dxfId="1822" priority="1338">
      <formula>$R97="em análise"</formula>
    </cfRule>
    <cfRule type="expression" dxfId="1821" priority="1339">
      <formula>$R97="em exigência"</formula>
    </cfRule>
    <cfRule type="expression" dxfId="1820" priority="1340">
      <formula>$R97="em recurso"</formula>
    </cfRule>
  </conditionalFormatting>
  <conditionalFormatting sqref="L100">
    <cfRule type="expression" dxfId="1819" priority="1333">
      <formula>$R100="exigência cumprida"</formula>
    </cfRule>
    <cfRule type="expression" dxfId="1818" priority="1334">
      <formula>$R100="em análise"</formula>
    </cfRule>
    <cfRule type="expression" dxfId="1817" priority="1335">
      <formula>$R100="em exigência"</formula>
    </cfRule>
    <cfRule type="expression" dxfId="1816" priority="1336">
      <formula>$R100="em recurso"</formula>
    </cfRule>
  </conditionalFormatting>
  <conditionalFormatting sqref="L101">
    <cfRule type="expression" dxfId="1815" priority="1329">
      <formula>$R101="exigência cumprida"</formula>
    </cfRule>
    <cfRule type="expression" dxfId="1814" priority="1330">
      <formula>$R101="em análise"</formula>
    </cfRule>
    <cfRule type="expression" dxfId="1813" priority="1331">
      <formula>$R101="em exigência"</formula>
    </cfRule>
    <cfRule type="expression" dxfId="1812" priority="1332">
      <formula>$R101="em recurso"</formula>
    </cfRule>
  </conditionalFormatting>
  <conditionalFormatting sqref="L102:L103">
    <cfRule type="expression" dxfId="1811" priority="1325">
      <formula>$R102="exigência cumprida"</formula>
    </cfRule>
    <cfRule type="expression" dxfId="1810" priority="1326">
      <formula>$R102="em análise"</formula>
    </cfRule>
    <cfRule type="expression" dxfId="1809" priority="1327">
      <formula>$R102="em exigência"</formula>
    </cfRule>
    <cfRule type="expression" dxfId="1808" priority="1328">
      <formula>$R102="em recurso"</formula>
    </cfRule>
  </conditionalFormatting>
  <conditionalFormatting sqref="B16:M16">
    <cfRule type="expression" dxfId="1807" priority="1321">
      <formula>$R16="exigência cumprida"</formula>
    </cfRule>
    <cfRule type="expression" dxfId="1806" priority="1322">
      <formula>$R16="em análise"</formula>
    </cfRule>
    <cfRule type="expression" dxfId="1805" priority="1323">
      <formula>$R16="em exigência"</formula>
    </cfRule>
    <cfRule type="expression" dxfId="1804" priority="1324">
      <formula>$R16="em recurso"</formula>
    </cfRule>
  </conditionalFormatting>
  <conditionalFormatting sqref="EJ28">
    <cfRule type="expression" dxfId="1803" priority="1317">
      <formula>$R28="exigência cumprida"</formula>
    </cfRule>
    <cfRule type="expression" dxfId="1802" priority="1318">
      <formula>$R28="em análise"</formula>
    </cfRule>
    <cfRule type="expression" dxfId="1801" priority="1319">
      <formula>$R28="em exigência"</formula>
    </cfRule>
    <cfRule type="expression" dxfId="1800" priority="1320">
      <formula>$R28="em recurso"</formula>
    </cfRule>
  </conditionalFormatting>
  <conditionalFormatting sqref="EJ29">
    <cfRule type="expression" dxfId="1799" priority="1313">
      <formula>$R29="exigência cumprida"</formula>
    </cfRule>
    <cfRule type="expression" dxfId="1798" priority="1314">
      <formula>$R29="em análise"</formula>
    </cfRule>
    <cfRule type="expression" dxfId="1797" priority="1315">
      <formula>$R29="em exigência"</formula>
    </cfRule>
    <cfRule type="expression" dxfId="1796" priority="1316">
      <formula>$R29="em recurso"</formula>
    </cfRule>
  </conditionalFormatting>
  <conditionalFormatting sqref="EJ41">
    <cfRule type="expression" dxfId="1795" priority="1309">
      <formula>$R41="exigência cumprida"</formula>
    </cfRule>
    <cfRule type="expression" dxfId="1794" priority="1310">
      <formula>$R41="em análise"</formula>
    </cfRule>
    <cfRule type="expression" dxfId="1793" priority="1311">
      <formula>$R41="em exigência"</formula>
    </cfRule>
    <cfRule type="expression" dxfId="1792" priority="1312">
      <formula>$R41="em recurso"</formula>
    </cfRule>
  </conditionalFormatting>
  <conditionalFormatting sqref="EJ42">
    <cfRule type="expression" dxfId="1791" priority="1305">
      <formula>$R42="exigência cumprida"</formula>
    </cfRule>
    <cfRule type="expression" dxfId="1790" priority="1306">
      <formula>$R42="em análise"</formula>
    </cfRule>
    <cfRule type="expression" dxfId="1789" priority="1307">
      <formula>$R42="em exigência"</formula>
    </cfRule>
    <cfRule type="expression" dxfId="1788" priority="1308">
      <formula>$R42="em recurso"</formula>
    </cfRule>
  </conditionalFormatting>
  <conditionalFormatting sqref="EJ47">
    <cfRule type="expression" dxfId="1787" priority="1301">
      <formula>$R47="exigência cumprida"</formula>
    </cfRule>
    <cfRule type="expression" dxfId="1786" priority="1302">
      <formula>$R47="em análise"</formula>
    </cfRule>
    <cfRule type="expression" dxfId="1785" priority="1303">
      <formula>$R47="em exigência"</formula>
    </cfRule>
    <cfRule type="expression" dxfId="1784" priority="1304">
      <formula>$R47="em recurso"</formula>
    </cfRule>
  </conditionalFormatting>
  <conditionalFormatting sqref="EJ50">
    <cfRule type="expression" dxfId="1783" priority="1297">
      <formula>$R50="exigência cumprida"</formula>
    </cfRule>
    <cfRule type="expression" dxfId="1782" priority="1298">
      <formula>$R50="em análise"</formula>
    </cfRule>
    <cfRule type="expression" dxfId="1781" priority="1299">
      <formula>$R50="em exigência"</formula>
    </cfRule>
    <cfRule type="expression" dxfId="1780" priority="1300">
      <formula>$R50="em recurso"</formula>
    </cfRule>
  </conditionalFormatting>
  <conditionalFormatting sqref="EJ51:EK51">
    <cfRule type="expression" dxfId="1779" priority="1293">
      <formula>$R51="exigência cumprida"</formula>
    </cfRule>
    <cfRule type="expression" dxfId="1778" priority="1294">
      <formula>$R51="em análise"</formula>
    </cfRule>
    <cfRule type="expression" dxfId="1777" priority="1295">
      <formula>$R51="em exigência"</formula>
    </cfRule>
    <cfRule type="expression" dxfId="1776" priority="1296">
      <formula>$R51="em recurso"</formula>
    </cfRule>
  </conditionalFormatting>
  <conditionalFormatting sqref="EJ55">
    <cfRule type="expression" dxfId="1775" priority="1289">
      <formula>$R55="exigência cumprida"</formula>
    </cfRule>
    <cfRule type="expression" dxfId="1774" priority="1290">
      <formula>$R55="em análise"</formula>
    </cfRule>
    <cfRule type="expression" dxfId="1773" priority="1291">
      <formula>$R55="em exigência"</formula>
    </cfRule>
    <cfRule type="expression" dxfId="1772" priority="1292">
      <formula>$R55="em recurso"</formula>
    </cfRule>
  </conditionalFormatting>
  <conditionalFormatting sqref="EJ56:EJ58">
    <cfRule type="expression" dxfId="1771" priority="1285">
      <formula>$R56="exigência cumprida"</formula>
    </cfRule>
    <cfRule type="expression" dxfId="1770" priority="1286">
      <formula>$R56="em análise"</formula>
    </cfRule>
    <cfRule type="expression" dxfId="1769" priority="1287">
      <formula>$R56="em exigência"</formula>
    </cfRule>
    <cfRule type="expression" dxfId="1768" priority="1288">
      <formula>$R56="em recurso"</formula>
    </cfRule>
  </conditionalFormatting>
  <conditionalFormatting sqref="EJ59">
    <cfRule type="expression" dxfId="1767" priority="1281">
      <formula>$R59="exigência cumprida"</formula>
    </cfRule>
    <cfRule type="expression" dxfId="1766" priority="1282">
      <formula>$R59="em análise"</formula>
    </cfRule>
    <cfRule type="expression" dxfId="1765" priority="1283">
      <formula>$R59="em exigência"</formula>
    </cfRule>
    <cfRule type="expression" dxfId="1764" priority="1284">
      <formula>$R59="em recurso"</formula>
    </cfRule>
  </conditionalFormatting>
  <conditionalFormatting sqref="EJ62:EK63 EJ60:EJ61 EJ64">
    <cfRule type="expression" dxfId="1763" priority="1277">
      <formula>$R60="exigência cumprida"</formula>
    </cfRule>
    <cfRule type="expression" dxfId="1762" priority="1278">
      <formula>$R60="em análise"</formula>
    </cfRule>
    <cfRule type="expression" dxfId="1761" priority="1279">
      <formula>$R60="em exigência"</formula>
    </cfRule>
    <cfRule type="expression" dxfId="1760" priority="1280">
      <formula>$R60="em recurso"</formula>
    </cfRule>
  </conditionalFormatting>
  <conditionalFormatting sqref="EJ71:EK71 EJ67:EJ70 EJ76:EK76 EJ72:EJ75">
    <cfRule type="expression" dxfId="1759" priority="1273">
      <formula>$R67="exigência cumprida"</formula>
    </cfRule>
    <cfRule type="expression" dxfId="1758" priority="1274">
      <formula>$R67="em análise"</formula>
    </cfRule>
    <cfRule type="expression" dxfId="1757" priority="1275">
      <formula>$R67="em exigência"</formula>
    </cfRule>
    <cfRule type="expression" dxfId="1756" priority="1276">
      <formula>$R67="em recurso"</formula>
    </cfRule>
  </conditionalFormatting>
  <conditionalFormatting sqref="EJ10:EK10">
    <cfRule type="expression" dxfId="1755" priority="1269">
      <formula>$R10="exigência cumprida"</formula>
    </cfRule>
    <cfRule type="expression" dxfId="1754" priority="1270">
      <formula>$R10="em análise"</formula>
    </cfRule>
    <cfRule type="expression" dxfId="1753" priority="1271">
      <formula>$R10="em exigência"</formula>
    </cfRule>
    <cfRule type="expression" dxfId="1752" priority="1272">
      <formula>$R10="em recurso"</formula>
    </cfRule>
  </conditionalFormatting>
  <conditionalFormatting sqref="EJ12:EJ13">
    <cfRule type="expression" dxfId="1751" priority="1265">
      <formula>$R12="exigência cumprida"</formula>
    </cfRule>
    <cfRule type="expression" dxfId="1750" priority="1266">
      <formula>$R12="em análise"</formula>
    </cfRule>
    <cfRule type="expression" dxfId="1749" priority="1267">
      <formula>$R12="em exigência"</formula>
    </cfRule>
    <cfRule type="expression" dxfId="1748" priority="1268">
      <formula>$R12="em recurso"</formula>
    </cfRule>
  </conditionalFormatting>
  <conditionalFormatting sqref="EJ20">
    <cfRule type="expression" dxfId="1747" priority="1261">
      <formula>$R20="exigência cumprida"</formula>
    </cfRule>
    <cfRule type="expression" dxfId="1746" priority="1262">
      <formula>$R20="em análise"</formula>
    </cfRule>
    <cfRule type="expression" dxfId="1745" priority="1263">
      <formula>$R20="em exigência"</formula>
    </cfRule>
    <cfRule type="expression" dxfId="1744" priority="1264">
      <formula>$R20="em recurso"</formula>
    </cfRule>
  </conditionalFormatting>
  <conditionalFormatting sqref="EJ21:EJ22">
    <cfRule type="expression" dxfId="1743" priority="1257">
      <formula>$R21="exigência cumprida"</formula>
    </cfRule>
    <cfRule type="expression" dxfId="1742" priority="1258">
      <formula>$R21="em análise"</formula>
    </cfRule>
    <cfRule type="expression" dxfId="1741" priority="1259">
      <formula>$R21="em exigência"</formula>
    </cfRule>
    <cfRule type="expression" dxfId="1740" priority="1260">
      <formula>$R21="em recurso"</formula>
    </cfRule>
  </conditionalFormatting>
  <conditionalFormatting sqref="EJ34">
    <cfRule type="expression" dxfId="1739" priority="1253">
      <formula>$R34="exigência cumprida"</formula>
    </cfRule>
    <cfRule type="expression" dxfId="1738" priority="1254">
      <formula>$R34="em análise"</formula>
    </cfRule>
    <cfRule type="expression" dxfId="1737" priority="1255">
      <formula>$R34="em exigência"</formula>
    </cfRule>
    <cfRule type="expression" dxfId="1736" priority="1256">
      <formula>$R34="em recurso"</formula>
    </cfRule>
  </conditionalFormatting>
  <conditionalFormatting sqref="EJ35:EJ36">
    <cfRule type="expression" dxfId="1735" priority="1249">
      <formula>$R35="exigência cumprida"</formula>
    </cfRule>
    <cfRule type="expression" dxfId="1734" priority="1250">
      <formula>$R35="em análise"</formula>
    </cfRule>
    <cfRule type="expression" dxfId="1733" priority="1251">
      <formula>$R35="em exigência"</formula>
    </cfRule>
    <cfRule type="expression" dxfId="1732" priority="1252">
      <formula>$R35="em recurso"</formula>
    </cfRule>
  </conditionalFormatting>
  <conditionalFormatting sqref="EJ48:EJ49">
    <cfRule type="expression" dxfId="1731" priority="1245">
      <formula>$R48="exigência cumprida"</formula>
    </cfRule>
    <cfRule type="expression" dxfId="1730" priority="1246">
      <formula>$R48="em análise"</formula>
    </cfRule>
    <cfRule type="expression" dxfId="1729" priority="1247">
      <formula>$R48="em exigência"</formula>
    </cfRule>
    <cfRule type="expression" dxfId="1728" priority="1248">
      <formula>$R48="em recurso"</formula>
    </cfRule>
  </conditionalFormatting>
  <conditionalFormatting sqref="EI49:EI50">
    <cfRule type="expression" dxfId="1727" priority="1241">
      <formula>$R49="exigência cumprida"</formula>
    </cfRule>
    <cfRule type="expression" dxfId="1726" priority="1242">
      <formula>$R49="em análise"</formula>
    </cfRule>
    <cfRule type="expression" dxfId="1725" priority="1243">
      <formula>$R49="em exigência"</formula>
    </cfRule>
    <cfRule type="expression" dxfId="1724" priority="1244">
      <formula>$R49="em recurso"</formula>
    </cfRule>
  </conditionalFormatting>
  <conditionalFormatting sqref="EJ52:EJ54">
    <cfRule type="expression" dxfId="1723" priority="1237">
      <formula>$R52="exigência cumprida"</formula>
    </cfRule>
    <cfRule type="expression" dxfId="1722" priority="1238">
      <formula>$R52="em análise"</formula>
    </cfRule>
    <cfRule type="expression" dxfId="1721" priority="1239">
      <formula>$R52="em exigência"</formula>
    </cfRule>
    <cfRule type="expression" dxfId="1720" priority="1240">
      <formula>$R52="em recurso"</formula>
    </cfRule>
  </conditionalFormatting>
  <conditionalFormatting sqref="EJ79">
    <cfRule type="expression" dxfId="1719" priority="1233">
      <formula>$R79="exigência cumprida"</formula>
    </cfRule>
    <cfRule type="expression" dxfId="1718" priority="1234">
      <formula>$R79="em análise"</formula>
    </cfRule>
    <cfRule type="expression" dxfId="1717" priority="1235">
      <formula>$R79="em exigência"</formula>
    </cfRule>
    <cfRule type="expression" dxfId="1716" priority="1236">
      <formula>$R79="em recurso"</formula>
    </cfRule>
  </conditionalFormatting>
  <conditionalFormatting sqref="EJ80:EJ83">
    <cfRule type="expression" dxfId="1715" priority="1229">
      <formula>$R80="exigência cumprida"</formula>
    </cfRule>
    <cfRule type="expression" dxfId="1714" priority="1230">
      <formula>$R80="em análise"</formula>
    </cfRule>
    <cfRule type="expression" dxfId="1713" priority="1231">
      <formula>$R80="em exigência"</formula>
    </cfRule>
    <cfRule type="expression" dxfId="1712" priority="1232">
      <formula>$R80="em recurso"</formula>
    </cfRule>
  </conditionalFormatting>
  <conditionalFormatting sqref="EJ85">
    <cfRule type="expression" dxfId="1711" priority="1221">
      <formula>$R85="exigência cumprida"</formula>
    </cfRule>
    <cfRule type="expression" dxfId="1710" priority="1222">
      <formula>$R85="em análise"</formula>
    </cfRule>
    <cfRule type="expression" dxfId="1709" priority="1223">
      <formula>$R85="em exigência"</formula>
    </cfRule>
    <cfRule type="expression" dxfId="1708" priority="1224">
      <formula>$R85="em recurso"</formula>
    </cfRule>
  </conditionalFormatting>
  <conditionalFormatting sqref="L108">
    <cfRule type="expression" dxfId="1707" priority="1113">
      <formula>$R108="exigência cumprida"</formula>
    </cfRule>
    <cfRule type="expression" dxfId="1706" priority="1114">
      <formula>$R108="em análise"</formula>
    </cfRule>
    <cfRule type="expression" dxfId="1705" priority="1115">
      <formula>$R108="em exigência"</formula>
    </cfRule>
    <cfRule type="expression" dxfId="1704" priority="1116">
      <formula>$R108="em recurso"</formula>
    </cfRule>
  </conditionalFormatting>
  <conditionalFormatting sqref="EK12">
    <cfRule type="expression" dxfId="1703" priority="1109">
      <formula>$R12="exigência cumprida"</formula>
    </cfRule>
    <cfRule type="expression" dxfId="1702" priority="1110">
      <formula>$R12="em análise"</formula>
    </cfRule>
    <cfRule type="expression" dxfId="1701" priority="1111">
      <formula>$R12="em exigência"</formula>
    </cfRule>
    <cfRule type="expression" dxfId="1700" priority="1112">
      <formula>$R12="em recurso"</formula>
    </cfRule>
  </conditionalFormatting>
  <conditionalFormatting sqref="EK13">
    <cfRule type="expression" dxfId="1699" priority="1105">
      <formula>$R13="exigência cumprida"</formula>
    </cfRule>
    <cfRule type="expression" dxfId="1698" priority="1106">
      <formula>$R13="em análise"</formula>
    </cfRule>
    <cfRule type="expression" dxfId="1697" priority="1107">
      <formula>$R13="em exigência"</formula>
    </cfRule>
    <cfRule type="expression" dxfId="1696" priority="1108">
      <formula>$R13="em recurso"</formula>
    </cfRule>
  </conditionalFormatting>
  <conditionalFormatting sqref="EK20">
    <cfRule type="expression" dxfId="1695" priority="1101">
      <formula>$R20="exigência cumprida"</formula>
    </cfRule>
    <cfRule type="expression" dxfId="1694" priority="1102">
      <formula>$R20="em análise"</formula>
    </cfRule>
    <cfRule type="expression" dxfId="1693" priority="1103">
      <formula>$R20="em exigência"</formula>
    </cfRule>
    <cfRule type="expression" dxfId="1692" priority="1104">
      <formula>$R20="em recurso"</formula>
    </cfRule>
  </conditionalFormatting>
  <conditionalFormatting sqref="EK21">
    <cfRule type="expression" dxfId="1691" priority="1097">
      <formula>$R21="exigência cumprida"</formula>
    </cfRule>
    <cfRule type="expression" dxfId="1690" priority="1098">
      <formula>$R21="em análise"</formula>
    </cfRule>
    <cfRule type="expression" dxfId="1689" priority="1099">
      <formula>$R21="em exigência"</formula>
    </cfRule>
    <cfRule type="expression" dxfId="1688" priority="1100">
      <formula>$R21="em recurso"</formula>
    </cfRule>
  </conditionalFormatting>
  <conditionalFormatting sqref="EK22">
    <cfRule type="expression" dxfId="1687" priority="1093">
      <formula>$R22="exigência cumprida"</formula>
    </cfRule>
    <cfRule type="expression" dxfId="1686" priority="1094">
      <formula>$R22="em análise"</formula>
    </cfRule>
    <cfRule type="expression" dxfId="1685" priority="1095">
      <formula>$R22="em exigência"</formula>
    </cfRule>
    <cfRule type="expression" dxfId="1684" priority="1096">
      <formula>$R22="em recurso"</formula>
    </cfRule>
  </conditionalFormatting>
  <conditionalFormatting sqref="EK28">
    <cfRule type="expression" dxfId="1683" priority="1089">
      <formula>$R28="exigência cumprida"</formula>
    </cfRule>
    <cfRule type="expression" dxfId="1682" priority="1090">
      <formula>$R28="em análise"</formula>
    </cfRule>
    <cfRule type="expression" dxfId="1681" priority="1091">
      <formula>$R28="em exigência"</formula>
    </cfRule>
    <cfRule type="expression" dxfId="1680" priority="1092">
      <formula>$R28="em recurso"</formula>
    </cfRule>
  </conditionalFormatting>
  <conditionalFormatting sqref="EK29">
    <cfRule type="expression" dxfId="1679" priority="1085">
      <formula>$R29="exigência cumprida"</formula>
    </cfRule>
    <cfRule type="expression" dxfId="1678" priority="1086">
      <formula>$R29="em análise"</formula>
    </cfRule>
    <cfRule type="expression" dxfId="1677" priority="1087">
      <formula>$R29="em exigência"</formula>
    </cfRule>
    <cfRule type="expression" dxfId="1676" priority="1088">
      <formula>$R29="em recurso"</formula>
    </cfRule>
  </conditionalFormatting>
  <conditionalFormatting sqref="EK34">
    <cfRule type="expression" dxfId="1675" priority="1081">
      <formula>$R34="exigência cumprida"</formula>
    </cfRule>
    <cfRule type="expression" dxfId="1674" priority="1082">
      <formula>$R34="em análise"</formula>
    </cfRule>
    <cfRule type="expression" dxfId="1673" priority="1083">
      <formula>$R34="em exigência"</formula>
    </cfRule>
    <cfRule type="expression" dxfId="1672" priority="1084">
      <formula>$R34="em recurso"</formula>
    </cfRule>
  </conditionalFormatting>
  <conditionalFormatting sqref="EK35">
    <cfRule type="expression" dxfId="1671" priority="1077">
      <formula>$R35="exigência cumprida"</formula>
    </cfRule>
    <cfRule type="expression" dxfId="1670" priority="1078">
      <formula>$R35="em análise"</formula>
    </cfRule>
    <cfRule type="expression" dxfId="1669" priority="1079">
      <formula>$R35="em exigência"</formula>
    </cfRule>
    <cfRule type="expression" dxfId="1668" priority="1080">
      <formula>$R35="em recurso"</formula>
    </cfRule>
  </conditionalFormatting>
  <conditionalFormatting sqref="EK36">
    <cfRule type="expression" dxfId="1667" priority="1073">
      <formula>$R36="exigência cumprida"</formula>
    </cfRule>
    <cfRule type="expression" dxfId="1666" priority="1074">
      <formula>$R36="em análise"</formula>
    </cfRule>
    <cfRule type="expression" dxfId="1665" priority="1075">
      <formula>$R36="em exigência"</formula>
    </cfRule>
    <cfRule type="expression" dxfId="1664" priority="1076">
      <formula>$R36="em recurso"</formula>
    </cfRule>
  </conditionalFormatting>
  <conditionalFormatting sqref="EK42">
    <cfRule type="expression" dxfId="1663" priority="1069">
      <formula>$R42="exigência cumprida"</formula>
    </cfRule>
    <cfRule type="expression" dxfId="1662" priority="1070">
      <formula>$R42="em análise"</formula>
    </cfRule>
    <cfRule type="expression" dxfId="1661" priority="1071">
      <formula>$R42="em exigência"</formula>
    </cfRule>
    <cfRule type="expression" dxfId="1660" priority="1072">
      <formula>$R42="em recurso"</formula>
    </cfRule>
  </conditionalFormatting>
  <conditionalFormatting sqref="EK41">
    <cfRule type="expression" dxfId="1659" priority="1065">
      <formula>$R41="exigência cumprida"</formula>
    </cfRule>
    <cfRule type="expression" dxfId="1658" priority="1066">
      <formula>$R41="em análise"</formula>
    </cfRule>
    <cfRule type="expression" dxfId="1657" priority="1067">
      <formula>$R41="em exigência"</formula>
    </cfRule>
    <cfRule type="expression" dxfId="1656" priority="1068">
      <formula>$R41="em recurso"</formula>
    </cfRule>
  </conditionalFormatting>
  <conditionalFormatting sqref="EK50">
    <cfRule type="expression" dxfId="1655" priority="1061">
      <formula>$R50="exigência cumprida"</formula>
    </cfRule>
    <cfRule type="expression" dxfId="1654" priority="1062">
      <formula>$R50="em análise"</formula>
    </cfRule>
    <cfRule type="expression" dxfId="1653" priority="1063">
      <formula>$R50="em exigência"</formula>
    </cfRule>
    <cfRule type="expression" dxfId="1652" priority="1064">
      <formula>$R50="em recurso"</formula>
    </cfRule>
  </conditionalFormatting>
  <conditionalFormatting sqref="EK49">
    <cfRule type="expression" dxfId="1651" priority="1057">
      <formula>$R49="exigência cumprida"</formula>
    </cfRule>
    <cfRule type="expression" dxfId="1650" priority="1058">
      <formula>$R49="em análise"</formula>
    </cfRule>
    <cfRule type="expression" dxfId="1649" priority="1059">
      <formula>$R49="em exigência"</formula>
    </cfRule>
    <cfRule type="expression" dxfId="1648" priority="1060">
      <formula>$R49="em recurso"</formula>
    </cfRule>
  </conditionalFormatting>
  <conditionalFormatting sqref="EK48">
    <cfRule type="expression" dxfId="1647" priority="1053">
      <formula>$R48="exigência cumprida"</formula>
    </cfRule>
    <cfRule type="expression" dxfId="1646" priority="1054">
      <formula>$R48="em análise"</formula>
    </cfRule>
    <cfRule type="expression" dxfId="1645" priority="1055">
      <formula>$R48="em exigência"</formula>
    </cfRule>
    <cfRule type="expression" dxfId="1644" priority="1056">
      <formula>$R48="em recurso"</formula>
    </cfRule>
  </conditionalFormatting>
  <conditionalFormatting sqref="EK47">
    <cfRule type="expression" dxfId="1643" priority="1049">
      <formula>$R47="exigência cumprida"</formula>
    </cfRule>
    <cfRule type="expression" dxfId="1642" priority="1050">
      <formula>$R47="em análise"</formula>
    </cfRule>
    <cfRule type="expression" dxfId="1641" priority="1051">
      <formula>$R47="em exigência"</formula>
    </cfRule>
    <cfRule type="expression" dxfId="1640" priority="1052">
      <formula>$R47="em recurso"</formula>
    </cfRule>
  </conditionalFormatting>
  <conditionalFormatting sqref="EK52">
    <cfRule type="expression" dxfId="1639" priority="1045">
      <formula>$R52="exigência cumprida"</formula>
    </cfRule>
    <cfRule type="expression" dxfId="1638" priority="1046">
      <formula>$R52="em análise"</formula>
    </cfRule>
    <cfRule type="expression" dxfId="1637" priority="1047">
      <formula>$R52="em exigência"</formula>
    </cfRule>
    <cfRule type="expression" dxfId="1636" priority="1048">
      <formula>$R52="em recurso"</formula>
    </cfRule>
  </conditionalFormatting>
  <conditionalFormatting sqref="EK53">
    <cfRule type="expression" dxfId="1635" priority="1041">
      <formula>$R53="exigência cumprida"</formula>
    </cfRule>
    <cfRule type="expression" dxfId="1634" priority="1042">
      <formula>$R53="em análise"</formula>
    </cfRule>
    <cfRule type="expression" dxfId="1633" priority="1043">
      <formula>$R53="em exigência"</formula>
    </cfRule>
    <cfRule type="expression" dxfId="1632" priority="1044">
      <formula>$R53="em recurso"</formula>
    </cfRule>
  </conditionalFormatting>
  <conditionalFormatting sqref="EK54">
    <cfRule type="expression" dxfId="1631" priority="1037">
      <formula>$R54="exigência cumprida"</formula>
    </cfRule>
    <cfRule type="expression" dxfId="1630" priority="1038">
      <formula>$R54="em análise"</formula>
    </cfRule>
    <cfRule type="expression" dxfId="1629" priority="1039">
      <formula>$R54="em exigência"</formula>
    </cfRule>
    <cfRule type="expression" dxfId="1628" priority="1040">
      <formula>$R54="em recurso"</formula>
    </cfRule>
  </conditionalFormatting>
  <conditionalFormatting sqref="EK55">
    <cfRule type="expression" dxfId="1627" priority="1033">
      <formula>$R55="exigência cumprida"</formula>
    </cfRule>
    <cfRule type="expression" dxfId="1626" priority="1034">
      <formula>$R55="em análise"</formula>
    </cfRule>
    <cfRule type="expression" dxfId="1625" priority="1035">
      <formula>$R55="em exigência"</formula>
    </cfRule>
    <cfRule type="expression" dxfId="1624" priority="1036">
      <formula>$R55="em recurso"</formula>
    </cfRule>
  </conditionalFormatting>
  <conditionalFormatting sqref="EK56">
    <cfRule type="expression" dxfId="1623" priority="1029">
      <formula>$R56="exigência cumprida"</formula>
    </cfRule>
    <cfRule type="expression" dxfId="1622" priority="1030">
      <formula>$R56="em análise"</formula>
    </cfRule>
    <cfRule type="expression" dxfId="1621" priority="1031">
      <formula>$R56="em exigência"</formula>
    </cfRule>
    <cfRule type="expression" dxfId="1620" priority="1032">
      <formula>$R56="em recurso"</formula>
    </cfRule>
  </conditionalFormatting>
  <conditionalFormatting sqref="EK57">
    <cfRule type="expression" dxfId="1619" priority="1025">
      <formula>$R57="exigência cumprida"</formula>
    </cfRule>
    <cfRule type="expression" dxfId="1618" priority="1026">
      <formula>$R57="em análise"</formula>
    </cfRule>
    <cfRule type="expression" dxfId="1617" priority="1027">
      <formula>$R57="em exigência"</formula>
    </cfRule>
    <cfRule type="expression" dxfId="1616" priority="1028">
      <formula>$R57="em recurso"</formula>
    </cfRule>
  </conditionalFormatting>
  <conditionalFormatting sqref="EK58">
    <cfRule type="expression" dxfId="1615" priority="1021">
      <formula>$R58="exigência cumprida"</formula>
    </cfRule>
    <cfRule type="expression" dxfId="1614" priority="1022">
      <formula>$R58="em análise"</formula>
    </cfRule>
    <cfRule type="expression" dxfId="1613" priority="1023">
      <formula>$R58="em exigência"</formula>
    </cfRule>
    <cfRule type="expression" dxfId="1612" priority="1024">
      <formula>$R58="em recurso"</formula>
    </cfRule>
  </conditionalFormatting>
  <conditionalFormatting sqref="EK59">
    <cfRule type="expression" dxfId="1611" priority="1017">
      <formula>$R59="exigência cumprida"</formula>
    </cfRule>
    <cfRule type="expression" dxfId="1610" priority="1018">
      <formula>$R59="em análise"</formula>
    </cfRule>
    <cfRule type="expression" dxfId="1609" priority="1019">
      <formula>$R59="em exigência"</formula>
    </cfRule>
    <cfRule type="expression" dxfId="1608" priority="1020">
      <formula>$R59="em recurso"</formula>
    </cfRule>
  </conditionalFormatting>
  <conditionalFormatting sqref="EK60">
    <cfRule type="expression" dxfId="1607" priority="1013">
      <formula>$R60="exigência cumprida"</formula>
    </cfRule>
    <cfRule type="expression" dxfId="1606" priority="1014">
      <formula>$R60="em análise"</formula>
    </cfRule>
    <cfRule type="expression" dxfId="1605" priority="1015">
      <formula>$R60="em exigência"</formula>
    </cfRule>
    <cfRule type="expression" dxfId="1604" priority="1016">
      <formula>$R60="em recurso"</formula>
    </cfRule>
  </conditionalFormatting>
  <conditionalFormatting sqref="EK61">
    <cfRule type="expression" dxfId="1603" priority="1009">
      <formula>$R61="exigência cumprida"</formula>
    </cfRule>
    <cfRule type="expression" dxfId="1602" priority="1010">
      <formula>$R61="em análise"</formula>
    </cfRule>
    <cfRule type="expression" dxfId="1601" priority="1011">
      <formula>$R61="em exigência"</formula>
    </cfRule>
    <cfRule type="expression" dxfId="1600" priority="1012">
      <formula>$R61="em recurso"</formula>
    </cfRule>
  </conditionalFormatting>
  <conditionalFormatting sqref="EK64">
    <cfRule type="expression" dxfId="1599" priority="1005">
      <formula>$R64="exigência cumprida"</formula>
    </cfRule>
    <cfRule type="expression" dxfId="1598" priority="1006">
      <formula>$R64="em análise"</formula>
    </cfRule>
    <cfRule type="expression" dxfId="1597" priority="1007">
      <formula>$R64="em exigência"</formula>
    </cfRule>
    <cfRule type="expression" dxfId="1596" priority="1008">
      <formula>$R64="em recurso"</formula>
    </cfRule>
  </conditionalFormatting>
  <conditionalFormatting sqref="EK67">
    <cfRule type="expression" dxfId="1595" priority="1001">
      <formula>$R67="exigência cumprida"</formula>
    </cfRule>
    <cfRule type="expression" dxfId="1594" priority="1002">
      <formula>$R67="em análise"</formula>
    </cfRule>
    <cfRule type="expression" dxfId="1593" priority="1003">
      <formula>$R67="em exigência"</formula>
    </cfRule>
    <cfRule type="expression" dxfId="1592" priority="1004">
      <formula>$R67="em recurso"</formula>
    </cfRule>
  </conditionalFormatting>
  <conditionalFormatting sqref="EK68">
    <cfRule type="expression" dxfId="1591" priority="997">
      <formula>$R68="exigência cumprida"</formula>
    </cfRule>
    <cfRule type="expression" dxfId="1590" priority="998">
      <formula>$R68="em análise"</formula>
    </cfRule>
    <cfRule type="expression" dxfId="1589" priority="999">
      <formula>$R68="em exigência"</formula>
    </cfRule>
    <cfRule type="expression" dxfId="1588" priority="1000">
      <formula>$R68="em recurso"</formula>
    </cfRule>
  </conditionalFormatting>
  <conditionalFormatting sqref="EK69">
    <cfRule type="expression" dxfId="1587" priority="993">
      <formula>$R69="exigência cumprida"</formula>
    </cfRule>
    <cfRule type="expression" dxfId="1586" priority="994">
      <formula>$R69="em análise"</formula>
    </cfRule>
    <cfRule type="expression" dxfId="1585" priority="995">
      <formula>$R69="em exigência"</formula>
    </cfRule>
    <cfRule type="expression" dxfId="1584" priority="996">
      <formula>$R69="em recurso"</formula>
    </cfRule>
  </conditionalFormatting>
  <conditionalFormatting sqref="EK70">
    <cfRule type="expression" dxfId="1583" priority="989">
      <formula>$R70="exigência cumprida"</formula>
    </cfRule>
    <cfRule type="expression" dxfId="1582" priority="990">
      <formula>$R70="em análise"</formula>
    </cfRule>
    <cfRule type="expression" dxfId="1581" priority="991">
      <formula>$R70="em exigência"</formula>
    </cfRule>
    <cfRule type="expression" dxfId="1580" priority="992">
      <formula>$R70="em recurso"</formula>
    </cfRule>
  </conditionalFormatting>
  <conditionalFormatting sqref="EK72">
    <cfRule type="expression" dxfId="1579" priority="985">
      <formula>$R72="exigência cumprida"</formula>
    </cfRule>
    <cfRule type="expression" dxfId="1578" priority="986">
      <formula>$R72="em análise"</formula>
    </cfRule>
    <cfRule type="expression" dxfId="1577" priority="987">
      <formula>$R72="em exigência"</formula>
    </cfRule>
    <cfRule type="expression" dxfId="1576" priority="988">
      <formula>$R72="em recurso"</formula>
    </cfRule>
  </conditionalFormatting>
  <conditionalFormatting sqref="EK73">
    <cfRule type="expression" dxfId="1575" priority="981">
      <formula>$R73="exigência cumprida"</formula>
    </cfRule>
    <cfRule type="expression" dxfId="1574" priority="982">
      <formula>$R73="em análise"</formula>
    </cfRule>
    <cfRule type="expression" dxfId="1573" priority="983">
      <formula>$R73="em exigência"</formula>
    </cfRule>
    <cfRule type="expression" dxfId="1572" priority="984">
      <formula>$R73="em recurso"</formula>
    </cfRule>
  </conditionalFormatting>
  <conditionalFormatting sqref="EK74">
    <cfRule type="expression" dxfId="1571" priority="977">
      <formula>$R74="exigência cumprida"</formula>
    </cfRule>
    <cfRule type="expression" dxfId="1570" priority="978">
      <formula>$R74="em análise"</formula>
    </cfRule>
    <cfRule type="expression" dxfId="1569" priority="979">
      <formula>$R74="em exigência"</formula>
    </cfRule>
    <cfRule type="expression" dxfId="1568" priority="980">
      <formula>$R74="em recurso"</formula>
    </cfRule>
  </conditionalFormatting>
  <conditionalFormatting sqref="EK75">
    <cfRule type="expression" dxfId="1567" priority="973">
      <formula>$R75="exigência cumprida"</formula>
    </cfRule>
    <cfRule type="expression" dxfId="1566" priority="974">
      <formula>$R75="em análise"</formula>
    </cfRule>
    <cfRule type="expression" dxfId="1565" priority="975">
      <formula>$R75="em exigência"</formula>
    </cfRule>
    <cfRule type="expression" dxfId="1564" priority="976">
      <formula>$R75="em recurso"</formula>
    </cfRule>
  </conditionalFormatting>
  <conditionalFormatting sqref="EK83">
    <cfRule type="expression" dxfId="1563" priority="969">
      <formula>$R83="exigência cumprida"</formula>
    </cfRule>
    <cfRule type="expression" dxfId="1562" priority="970">
      <formula>$R83="em análise"</formula>
    </cfRule>
    <cfRule type="expression" dxfId="1561" priority="971">
      <formula>$R83="em exigência"</formula>
    </cfRule>
    <cfRule type="expression" dxfId="1560" priority="972">
      <formula>$R83="em recurso"</formula>
    </cfRule>
  </conditionalFormatting>
  <conditionalFormatting sqref="EK82">
    <cfRule type="expression" dxfId="1559" priority="965">
      <formula>$R82="exigência cumprida"</formula>
    </cfRule>
    <cfRule type="expression" dxfId="1558" priority="966">
      <formula>$R82="em análise"</formula>
    </cfRule>
    <cfRule type="expression" dxfId="1557" priority="967">
      <formula>$R82="em exigência"</formula>
    </cfRule>
    <cfRule type="expression" dxfId="1556" priority="968">
      <formula>$R82="em recurso"</formula>
    </cfRule>
  </conditionalFormatting>
  <conditionalFormatting sqref="EK81">
    <cfRule type="expression" dxfId="1555" priority="961">
      <formula>$R81="exigência cumprida"</formula>
    </cfRule>
    <cfRule type="expression" dxfId="1554" priority="962">
      <formula>$R81="em análise"</formula>
    </cfRule>
    <cfRule type="expression" dxfId="1553" priority="963">
      <formula>$R81="em exigência"</formula>
    </cfRule>
    <cfRule type="expression" dxfId="1552" priority="964">
      <formula>$R81="em recurso"</formula>
    </cfRule>
  </conditionalFormatting>
  <conditionalFormatting sqref="EK79">
    <cfRule type="expression" dxfId="1551" priority="957">
      <formula>$R79="exigência cumprida"</formula>
    </cfRule>
    <cfRule type="expression" dxfId="1550" priority="958">
      <formula>$R79="em análise"</formula>
    </cfRule>
    <cfRule type="expression" dxfId="1549" priority="959">
      <formula>$R79="em exigência"</formula>
    </cfRule>
    <cfRule type="expression" dxfId="1548" priority="960">
      <formula>$R79="em recurso"</formula>
    </cfRule>
  </conditionalFormatting>
  <conditionalFormatting sqref="EK80">
    <cfRule type="expression" dxfId="1547" priority="953">
      <formula>$R80="exigência cumprida"</formula>
    </cfRule>
    <cfRule type="expression" dxfId="1546" priority="954">
      <formula>$R80="em análise"</formula>
    </cfRule>
    <cfRule type="expression" dxfId="1545" priority="955">
      <formula>$R80="em exigência"</formula>
    </cfRule>
    <cfRule type="expression" dxfId="1544" priority="956">
      <formula>$R80="em recurso"</formula>
    </cfRule>
  </conditionalFormatting>
  <conditionalFormatting sqref="EK85">
    <cfRule type="expression" dxfId="1543" priority="949">
      <formula>$R85="exigência cumprida"</formula>
    </cfRule>
    <cfRule type="expression" dxfId="1542" priority="950">
      <formula>$R85="em análise"</formula>
    </cfRule>
    <cfRule type="expression" dxfId="1541" priority="951">
      <formula>$R85="em exigência"</formula>
    </cfRule>
    <cfRule type="expression" dxfId="1540" priority="952">
      <formula>$R85="em recurso"</formula>
    </cfRule>
  </conditionalFormatting>
  <conditionalFormatting sqref="N105:N107">
    <cfRule type="expression" dxfId="1539" priority="765">
      <formula>$R105="exigência cumprida"</formula>
    </cfRule>
    <cfRule type="expression" dxfId="1538" priority="766">
      <formula>$R105="em análise"</formula>
    </cfRule>
    <cfRule type="expression" dxfId="1537" priority="767">
      <formula>$R105="em exigência"</formula>
    </cfRule>
    <cfRule type="expression" dxfId="1536" priority="768">
      <formula>$R105="em recurso"</formula>
    </cfRule>
  </conditionalFormatting>
  <conditionalFormatting sqref="L106">
    <cfRule type="expression" dxfId="1535" priority="761">
      <formula>$R106="exigência cumprida"</formula>
    </cfRule>
    <cfRule type="expression" dxfId="1534" priority="762">
      <formula>$R106="em análise"</formula>
    </cfRule>
    <cfRule type="expression" dxfId="1533" priority="763">
      <formula>$R106="em exigência"</formula>
    </cfRule>
    <cfRule type="expression" dxfId="1532" priority="764">
      <formula>$R106="em recurso"</formula>
    </cfRule>
  </conditionalFormatting>
  <conditionalFormatting sqref="L107">
    <cfRule type="expression" dxfId="1531" priority="757">
      <formula>$R107="exigência cumprida"</formula>
    </cfRule>
    <cfRule type="expression" dxfId="1530" priority="758">
      <formula>$R107="em análise"</formula>
    </cfRule>
    <cfRule type="expression" dxfId="1529" priority="759">
      <formula>$R107="em exigência"</formula>
    </cfRule>
    <cfRule type="expression" dxfId="1528" priority="760">
      <formula>$R107="em recurso"</formula>
    </cfRule>
  </conditionalFormatting>
  <conditionalFormatting sqref="L109">
    <cfRule type="expression" dxfId="1527" priority="753">
      <formula>$R109="exigência cumprida"</formula>
    </cfRule>
    <cfRule type="expression" dxfId="1526" priority="754">
      <formula>$R109="em análise"</formula>
    </cfRule>
    <cfRule type="expression" dxfId="1525" priority="755">
      <formula>$R109="em exigência"</formula>
    </cfRule>
    <cfRule type="expression" dxfId="1524" priority="756">
      <formula>$R109="em recurso"</formula>
    </cfRule>
  </conditionalFormatting>
  <conditionalFormatting sqref="EL10">
    <cfRule type="expression" dxfId="1523" priority="749">
      <formula>$R10="exigência cumprida"</formula>
    </cfRule>
    <cfRule type="expression" dxfId="1522" priority="750">
      <formula>$R10="em análise"</formula>
    </cfRule>
    <cfRule type="expression" dxfId="1521" priority="751">
      <formula>$R10="em exigência"</formula>
    </cfRule>
    <cfRule type="expression" dxfId="1520" priority="752">
      <formula>$R10="em recurso"</formula>
    </cfRule>
  </conditionalFormatting>
  <conditionalFormatting sqref="EL13">
    <cfRule type="expression" dxfId="1519" priority="745">
      <formula>$R13="exigência cumprida"</formula>
    </cfRule>
    <cfRule type="expression" dxfId="1518" priority="746">
      <formula>$R13="em análise"</formula>
    </cfRule>
    <cfRule type="expression" dxfId="1517" priority="747">
      <formula>$R13="em exigência"</formula>
    </cfRule>
    <cfRule type="expression" dxfId="1516" priority="748">
      <formula>$R13="em recurso"</formula>
    </cfRule>
  </conditionalFormatting>
  <conditionalFormatting sqref="EL20">
    <cfRule type="expression" dxfId="1515" priority="741">
      <formula>$R20="exigência cumprida"</formula>
    </cfRule>
    <cfRule type="expression" dxfId="1514" priority="742">
      <formula>$R20="em análise"</formula>
    </cfRule>
    <cfRule type="expression" dxfId="1513" priority="743">
      <formula>$R20="em exigência"</formula>
    </cfRule>
    <cfRule type="expression" dxfId="1512" priority="744">
      <formula>$R20="em recurso"</formula>
    </cfRule>
  </conditionalFormatting>
  <conditionalFormatting sqref="EL21">
    <cfRule type="expression" dxfId="1511" priority="737">
      <formula>$R21="exigência cumprida"</formula>
    </cfRule>
    <cfRule type="expression" dxfId="1510" priority="738">
      <formula>$R21="em análise"</formula>
    </cfRule>
    <cfRule type="expression" dxfId="1509" priority="739">
      <formula>$R21="em exigência"</formula>
    </cfRule>
    <cfRule type="expression" dxfId="1508" priority="740">
      <formula>$R21="em recurso"</formula>
    </cfRule>
  </conditionalFormatting>
  <conditionalFormatting sqref="EL22">
    <cfRule type="expression" dxfId="1507" priority="733">
      <formula>$R22="exigência cumprida"</formula>
    </cfRule>
    <cfRule type="expression" dxfId="1506" priority="734">
      <formula>$R22="em análise"</formula>
    </cfRule>
    <cfRule type="expression" dxfId="1505" priority="735">
      <formula>$R22="em exigência"</formula>
    </cfRule>
    <cfRule type="expression" dxfId="1504" priority="736">
      <formula>$R22="em recurso"</formula>
    </cfRule>
  </conditionalFormatting>
  <conditionalFormatting sqref="EL28">
    <cfRule type="expression" dxfId="1503" priority="729">
      <formula>$R28="exigência cumprida"</formula>
    </cfRule>
    <cfRule type="expression" dxfId="1502" priority="730">
      <formula>$R28="em análise"</formula>
    </cfRule>
    <cfRule type="expression" dxfId="1501" priority="731">
      <formula>$R28="em exigência"</formula>
    </cfRule>
    <cfRule type="expression" dxfId="1500" priority="732">
      <formula>$R28="em recurso"</formula>
    </cfRule>
  </conditionalFormatting>
  <conditionalFormatting sqref="EL29">
    <cfRule type="expression" dxfId="1499" priority="725">
      <formula>$R29="exigência cumprida"</formula>
    </cfRule>
    <cfRule type="expression" dxfId="1498" priority="726">
      <formula>$R29="em análise"</formula>
    </cfRule>
    <cfRule type="expression" dxfId="1497" priority="727">
      <formula>$R29="em exigência"</formula>
    </cfRule>
    <cfRule type="expression" dxfId="1496" priority="728">
      <formula>$R29="em recurso"</formula>
    </cfRule>
  </conditionalFormatting>
  <conditionalFormatting sqref="EL34">
    <cfRule type="expression" dxfId="1495" priority="721">
      <formula>$R34="exigência cumprida"</formula>
    </cfRule>
    <cfRule type="expression" dxfId="1494" priority="722">
      <formula>$R34="em análise"</formula>
    </cfRule>
    <cfRule type="expression" dxfId="1493" priority="723">
      <formula>$R34="em exigência"</formula>
    </cfRule>
    <cfRule type="expression" dxfId="1492" priority="724">
      <formula>$R34="em recurso"</formula>
    </cfRule>
  </conditionalFormatting>
  <conditionalFormatting sqref="EL35">
    <cfRule type="expression" dxfId="1491" priority="717">
      <formula>$R35="exigência cumprida"</formula>
    </cfRule>
    <cfRule type="expression" dxfId="1490" priority="718">
      <formula>$R35="em análise"</formula>
    </cfRule>
    <cfRule type="expression" dxfId="1489" priority="719">
      <formula>$R35="em exigência"</formula>
    </cfRule>
    <cfRule type="expression" dxfId="1488" priority="720">
      <formula>$R35="em recurso"</formula>
    </cfRule>
  </conditionalFormatting>
  <conditionalFormatting sqref="EL36">
    <cfRule type="expression" dxfId="1487" priority="713">
      <formula>$R36="exigência cumprida"</formula>
    </cfRule>
    <cfRule type="expression" dxfId="1486" priority="714">
      <formula>$R36="em análise"</formula>
    </cfRule>
    <cfRule type="expression" dxfId="1485" priority="715">
      <formula>$R36="em exigência"</formula>
    </cfRule>
    <cfRule type="expression" dxfId="1484" priority="716">
      <formula>$R36="em recurso"</formula>
    </cfRule>
  </conditionalFormatting>
  <conditionalFormatting sqref="EL47">
    <cfRule type="expression" dxfId="1483" priority="709">
      <formula>$R47="exigência cumprida"</formula>
    </cfRule>
    <cfRule type="expression" dxfId="1482" priority="710">
      <formula>$R47="em análise"</formula>
    </cfRule>
    <cfRule type="expression" dxfId="1481" priority="711">
      <formula>$R47="em exigência"</formula>
    </cfRule>
    <cfRule type="expression" dxfId="1480" priority="712">
      <formula>$R47="em recurso"</formula>
    </cfRule>
  </conditionalFormatting>
  <conditionalFormatting sqref="EL48">
    <cfRule type="expression" dxfId="1479" priority="705">
      <formula>$R48="exigência cumprida"</formula>
    </cfRule>
    <cfRule type="expression" dxfId="1478" priority="706">
      <formula>$R48="em análise"</formula>
    </cfRule>
    <cfRule type="expression" dxfId="1477" priority="707">
      <formula>$R48="em exigência"</formula>
    </cfRule>
    <cfRule type="expression" dxfId="1476" priority="708">
      <formula>$R48="em recurso"</formula>
    </cfRule>
  </conditionalFormatting>
  <conditionalFormatting sqref="EL49">
    <cfRule type="expression" dxfId="1475" priority="701">
      <formula>$R49="exigência cumprida"</formula>
    </cfRule>
    <cfRule type="expression" dxfId="1474" priority="702">
      <formula>$R49="em análise"</formula>
    </cfRule>
    <cfRule type="expression" dxfId="1473" priority="703">
      <formula>$R49="em exigência"</formula>
    </cfRule>
    <cfRule type="expression" dxfId="1472" priority="704">
      <formula>$R49="em recurso"</formula>
    </cfRule>
  </conditionalFormatting>
  <conditionalFormatting sqref="EL50">
    <cfRule type="expression" dxfId="1471" priority="697">
      <formula>$R50="exigência cumprida"</formula>
    </cfRule>
    <cfRule type="expression" dxfId="1470" priority="698">
      <formula>$R50="em análise"</formula>
    </cfRule>
    <cfRule type="expression" dxfId="1469" priority="699">
      <formula>$R50="em exigência"</formula>
    </cfRule>
    <cfRule type="expression" dxfId="1468" priority="700">
      <formula>$R50="em recurso"</formula>
    </cfRule>
  </conditionalFormatting>
  <conditionalFormatting sqref="EL51">
    <cfRule type="expression" dxfId="1467" priority="693">
      <formula>$R51="exigência cumprida"</formula>
    </cfRule>
    <cfRule type="expression" dxfId="1466" priority="694">
      <formula>$R51="em análise"</formula>
    </cfRule>
    <cfRule type="expression" dxfId="1465" priority="695">
      <formula>$R51="em exigência"</formula>
    </cfRule>
    <cfRule type="expression" dxfId="1464" priority="696">
      <formula>$R51="em recurso"</formula>
    </cfRule>
  </conditionalFormatting>
  <conditionalFormatting sqref="EL52">
    <cfRule type="expression" dxfId="1463" priority="689">
      <formula>$R52="exigência cumprida"</formula>
    </cfRule>
    <cfRule type="expression" dxfId="1462" priority="690">
      <formula>$R52="em análise"</formula>
    </cfRule>
    <cfRule type="expression" dxfId="1461" priority="691">
      <formula>$R52="em exigência"</formula>
    </cfRule>
    <cfRule type="expression" dxfId="1460" priority="692">
      <formula>$R52="em recurso"</formula>
    </cfRule>
  </conditionalFormatting>
  <conditionalFormatting sqref="EL53">
    <cfRule type="expression" dxfId="1459" priority="685">
      <formula>$R53="exigência cumprida"</formula>
    </cfRule>
    <cfRule type="expression" dxfId="1458" priority="686">
      <formula>$R53="em análise"</formula>
    </cfRule>
    <cfRule type="expression" dxfId="1457" priority="687">
      <formula>$R53="em exigência"</formula>
    </cfRule>
    <cfRule type="expression" dxfId="1456" priority="688">
      <formula>$R53="em recurso"</formula>
    </cfRule>
  </conditionalFormatting>
  <conditionalFormatting sqref="EL54">
    <cfRule type="expression" dxfId="1455" priority="681">
      <formula>$R54="exigência cumprida"</formula>
    </cfRule>
    <cfRule type="expression" dxfId="1454" priority="682">
      <formula>$R54="em análise"</formula>
    </cfRule>
    <cfRule type="expression" dxfId="1453" priority="683">
      <formula>$R54="em exigência"</formula>
    </cfRule>
    <cfRule type="expression" dxfId="1452" priority="684">
      <formula>$R54="em recurso"</formula>
    </cfRule>
  </conditionalFormatting>
  <conditionalFormatting sqref="EL55">
    <cfRule type="expression" dxfId="1451" priority="677">
      <formula>$R55="exigência cumprida"</formula>
    </cfRule>
    <cfRule type="expression" dxfId="1450" priority="678">
      <formula>$R55="em análise"</formula>
    </cfRule>
    <cfRule type="expression" dxfId="1449" priority="679">
      <formula>$R55="em exigência"</formula>
    </cfRule>
    <cfRule type="expression" dxfId="1448" priority="680">
      <formula>$R55="em recurso"</formula>
    </cfRule>
  </conditionalFormatting>
  <conditionalFormatting sqref="EL57">
    <cfRule type="expression" dxfId="1447" priority="673">
      <formula>$R57="exigência cumprida"</formula>
    </cfRule>
    <cfRule type="expression" dxfId="1446" priority="674">
      <formula>$R57="em análise"</formula>
    </cfRule>
    <cfRule type="expression" dxfId="1445" priority="675">
      <formula>$R57="em exigência"</formula>
    </cfRule>
    <cfRule type="expression" dxfId="1444" priority="676">
      <formula>$R57="em recurso"</formula>
    </cfRule>
  </conditionalFormatting>
  <conditionalFormatting sqref="EL56">
    <cfRule type="expression" dxfId="1443" priority="669">
      <formula>$R56="exigência cumprida"</formula>
    </cfRule>
    <cfRule type="expression" dxfId="1442" priority="670">
      <formula>$R56="em análise"</formula>
    </cfRule>
    <cfRule type="expression" dxfId="1441" priority="671">
      <formula>$R56="em exigência"</formula>
    </cfRule>
    <cfRule type="expression" dxfId="1440" priority="672">
      <formula>$R56="em recurso"</formula>
    </cfRule>
  </conditionalFormatting>
  <conditionalFormatting sqref="EL58">
    <cfRule type="expression" dxfId="1439" priority="665">
      <formula>$R58="exigência cumprida"</formula>
    </cfRule>
    <cfRule type="expression" dxfId="1438" priority="666">
      <formula>$R58="em análise"</formula>
    </cfRule>
    <cfRule type="expression" dxfId="1437" priority="667">
      <formula>$R58="em exigência"</formula>
    </cfRule>
    <cfRule type="expression" dxfId="1436" priority="668">
      <formula>$R58="em recurso"</formula>
    </cfRule>
  </conditionalFormatting>
  <conditionalFormatting sqref="EL59">
    <cfRule type="expression" dxfId="1435" priority="661">
      <formula>$R59="exigência cumprida"</formula>
    </cfRule>
    <cfRule type="expression" dxfId="1434" priority="662">
      <formula>$R59="em análise"</formula>
    </cfRule>
    <cfRule type="expression" dxfId="1433" priority="663">
      <formula>$R59="em exigência"</formula>
    </cfRule>
    <cfRule type="expression" dxfId="1432" priority="664">
      <formula>$R59="em recurso"</formula>
    </cfRule>
  </conditionalFormatting>
  <conditionalFormatting sqref="EL60">
    <cfRule type="expression" dxfId="1431" priority="657">
      <formula>$R60="exigência cumprida"</formula>
    </cfRule>
    <cfRule type="expression" dxfId="1430" priority="658">
      <formula>$R60="em análise"</formula>
    </cfRule>
    <cfRule type="expression" dxfId="1429" priority="659">
      <formula>$R60="em exigência"</formula>
    </cfRule>
    <cfRule type="expression" dxfId="1428" priority="660">
      <formula>$R60="em recurso"</formula>
    </cfRule>
  </conditionalFormatting>
  <conditionalFormatting sqref="EL61">
    <cfRule type="expression" dxfId="1427" priority="653">
      <formula>$R61="exigência cumprida"</formula>
    </cfRule>
    <cfRule type="expression" dxfId="1426" priority="654">
      <formula>$R61="em análise"</formula>
    </cfRule>
    <cfRule type="expression" dxfId="1425" priority="655">
      <formula>$R61="em exigência"</formula>
    </cfRule>
    <cfRule type="expression" dxfId="1424" priority="656">
      <formula>$R61="em recurso"</formula>
    </cfRule>
  </conditionalFormatting>
  <conditionalFormatting sqref="EL62">
    <cfRule type="expression" dxfId="1423" priority="649">
      <formula>$R62="exigência cumprida"</formula>
    </cfRule>
    <cfRule type="expression" dxfId="1422" priority="650">
      <formula>$R62="em análise"</formula>
    </cfRule>
    <cfRule type="expression" dxfId="1421" priority="651">
      <formula>$R62="em exigência"</formula>
    </cfRule>
    <cfRule type="expression" dxfId="1420" priority="652">
      <formula>$R62="em recurso"</formula>
    </cfRule>
  </conditionalFormatting>
  <conditionalFormatting sqref="EL63">
    <cfRule type="expression" dxfId="1419" priority="645">
      <formula>$R63="exigência cumprida"</formula>
    </cfRule>
    <cfRule type="expression" dxfId="1418" priority="646">
      <formula>$R63="em análise"</formula>
    </cfRule>
    <cfRule type="expression" dxfId="1417" priority="647">
      <formula>$R63="em exigência"</formula>
    </cfRule>
    <cfRule type="expression" dxfId="1416" priority="648">
      <formula>$R63="em recurso"</formula>
    </cfRule>
  </conditionalFormatting>
  <conditionalFormatting sqref="EL64">
    <cfRule type="expression" dxfId="1415" priority="641">
      <formula>$R64="exigência cumprida"</formula>
    </cfRule>
    <cfRule type="expression" dxfId="1414" priority="642">
      <formula>$R64="em análise"</formula>
    </cfRule>
    <cfRule type="expression" dxfId="1413" priority="643">
      <formula>$R64="em exigência"</formula>
    </cfRule>
    <cfRule type="expression" dxfId="1412" priority="644">
      <formula>$R64="em recurso"</formula>
    </cfRule>
  </conditionalFormatting>
  <conditionalFormatting sqref="EL67">
    <cfRule type="expression" dxfId="1411" priority="637">
      <formula>$R67="exigência cumprida"</formula>
    </cfRule>
    <cfRule type="expression" dxfId="1410" priority="638">
      <formula>$R67="em análise"</formula>
    </cfRule>
    <cfRule type="expression" dxfId="1409" priority="639">
      <formula>$R67="em exigência"</formula>
    </cfRule>
    <cfRule type="expression" dxfId="1408" priority="640">
      <formula>$R67="em recurso"</formula>
    </cfRule>
  </conditionalFormatting>
  <conditionalFormatting sqref="EL68">
    <cfRule type="expression" dxfId="1407" priority="633">
      <formula>$R68="exigência cumprida"</formula>
    </cfRule>
    <cfRule type="expression" dxfId="1406" priority="634">
      <formula>$R68="em análise"</formula>
    </cfRule>
    <cfRule type="expression" dxfId="1405" priority="635">
      <formula>$R68="em exigência"</formula>
    </cfRule>
    <cfRule type="expression" dxfId="1404" priority="636">
      <formula>$R68="em recurso"</formula>
    </cfRule>
  </conditionalFormatting>
  <conditionalFormatting sqref="EL69">
    <cfRule type="expression" dxfId="1403" priority="629">
      <formula>$R69="exigência cumprida"</formula>
    </cfRule>
    <cfRule type="expression" dxfId="1402" priority="630">
      <formula>$R69="em análise"</formula>
    </cfRule>
    <cfRule type="expression" dxfId="1401" priority="631">
      <formula>$R69="em exigência"</formula>
    </cfRule>
    <cfRule type="expression" dxfId="1400" priority="632">
      <formula>$R69="em recurso"</formula>
    </cfRule>
  </conditionalFormatting>
  <conditionalFormatting sqref="EL70">
    <cfRule type="expression" dxfId="1399" priority="625">
      <formula>$R70="exigência cumprida"</formula>
    </cfRule>
    <cfRule type="expression" dxfId="1398" priority="626">
      <formula>$R70="em análise"</formula>
    </cfRule>
    <cfRule type="expression" dxfId="1397" priority="627">
      <formula>$R70="em exigência"</formula>
    </cfRule>
    <cfRule type="expression" dxfId="1396" priority="628">
      <formula>$R70="em recurso"</formula>
    </cfRule>
  </conditionalFormatting>
  <conditionalFormatting sqref="EL71">
    <cfRule type="expression" dxfId="1395" priority="621">
      <formula>$R71="exigência cumprida"</formula>
    </cfRule>
    <cfRule type="expression" dxfId="1394" priority="622">
      <formula>$R71="em análise"</formula>
    </cfRule>
    <cfRule type="expression" dxfId="1393" priority="623">
      <formula>$R71="em exigência"</formula>
    </cfRule>
    <cfRule type="expression" dxfId="1392" priority="624">
      <formula>$R71="em recurso"</formula>
    </cfRule>
  </conditionalFormatting>
  <conditionalFormatting sqref="EL72">
    <cfRule type="expression" dxfId="1391" priority="617">
      <formula>$R72="exigência cumprida"</formula>
    </cfRule>
    <cfRule type="expression" dxfId="1390" priority="618">
      <formula>$R72="em análise"</formula>
    </cfRule>
    <cfRule type="expression" dxfId="1389" priority="619">
      <formula>$R72="em exigência"</formula>
    </cfRule>
    <cfRule type="expression" dxfId="1388" priority="620">
      <formula>$R72="em recurso"</formula>
    </cfRule>
  </conditionalFormatting>
  <conditionalFormatting sqref="EL73">
    <cfRule type="expression" dxfId="1387" priority="613">
      <formula>$R73="exigência cumprida"</formula>
    </cfRule>
    <cfRule type="expression" dxfId="1386" priority="614">
      <formula>$R73="em análise"</formula>
    </cfRule>
    <cfRule type="expression" dxfId="1385" priority="615">
      <formula>$R73="em exigência"</formula>
    </cfRule>
    <cfRule type="expression" dxfId="1384" priority="616">
      <formula>$R73="em recurso"</formula>
    </cfRule>
  </conditionalFormatting>
  <conditionalFormatting sqref="EL74">
    <cfRule type="expression" dxfId="1383" priority="609">
      <formula>$R74="exigência cumprida"</formula>
    </cfRule>
    <cfRule type="expression" dxfId="1382" priority="610">
      <formula>$R74="em análise"</formula>
    </cfRule>
    <cfRule type="expression" dxfId="1381" priority="611">
      <formula>$R74="em exigência"</formula>
    </cfRule>
    <cfRule type="expression" dxfId="1380" priority="612">
      <formula>$R74="em recurso"</formula>
    </cfRule>
  </conditionalFormatting>
  <conditionalFormatting sqref="EL75">
    <cfRule type="expression" dxfId="1379" priority="605">
      <formula>$R75="exigência cumprida"</formula>
    </cfRule>
    <cfRule type="expression" dxfId="1378" priority="606">
      <formula>$R75="em análise"</formula>
    </cfRule>
    <cfRule type="expression" dxfId="1377" priority="607">
      <formula>$R75="em exigência"</formula>
    </cfRule>
    <cfRule type="expression" dxfId="1376" priority="608">
      <formula>$R75="em recurso"</formula>
    </cfRule>
  </conditionalFormatting>
  <conditionalFormatting sqref="EL76">
    <cfRule type="expression" dxfId="1375" priority="601">
      <formula>$R76="exigência cumprida"</formula>
    </cfRule>
    <cfRule type="expression" dxfId="1374" priority="602">
      <formula>$R76="em análise"</formula>
    </cfRule>
    <cfRule type="expression" dxfId="1373" priority="603">
      <formula>$R76="em exigência"</formula>
    </cfRule>
    <cfRule type="expression" dxfId="1372" priority="604">
      <formula>$R76="em recurso"</formula>
    </cfRule>
  </conditionalFormatting>
  <conditionalFormatting sqref="EL79:EM79">
    <cfRule type="expression" dxfId="1371" priority="597">
      <formula>$R79="exigência cumprida"</formula>
    </cfRule>
    <cfRule type="expression" dxfId="1370" priority="598">
      <formula>$R79="em análise"</formula>
    </cfRule>
    <cfRule type="expression" dxfId="1369" priority="599">
      <formula>$R79="em exigência"</formula>
    </cfRule>
    <cfRule type="expression" dxfId="1368" priority="600">
      <formula>$R79="em recurso"</formula>
    </cfRule>
  </conditionalFormatting>
  <conditionalFormatting sqref="EL80">
    <cfRule type="expression" dxfId="1367" priority="593">
      <formula>$R80="exigência cumprida"</formula>
    </cfRule>
    <cfRule type="expression" dxfId="1366" priority="594">
      <formula>$R80="em análise"</formula>
    </cfRule>
    <cfRule type="expression" dxfId="1365" priority="595">
      <formula>$R80="em exigência"</formula>
    </cfRule>
    <cfRule type="expression" dxfId="1364" priority="596">
      <formula>$R80="em recurso"</formula>
    </cfRule>
  </conditionalFormatting>
  <conditionalFormatting sqref="EL81">
    <cfRule type="expression" dxfId="1363" priority="589">
      <formula>$R81="exigência cumprida"</formula>
    </cfRule>
    <cfRule type="expression" dxfId="1362" priority="590">
      <formula>$R81="em análise"</formula>
    </cfRule>
    <cfRule type="expression" dxfId="1361" priority="591">
      <formula>$R81="em exigência"</formula>
    </cfRule>
    <cfRule type="expression" dxfId="1360" priority="592">
      <formula>$R81="em recurso"</formula>
    </cfRule>
  </conditionalFormatting>
  <conditionalFormatting sqref="EL82">
    <cfRule type="expression" dxfId="1359" priority="585">
      <formula>$R82="exigência cumprida"</formula>
    </cfRule>
    <cfRule type="expression" dxfId="1358" priority="586">
      <formula>$R82="em análise"</formula>
    </cfRule>
    <cfRule type="expression" dxfId="1357" priority="587">
      <formula>$R82="em exigência"</formula>
    </cfRule>
    <cfRule type="expression" dxfId="1356" priority="588">
      <formula>$R82="em recurso"</formula>
    </cfRule>
  </conditionalFormatting>
  <conditionalFormatting sqref="EL83">
    <cfRule type="expression" dxfId="1355" priority="581">
      <formula>$R83="exigência cumprida"</formula>
    </cfRule>
    <cfRule type="expression" dxfId="1354" priority="582">
      <formula>$R83="em análise"</formula>
    </cfRule>
    <cfRule type="expression" dxfId="1353" priority="583">
      <formula>$R83="em exigência"</formula>
    </cfRule>
    <cfRule type="expression" dxfId="1352" priority="584">
      <formula>$R83="em recurso"</formula>
    </cfRule>
  </conditionalFormatting>
  <conditionalFormatting sqref="EL85">
    <cfRule type="expression" dxfId="1351" priority="577">
      <formula>$R85="exigência cumprida"</formula>
    </cfRule>
    <cfRule type="expression" dxfId="1350" priority="578">
      <formula>$R85="em análise"</formula>
    </cfRule>
    <cfRule type="expression" dxfId="1349" priority="579">
      <formula>$R85="em exigência"</formula>
    </cfRule>
    <cfRule type="expression" dxfId="1348" priority="580">
      <formula>$R85="em recurso"</formula>
    </cfRule>
  </conditionalFormatting>
  <conditionalFormatting sqref="EL12">
    <cfRule type="expression" dxfId="1347" priority="573">
      <formula>$R12="exigência cumprida"</formula>
    </cfRule>
    <cfRule type="expression" dxfId="1346" priority="574">
      <formula>$R12="em análise"</formula>
    </cfRule>
    <cfRule type="expression" dxfId="1345" priority="575">
      <formula>$R12="em exigência"</formula>
    </cfRule>
    <cfRule type="expression" dxfId="1344" priority="576">
      <formula>$R12="em recurso"</formula>
    </cfRule>
  </conditionalFormatting>
  <conditionalFormatting sqref="EL41:EL42">
    <cfRule type="expression" dxfId="1343" priority="569">
      <formula>$R41="exigência cumprida"</formula>
    </cfRule>
    <cfRule type="expression" dxfId="1342" priority="570">
      <formula>$R41="em análise"</formula>
    </cfRule>
    <cfRule type="expression" dxfId="1341" priority="571">
      <formula>$R41="em exigência"</formula>
    </cfRule>
    <cfRule type="expression" dxfId="1340" priority="572">
      <formula>$R41="em recurso"</formula>
    </cfRule>
  </conditionalFormatting>
  <conditionalFormatting sqref="X108">
    <cfRule type="expression" dxfId="1339" priority="381">
      <formula>$R108="exigência cumprida"</formula>
    </cfRule>
    <cfRule type="expression" dxfId="1338" priority="382">
      <formula>$R108="em análise"</formula>
    </cfRule>
    <cfRule type="expression" dxfId="1337" priority="383">
      <formula>$R108="em exigência"</formula>
    </cfRule>
    <cfRule type="expression" dxfId="1336" priority="384">
      <formula>$R108="em recurso"</formula>
    </cfRule>
  </conditionalFormatting>
  <conditionalFormatting sqref="EV103">
    <cfRule type="expression" dxfId="1335" priority="377">
      <formula>$R103="exigência cumprida"</formula>
    </cfRule>
    <cfRule type="expression" dxfId="1334" priority="378">
      <formula>$R103="em análise"</formula>
    </cfRule>
    <cfRule type="expression" dxfId="1333" priority="379">
      <formula>$R103="em exigência"</formula>
    </cfRule>
    <cfRule type="expression" dxfId="1332" priority="380">
      <formula>$R103="em recurso"</formula>
    </cfRule>
  </conditionalFormatting>
  <conditionalFormatting sqref="ET104:EV104">
    <cfRule type="expression" dxfId="1331" priority="373">
      <formula>$R104="exigência cumprida"</formula>
    </cfRule>
    <cfRule type="expression" dxfId="1330" priority="374">
      <formula>$R104="em análise"</formula>
    </cfRule>
    <cfRule type="expression" dxfId="1329" priority="375">
      <formula>$R104="em exigência"</formula>
    </cfRule>
    <cfRule type="expression" dxfId="1328" priority="376">
      <formula>$R104="em recurso"</formula>
    </cfRule>
  </conditionalFormatting>
  <conditionalFormatting sqref="ET107:EV107">
    <cfRule type="expression" dxfId="1327" priority="369">
      <formula>$R107="exigência cumprida"</formula>
    </cfRule>
    <cfRule type="expression" dxfId="1326" priority="370">
      <formula>$R107="em análise"</formula>
    </cfRule>
    <cfRule type="expression" dxfId="1325" priority="371">
      <formula>$R107="em exigência"</formula>
    </cfRule>
    <cfRule type="expression" dxfId="1324" priority="372">
      <formula>$R107="em recurso"</formula>
    </cfRule>
  </conditionalFormatting>
  <conditionalFormatting sqref="Q108">
    <cfRule type="expression" dxfId="1323" priority="365">
      <formula>$R108="exigência cumprida"</formula>
    </cfRule>
    <cfRule type="expression" dxfId="1322" priority="366">
      <formula>$R108="em análise"</formula>
    </cfRule>
    <cfRule type="expression" dxfId="1321" priority="367">
      <formula>$R108="em exigência"</formula>
    </cfRule>
    <cfRule type="expression" dxfId="1320" priority="368">
      <formula>$R108="em recurso"</formula>
    </cfRule>
  </conditionalFormatting>
  <conditionalFormatting sqref="EM10">
    <cfRule type="expression" dxfId="1319" priority="361">
      <formula>$R10="exigência cumprida"</formula>
    </cfRule>
    <cfRule type="expression" dxfId="1318" priority="362">
      <formula>$R10="em análise"</formula>
    </cfRule>
    <cfRule type="expression" dxfId="1317" priority="363">
      <formula>$R10="em exigência"</formula>
    </cfRule>
    <cfRule type="expression" dxfId="1316" priority="364">
      <formula>$R10="em recurso"</formula>
    </cfRule>
  </conditionalFormatting>
  <conditionalFormatting sqref="EM20">
    <cfRule type="expression" dxfId="1315" priority="357">
      <formula>$R20="exigência cumprida"</formula>
    </cfRule>
    <cfRule type="expression" dxfId="1314" priority="358">
      <formula>$R20="em análise"</formula>
    </cfRule>
    <cfRule type="expression" dxfId="1313" priority="359">
      <formula>$R20="em exigência"</formula>
    </cfRule>
    <cfRule type="expression" dxfId="1312" priority="360">
      <formula>$R20="em recurso"</formula>
    </cfRule>
  </conditionalFormatting>
  <conditionalFormatting sqref="EM28">
    <cfRule type="expression" dxfId="1311" priority="353">
      <formula>$R28="exigência cumprida"</formula>
    </cfRule>
    <cfRule type="expression" dxfId="1310" priority="354">
      <formula>$R28="em análise"</formula>
    </cfRule>
    <cfRule type="expression" dxfId="1309" priority="355">
      <formula>$R28="em exigência"</formula>
    </cfRule>
    <cfRule type="expression" dxfId="1308" priority="356">
      <formula>$R28="em recurso"</formula>
    </cfRule>
  </conditionalFormatting>
  <conditionalFormatting sqref="EM34">
    <cfRule type="expression" dxfId="1307" priority="349">
      <formula>$R34="exigência cumprida"</formula>
    </cfRule>
    <cfRule type="expression" dxfId="1306" priority="350">
      <formula>$R34="em análise"</formula>
    </cfRule>
    <cfRule type="expression" dxfId="1305" priority="351">
      <formula>$R34="em exigência"</formula>
    </cfRule>
    <cfRule type="expression" dxfId="1304" priority="352">
      <formula>$R34="em recurso"</formula>
    </cfRule>
  </conditionalFormatting>
  <conditionalFormatting sqref="EM41">
    <cfRule type="expression" dxfId="1303" priority="345">
      <formula>$R41="exigência cumprida"</formula>
    </cfRule>
    <cfRule type="expression" dxfId="1302" priority="346">
      <formula>$R41="em análise"</formula>
    </cfRule>
    <cfRule type="expression" dxfId="1301" priority="347">
      <formula>$R41="em exigência"</formula>
    </cfRule>
    <cfRule type="expression" dxfId="1300" priority="348">
      <formula>$R41="em recurso"</formula>
    </cfRule>
  </conditionalFormatting>
  <conditionalFormatting sqref="EM47">
    <cfRule type="expression" dxfId="1299" priority="341">
      <formula>$R47="exigência cumprida"</formula>
    </cfRule>
    <cfRule type="expression" dxfId="1298" priority="342">
      <formula>$R47="em análise"</formula>
    </cfRule>
    <cfRule type="expression" dxfId="1297" priority="343">
      <formula>$R47="em exigência"</formula>
    </cfRule>
    <cfRule type="expression" dxfId="1296" priority="344">
      <formula>$R47="em recurso"</formula>
    </cfRule>
  </conditionalFormatting>
  <conditionalFormatting sqref="EM51">
    <cfRule type="expression" dxfId="1295" priority="337">
      <formula>$R51="exigência cumprida"</formula>
    </cfRule>
    <cfRule type="expression" dxfId="1294" priority="338">
      <formula>$R51="em análise"</formula>
    </cfRule>
    <cfRule type="expression" dxfId="1293" priority="339">
      <formula>$R51="em exigência"</formula>
    </cfRule>
    <cfRule type="expression" dxfId="1292" priority="340">
      <formula>$R51="em recurso"</formula>
    </cfRule>
  </conditionalFormatting>
  <conditionalFormatting sqref="EM55">
    <cfRule type="expression" dxfId="1291" priority="333">
      <formula>$R55="exigência cumprida"</formula>
    </cfRule>
    <cfRule type="expression" dxfId="1290" priority="334">
      <formula>$R55="em análise"</formula>
    </cfRule>
    <cfRule type="expression" dxfId="1289" priority="335">
      <formula>$R55="em exigência"</formula>
    </cfRule>
    <cfRule type="expression" dxfId="1288" priority="336">
      <formula>$R55="em recurso"</formula>
    </cfRule>
  </conditionalFormatting>
  <conditionalFormatting sqref="EM62">
    <cfRule type="expression" dxfId="1287" priority="329">
      <formula>$R62="exigência cumprida"</formula>
    </cfRule>
    <cfRule type="expression" dxfId="1286" priority="330">
      <formula>$R62="em análise"</formula>
    </cfRule>
    <cfRule type="expression" dxfId="1285" priority="331">
      <formula>$R62="em exigência"</formula>
    </cfRule>
    <cfRule type="expression" dxfId="1284" priority="332">
      <formula>$R62="em recurso"</formula>
    </cfRule>
  </conditionalFormatting>
  <conditionalFormatting sqref="EM63">
    <cfRule type="expression" dxfId="1283" priority="325">
      <formula>$R63="exigência cumprida"</formula>
    </cfRule>
    <cfRule type="expression" dxfId="1282" priority="326">
      <formula>$R63="em análise"</formula>
    </cfRule>
    <cfRule type="expression" dxfId="1281" priority="327">
      <formula>$R63="em exigência"</formula>
    </cfRule>
    <cfRule type="expression" dxfId="1280" priority="328">
      <formula>$R63="em recurso"</formula>
    </cfRule>
  </conditionalFormatting>
  <conditionalFormatting sqref="EM67">
    <cfRule type="expression" dxfId="1279" priority="321">
      <formula>$R67="exigência cumprida"</formula>
    </cfRule>
    <cfRule type="expression" dxfId="1278" priority="322">
      <formula>$R67="em análise"</formula>
    </cfRule>
    <cfRule type="expression" dxfId="1277" priority="323">
      <formula>$R67="em exigência"</formula>
    </cfRule>
    <cfRule type="expression" dxfId="1276" priority="324">
      <formula>$R67="em recurso"</formula>
    </cfRule>
  </conditionalFormatting>
  <conditionalFormatting sqref="EM71">
    <cfRule type="expression" dxfId="1275" priority="317">
      <formula>$R71="exigência cumprida"</formula>
    </cfRule>
    <cfRule type="expression" dxfId="1274" priority="318">
      <formula>$R71="em análise"</formula>
    </cfRule>
    <cfRule type="expression" dxfId="1273" priority="319">
      <formula>$R71="em exigência"</formula>
    </cfRule>
    <cfRule type="expression" dxfId="1272" priority="320">
      <formula>$R71="em recurso"</formula>
    </cfRule>
  </conditionalFormatting>
  <conditionalFormatting sqref="EM72">
    <cfRule type="expression" dxfId="1271" priority="313">
      <formula>$R72="exigência cumprida"</formula>
    </cfRule>
    <cfRule type="expression" dxfId="1270" priority="314">
      <formula>$R72="em análise"</formula>
    </cfRule>
    <cfRule type="expression" dxfId="1269" priority="315">
      <formula>$R72="em exigência"</formula>
    </cfRule>
    <cfRule type="expression" dxfId="1268" priority="316">
      <formula>$R72="em recurso"</formula>
    </cfRule>
  </conditionalFormatting>
  <conditionalFormatting sqref="EM76">
    <cfRule type="expression" dxfId="1267" priority="309">
      <formula>$R76="exigência cumprida"</formula>
    </cfRule>
    <cfRule type="expression" dxfId="1266" priority="310">
      <formula>$R76="em análise"</formula>
    </cfRule>
    <cfRule type="expression" dxfId="1265" priority="311">
      <formula>$R76="em exigência"</formula>
    </cfRule>
    <cfRule type="expression" dxfId="1264" priority="312">
      <formula>$R76="em recurso"</formula>
    </cfRule>
  </conditionalFormatting>
  <conditionalFormatting sqref="EM21">
    <cfRule type="expression" dxfId="1263" priority="305">
      <formula>$R21="exigência cumprida"</formula>
    </cfRule>
    <cfRule type="expression" dxfId="1262" priority="306">
      <formula>$R21="em análise"</formula>
    </cfRule>
    <cfRule type="expression" dxfId="1261" priority="307">
      <formula>$R21="em exigência"</formula>
    </cfRule>
    <cfRule type="expression" dxfId="1260" priority="308">
      <formula>$R21="em recurso"</formula>
    </cfRule>
  </conditionalFormatting>
  <conditionalFormatting sqref="EM22">
    <cfRule type="expression" dxfId="1259" priority="301">
      <formula>$R22="exigência cumprida"</formula>
    </cfRule>
    <cfRule type="expression" dxfId="1258" priority="302">
      <formula>$R22="em análise"</formula>
    </cfRule>
    <cfRule type="expression" dxfId="1257" priority="303">
      <formula>$R22="em exigência"</formula>
    </cfRule>
    <cfRule type="expression" dxfId="1256" priority="304">
      <formula>$R22="em recurso"</formula>
    </cfRule>
  </conditionalFormatting>
  <conditionalFormatting sqref="EM29">
    <cfRule type="expression" dxfId="1255" priority="297">
      <formula>$R29="exigência cumprida"</formula>
    </cfRule>
    <cfRule type="expression" dxfId="1254" priority="298">
      <formula>$R29="em análise"</formula>
    </cfRule>
    <cfRule type="expression" dxfId="1253" priority="299">
      <formula>$R29="em exigência"</formula>
    </cfRule>
    <cfRule type="expression" dxfId="1252" priority="300">
      <formula>$R29="em recurso"</formula>
    </cfRule>
  </conditionalFormatting>
  <conditionalFormatting sqref="EM35">
    <cfRule type="expression" dxfId="1251" priority="293">
      <formula>$R35="exigência cumprida"</formula>
    </cfRule>
    <cfRule type="expression" dxfId="1250" priority="294">
      <formula>$R35="em análise"</formula>
    </cfRule>
    <cfRule type="expression" dxfId="1249" priority="295">
      <formula>$R35="em exigência"</formula>
    </cfRule>
    <cfRule type="expression" dxfId="1248" priority="296">
      <formula>$R35="em recurso"</formula>
    </cfRule>
  </conditionalFormatting>
  <conditionalFormatting sqref="EM36">
    <cfRule type="expression" dxfId="1247" priority="289">
      <formula>$R36="exigência cumprida"</formula>
    </cfRule>
    <cfRule type="expression" dxfId="1246" priority="290">
      <formula>$R36="em análise"</formula>
    </cfRule>
    <cfRule type="expression" dxfId="1245" priority="291">
      <formula>$R36="em exigência"</formula>
    </cfRule>
    <cfRule type="expression" dxfId="1244" priority="292">
      <formula>$R36="em recurso"</formula>
    </cfRule>
  </conditionalFormatting>
  <conditionalFormatting sqref="EM42">
    <cfRule type="expression" dxfId="1243" priority="285">
      <formula>$R42="exigência cumprida"</formula>
    </cfRule>
    <cfRule type="expression" dxfId="1242" priority="286">
      <formula>$R42="em análise"</formula>
    </cfRule>
    <cfRule type="expression" dxfId="1241" priority="287">
      <formula>$R42="em exigência"</formula>
    </cfRule>
    <cfRule type="expression" dxfId="1240" priority="288">
      <formula>$R42="em recurso"</formula>
    </cfRule>
  </conditionalFormatting>
  <conditionalFormatting sqref="EM48">
    <cfRule type="expression" dxfId="1239" priority="281">
      <formula>$R48="exigência cumprida"</formula>
    </cfRule>
    <cfRule type="expression" dxfId="1238" priority="282">
      <formula>$R48="em análise"</formula>
    </cfRule>
    <cfRule type="expression" dxfId="1237" priority="283">
      <formula>$R48="em exigência"</formula>
    </cfRule>
    <cfRule type="expression" dxfId="1236" priority="284">
      <formula>$R48="em recurso"</formula>
    </cfRule>
  </conditionalFormatting>
  <conditionalFormatting sqref="EM49">
    <cfRule type="expression" dxfId="1235" priority="277">
      <formula>$R49="exigência cumprida"</formula>
    </cfRule>
    <cfRule type="expression" dxfId="1234" priority="278">
      <formula>$R49="em análise"</formula>
    </cfRule>
    <cfRule type="expression" dxfId="1233" priority="279">
      <formula>$R49="em exigência"</formula>
    </cfRule>
    <cfRule type="expression" dxfId="1232" priority="280">
      <formula>$R49="em recurso"</formula>
    </cfRule>
  </conditionalFormatting>
  <conditionalFormatting sqref="EM50">
    <cfRule type="expression" dxfId="1231" priority="273">
      <formula>$R50="exigência cumprida"</formula>
    </cfRule>
    <cfRule type="expression" dxfId="1230" priority="274">
      <formula>$R50="em análise"</formula>
    </cfRule>
    <cfRule type="expression" dxfId="1229" priority="275">
      <formula>$R50="em exigência"</formula>
    </cfRule>
    <cfRule type="expression" dxfId="1228" priority="276">
      <formula>$R50="em recurso"</formula>
    </cfRule>
  </conditionalFormatting>
  <conditionalFormatting sqref="EM52">
    <cfRule type="expression" dxfId="1227" priority="269">
      <formula>$R52="exigência cumprida"</formula>
    </cfRule>
    <cfRule type="expression" dxfId="1226" priority="270">
      <formula>$R52="em análise"</formula>
    </cfRule>
    <cfRule type="expression" dxfId="1225" priority="271">
      <formula>$R52="em exigência"</formula>
    </cfRule>
    <cfRule type="expression" dxfId="1224" priority="272">
      <formula>$R52="em recurso"</formula>
    </cfRule>
  </conditionalFormatting>
  <conditionalFormatting sqref="EM53">
    <cfRule type="expression" dxfId="1223" priority="265">
      <formula>$R53="exigência cumprida"</formula>
    </cfRule>
    <cfRule type="expression" dxfId="1222" priority="266">
      <formula>$R53="em análise"</formula>
    </cfRule>
    <cfRule type="expression" dxfId="1221" priority="267">
      <formula>$R53="em exigência"</formula>
    </cfRule>
    <cfRule type="expression" dxfId="1220" priority="268">
      <formula>$R53="em recurso"</formula>
    </cfRule>
  </conditionalFormatting>
  <conditionalFormatting sqref="EM54">
    <cfRule type="expression" dxfId="1219" priority="261">
      <formula>$R54="exigência cumprida"</formula>
    </cfRule>
    <cfRule type="expression" dxfId="1218" priority="262">
      <formula>$R54="em análise"</formula>
    </cfRule>
    <cfRule type="expression" dxfId="1217" priority="263">
      <formula>$R54="em exigência"</formula>
    </cfRule>
    <cfRule type="expression" dxfId="1216" priority="264">
      <formula>$R54="em recurso"</formula>
    </cfRule>
  </conditionalFormatting>
  <conditionalFormatting sqref="EM56">
    <cfRule type="expression" dxfId="1215" priority="257">
      <formula>$R56="exigência cumprida"</formula>
    </cfRule>
    <cfRule type="expression" dxfId="1214" priority="258">
      <formula>$R56="em análise"</formula>
    </cfRule>
    <cfRule type="expression" dxfId="1213" priority="259">
      <formula>$R56="em exigência"</formula>
    </cfRule>
    <cfRule type="expression" dxfId="1212" priority="260">
      <formula>$R56="em recurso"</formula>
    </cfRule>
  </conditionalFormatting>
  <conditionalFormatting sqref="EM57">
    <cfRule type="expression" dxfId="1211" priority="253">
      <formula>$R57="exigência cumprida"</formula>
    </cfRule>
    <cfRule type="expression" dxfId="1210" priority="254">
      <formula>$R57="em análise"</formula>
    </cfRule>
    <cfRule type="expression" dxfId="1209" priority="255">
      <formula>$R57="em exigência"</formula>
    </cfRule>
    <cfRule type="expression" dxfId="1208" priority="256">
      <formula>$R57="em recurso"</formula>
    </cfRule>
  </conditionalFormatting>
  <conditionalFormatting sqref="EM58">
    <cfRule type="expression" dxfId="1207" priority="249">
      <formula>$R58="exigência cumprida"</formula>
    </cfRule>
    <cfRule type="expression" dxfId="1206" priority="250">
      <formula>$R58="em análise"</formula>
    </cfRule>
    <cfRule type="expression" dxfId="1205" priority="251">
      <formula>$R58="em exigência"</formula>
    </cfRule>
    <cfRule type="expression" dxfId="1204" priority="252">
      <formula>$R58="em recurso"</formula>
    </cfRule>
  </conditionalFormatting>
  <conditionalFormatting sqref="EM59">
    <cfRule type="expression" dxfId="1203" priority="245">
      <formula>$R59="exigência cumprida"</formula>
    </cfRule>
    <cfRule type="expression" dxfId="1202" priority="246">
      <formula>$R59="em análise"</formula>
    </cfRule>
    <cfRule type="expression" dxfId="1201" priority="247">
      <formula>$R59="em exigência"</formula>
    </cfRule>
    <cfRule type="expression" dxfId="1200" priority="248">
      <formula>$R59="em recurso"</formula>
    </cfRule>
  </conditionalFormatting>
  <conditionalFormatting sqref="EM60">
    <cfRule type="expression" dxfId="1199" priority="241">
      <formula>$R60="exigência cumprida"</formula>
    </cfRule>
    <cfRule type="expression" dxfId="1198" priority="242">
      <formula>$R60="em análise"</formula>
    </cfRule>
    <cfRule type="expression" dxfId="1197" priority="243">
      <formula>$R60="em exigência"</formula>
    </cfRule>
    <cfRule type="expression" dxfId="1196" priority="244">
      <formula>$R60="em recurso"</formula>
    </cfRule>
  </conditionalFormatting>
  <conditionalFormatting sqref="EM61">
    <cfRule type="expression" dxfId="1195" priority="237">
      <formula>$R61="exigência cumprida"</formula>
    </cfRule>
    <cfRule type="expression" dxfId="1194" priority="238">
      <formula>$R61="em análise"</formula>
    </cfRule>
    <cfRule type="expression" dxfId="1193" priority="239">
      <formula>$R61="em exigência"</formula>
    </cfRule>
    <cfRule type="expression" dxfId="1192" priority="240">
      <formula>$R61="em recurso"</formula>
    </cfRule>
  </conditionalFormatting>
  <conditionalFormatting sqref="EM64">
    <cfRule type="expression" dxfId="1191" priority="233">
      <formula>$R64="exigência cumprida"</formula>
    </cfRule>
    <cfRule type="expression" dxfId="1190" priority="234">
      <formula>$R64="em análise"</formula>
    </cfRule>
    <cfRule type="expression" dxfId="1189" priority="235">
      <formula>$R64="em exigência"</formula>
    </cfRule>
    <cfRule type="expression" dxfId="1188" priority="236">
      <formula>$R64="em recurso"</formula>
    </cfRule>
  </conditionalFormatting>
  <conditionalFormatting sqref="EM68">
    <cfRule type="expression" dxfId="1187" priority="229">
      <formula>$R68="exigência cumprida"</formula>
    </cfRule>
    <cfRule type="expression" dxfId="1186" priority="230">
      <formula>$R68="em análise"</formula>
    </cfRule>
    <cfRule type="expression" dxfId="1185" priority="231">
      <formula>$R68="em exigência"</formula>
    </cfRule>
    <cfRule type="expression" dxfId="1184" priority="232">
      <formula>$R68="em recurso"</formula>
    </cfRule>
  </conditionalFormatting>
  <conditionalFormatting sqref="EM69">
    <cfRule type="expression" dxfId="1183" priority="225">
      <formula>$R69="exigência cumprida"</formula>
    </cfRule>
    <cfRule type="expression" dxfId="1182" priority="226">
      <formula>$R69="em análise"</formula>
    </cfRule>
    <cfRule type="expression" dxfId="1181" priority="227">
      <formula>$R69="em exigência"</formula>
    </cfRule>
    <cfRule type="expression" dxfId="1180" priority="228">
      <formula>$R69="em recurso"</formula>
    </cfRule>
  </conditionalFormatting>
  <conditionalFormatting sqref="EM70">
    <cfRule type="expression" dxfId="1179" priority="221">
      <formula>$R70="exigência cumprida"</formula>
    </cfRule>
    <cfRule type="expression" dxfId="1178" priority="222">
      <formula>$R70="em análise"</formula>
    </cfRule>
    <cfRule type="expression" dxfId="1177" priority="223">
      <formula>$R70="em exigência"</formula>
    </cfRule>
    <cfRule type="expression" dxfId="1176" priority="224">
      <formula>$R70="em recurso"</formula>
    </cfRule>
  </conditionalFormatting>
  <conditionalFormatting sqref="EM73">
    <cfRule type="expression" dxfId="1175" priority="217">
      <formula>$R73="exigência cumprida"</formula>
    </cfRule>
    <cfRule type="expression" dxfId="1174" priority="218">
      <formula>$R73="em análise"</formula>
    </cfRule>
    <cfRule type="expression" dxfId="1173" priority="219">
      <formula>$R73="em exigência"</formula>
    </cfRule>
    <cfRule type="expression" dxfId="1172" priority="220">
      <formula>$R73="em recurso"</formula>
    </cfRule>
  </conditionalFormatting>
  <conditionalFormatting sqref="EM74">
    <cfRule type="expression" dxfId="1171" priority="213">
      <formula>$R74="exigência cumprida"</formula>
    </cfRule>
    <cfRule type="expression" dxfId="1170" priority="214">
      <formula>$R74="em análise"</formula>
    </cfRule>
    <cfRule type="expression" dxfId="1169" priority="215">
      <formula>$R74="em exigência"</formula>
    </cfRule>
    <cfRule type="expression" dxfId="1168" priority="216">
      <formula>$R74="em recurso"</formula>
    </cfRule>
  </conditionalFormatting>
  <conditionalFormatting sqref="EM75">
    <cfRule type="expression" dxfId="1167" priority="209">
      <formula>$R75="exigência cumprida"</formula>
    </cfRule>
    <cfRule type="expression" dxfId="1166" priority="210">
      <formula>$R75="em análise"</formula>
    </cfRule>
    <cfRule type="expression" dxfId="1165" priority="211">
      <formula>$R75="em exigência"</formula>
    </cfRule>
    <cfRule type="expression" dxfId="1164" priority="212">
      <formula>$R75="em recurso"</formula>
    </cfRule>
  </conditionalFormatting>
  <conditionalFormatting sqref="EM80">
    <cfRule type="expression" dxfId="1163" priority="205">
      <formula>$R80="exigência cumprida"</formula>
    </cfRule>
    <cfRule type="expression" dxfId="1162" priority="206">
      <formula>$R80="em análise"</formula>
    </cfRule>
    <cfRule type="expression" dxfId="1161" priority="207">
      <formula>$R80="em exigência"</formula>
    </cfRule>
    <cfRule type="expression" dxfId="1160" priority="208">
      <formula>$R80="em recurso"</formula>
    </cfRule>
  </conditionalFormatting>
  <conditionalFormatting sqref="EM81">
    <cfRule type="expression" dxfId="1159" priority="201">
      <formula>$R81="exigência cumprida"</formula>
    </cfRule>
    <cfRule type="expression" dxfId="1158" priority="202">
      <formula>$R81="em análise"</formula>
    </cfRule>
    <cfRule type="expression" dxfId="1157" priority="203">
      <formula>$R81="em exigência"</formula>
    </cfRule>
    <cfRule type="expression" dxfId="1156" priority="204">
      <formula>$R81="em recurso"</formula>
    </cfRule>
  </conditionalFormatting>
  <conditionalFormatting sqref="EM82">
    <cfRule type="expression" dxfId="1155" priority="197">
      <formula>$R82="exigência cumprida"</formula>
    </cfRule>
    <cfRule type="expression" dxfId="1154" priority="198">
      <formula>$R82="em análise"</formula>
    </cfRule>
    <cfRule type="expression" dxfId="1153" priority="199">
      <formula>$R82="em exigência"</formula>
    </cfRule>
    <cfRule type="expression" dxfId="1152" priority="200">
      <formula>$R82="em recurso"</formula>
    </cfRule>
  </conditionalFormatting>
  <conditionalFormatting sqref="EM83">
    <cfRule type="expression" dxfId="1151" priority="193">
      <formula>$R83="exigência cumprida"</formula>
    </cfRule>
    <cfRule type="expression" dxfId="1150" priority="194">
      <formula>$R83="em análise"</formula>
    </cfRule>
    <cfRule type="expression" dxfId="1149" priority="195">
      <formula>$R83="em exigência"</formula>
    </cfRule>
    <cfRule type="expression" dxfId="1148" priority="196">
      <formula>$R83="em recurso"</formula>
    </cfRule>
  </conditionalFormatting>
  <conditionalFormatting sqref="EM12:EM13">
    <cfRule type="expression" dxfId="1147" priority="189">
      <formula>$R12="exigência cumprida"</formula>
    </cfRule>
    <cfRule type="expression" dxfId="1146" priority="190">
      <formula>$R12="em análise"</formula>
    </cfRule>
    <cfRule type="expression" dxfId="1145" priority="191">
      <formula>$R12="em exigência"</formula>
    </cfRule>
    <cfRule type="expression" dxfId="1144" priority="192">
      <formula>$R12="em recurso"</formula>
    </cfRule>
  </conditionalFormatting>
  <conditionalFormatting sqref="EM85">
    <cfRule type="expression" dxfId="1143" priority="185">
      <formula>$R85="exigência cumprida"</formula>
    </cfRule>
    <cfRule type="expression" dxfId="1142" priority="186">
      <formula>$R85="em análise"</formula>
    </cfRule>
    <cfRule type="expression" dxfId="1141" priority="187">
      <formula>$R85="em exigência"</formula>
    </cfRule>
    <cfRule type="expression" dxfId="1140" priority="188">
      <formula>$R85="em recurso"</formula>
    </cfRule>
  </conditionalFormatting>
  <conditionalFormatting sqref="AD79">
    <cfRule type="expression" dxfId="1139" priority="181">
      <formula>$R79="exigência cumprida"</formula>
    </cfRule>
    <cfRule type="expression" dxfId="1138" priority="182">
      <formula>$R79="em análise"</formula>
    </cfRule>
    <cfRule type="expression" dxfId="1137" priority="183">
      <formula>$R79="em exigência"</formula>
    </cfRule>
    <cfRule type="expression" dxfId="1136" priority="184">
      <formula>$R79="em recurso"</formula>
    </cfRule>
  </conditionalFormatting>
  <conditionalFormatting sqref="AD10">
    <cfRule type="expression" dxfId="1135" priority="177">
      <formula>$R10="exigência cumprida"</formula>
    </cfRule>
    <cfRule type="expression" dxfId="1134" priority="178">
      <formula>$R10="em análise"</formula>
    </cfRule>
    <cfRule type="expression" dxfId="1133" priority="179">
      <formula>$R10="em exigência"</formula>
    </cfRule>
    <cfRule type="expression" dxfId="1132" priority="180">
      <formula>$R10="em recurso"</formula>
    </cfRule>
  </conditionalFormatting>
  <conditionalFormatting sqref="AD20">
    <cfRule type="expression" dxfId="1131" priority="173">
      <formula>$R20="exigência cumprida"</formula>
    </cfRule>
    <cfRule type="expression" dxfId="1130" priority="174">
      <formula>$R20="em análise"</formula>
    </cfRule>
    <cfRule type="expression" dxfId="1129" priority="175">
      <formula>$R20="em exigência"</formula>
    </cfRule>
    <cfRule type="expression" dxfId="1128" priority="176">
      <formula>$R20="em recurso"</formula>
    </cfRule>
  </conditionalFormatting>
  <conditionalFormatting sqref="AD28">
    <cfRule type="expression" dxfId="1127" priority="169">
      <formula>$R28="exigência cumprida"</formula>
    </cfRule>
    <cfRule type="expression" dxfId="1126" priority="170">
      <formula>$R28="em análise"</formula>
    </cfRule>
    <cfRule type="expression" dxfId="1125" priority="171">
      <formula>$R28="em exigência"</formula>
    </cfRule>
    <cfRule type="expression" dxfId="1124" priority="172">
      <formula>$R28="em recurso"</formula>
    </cfRule>
  </conditionalFormatting>
  <conditionalFormatting sqref="AD34">
    <cfRule type="expression" dxfId="1123" priority="165">
      <formula>$R34="exigência cumprida"</formula>
    </cfRule>
    <cfRule type="expression" dxfId="1122" priority="166">
      <formula>$R34="em análise"</formula>
    </cfRule>
    <cfRule type="expression" dxfId="1121" priority="167">
      <formula>$R34="em exigência"</formula>
    </cfRule>
    <cfRule type="expression" dxfId="1120" priority="168">
      <formula>$R34="em recurso"</formula>
    </cfRule>
  </conditionalFormatting>
  <conditionalFormatting sqref="AD41">
    <cfRule type="expression" dxfId="1119" priority="161">
      <formula>$R41="exigência cumprida"</formula>
    </cfRule>
    <cfRule type="expression" dxfId="1118" priority="162">
      <formula>$R41="em análise"</formula>
    </cfRule>
    <cfRule type="expression" dxfId="1117" priority="163">
      <formula>$R41="em exigência"</formula>
    </cfRule>
    <cfRule type="expression" dxfId="1116" priority="164">
      <formula>$R41="em recurso"</formula>
    </cfRule>
  </conditionalFormatting>
  <conditionalFormatting sqref="AD47">
    <cfRule type="expression" dxfId="1115" priority="157">
      <formula>$R47="exigência cumprida"</formula>
    </cfRule>
    <cfRule type="expression" dxfId="1114" priority="158">
      <formula>$R47="em análise"</formula>
    </cfRule>
    <cfRule type="expression" dxfId="1113" priority="159">
      <formula>$R47="em exigência"</formula>
    </cfRule>
    <cfRule type="expression" dxfId="1112" priority="160">
      <formula>$R47="em recurso"</formula>
    </cfRule>
  </conditionalFormatting>
  <conditionalFormatting sqref="AD51">
    <cfRule type="expression" dxfId="1111" priority="153">
      <formula>$R51="exigência cumprida"</formula>
    </cfRule>
    <cfRule type="expression" dxfId="1110" priority="154">
      <formula>$R51="em análise"</formula>
    </cfRule>
    <cfRule type="expression" dxfId="1109" priority="155">
      <formula>$R51="em exigência"</formula>
    </cfRule>
    <cfRule type="expression" dxfId="1108" priority="156">
      <formula>$R51="em recurso"</formula>
    </cfRule>
  </conditionalFormatting>
  <conditionalFormatting sqref="AD55">
    <cfRule type="expression" dxfId="1107" priority="149">
      <formula>$R55="exigência cumprida"</formula>
    </cfRule>
    <cfRule type="expression" dxfId="1106" priority="150">
      <formula>$R55="em análise"</formula>
    </cfRule>
    <cfRule type="expression" dxfId="1105" priority="151">
      <formula>$R55="em exigência"</formula>
    </cfRule>
    <cfRule type="expression" dxfId="1104" priority="152">
      <formula>$R55="em recurso"</formula>
    </cfRule>
  </conditionalFormatting>
  <conditionalFormatting sqref="AD62">
    <cfRule type="expression" dxfId="1103" priority="145">
      <formula>$R62="exigência cumprida"</formula>
    </cfRule>
    <cfRule type="expression" dxfId="1102" priority="146">
      <formula>$R62="em análise"</formula>
    </cfRule>
    <cfRule type="expression" dxfId="1101" priority="147">
      <formula>$R62="em exigência"</formula>
    </cfRule>
    <cfRule type="expression" dxfId="1100" priority="148">
      <formula>$R62="em recurso"</formula>
    </cfRule>
  </conditionalFormatting>
  <conditionalFormatting sqref="AD63">
    <cfRule type="expression" dxfId="1099" priority="141">
      <formula>$R63="exigência cumprida"</formula>
    </cfRule>
    <cfRule type="expression" dxfId="1098" priority="142">
      <formula>$R63="em análise"</formula>
    </cfRule>
    <cfRule type="expression" dxfId="1097" priority="143">
      <formula>$R63="em exigência"</formula>
    </cfRule>
    <cfRule type="expression" dxfId="1096" priority="144">
      <formula>$R63="em recurso"</formula>
    </cfRule>
  </conditionalFormatting>
  <conditionalFormatting sqref="AD67">
    <cfRule type="expression" dxfId="1095" priority="137">
      <formula>$R67="exigência cumprida"</formula>
    </cfRule>
    <cfRule type="expression" dxfId="1094" priority="138">
      <formula>$R67="em análise"</formula>
    </cfRule>
    <cfRule type="expression" dxfId="1093" priority="139">
      <formula>$R67="em exigência"</formula>
    </cfRule>
    <cfRule type="expression" dxfId="1092" priority="140">
      <formula>$R67="em recurso"</formula>
    </cfRule>
  </conditionalFormatting>
  <conditionalFormatting sqref="AD71">
    <cfRule type="expression" dxfId="1091" priority="133">
      <formula>$R71="exigência cumprida"</formula>
    </cfRule>
    <cfRule type="expression" dxfId="1090" priority="134">
      <formula>$R71="em análise"</formula>
    </cfRule>
    <cfRule type="expression" dxfId="1089" priority="135">
      <formula>$R71="em exigência"</formula>
    </cfRule>
    <cfRule type="expression" dxfId="1088" priority="136">
      <formula>$R71="em recurso"</formula>
    </cfRule>
  </conditionalFormatting>
  <conditionalFormatting sqref="AD72">
    <cfRule type="expression" dxfId="1087" priority="129">
      <formula>$R72="exigência cumprida"</formula>
    </cfRule>
    <cfRule type="expression" dxfId="1086" priority="130">
      <formula>$R72="em análise"</formula>
    </cfRule>
    <cfRule type="expression" dxfId="1085" priority="131">
      <formula>$R72="em exigência"</formula>
    </cfRule>
    <cfRule type="expression" dxfId="1084" priority="132">
      <formula>$R72="em recurso"</formula>
    </cfRule>
  </conditionalFormatting>
  <conditionalFormatting sqref="AD76">
    <cfRule type="expression" dxfId="1083" priority="125">
      <formula>$R76="exigência cumprida"</formula>
    </cfRule>
    <cfRule type="expression" dxfId="1082" priority="126">
      <formula>$R76="em análise"</formula>
    </cfRule>
    <cfRule type="expression" dxfId="1081" priority="127">
      <formula>$R76="em exigência"</formula>
    </cfRule>
    <cfRule type="expression" dxfId="1080" priority="128">
      <formula>$R76="em recurso"</formula>
    </cfRule>
  </conditionalFormatting>
  <conditionalFormatting sqref="AD21">
    <cfRule type="expression" dxfId="1079" priority="121">
      <formula>$R21="exigência cumprida"</formula>
    </cfRule>
    <cfRule type="expression" dxfId="1078" priority="122">
      <formula>$R21="em análise"</formula>
    </cfRule>
    <cfRule type="expression" dxfId="1077" priority="123">
      <formula>$R21="em exigência"</formula>
    </cfRule>
    <cfRule type="expression" dxfId="1076" priority="124">
      <formula>$R21="em recurso"</formula>
    </cfRule>
  </conditionalFormatting>
  <conditionalFormatting sqref="AD22">
    <cfRule type="expression" dxfId="1075" priority="117">
      <formula>$R22="exigência cumprida"</formula>
    </cfRule>
    <cfRule type="expression" dxfId="1074" priority="118">
      <formula>$R22="em análise"</formula>
    </cfRule>
    <cfRule type="expression" dxfId="1073" priority="119">
      <formula>$R22="em exigência"</formula>
    </cfRule>
    <cfRule type="expression" dxfId="1072" priority="120">
      <formula>$R22="em recurso"</formula>
    </cfRule>
  </conditionalFormatting>
  <conditionalFormatting sqref="AD29">
    <cfRule type="expression" dxfId="1071" priority="113">
      <formula>$R29="exigência cumprida"</formula>
    </cfRule>
    <cfRule type="expression" dxfId="1070" priority="114">
      <formula>$R29="em análise"</formula>
    </cfRule>
    <cfRule type="expression" dxfId="1069" priority="115">
      <formula>$R29="em exigência"</formula>
    </cfRule>
    <cfRule type="expression" dxfId="1068" priority="116">
      <formula>$R29="em recurso"</formula>
    </cfRule>
  </conditionalFormatting>
  <conditionalFormatting sqref="AD35">
    <cfRule type="expression" dxfId="1067" priority="109">
      <formula>$R35="exigência cumprida"</formula>
    </cfRule>
    <cfRule type="expression" dxfId="1066" priority="110">
      <formula>$R35="em análise"</formula>
    </cfRule>
    <cfRule type="expression" dxfId="1065" priority="111">
      <formula>$R35="em exigência"</formula>
    </cfRule>
    <cfRule type="expression" dxfId="1064" priority="112">
      <formula>$R35="em recurso"</formula>
    </cfRule>
  </conditionalFormatting>
  <conditionalFormatting sqref="AD36">
    <cfRule type="expression" dxfId="1063" priority="105">
      <formula>$R36="exigência cumprida"</formula>
    </cfRule>
    <cfRule type="expression" dxfId="1062" priority="106">
      <formula>$R36="em análise"</formula>
    </cfRule>
    <cfRule type="expression" dxfId="1061" priority="107">
      <formula>$R36="em exigência"</formula>
    </cfRule>
    <cfRule type="expression" dxfId="1060" priority="108">
      <formula>$R36="em recurso"</formula>
    </cfRule>
  </conditionalFormatting>
  <conditionalFormatting sqref="AD42">
    <cfRule type="expression" dxfId="1059" priority="101">
      <formula>$R42="exigência cumprida"</formula>
    </cfRule>
    <cfRule type="expression" dxfId="1058" priority="102">
      <formula>$R42="em análise"</formula>
    </cfRule>
    <cfRule type="expression" dxfId="1057" priority="103">
      <formula>$R42="em exigência"</formula>
    </cfRule>
    <cfRule type="expression" dxfId="1056" priority="104">
      <formula>$R42="em recurso"</formula>
    </cfRule>
  </conditionalFormatting>
  <conditionalFormatting sqref="AD48">
    <cfRule type="expression" dxfId="1055" priority="97">
      <formula>$R48="exigência cumprida"</formula>
    </cfRule>
    <cfRule type="expression" dxfId="1054" priority="98">
      <formula>$R48="em análise"</formula>
    </cfRule>
    <cfRule type="expression" dxfId="1053" priority="99">
      <formula>$R48="em exigência"</formula>
    </cfRule>
    <cfRule type="expression" dxfId="1052" priority="100">
      <formula>$R48="em recurso"</formula>
    </cfRule>
  </conditionalFormatting>
  <conditionalFormatting sqref="AD49">
    <cfRule type="expression" dxfId="1051" priority="93">
      <formula>$R49="exigência cumprida"</formula>
    </cfRule>
    <cfRule type="expression" dxfId="1050" priority="94">
      <formula>$R49="em análise"</formula>
    </cfRule>
    <cfRule type="expression" dxfId="1049" priority="95">
      <formula>$R49="em exigência"</formula>
    </cfRule>
    <cfRule type="expression" dxfId="1048" priority="96">
      <formula>$R49="em recurso"</formula>
    </cfRule>
  </conditionalFormatting>
  <conditionalFormatting sqref="AD50">
    <cfRule type="expression" dxfId="1047" priority="89">
      <formula>$R50="exigência cumprida"</formula>
    </cfRule>
    <cfRule type="expression" dxfId="1046" priority="90">
      <formula>$R50="em análise"</formula>
    </cfRule>
    <cfRule type="expression" dxfId="1045" priority="91">
      <formula>$R50="em exigência"</formula>
    </cfRule>
    <cfRule type="expression" dxfId="1044" priority="92">
      <formula>$R50="em recurso"</formula>
    </cfRule>
  </conditionalFormatting>
  <conditionalFormatting sqref="AD52">
    <cfRule type="expression" dxfId="1043" priority="85">
      <formula>$R52="exigência cumprida"</formula>
    </cfRule>
    <cfRule type="expression" dxfId="1042" priority="86">
      <formula>$R52="em análise"</formula>
    </cfRule>
    <cfRule type="expression" dxfId="1041" priority="87">
      <formula>$R52="em exigência"</formula>
    </cfRule>
    <cfRule type="expression" dxfId="1040" priority="88">
      <formula>$R52="em recurso"</formula>
    </cfRule>
  </conditionalFormatting>
  <conditionalFormatting sqref="AD53">
    <cfRule type="expression" dxfId="1039" priority="81">
      <formula>$R53="exigência cumprida"</formula>
    </cfRule>
    <cfRule type="expression" dxfId="1038" priority="82">
      <formula>$R53="em análise"</formula>
    </cfRule>
    <cfRule type="expression" dxfId="1037" priority="83">
      <formula>$R53="em exigência"</formula>
    </cfRule>
    <cfRule type="expression" dxfId="1036" priority="84">
      <formula>$R53="em recurso"</formula>
    </cfRule>
  </conditionalFormatting>
  <conditionalFormatting sqref="AD54">
    <cfRule type="expression" dxfId="1035" priority="77">
      <formula>$R54="exigência cumprida"</formula>
    </cfRule>
    <cfRule type="expression" dxfId="1034" priority="78">
      <formula>$R54="em análise"</formula>
    </cfRule>
    <cfRule type="expression" dxfId="1033" priority="79">
      <formula>$R54="em exigência"</formula>
    </cfRule>
    <cfRule type="expression" dxfId="1032" priority="80">
      <formula>$R54="em recurso"</formula>
    </cfRule>
  </conditionalFormatting>
  <conditionalFormatting sqref="AD56">
    <cfRule type="expression" dxfId="1031" priority="73">
      <formula>$R56="exigência cumprida"</formula>
    </cfRule>
    <cfRule type="expression" dxfId="1030" priority="74">
      <formula>$R56="em análise"</formula>
    </cfRule>
    <cfRule type="expression" dxfId="1029" priority="75">
      <formula>$R56="em exigência"</formula>
    </cfRule>
    <cfRule type="expression" dxfId="1028" priority="76">
      <formula>$R56="em recurso"</formula>
    </cfRule>
  </conditionalFormatting>
  <conditionalFormatting sqref="AD57">
    <cfRule type="expression" dxfId="1027" priority="69">
      <formula>$R57="exigência cumprida"</formula>
    </cfRule>
    <cfRule type="expression" dxfId="1026" priority="70">
      <formula>$R57="em análise"</formula>
    </cfRule>
    <cfRule type="expression" dxfId="1025" priority="71">
      <formula>$R57="em exigência"</formula>
    </cfRule>
    <cfRule type="expression" dxfId="1024" priority="72">
      <formula>$R57="em recurso"</formula>
    </cfRule>
  </conditionalFormatting>
  <conditionalFormatting sqref="AD58">
    <cfRule type="expression" dxfId="1023" priority="65">
      <formula>$R58="exigência cumprida"</formula>
    </cfRule>
    <cfRule type="expression" dxfId="1022" priority="66">
      <formula>$R58="em análise"</formula>
    </cfRule>
    <cfRule type="expression" dxfId="1021" priority="67">
      <formula>$R58="em exigência"</formula>
    </cfRule>
    <cfRule type="expression" dxfId="1020" priority="68">
      <formula>$R58="em recurso"</formula>
    </cfRule>
  </conditionalFormatting>
  <conditionalFormatting sqref="AD59">
    <cfRule type="expression" dxfId="1019" priority="61">
      <formula>$R59="exigência cumprida"</formula>
    </cfRule>
    <cfRule type="expression" dxfId="1018" priority="62">
      <formula>$R59="em análise"</formula>
    </cfRule>
    <cfRule type="expression" dxfId="1017" priority="63">
      <formula>$R59="em exigência"</formula>
    </cfRule>
    <cfRule type="expression" dxfId="1016" priority="64">
      <formula>$R59="em recurso"</formula>
    </cfRule>
  </conditionalFormatting>
  <conditionalFormatting sqref="AD60">
    <cfRule type="expression" dxfId="1015" priority="57">
      <formula>$R60="exigência cumprida"</formula>
    </cfRule>
    <cfRule type="expression" dxfId="1014" priority="58">
      <formula>$R60="em análise"</formula>
    </cfRule>
    <cfRule type="expression" dxfId="1013" priority="59">
      <formula>$R60="em exigência"</formula>
    </cfRule>
    <cfRule type="expression" dxfId="1012" priority="60">
      <formula>$R60="em recurso"</formula>
    </cfRule>
  </conditionalFormatting>
  <conditionalFormatting sqref="AD61">
    <cfRule type="expression" dxfId="1011" priority="53">
      <formula>$R61="exigência cumprida"</formula>
    </cfRule>
    <cfRule type="expression" dxfId="1010" priority="54">
      <formula>$R61="em análise"</formula>
    </cfRule>
    <cfRule type="expression" dxfId="1009" priority="55">
      <formula>$R61="em exigência"</formula>
    </cfRule>
    <cfRule type="expression" dxfId="1008" priority="56">
      <formula>$R61="em recurso"</formula>
    </cfRule>
  </conditionalFormatting>
  <conditionalFormatting sqref="AD64">
    <cfRule type="expression" dxfId="1007" priority="49">
      <formula>$R64="exigência cumprida"</formula>
    </cfRule>
    <cfRule type="expression" dxfId="1006" priority="50">
      <formula>$R64="em análise"</formula>
    </cfRule>
    <cfRule type="expression" dxfId="1005" priority="51">
      <formula>$R64="em exigência"</formula>
    </cfRule>
    <cfRule type="expression" dxfId="1004" priority="52">
      <formula>$R64="em recurso"</formula>
    </cfRule>
  </conditionalFormatting>
  <conditionalFormatting sqref="AD68">
    <cfRule type="expression" dxfId="1003" priority="45">
      <formula>$R68="exigência cumprida"</formula>
    </cfRule>
    <cfRule type="expression" dxfId="1002" priority="46">
      <formula>$R68="em análise"</formula>
    </cfRule>
    <cfRule type="expression" dxfId="1001" priority="47">
      <formula>$R68="em exigência"</formula>
    </cfRule>
    <cfRule type="expression" dxfId="1000" priority="48">
      <formula>$R68="em recurso"</formula>
    </cfRule>
  </conditionalFormatting>
  <conditionalFormatting sqref="AD69">
    <cfRule type="expression" dxfId="999" priority="41">
      <formula>$R69="exigência cumprida"</formula>
    </cfRule>
    <cfRule type="expression" dxfId="998" priority="42">
      <formula>$R69="em análise"</formula>
    </cfRule>
    <cfRule type="expression" dxfId="997" priority="43">
      <formula>$R69="em exigência"</formula>
    </cfRule>
    <cfRule type="expression" dxfId="996" priority="44">
      <formula>$R69="em recurso"</formula>
    </cfRule>
  </conditionalFormatting>
  <conditionalFormatting sqref="AD70">
    <cfRule type="expression" dxfId="995" priority="37">
      <formula>$R70="exigência cumprida"</formula>
    </cfRule>
    <cfRule type="expression" dxfId="994" priority="38">
      <formula>$R70="em análise"</formula>
    </cfRule>
    <cfRule type="expression" dxfId="993" priority="39">
      <formula>$R70="em exigência"</formula>
    </cfRule>
    <cfRule type="expression" dxfId="992" priority="40">
      <formula>$R70="em recurso"</formula>
    </cfRule>
  </conditionalFormatting>
  <conditionalFormatting sqref="AD73">
    <cfRule type="expression" dxfId="991" priority="33">
      <formula>$R73="exigência cumprida"</formula>
    </cfRule>
    <cfRule type="expression" dxfId="990" priority="34">
      <formula>$R73="em análise"</formula>
    </cfRule>
    <cfRule type="expression" dxfId="989" priority="35">
      <formula>$R73="em exigência"</formula>
    </cfRule>
    <cfRule type="expression" dxfId="988" priority="36">
      <formula>$R73="em recurso"</formula>
    </cfRule>
  </conditionalFormatting>
  <conditionalFormatting sqref="AD74">
    <cfRule type="expression" dxfId="987" priority="29">
      <formula>$R74="exigência cumprida"</formula>
    </cfRule>
    <cfRule type="expression" dxfId="986" priority="30">
      <formula>$R74="em análise"</formula>
    </cfRule>
    <cfRule type="expression" dxfId="985" priority="31">
      <formula>$R74="em exigência"</formula>
    </cfRule>
    <cfRule type="expression" dxfId="984" priority="32">
      <formula>$R74="em recurso"</formula>
    </cfRule>
  </conditionalFormatting>
  <conditionalFormatting sqref="AD75">
    <cfRule type="expression" dxfId="983" priority="25">
      <formula>$R75="exigência cumprida"</formula>
    </cfRule>
    <cfRule type="expression" dxfId="982" priority="26">
      <formula>$R75="em análise"</formula>
    </cfRule>
    <cfRule type="expression" dxfId="981" priority="27">
      <formula>$R75="em exigência"</formula>
    </cfRule>
    <cfRule type="expression" dxfId="980" priority="28">
      <formula>$R75="em recurso"</formula>
    </cfRule>
  </conditionalFormatting>
  <conditionalFormatting sqref="AD80">
    <cfRule type="expression" dxfId="979" priority="21">
      <formula>$R80="exigência cumprida"</formula>
    </cfRule>
    <cfRule type="expression" dxfId="978" priority="22">
      <formula>$R80="em análise"</formula>
    </cfRule>
    <cfRule type="expression" dxfId="977" priority="23">
      <formula>$R80="em exigência"</formula>
    </cfRule>
    <cfRule type="expression" dxfId="976" priority="24">
      <formula>$R80="em recurso"</formula>
    </cfRule>
  </conditionalFormatting>
  <conditionalFormatting sqref="AD81">
    <cfRule type="expression" dxfId="975" priority="17">
      <formula>$R81="exigência cumprida"</formula>
    </cfRule>
    <cfRule type="expression" dxfId="974" priority="18">
      <formula>$R81="em análise"</formula>
    </cfRule>
    <cfRule type="expression" dxfId="973" priority="19">
      <formula>$R81="em exigência"</formula>
    </cfRule>
    <cfRule type="expression" dxfId="972" priority="20">
      <formula>$R81="em recurso"</formula>
    </cfRule>
  </conditionalFormatting>
  <conditionalFormatting sqref="AD82">
    <cfRule type="expression" dxfId="971" priority="13">
      <formula>$R82="exigência cumprida"</formula>
    </cfRule>
    <cfRule type="expression" dxfId="970" priority="14">
      <formula>$R82="em análise"</formula>
    </cfRule>
    <cfRule type="expression" dxfId="969" priority="15">
      <formula>$R82="em exigência"</formula>
    </cfRule>
    <cfRule type="expression" dxfId="968" priority="16">
      <formula>$R82="em recurso"</formula>
    </cfRule>
  </conditionalFormatting>
  <conditionalFormatting sqref="AD83">
    <cfRule type="expression" dxfId="967" priority="9">
      <formula>$R83="exigência cumprida"</formula>
    </cfRule>
    <cfRule type="expression" dxfId="966" priority="10">
      <formula>$R83="em análise"</formula>
    </cfRule>
    <cfRule type="expression" dxfId="965" priority="11">
      <formula>$R83="em exigência"</formula>
    </cfRule>
    <cfRule type="expression" dxfId="964" priority="12">
      <formula>$R83="em recurso"</formula>
    </cfRule>
  </conditionalFormatting>
  <conditionalFormatting sqref="AD12:AD13">
    <cfRule type="expression" dxfId="963" priority="5">
      <formula>$R12="exigência cumprida"</formula>
    </cfRule>
    <cfRule type="expression" dxfId="962" priority="6">
      <formula>$R12="em análise"</formula>
    </cfRule>
    <cfRule type="expression" dxfId="961" priority="7">
      <formula>$R12="em exigência"</formula>
    </cfRule>
    <cfRule type="expression" dxfId="960" priority="8">
      <formula>$R12="em recurso"</formula>
    </cfRule>
  </conditionalFormatting>
  <conditionalFormatting sqref="AD85">
    <cfRule type="expression" dxfId="959" priority="1">
      <formula>$R85="exigência cumprida"</formula>
    </cfRule>
    <cfRule type="expression" dxfId="958" priority="2">
      <formula>$R85="em análise"</formula>
    </cfRule>
    <cfRule type="expression" dxfId="957" priority="3">
      <formula>$R85="em exigência"</formula>
    </cfRule>
    <cfRule type="expression" dxfId="956" priority="4">
      <formula>$R85="em recurso"</formula>
    </cfRule>
  </conditionalFormatting>
  <pageMargins left="0.15748031496062992" right="0.15748031496062992" top="0.31496062992125984" bottom="0.19685039370078741" header="0.31496062992125984" footer="0.19685039370078741"/>
  <pageSetup paperSize="9" scale="44"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7">
        <x14:dataValidation type="list" allowBlank="1" showInputMessage="1" showErrorMessage="1">
          <x14:formula1>
            <xm:f>Formulas!#REF!</xm:f>
          </x14:formula1>
          <xm:sqref>L110:L1048576</xm:sqref>
        </x14:dataValidation>
        <x14:dataValidation type="list" allowBlank="1" showInputMessage="1" showErrorMessage="1">
          <x14:formula1>
            <xm:f>Formulas!$H$2:$H$13</xm:f>
          </x14:formula1>
          <xm:sqref>W20:X27 W33:Y33 EG98 Z29:Z32 D110:D1048576 EJ103:EJ1048576 EA92:EE1048576 DW91:DZ1048576 EF98:EF1048576 EG100:EI1048576 EK108:EK1048576 EL109:EL1048576 EM110:EM1048576 EN2:EN109 T1:T1048576 D2:D33 Y2:Y32</xm:sqref>
        </x14:dataValidation>
        <x14:dataValidation type="list" allowBlank="1" showInputMessage="1" showErrorMessage="1">
          <x14:formula1>
            <xm:f>Formulas!$E$2:$E$14</xm:f>
          </x14:formula1>
          <xm:sqref>N2:N1048576</xm:sqref>
        </x14:dataValidation>
        <x14:dataValidation type="list" allowBlank="1" showInputMessage="1" showErrorMessage="1">
          <x14:formula1>
            <xm:f>Formulas!$A$2:$A$3</xm:f>
          </x14:formula1>
          <xm:sqref>C2:C109</xm:sqref>
        </x14:dataValidation>
        <x14:dataValidation type="list" allowBlank="1" showInputMessage="1" showErrorMessage="1">
          <x14:formula1>
            <xm:f>Formulas!$D$2:$D$102</xm:f>
          </x14:formula1>
          <xm:sqref>M2:M1048576</xm:sqref>
        </x14:dataValidation>
        <x14:dataValidation type="list" allowBlank="1" showInputMessage="1" showErrorMessage="1">
          <x14:formula1>
            <xm:f>Formulas!$C$2:$C$7</xm:f>
          </x14:formula1>
          <xm:sqref>L2:L109</xm:sqref>
        </x14:dataValidation>
        <x14:dataValidation type="list" allowBlank="1" showInputMessage="1" showErrorMessage="1">
          <x14:formula1>
            <xm:f>Formulas!$F$2:$F$15</xm:f>
          </x14:formula1>
          <xm:sqref>R1:R1048576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theme="6" tint="0.39997558519241921"/>
  </sheetPr>
  <dimension ref="A1:JV506"/>
  <sheetViews>
    <sheetView showGridLines="0" view="pageBreakPreview" zoomScale="70" zoomScaleNormal="80" zoomScaleSheetLayoutView="70" workbookViewId="0">
      <pane xSplit="5" ySplit="1" topLeftCell="F505" activePane="bottomRight" state="frozen"/>
      <selection activeCell="HI2" sqref="HI2"/>
      <selection pane="topRight" activeCell="HI2" sqref="HI2"/>
      <selection pane="bottomLeft" activeCell="HI2" sqref="HI2"/>
      <selection pane="bottomRight" activeCell="A505" sqref="A505"/>
    </sheetView>
  </sheetViews>
  <sheetFormatPr defaultColWidth="19.28515625" defaultRowHeight="12.75" x14ac:dyDescent="0.2"/>
  <cols>
    <col min="1" max="1" width="19.28515625" style="2"/>
    <col min="2" max="4" width="16.7109375" style="230" customWidth="1"/>
    <col min="5" max="5" width="22.7109375" style="177" bestFit="1" customWidth="1"/>
    <col min="6" max="6" width="30.140625" style="177" customWidth="1"/>
    <col min="7" max="7" width="27.5703125" style="177" customWidth="1"/>
    <col min="8" max="8" width="22.85546875" style="177" customWidth="1"/>
    <col min="9" max="9" width="58.7109375" style="177" customWidth="1"/>
    <col min="10" max="10" width="22.5703125" style="177" customWidth="1"/>
    <col min="11" max="11" width="14.7109375" style="177" customWidth="1"/>
    <col min="12" max="12" width="19.28515625" style="177" customWidth="1"/>
    <col min="13" max="13" width="29.7109375" style="177" customWidth="1"/>
    <col min="14" max="14" width="13.140625" style="177" customWidth="1"/>
    <col min="15" max="15" width="15.85546875" style="177" bestFit="1" customWidth="1"/>
    <col min="16" max="19" width="15.85546875" style="177" customWidth="1"/>
    <col min="20" max="20" width="83.85546875" style="97" customWidth="1"/>
    <col min="21" max="21" width="36.42578125" style="97" bestFit="1" customWidth="1"/>
    <col min="22" max="22" width="13.42578125" style="97" bestFit="1" customWidth="1"/>
    <col min="23" max="23" width="17.140625" style="97" customWidth="1"/>
    <col min="24" max="24" width="18.5703125" style="97" customWidth="1"/>
    <col min="25" max="26" width="10.7109375" style="97" customWidth="1"/>
    <col min="27" max="32" width="15.7109375" style="97" customWidth="1"/>
    <col min="33" max="35" width="10.7109375" style="97" customWidth="1"/>
    <col min="36" max="36" width="19.28515625" style="97"/>
    <col min="37" max="37" width="12.5703125" style="97" hidden="1" customWidth="1"/>
    <col min="38" max="38" width="3.85546875" style="97" hidden="1" customWidth="1"/>
    <col min="39" max="16384" width="19.28515625" style="2"/>
  </cols>
  <sheetData>
    <row r="1" spans="1:38" ht="59.25" customHeight="1" x14ac:dyDescent="0.2">
      <c r="A1" s="25" t="s">
        <v>5334</v>
      </c>
      <c r="B1" s="25" t="s">
        <v>583</v>
      </c>
      <c r="C1" s="25" t="s">
        <v>3834</v>
      </c>
      <c r="D1" s="25" t="s">
        <v>5229</v>
      </c>
      <c r="E1" s="25" t="s">
        <v>0</v>
      </c>
      <c r="F1" s="25" t="s">
        <v>1</v>
      </c>
      <c r="G1" s="25" t="s">
        <v>3229</v>
      </c>
      <c r="H1" s="25" t="s">
        <v>4701</v>
      </c>
      <c r="I1" s="25" t="s">
        <v>3810</v>
      </c>
      <c r="J1" s="25" t="s">
        <v>8</v>
      </c>
      <c r="K1" s="25" t="s">
        <v>3</v>
      </c>
      <c r="L1" s="25" t="s">
        <v>2891</v>
      </c>
      <c r="M1" s="25" t="s">
        <v>5</v>
      </c>
      <c r="N1" s="25" t="s">
        <v>6</v>
      </c>
      <c r="O1" s="25" t="s">
        <v>5076</v>
      </c>
      <c r="P1" s="25" t="s">
        <v>5062</v>
      </c>
      <c r="Q1" s="25" t="s">
        <v>634</v>
      </c>
      <c r="R1" s="25" t="s">
        <v>5662</v>
      </c>
      <c r="S1" s="25" t="s">
        <v>1297</v>
      </c>
      <c r="T1" s="25" t="s">
        <v>2573</v>
      </c>
      <c r="U1" s="25" t="s">
        <v>5663</v>
      </c>
      <c r="V1" s="25" t="s">
        <v>3336</v>
      </c>
      <c r="W1" s="25" t="s">
        <v>3334</v>
      </c>
      <c r="X1" s="25" t="s">
        <v>3335</v>
      </c>
      <c r="Y1" s="25" t="s">
        <v>2890</v>
      </c>
      <c r="Z1" s="25" t="s">
        <v>5158</v>
      </c>
      <c r="AA1" s="25" t="s">
        <v>5168</v>
      </c>
      <c r="AB1" s="25" t="s">
        <v>5163</v>
      </c>
      <c r="AC1" s="25" t="s">
        <v>5164</v>
      </c>
      <c r="AD1" s="25" t="s">
        <v>5169</v>
      </c>
      <c r="AE1" s="25" t="s">
        <v>5516</v>
      </c>
      <c r="AF1" s="25" t="s">
        <v>5638</v>
      </c>
      <c r="AG1" s="25" t="s">
        <v>5055</v>
      </c>
      <c r="AH1" s="25" t="s">
        <v>5582</v>
      </c>
      <c r="AI1" s="25" t="s">
        <v>5057</v>
      </c>
      <c r="AJ1" s="25" t="s">
        <v>650</v>
      </c>
      <c r="AK1" s="647" t="s">
        <v>5542</v>
      </c>
      <c r="AL1" s="25" t="s">
        <v>5532</v>
      </c>
    </row>
    <row r="2" spans="1:38" s="13" customFormat="1" ht="50.1" customHeight="1" x14ac:dyDescent="0.2">
      <c r="A2" s="695"/>
      <c r="B2" s="29" t="s">
        <v>2365</v>
      </c>
      <c r="C2" s="29"/>
      <c r="D2" s="29"/>
      <c r="E2" s="74" t="s">
        <v>651</v>
      </c>
      <c r="F2" s="104" t="s">
        <v>2369</v>
      </c>
      <c r="G2" s="29" t="s">
        <v>729</v>
      </c>
      <c r="H2" s="74"/>
      <c r="I2" s="74"/>
      <c r="J2" s="29" t="s">
        <v>1861</v>
      </c>
      <c r="K2" s="30" t="s">
        <v>1394</v>
      </c>
      <c r="L2" s="29" t="s">
        <v>652</v>
      </c>
      <c r="M2" s="29" t="s">
        <v>1528</v>
      </c>
      <c r="N2" s="74">
        <v>39077</v>
      </c>
      <c r="O2" s="29" t="s">
        <v>653</v>
      </c>
      <c r="P2" s="29"/>
      <c r="Q2" s="29"/>
      <c r="R2" s="29"/>
      <c r="S2" s="29"/>
      <c r="T2" s="148"/>
      <c r="U2" s="148"/>
      <c r="V2" s="148"/>
      <c r="W2" s="148"/>
      <c r="X2" s="148"/>
      <c r="Y2" s="148"/>
      <c r="Z2" s="148"/>
      <c r="AA2" s="148"/>
      <c r="AB2" s="148"/>
      <c r="AC2" s="148"/>
      <c r="AD2" s="148"/>
      <c r="AE2" s="148"/>
      <c r="AF2" s="148"/>
      <c r="AG2" s="148"/>
      <c r="AH2" s="148"/>
      <c r="AI2" s="148"/>
      <c r="AJ2" s="74">
        <v>39699</v>
      </c>
      <c r="AK2" s="720">
        <f t="shared" ref="AK2:AK33" si="0">AJ2-N2</f>
        <v>622</v>
      </c>
      <c r="AL2" s="708"/>
    </row>
    <row r="3" spans="1:38" s="15" customFormat="1" ht="50.1" customHeight="1" x14ac:dyDescent="0.2">
      <c r="A3" s="695"/>
      <c r="B3" s="29" t="s">
        <v>2365</v>
      </c>
      <c r="C3" s="29"/>
      <c r="D3" s="29"/>
      <c r="E3" s="74" t="s">
        <v>670</v>
      </c>
      <c r="F3" s="104" t="s">
        <v>639</v>
      </c>
      <c r="G3" s="29" t="s">
        <v>639</v>
      </c>
      <c r="H3" s="29"/>
      <c r="I3" s="29"/>
      <c r="J3" s="29" t="s">
        <v>50</v>
      </c>
      <c r="K3" s="30" t="s">
        <v>1394</v>
      </c>
      <c r="L3" s="30" t="s">
        <v>1923</v>
      </c>
      <c r="M3" s="29" t="s">
        <v>1528</v>
      </c>
      <c r="N3" s="74">
        <v>39338</v>
      </c>
      <c r="O3" s="29" t="s">
        <v>671</v>
      </c>
      <c r="P3" s="29"/>
      <c r="Q3" s="29"/>
      <c r="R3" s="29"/>
      <c r="S3" s="29"/>
      <c r="T3" s="148"/>
      <c r="U3" s="148"/>
      <c r="V3" s="148"/>
      <c r="W3" s="148"/>
      <c r="X3" s="148"/>
      <c r="Y3" s="148"/>
      <c r="Z3" s="148"/>
      <c r="AA3" s="148"/>
      <c r="AB3" s="148"/>
      <c r="AC3" s="148"/>
      <c r="AD3" s="148"/>
      <c r="AE3" s="148"/>
      <c r="AF3" s="148"/>
      <c r="AG3" s="148"/>
      <c r="AH3" s="148"/>
      <c r="AI3" s="148"/>
      <c r="AJ3" s="74">
        <v>39706</v>
      </c>
      <c r="AK3" s="720">
        <f t="shared" si="0"/>
        <v>368</v>
      </c>
      <c r="AL3" s="709"/>
    </row>
    <row r="4" spans="1:38" s="15" customFormat="1" ht="50.1" customHeight="1" x14ac:dyDescent="0.2">
      <c r="A4" s="695"/>
      <c r="B4" s="29" t="s">
        <v>2365</v>
      </c>
      <c r="C4" s="29"/>
      <c r="D4" s="29"/>
      <c r="E4" s="74" t="s">
        <v>662</v>
      </c>
      <c r="F4" s="104" t="s">
        <v>663</v>
      </c>
      <c r="G4" s="29" t="s">
        <v>663</v>
      </c>
      <c r="H4" s="29"/>
      <c r="I4" s="29"/>
      <c r="J4" s="29" t="s">
        <v>2366</v>
      </c>
      <c r="K4" s="30" t="s">
        <v>1394</v>
      </c>
      <c r="L4" s="29" t="s">
        <v>2022</v>
      </c>
      <c r="M4" s="29" t="s">
        <v>1528</v>
      </c>
      <c r="N4" s="74">
        <v>39384</v>
      </c>
      <c r="O4" s="29" t="s">
        <v>664</v>
      </c>
      <c r="P4" s="29"/>
      <c r="Q4" s="29"/>
      <c r="R4" s="29"/>
      <c r="S4" s="29"/>
      <c r="T4" s="148"/>
      <c r="U4" s="148"/>
      <c r="V4" s="148"/>
      <c r="W4" s="148"/>
      <c r="X4" s="148"/>
      <c r="Y4" s="148"/>
      <c r="Z4" s="148"/>
      <c r="AA4" s="148"/>
      <c r="AB4" s="148"/>
      <c r="AC4" s="148"/>
      <c r="AD4" s="148"/>
      <c r="AE4" s="148"/>
      <c r="AF4" s="148"/>
      <c r="AG4" s="148"/>
      <c r="AH4" s="148"/>
      <c r="AI4" s="148"/>
      <c r="AJ4" s="74">
        <v>39706</v>
      </c>
      <c r="AK4" s="720">
        <f t="shared" si="0"/>
        <v>322</v>
      </c>
      <c r="AL4" s="708"/>
    </row>
    <row r="5" spans="1:38" s="15" customFormat="1" ht="50.1" customHeight="1" x14ac:dyDescent="0.2">
      <c r="A5" s="695"/>
      <c r="B5" s="29" t="s">
        <v>2365</v>
      </c>
      <c r="C5" s="29"/>
      <c r="D5" s="29"/>
      <c r="E5" s="29" t="s">
        <v>674</v>
      </c>
      <c r="F5" s="104" t="s">
        <v>675</v>
      </c>
      <c r="G5" s="29" t="s">
        <v>676</v>
      </c>
      <c r="H5" s="29"/>
      <c r="I5" s="29"/>
      <c r="J5" s="29" t="s">
        <v>1292</v>
      </c>
      <c r="K5" s="29" t="s">
        <v>1393</v>
      </c>
      <c r="L5" s="29" t="s">
        <v>2424</v>
      </c>
      <c r="M5" s="29" t="s">
        <v>2440</v>
      </c>
      <c r="N5" s="74">
        <v>39596</v>
      </c>
      <c r="O5" s="69" t="s">
        <v>677</v>
      </c>
      <c r="P5" s="69"/>
      <c r="Q5" s="69"/>
      <c r="R5" s="69"/>
      <c r="S5" s="69"/>
      <c r="T5" s="148"/>
      <c r="U5" s="148"/>
      <c r="V5" s="148"/>
      <c r="W5" s="148"/>
      <c r="X5" s="148"/>
      <c r="Y5" s="148"/>
      <c r="Z5" s="148"/>
      <c r="AA5" s="148"/>
      <c r="AB5" s="148"/>
      <c r="AC5" s="148"/>
      <c r="AD5" s="148"/>
      <c r="AE5" s="148"/>
      <c r="AF5" s="148"/>
      <c r="AG5" s="148"/>
      <c r="AH5" s="148"/>
      <c r="AI5" s="148"/>
      <c r="AJ5" s="74">
        <v>39706</v>
      </c>
      <c r="AK5" s="720">
        <f t="shared" si="0"/>
        <v>110</v>
      </c>
      <c r="AL5" s="710"/>
    </row>
    <row r="6" spans="1:38" s="15" customFormat="1" ht="50.1" customHeight="1" x14ac:dyDescent="0.2">
      <c r="A6" s="695"/>
      <c r="B6" s="29" t="s">
        <v>2365</v>
      </c>
      <c r="C6" s="29"/>
      <c r="D6" s="29"/>
      <c r="E6" s="74" t="s">
        <v>668</v>
      </c>
      <c r="F6" s="104" t="s">
        <v>2096</v>
      </c>
      <c r="G6" s="29" t="s">
        <v>2096</v>
      </c>
      <c r="H6" s="29"/>
      <c r="I6" s="29"/>
      <c r="J6" s="29" t="s">
        <v>102</v>
      </c>
      <c r="K6" s="30" t="s">
        <v>1394</v>
      </c>
      <c r="L6" s="29" t="s">
        <v>879</v>
      </c>
      <c r="M6" s="29" t="s">
        <v>1528</v>
      </c>
      <c r="N6" s="74">
        <v>39359</v>
      </c>
      <c r="O6" s="29" t="s">
        <v>669</v>
      </c>
      <c r="P6" s="29"/>
      <c r="Q6" s="29"/>
      <c r="R6" s="29"/>
      <c r="S6" s="29"/>
      <c r="T6" s="148"/>
      <c r="U6" s="148"/>
      <c r="V6" s="148"/>
      <c r="W6" s="148"/>
      <c r="X6" s="148"/>
      <c r="Y6" s="148"/>
      <c r="Z6" s="148"/>
      <c r="AA6" s="148"/>
      <c r="AB6" s="148"/>
      <c r="AC6" s="148"/>
      <c r="AD6" s="148"/>
      <c r="AE6" s="148"/>
      <c r="AF6" s="148"/>
      <c r="AG6" s="148"/>
      <c r="AH6" s="148"/>
      <c r="AI6" s="148"/>
      <c r="AJ6" s="74">
        <v>39713</v>
      </c>
      <c r="AK6" s="720">
        <f t="shared" si="0"/>
        <v>354</v>
      </c>
      <c r="AL6" s="708"/>
    </row>
    <row r="7" spans="1:38" s="9" customFormat="1" ht="50.1" customHeight="1" x14ac:dyDescent="0.2">
      <c r="A7" s="696"/>
      <c r="B7" s="29" t="s">
        <v>2365</v>
      </c>
      <c r="C7" s="29"/>
      <c r="D7" s="29"/>
      <c r="E7" s="721" t="s">
        <v>2367</v>
      </c>
      <c r="F7" s="104" t="s">
        <v>672</v>
      </c>
      <c r="G7" s="29" t="s">
        <v>460</v>
      </c>
      <c r="H7" s="29"/>
      <c r="I7" s="29"/>
      <c r="J7" s="29" t="s">
        <v>2368</v>
      </c>
      <c r="K7" s="29" t="s">
        <v>1393</v>
      </c>
      <c r="L7" s="29" t="s">
        <v>18</v>
      </c>
      <c r="M7" s="29" t="s">
        <v>1528</v>
      </c>
      <c r="N7" s="74">
        <v>39498</v>
      </c>
      <c r="O7" s="69" t="s">
        <v>673</v>
      </c>
      <c r="P7" s="69"/>
      <c r="Q7" s="69"/>
      <c r="R7" s="69"/>
      <c r="S7" s="69"/>
      <c r="T7" s="151"/>
      <c r="U7" s="151"/>
      <c r="V7" s="151"/>
      <c r="W7" s="151"/>
      <c r="X7" s="151"/>
      <c r="Y7" s="151"/>
      <c r="Z7" s="151"/>
      <c r="AA7" s="151"/>
      <c r="AB7" s="151"/>
      <c r="AC7" s="151"/>
      <c r="AD7" s="151"/>
      <c r="AE7" s="151"/>
      <c r="AF7" s="151"/>
      <c r="AG7" s="151"/>
      <c r="AH7" s="151"/>
      <c r="AI7" s="151"/>
      <c r="AJ7" s="74">
        <v>39720</v>
      </c>
      <c r="AK7" s="720">
        <f t="shared" si="0"/>
        <v>222</v>
      </c>
      <c r="AL7" s="711"/>
    </row>
    <row r="8" spans="1:38" s="11" customFormat="1" ht="50.1" customHeight="1" x14ac:dyDescent="0.2">
      <c r="A8" s="697"/>
      <c r="B8" s="29" t="s">
        <v>2365</v>
      </c>
      <c r="C8" s="29"/>
      <c r="D8" s="29"/>
      <c r="E8" s="160" t="s">
        <v>3017</v>
      </c>
      <c r="F8" s="104" t="s">
        <v>57</v>
      </c>
      <c r="G8" s="29" t="s">
        <v>65</v>
      </c>
      <c r="H8" s="29"/>
      <c r="I8" s="29"/>
      <c r="J8" s="29" t="s">
        <v>490</v>
      </c>
      <c r="K8" s="29" t="s">
        <v>1393</v>
      </c>
      <c r="L8" s="29" t="s">
        <v>12</v>
      </c>
      <c r="M8" s="29" t="s">
        <v>2444</v>
      </c>
      <c r="N8" s="74">
        <v>39514</v>
      </c>
      <c r="O8" s="74" t="s">
        <v>678</v>
      </c>
      <c r="P8" s="74"/>
      <c r="Q8" s="74"/>
      <c r="R8" s="74"/>
      <c r="S8" s="74"/>
      <c r="T8" s="152"/>
      <c r="U8" s="152"/>
      <c r="V8" s="152"/>
      <c r="W8" s="152"/>
      <c r="X8" s="152"/>
      <c r="Y8" s="152"/>
      <c r="Z8" s="152"/>
      <c r="AA8" s="152"/>
      <c r="AB8" s="152"/>
      <c r="AC8" s="152"/>
      <c r="AD8" s="152"/>
      <c r="AE8" s="152"/>
      <c r="AF8" s="152"/>
      <c r="AG8" s="152"/>
      <c r="AH8" s="152"/>
      <c r="AI8" s="152"/>
      <c r="AJ8" s="74">
        <v>39720</v>
      </c>
      <c r="AK8" s="720">
        <f t="shared" si="0"/>
        <v>206</v>
      </c>
      <c r="AL8" s="708"/>
    </row>
    <row r="9" spans="1:38" s="13" customFormat="1" ht="50.1" customHeight="1" x14ac:dyDescent="0.2">
      <c r="A9" s="695"/>
      <c r="B9" s="29" t="s">
        <v>2365</v>
      </c>
      <c r="C9" s="29"/>
      <c r="D9" s="29"/>
      <c r="E9" s="74" t="s">
        <v>660</v>
      </c>
      <c r="F9" s="104" t="s">
        <v>861</v>
      </c>
      <c r="G9" s="29" t="s">
        <v>2086</v>
      </c>
      <c r="H9" s="29"/>
      <c r="I9" s="29"/>
      <c r="J9" s="29" t="s">
        <v>2095</v>
      </c>
      <c r="K9" s="30" t="s">
        <v>1394</v>
      </c>
      <c r="L9" s="30" t="s">
        <v>1923</v>
      </c>
      <c r="M9" s="29" t="s">
        <v>1528</v>
      </c>
      <c r="N9" s="74">
        <v>39262</v>
      </c>
      <c r="O9" s="29" t="s">
        <v>661</v>
      </c>
      <c r="P9" s="29"/>
      <c r="Q9" s="29"/>
      <c r="R9" s="29"/>
      <c r="S9" s="29"/>
      <c r="T9" s="153" t="s">
        <v>3137</v>
      </c>
      <c r="U9" s="153"/>
      <c r="V9" s="153"/>
      <c r="W9" s="153"/>
      <c r="X9" s="153"/>
      <c r="Y9" s="153"/>
      <c r="Z9" s="153"/>
      <c r="AA9" s="153"/>
      <c r="AB9" s="153"/>
      <c r="AC9" s="153"/>
      <c r="AD9" s="153"/>
      <c r="AE9" s="153"/>
      <c r="AF9" s="153"/>
      <c r="AG9" s="153"/>
      <c r="AH9" s="153"/>
      <c r="AI9" s="153"/>
      <c r="AJ9" s="74">
        <v>39734</v>
      </c>
      <c r="AK9" s="720">
        <f t="shared" si="0"/>
        <v>472</v>
      </c>
      <c r="AL9" s="712"/>
    </row>
    <row r="10" spans="1:38" s="15" customFormat="1" ht="50.1" customHeight="1" x14ac:dyDescent="0.2">
      <c r="A10" s="695"/>
      <c r="B10" s="29" t="s">
        <v>2365</v>
      </c>
      <c r="C10" s="29"/>
      <c r="D10" s="29"/>
      <c r="E10" s="74" t="s">
        <v>654</v>
      </c>
      <c r="F10" s="104" t="s">
        <v>2097</v>
      </c>
      <c r="G10" s="29" t="s">
        <v>2097</v>
      </c>
      <c r="H10" s="29"/>
      <c r="I10" s="29"/>
      <c r="J10" s="29" t="s">
        <v>2098</v>
      </c>
      <c r="K10" s="30" t="s">
        <v>1394</v>
      </c>
      <c r="L10" s="29" t="s">
        <v>685</v>
      </c>
      <c r="M10" s="29" t="s">
        <v>1528</v>
      </c>
      <c r="N10" s="74">
        <v>39498</v>
      </c>
      <c r="O10" s="29" t="s">
        <v>655</v>
      </c>
      <c r="P10" s="29"/>
      <c r="Q10" s="29"/>
      <c r="R10" s="29"/>
      <c r="S10" s="29"/>
      <c r="T10" s="148"/>
      <c r="U10" s="148"/>
      <c r="V10" s="148"/>
      <c r="W10" s="148"/>
      <c r="X10" s="148"/>
      <c r="Y10" s="148"/>
      <c r="Z10" s="148"/>
      <c r="AA10" s="148"/>
      <c r="AB10" s="148"/>
      <c r="AC10" s="148"/>
      <c r="AD10" s="148"/>
      <c r="AE10" s="148"/>
      <c r="AF10" s="148"/>
      <c r="AG10" s="148"/>
      <c r="AH10" s="148"/>
      <c r="AI10" s="148"/>
      <c r="AJ10" s="74">
        <v>39741</v>
      </c>
      <c r="AK10" s="720">
        <f t="shared" si="0"/>
        <v>243</v>
      </c>
      <c r="AL10" s="154"/>
    </row>
    <row r="11" spans="1:38" s="7" customFormat="1" ht="50.1" customHeight="1" x14ac:dyDescent="0.2">
      <c r="A11" s="698"/>
      <c r="B11" s="29" t="s">
        <v>2365</v>
      </c>
      <c r="C11" s="29"/>
      <c r="D11" s="29"/>
      <c r="E11" s="29" t="s">
        <v>665</v>
      </c>
      <c r="F11" s="104" t="s">
        <v>666</v>
      </c>
      <c r="G11" s="29" t="s">
        <v>666</v>
      </c>
      <c r="H11" s="29"/>
      <c r="I11" s="29"/>
      <c r="J11" s="29" t="s">
        <v>520</v>
      </c>
      <c r="K11" s="30" t="s">
        <v>1394</v>
      </c>
      <c r="L11" s="29" t="s">
        <v>18</v>
      </c>
      <c r="M11" s="29" t="s">
        <v>1528</v>
      </c>
      <c r="N11" s="74">
        <v>39507</v>
      </c>
      <c r="O11" s="29" t="s">
        <v>667</v>
      </c>
      <c r="P11" s="29"/>
      <c r="Q11" s="29"/>
      <c r="R11" s="29"/>
      <c r="S11" s="29"/>
      <c r="T11" s="29"/>
      <c r="U11" s="29"/>
      <c r="V11" s="29"/>
      <c r="W11" s="29"/>
      <c r="X11" s="29"/>
      <c r="Y11" s="29"/>
      <c r="Z11" s="29"/>
      <c r="AA11" s="29"/>
      <c r="AB11" s="29"/>
      <c r="AC11" s="29"/>
      <c r="AD11" s="29"/>
      <c r="AE11" s="29"/>
      <c r="AF11" s="29"/>
      <c r="AG11" s="29"/>
      <c r="AH11" s="29"/>
      <c r="AI11" s="29"/>
      <c r="AJ11" s="74">
        <v>39741</v>
      </c>
      <c r="AK11" s="720">
        <f t="shared" si="0"/>
        <v>234</v>
      </c>
      <c r="AL11" s="155"/>
    </row>
    <row r="12" spans="1:38" s="15" customFormat="1" ht="50.1" customHeight="1" x14ac:dyDescent="0.2">
      <c r="A12" s="695"/>
      <c r="B12" s="29" t="s">
        <v>2365</v>
      </c>
      <c r="C12" s="29"/>
      <c r="D12" s="29"/>
      <c r="E12" s="74" t="s">
        <v>679</v>
      </c>
      <c r="F12" s="104" t="s">
        <v>2102</v>
      </c>
      <c r="G12" s="29" t="s">
        <v>2102</v>
      </c>
      <c r="H12" s="29"/>
      <c r="I12" s="29"/>
      <c r="J12" s="29" t="s">
        <v>605</v>
      </c>
      <c r="K12" s="30" t="s">
        <v>1394</v>
      </c>
      <c r="L12" s="29" t="s">
        <v>12</v>
      </c>
      <c r="M12" s="29" t="s">
        <v>1528</v>
      </c>
      <c r="N12" s="74">
        <v>39422</v>
      </c>
      <c r="O12" s="69" t="s">
        <v>680</v>
      </c>
      <c r="P12" s="69"/>
      <c r="Q12" s="69"/>
      <c r="R12" s="69"/>
      <c r="S12" s="69"/>
      <c r="T12" s="148"/>
      <c r="U12" s="148"/>
      <c r="V12" s="148"/>
      <c r="W12" s="148"/>
      <c r="X12" s="148"/>
      <c r="Y12" s="148"/>
      <c r="Z12" s="148"/>
      <c r="AA12" s="148"/>
      <c r="AB12" s="148"/>
      <c r="AC12" s="148"/>
      <c r="AD12" s="148"/>
      <c r="AE12" s="148"/>
      <c r="AF12" s="148"/>
      <c r="AG12" s="148"/>
      <c r="AH12" s="148"/>
      <c r="AI12" s="148"/>
      <c r="AJ12" s="74">
        <v>39755</v>
      </c>
      <c r="AK12" s="720">
        <f t="shared" si="0"/>
        <v>333</v>
      </c>
      <c r="AL12" s="156"/>
    </row>
    <row r="13" spans="1:38" s="4" customFormat="1" ht="50.1" customHeight="1" x14ac:dyDescent="0.2">
      <c r="A13" s="699"/>
      <c r="B13" s="29" t="s">
        <v>2365</v>
      </c>
      <c r="C13" s="29"/>
      <c r="D13" s="29"/>
      <c r="E13" s="74" t="s">
        <v>681</v>
      </c>
      <c r="F13" s="104" t="s">
        <v>23</v>
      </c>
      <c r="G13" s="29" t="s">
        <v>23</v>
      </c>
      <c r="H13" s="29"/>
      <c r="I13" s="29"/>
      <c r="J13" s="29" t="s">
        <v>697</v>
      </c>
      <c r="K13" s="30" t="s">
        <v>1394</v>
      </c>
      <c r="L13" s="29" t="s">
        <v>1004</v>
      </c>
      <c r="M13" s="29" t="s">
        <v>1528</v>
      </c>
      <c r="N13" s="74">
        <v>39436</v>
      </c>
      <c r="O13" s="69" t="s">
        <v>682</v>
      </c>
      <c r="P13" s="69"/>
      <c r="Q13" s="69"/>
      <c r="R13" s="69"/>
      <c r="S13" s="69"/>
      <c r="T13" s="157"/>
      <c r="U13" s="157"/>
      <c r="V13" s="157"/>
      <c r="W13" s="157"/>
      <c r="X13" s="157"/>
      <c r="Y13" s="157"/>
      <c r="Z13" s="157"/>
      <c r="AA13" s="157"/>
      <c r="AB13" s="157"/>
      <c r="AC13" s="157"/>
      <c r="AD13" s="157"/>
      <c r="AE13" s="157"/>
      <c r="AF13" s="157"/>
      <c r="AG13" s="157"/>
      <c r="AH13" s="157"/>
      <c r="AI13" s="157"/>
      <c r="AJ13" s="74">
        <v>39755</v>
      </c>
      <c r="AK13" s="720">
        <f t="shared" si="0"/>
        <v>319</v>
      </c>
      <c r="AL13" s="155"/>
    </row>
    <row r="14" spans="1:38" s="15" customFormat="1" ht="50.1" customHeight="1" x14ac:dyDescent="0.2">
      <c r="A14" s="695"/>
      <c r="B14" s="29" t="s">
        <v>2365</v>
      </c>
      <c r="C14" s="29"/>
      <c r="D14" s="29"/>
      <c r="E14" s="74" t="s">
        <v>683</v>
      </c>
      <c r="F14" s="104" t="s">
        <v>684</v>
      </c>
      <c r="G14" s="29" t="s">
        <v>684</v>
      </c>
      <c r="H14" s="29"/>
      <c r="I14" s="29"/>
      <c r="J14" s="29" t="s">
        <v>411</v>
      </c>
      <c r="K14" s="30" t="s">
        <v>1394</v>
      </c>
      <c r="L14" s="29" t="s">
        <v>685</v>
      </c>
      <c r="M14" s="29" t="s">
        <v>1528</v>
      </c>
      <c r="N14" s="74">
        <v>38548</v>
      </c>
      <c r="O14" s="29" t="s">
        <v>686</v>
      </c>
      <c r="P14" s="29"/>
      <c r="Q14" s="29"/>
      <c r="R14" s="29"/>
      <c r="S14" s="29"/>
      <c r="T14" s="158" t="s">
        <v>1462</v>
      </c>
      <c r="U14" s="158"/>
      <c r="V14" s="158"/>
      <c r="W14" s="158"/>
      <c r="X14" s="158"/>
      <c r="Y14" s="158"/>
      <c r="Z14" s="158"/>
      <c r="AA14" s="158"/>
      <c r="AB14" s="158"/>
      <c r="AC14" s="158"/>
      <c r="AD14" s="158"/>
      <c r="AE14" s="158"/>
      <c r="AF14" s="158"/>
      <c r="AG14" s="158"/>
      <c r="AH14" s="158"/>
      <c r="AI14" s="158"/>
      <c r="AJ14" s="74">
        <v>39776</v>
      </c>
      <c r="AK14" s="720">
        <f t="shared" si="0"/>
        <v>1228</v>
      </c>
      <c r="AL14" s="158"/>
    </row>
    <row r="15" spans="1:38" s="13" customFormat="1" ht="50.1" customHeight="1" x14ac:dyDescent="0.2">
      <c r="A15" s="695"/>
      <c r="B15" s="29" t="s">
        <v>2365</v>
      </c>
      <c r="C15" s="29"/>
      <c r="D15" s="29"/>
      <c r="E15" s="74" t="s">
        <v>687</v>
      </c>
      <c r="F15" s="104" t="s">
        <v>2371</v>
      </c>
      <c r="G15" s="29" t="s">
        <v>545</v>
      </c>
      <c r="H15" s="29"/>
      <c r="I15" s="29"/>
      <c r="J15" s="29" t="s">
        <v>2372</v>
      </c>
      <c r="K15" s="30" t="s">
        <v>1394</v>
      </c>
      <c r="L15" s="29" t="s">
        <v>843</v>
      </c>
      <c r="M15" s="29" t="s">
        <v>1528</v>
      </c>
      <c r="N15" s="74">
        <v>39444</v>
      </c>
      <c r="O15" s="69" t="s">
        <v>688</v>
      </c>
      <c r="P15" s="69"/>
      <c r="Q15" s="69"/>
      <c r="R15" s="69"/>
      <c r="S15" s="69"/>
      <c r="T15" s="148"/>
      <c r="U15" s="148"/>
      <c r="V15" s="148"/>
      <c r="W15" s="148"/>
      <c r="X15" s="148"/>
      <c r="Y15" s="148"/>
      <c r="Z15" s="148"/>
      <c r="AA15" s="148"/>
      <c r="AB15" s="148"/>
      <c r="AC15" s="148"/>
      <c r="AD15" s="148"/>
      <c r="AE15" s="148"/>
      <c r="AF15" s="148"/>
      <c r="AG15" s="148"/>
      <c r="AH15" s="148"/>
      <c r="AI15" s="148"/>
      <c r="AJ15" s="74">
        <v>39804</v>
      </c>
      <c r="AK15" s="720">
        <f t="shared" si="0"/>
        <v>360</v>
      </c>
      <c r="AL15" s="708"/>
    </row>
    <row r="16" spans="1:38" s="13" customFormat="1" ht="50.1" customHeight="1" x14ac:dyDescent="0.2">
      <c r="A16" s="695"/>
      <c r="B16" s="29" t="s">
        <v>2365</v>
      </c>
      <c r="C16" s="29"/>
      <c r="D16" s="29"/>
      <c r="E16" s="74" t="s">
        <v>656</v>
      </c>
      <c r="F16" s="104" t="s">
        <v>2103</v>
      </c>
      <c r="G16" s="29" t="s">
        <v>2103</v>
      </c>
      <c r="H16" s="29"/>
      <c r="I16" s="29"/>
      <c r="J16" s="29" t="s">
        <v>857</v>
      </c>
      <c r="K16" s="30" t="s">
        <v>1394</v>
      </c>
      <c r="L16" s="30" t="s">
        <v>1923</v>
      </c>
      <c r="M16" s="29" t="s">
        <v>1528</v>
      </c>
      <c r="N16" s="74">
        <v>39315</v>
      </c>
      <c r="O16" s="29" t="s">
        <v>657</v>
      </c>
      <c r="P16" s="29"/>
      <c r="Q16" s="29"/>
      <c r="R16" s="29"/>
      <c r="S16" s="29"/>
      <c r="T16" s="148"/>
      <c r="U16" s="148"/>
      <c r="V16" s="148"/>
      <c r="W16" s="148"/>
      <c r="X16" s="148"/>
      <c r="Y16" s="148"/>
      <c r="Z16" s="148"/>
      <c r="AA16" s="148"/>
      <c r="AB16" s="148"/>
      <c r="AC16" s="148"/>
      <c r="AD16" s="148"/>
      <c r="AE16" s="148"/>
      <c r="AF16" s="148"/>
      <c r="AG16" s="148"/>
      <c r="AH16" s="148"/>
      <c r="AI16" s="148"/>
      <c r="AJ16" s="74">
        <v>39809</v>
      </c>
      <c r="AK16" s="720">
        <f t="shared" si="0"/>
        <v>494</v>
      </c>
      <c r="AL16" s="708"/>
    </row>
    <row r="17" spans="1:38" s="13" customFormat="1" ht="50.1" customHeight="1" x14ac:dyDescent="0.2">
      <c r="A17" s="695"/>
      <c r="B17" s="29" t="s">
        <v>2365</v>
      </c>
      <c r="C17" s="29"/>
      <c r="D17" s="29"/>
      <c r="E17" s="29" t="s">
        <v>689</v>
      </c>
      <c r="F17" s="104" t="s">
        <v>690</v>
      </c>
      <c r="G17" s="29" t="s">
        <v>691</v>
      </c>
      <c r="H17" s="29"/>
      <c r="I17" s="29"/>
      <c r="J17" s="29" t="s">
        <v>692</v>
      </c>
      <c r="K17" s="29" t="s">
        <v>1393</v>
      </c>
      <c r="L17" s="29" t="s">
        <v>685</v>
      </c>
      <c r="M17" s="29" t="s">
        <v>1528</v>
      </c>
      <c r="N17" s="74">
        <v>39539</v>
      </c>
      <c r="O17" s="69" t="s">
        <v>693</v>
      </c>
      <c r="P17" s="69"/>
      <c r="Q17" s="69"/>
      <c r="R17" s="69"/>
      <c r="S17" s="69"/>
      <c r="T17" s="148"/>
      <c r="U17" s="148"/>
      <c r="V17" s="148"/>
      <c r="W17" s="148"/>
      <c r="X17" s="148"/>
      <c r="Y17" s="148"/>
      <c r="Z17" s="148"/>
      <c r="AA17" s="148"/>
      <c r="AB17" s="148"/>
      <c r="AC17" s="148"/>
      <c r="AD17" s="148"/>
      <c r="AE17" s="148"/>
      <c r="AF17" s="148"/>
      <c r="AG17" s="148"/>
      <c r="AH17" s="148"/>
      <c r="AI17" s="148"/>
      <c r="AJ17" s="74">
        <v>39822</v>
      </c>
      <c r="AK17" s="720">
        <f t="shared" si="0"/>
        <v>283</v>
      </c>
      <c r="AL17" s="708"/>
    </row>
    <row r="18" spans="1:38" s="13" customFormat="1" ht="50.1" customHeight="1" x14ac:dyDescent="0.2">
      <c r="A18" s="695"/>
      <c r="B18" s="29" t="s">
        <v>2365</v>
      </c>
      <c r="C18" s="29"/>
      <c r="D18" s="29"/>
      <c r="E18" s="74" t="s">
        <v>699</v>
      </c>
      <c r="F18" s="104" t="s">
        <v>2104</v>
      </c>
      <c r="G18" s="29" t="s">
        <v>2104</v>
      </c>
      <c r="H18" s="29"/>
      <c r="I18" s="29"/>
      <c r="J18" s="29" t="s">
        <v>51</v>
      </c>
      <c r="K18" s="30" t="s">
        <v>1394</v>
      </c>
      <c r="L18" s="29" t="s">
        <v>12</v>
      </c>
      <c r="M18" s="29" t="s">
        <v>1528</v>
      </c>
      <c r="N18" s="74">
        <v>39568</v>
      </c>
      <c r="O18" s="29" t="s">
        <v>700</v>
      </c>
      <c r="P18" s="29"/>
      <c r="Q18" s="29"/>
      <c r="R18" s="29"/>
      <c r="S18" s="29"/>
      <c r="T18" s="148"/>
      <c r="U18" s="148"/>
      <c r="V18" s="148"/>
      <c r="W18" s="148"/>
      <c r="X18" s="148"/>
      <c r="Y18" s="148"/>
      <c r="Z18" s="148"/>
      <c r="AA18" s="148"/>
      <c r="AB18" s="148"/>
      <c r="AC18" s="148"/>
      <c r="AD18" s="148"/>
      <c r="AE18" s="148"/>
      <c r="AF18" s="148"/>
      <c r="AG18" s="148"/>
      <c r="AH18" s="148"/>
      <c r="AI18" s="148"/>
      <c r="AJ18" s="74">
        <v>39825</v>
      </c>
      <c r="AK18" s="720">
        <f t="shared" si="0"/>
        <v>257</v>
      </c>
      <c r="AL18" s="708"/>
    </row>
    <row r="19" spans="1:38" s="13" customFormat="1" ht="50.1" customHeight="1" x14ac:dyDescent="0.2">
      <c r="A19" s="695"/>
      <c r="B19" s="29" t="s">
        <v>2365</v>
      </c>
      <c r="C19" s="29"/>
      <c r="D19" s="29"/>
      <c r="E19" s="29" t="s">
        <v>694</v>
      </c>
      <c r="F19" s="104" t="s">
        <v>695</v>
      </c>
      <c r="G19" s="29" t="s">
        <v>696</v>
      </c>
      <c r="H19" s="29"/>
      <c r="I19" s="29"/>
      <c r="J19" s="29" t="s">
        <v>697</v>
      </c>
      <c r="K19" s="29" t="s">
        <v>1393</v>
      </c>
      <c r="L19" s="29" t="s">
        <v>742</v>
      </c>
      <c r="M19" s="29" t="s">
        <v>1528</v>
      </c>
      <c r="N19" s="74">
        <v>39598</v>
      </c>
      <c r="O19" s="69" t="s">
        <v>698</v>
      </c>
      <c r="P19" s="69"/>
      <c r="Q19" s="69"/>
      <c r="R19" s="69"/>
      <c r="S19" s="69"/>
      <c r="T19" s="148"/>
      <c r="U19" s="148"/>
      <c r="V19" s="148"/>
      <c r="W19" s="148"/>
      <c r="X19" s="148"/>
      <c r="Y19" s="148"/>
      <c r="Z19" s="148"/>
      <c r="AA19" s="148"/>
      <c r="AB19" s="148"/>
      <c r="AC19" s="148"/>
      <c r="AD19" s="148"/>
      <c r="AE19" s="148"/>
      <c r="AF19" s="148"/>
      <c r="AG19" s="148"/>
      <c r="AH19" s="148"/>
      <c r="AI19" s="148"/>
      <c r="AJ19" s="74">
        <v>39825</v>
      </c>
      <c r="AK19" s="720">
        <f t="shared" si="0"/>
        <v>227</v>
      </c>
      <c r="AL19" s="709"/>
    </row>
    <row r="20" spans="1:38" s="13" customFormat="1" ht="50.1" customHeight="1" x14ac:dyDescent="0.2">
      <c r="A20" s="695"/>
      <c r="B20" s="29" t="s">
        <v>2365</v>
      </c>
      <c r="C20" s="29"/>
      <c r="D20" s="29"/>
      <c r="E20" s="74" t="s">
        <v>706</v>
      </c>
      <c r="F20" s="104" t="s">
        <v>707</v>
      </c>
      <c r="G20" s="29" t="s">
        <v>707</v>
      </c>
      <c r="H20" s="29"/>
      <c r="I20" s="29"/>
      <c r="J20" s="29" t="s">
        <v>514</v>
      </c>
      <c r="K20" s="30" t="s">
        <v>1394</v>
      </c>
      <c r="L20" s="29" t="s">
        <v>18</v>
      </c>
      <c r="M20" s="29" t="s">
        <v>1528</v>
      </c>
      <c r="N20" s="74">
        <v>39365</v>
      </c>
      <c r="O20" s="29" t="s">
        <v>708</v>
      </c>
      <c r="P20" s="29"/>
      <c r="Q20" s="29"/>
      <c r="R20" s="29"/>
      <c r="S20" s="29"/>
      <c r="T20" s="148"/>
      <c r="U20" s="148"/>
      <c r="V20" s="148"/>
      <c r="W20" s="148"/>
      <c r="X20" s="148"/>
      <c r="Y20" s="148"/>
      <c r="Z20" s="148"/>
      <c r="AA20" s="148"/>
      <c r="AB20" s="148"/>
      <c r="AC20" s="148"/>
      <c r="AD20" s="148"/>
      <c r="AE20" s="148"/>
      <c r="AF20" s="148"/>
      <c r="AG20" s="148"/>
      <c r="AH20" s="148"/>
      <c r="AI20" s="148"/>
      <c r="AJ20" s="74">
        <v>39832</v>
      </c>
      <c r="AK20" s="720">
        <f t="shared" si="0"/>
        <v>467</v>
      </c>
      <c r="AL20" s="708"/>
    </row>
    <row r="21" spans="1:38" s="12" customFormat="1" ht="50.1" customHeight="1" x14ac:dyDescent="0.2">
      <c r="A21" s="700"/>
      <c r="B21" s="29" t="s">
        <v>2365</v>
      </c>
      <c r="C21" s="29"/>
      <c r="D21" s="29"/>
      <c r="E21" s="74" t="s">
        <v>703</v>
      </c>
      <c r="F21" s="104" t="s">
        <v>68</v>
      </c>
      <c r="G21" s="29" t="s">
        <v>704</v>
      </c>
      <c r="H21" s="29"/>
      <c r="I21" s="29"/>
      <c r="J21" s="29" t="s">
        <v>50</v>
      </c>
      <c r="K21" s="30" t="s">
        <v>1394</v>
      </c>
      <c r="L21" s="30" t="s">
        <v>1923</v>
      </c>
      <c r="M21" s="29" t="s">
        <v>1528</v>
      </c>
      <c r="N21" s="74">
        <v>39408</v>
      </c>
      <c r="O21" s="69" t="s">
        <v>705</v>
      </c>
      <c r="P21" s="69"/>
      <c r="Q21" s="69"/>
      <c r="R21" s="69"/>
      <c r="S21" s="69"/>
      <c r="T21" s="159"/>
      <c r="U21" s="159"/>
      <c r="V21" s="159"/>
      <c r="W21" s="159"/>
      <c r="X21" s="159"/>
      <c r="Y21" s="159"/>
      <c r="Z21" s="159"/>
      <c r="AA21" s="159"/>
      <c r="AB21" s="159"/>
      <c r="AC21" s="159"/>
      <c r="AD21" s="159"/>
      <c r="AE21" s="159"/>
      <c r="AF21" s="159"/>
      <c r="AG21" s="159"/>
      <c r="AH21" s="159"/>
      <c r="AI21" s="159"/>
      <c r="AJ21" s="74">
        <v>39832</v>
      </c>
      <c r="AK21" s="720">
        <f t="shared" si="0"/>
        <v>424</v>
      </c>
      <c r="AL21" s="709"/>
    </row>
    <row r="22" spans="1:38" s="12" customFormat="1" ht="50.1" customHeight="1" x14ac:dyDescent="0.2">
      <c r="A22" s="700"/>
      <c r="B22" s="29" t="s">
        <v>2365</v>
      </c>
      <c r="C22" s="29"/>
      <c r="D22" s="29"/>
      <c r="E22" s="74" t="s">
        <v>714</v>
      </c>
      <c r="F22" s="104" t="s">
        <v>715</v>
      </c>
      <c r="G22" s="29" t="s">
        <v>715</v>
      </c>
      <c r="H22" s="29"/>
      <c r="I22" s="29"/>
      <c r="J22" s="29" t="s">
        <v>712</v>
      </c>
      <c r="K22" s="30" t="s">
        <v>1394</v>
      </c>
      <c r="L22" s="29" t="s">
        <v>18</v>
      </c>
      <c r="M22" s="29" t="s">
        <v>1528</v>
      </c>
      <c r="N22" s="74">
        <v>39408</v>
      </c>
      <c r="O22" s="69" t="s">
        <v>716</v>
      </c>
      <c r="P22" s="69"/>
      <c r="Q22" s="69"/>
      <c r="R22" s="69"/>
      <c r="S22" s="69"/>
      <c r="T22" s="159"/>
      <c r="U22" s="159"/>
      <c r="V22" s="159"/>
      <c r="W22" s="159"/>
      <c r="X22" s="159"/>
      <c r="Y22" s="159"/>
      <c r="Z22" s="159"/>
      <c r="AA22" s="159"/>
      <c r="AB22" s="159"/>
      <c r="AC22" s="159"/>
      <c r="AD22" s="159"/>
      <c r="AE22" s="159"/>
      <c r="AF22" s="159"/>
      <c r="AG22" s="159"/>
      <c r="AH22" s="159"/>
      <c r="AI22" s="159"/>
      <c r="AJ22" s="74">
        <v>39832</v>
      </c>
      <c r="AK22" s="720">
        <f t="shared" si="0"/>
        <v>424</v>
      </c>
      <c r="AL22" s="708"/>
    </row>
    <row r="23" spans="1:38" s="12" customFormat="1" ht="50.1" customHeight="1" x14ac:dyDescent="0.2">
      <c r="A23" s="700"/>
      <c r="B23" s="29" t="s">
        <v>2365</v>
      </c>
      <c r="C23" s="29"/>
      <c r="D23" s="29"/>
      <c r="E23" s="74" t="s">
        <v>718</v>
      </c>
      <c r="F23" s="104" t="s">
        <v>723</v>
      </c>
      <c r="G23" s="29" t="s">
        <v>719</v>
      </c>
      <c r="H23" s="29"/>
      <c r="I23" s="29"/>
      <c r="J23" s="29" t="s">
        <v>34</v>
      </c>
      <c r="K23" s="30" t="s">
        <v>1394</v>
      </c>
      <c r="L23" s="29" t="s">
        <v>18</v>
      </c>
      <c r="M23" s="29" t="s">
        <v>1528</v>
      </c>
      <c r="N23" s="74">
        <v>39408</v>
      </c>
      <c r="O23" s="69" t="s">
        <v>720</v>
      </c>
      <c r="P23" s="69"/>
      <c r="Q23" s="69"/>
      <c r="R23" s="69"/>
      <c r="S23" s="69"/>
      <c r="T23" s="159"/>
      <c r="U23" s="159"/>
      <c r="V23" s="159"/>
      <c r="W23" s="159"/>
      <c r="X23" s="159"/>
      <c r="Y23" s="159"/>
      <c r="Z23" s="159"/>
      <c r="AA23" s="159"/>
      <c r="AB23" s="159"/>
      <c r="AC23" s="159"/>
      <c r="AD23" s="159"/>
      <c r="AE23" s="159"/>
      <c r="AF23" s="159"/>
      <c r="AG23" s="159"/>
      <c r="AH23" s="159"/>
      <c r="AI23" s="159"/>
      <c r="AJ23" s="74">
        <v>39832</v>
      </c>
      <c r="AK23" s="720">
        <f t="shared" si="0"/>
        <v>424</v>
      </c>
      <c r="AL23" s="708"/>
    </row>
    <row r="24" spans="1:38" s="16" customFormat="1" ht="50.1" customHeight="1" x14ac:dyDescent="0.2">
      <c r="A24" s="700"/>
      <c r="B24" s="29" t="s">
        <v>2365</v>
      </c>
      <c r="C24" s="29"/>
      <c r="D24" s="29"/>
      <c r="E24" s="74" t="s">
        <v>710</v>
      </c>
      <c r="F24" s="104" t="s">
        <v>1913</v>
      </c>
      <c r="G24" s="29" t="s">
        <v>711</v>
      </c>
      <c r="H24" s="29"/>
      <c r="I24" s="29"/>
      <c r="J24" s="29" t="s">
        <v>712</v>
      </c>
      <c r="K24" s="30" t="s">
        <v>1394</v>
      </c>
      <c r="L24" s="29" t="s">
        <v>879</v>
      </c>
      <c r="M24" s="29" t="s">
        <v>1528</v>
      </c>
      <c r="N24" s="74">
        <v>39437</v>
      </c>
      <c r="O24" s="29" t="s">
        <v>713</v>
      </c>
      <c r="P24" s="29"/>
      <c r="Q24" s="29"/>
      <c r="R24" s="29"/>
      <c r="S24" s="29"/>
      <c r="T24" s="159"/>
      <c r="U24" s="159"/>
      <c r="V24" s="159"/>
      <c r="W24" s="159"/>
      <c r="X24" s="159"/>
      <c r="Y24" s="159"/>
      <c r="Z24" s="159"/>
      <c r="AA24" s="159"/>
      <c r="AB24" s="159"/>
      <c r="AC24" s="159"/>
      <c r="AD24" s="159"/>
      <c r="AE24" s="159"/>
      <c r="AF24" s="159"/>
      <c r="AG24" s="159"/>
      <c r="AH24" s="159"/>
      <c r="AI24" s="159"/>
      <c r="AJ24" s="74">
        <v>39832</v>
      </c>
      <c r="AK24" s="720">
        <f t="shared" si="0"/>
        <v>395</v>
      </c>
      <c r="AL24" s="713"/>
    </row>
    <row r="25" spans="1:38" s="16" customFormat="1" ht="50.1" customHeight="1" x14ac:dyDescent="0.2">
      <c r="A25" s="700"/>
      <c r="B25" s="29" t="s">
        <v>2365</v>
      </c>
      <c r="C25" s="29"/>
      <c r="D25" s="29"/>
      <c r="E25" s="29" t="s">
        <v>701</v>
      </c>
      <c r="F25" s="104" t="s">
        <v>696</v>
      </c>
      <c r="G25" s="29" t="s">
        <v>696</v>
      </c>
      <c r="H25" s="29"/>
      <c r="I25" s="29"/>
      <c r="J25" s="29" t="s">
        <v>697</v>
      </c>
      <c r="K25" s="30" t="s">
        <v>1394</v>
      </c>
      <c r="L25" s="30" t="s">
        <v>1923</v>
      </c>
      <c r="M25" s="29" t="s">
        <v>1528</v>
      </c>
      <c r="N25" s="74">
        <v>39598</v>
      </c>
      <c r="O25" s="69" t="s">
        <v>702</v>
      </c>
      <c r="P25" s="69"/>
      <c r="Q25" s="69"/>
      <c r="R25" s="69"/>
      <c r="S25" s="69"/>
      <c r="T25" s="159"/>
      <c r="U25" s="159"/>
      <c r="V25" s="159"/>
      <c r="W25" s="159"/>
      <c r="X25" s="159"/>
      <c r="Y25" s="159"/>
      <c r="Z25" s="159"/>
      <c r="AA25" s="159"/>
      <c r="AB25" s="159"/>
      <c r="AC25" s="159"/>
      <c r="AD25" s="159"/>
      <c r="AE25" s="159"/>
      <c r="AF25" s="159"/>
      <c r="AG25" s="159"/>
      <c r="AH25" s="159"/>
      <c r="AI25" s="159"/>
      <c r="AJ25" s="74">
        <v>39832</v>
      </c>
      <c r="AK25" s="720">
        <f t="shared" si="0"/>
        <v>234</v>
      </c>
      <c r="AL25" s="708"/>
    </row>
    <row r="26" spans="1:38" s="16" customFormat="1" ht="50.1" customHeight="1" x14ac:dyDescent="0.2">
      <c r="A26" s="700"/>
      <c r="B26" s="29" t="s">
        <v>2365</v>
      </c>
      <c r="C26" s="29"/>
      <c r="D26" s="29"/>
      <c r="E26" s="74" t="s">
        <v>721</v>
      </c>
      <c r="F26" s="104" t="s">
        <v>722</v>
      </c>
      <c r="G26" s="29" t="s">
        <v>723</v>
      </c>
      <c r="H26" s="29"/>
      <c r="I26" s="29"/>
      <c r="J26" s="29" t="s">
        <v>34</v>
      </c>
      <c r="K26" s="29" t="s">
        <v>1393</v>
      </c>
      <c r="L26" s="29" t="s">
        <v>18</v>
      </c>
      <c r="M26" s="29" t="s">
        <v>1528</v>
      </c>
      <c r="N26" s="74">
        <v>39408</v>
      </c>
      <c r="O26" s="29" t="s">
        <v>3022</v>
      </c>
      <c r="P26" s="29"/>
      <c r="Q26" s="29"/>
      <c r="R26" s="29"/>
      <c r="S26" s="29"/>
      <c r="T26" s="159"/>
      <c r="U26" s="159"/>
      <c r="V26" s="159"/>
      <c r="W26" s="159"/>
      <c r="X26" s="159"/>
      <c r="Y26" s="159"/>
      <c r="Z26" s="159"/>
      <c r="AA26" s="159"/>
      <c r="AB26" s="159"/>
      <c r="AC26" s="159"/>
      <c r="AD26" s="159"/>
      <c r="AE26" s="159"/>
      <c r="AF26" s="159"/>
      <c r="AG26" s="159"/>
      <c r="AH26" s="159"/>
      <c r="AI26" s="159"/>
      <c r="AJ26" s="74">
        <v>39846</v>
      </c>
      <c r="AK26" s="720">
        <f t="shared" si="0"/>
        <v>438</v>
      </c>
      <c r="AL26" s="708"/>
    </row>
    <row r="27" spans="1:38" s="13" customFormat="1" ht="50.1" customHeight="1" x14ac:dyDescent="0.2">
      <c r="A27" s="695"/>
      <c r="B27" s="29" t="s">
        <v>2365</v>
      </c>
      <c r="C27" s="29"/>
      <c r="D27" s="29"/>
      <c r="E27" s="74" t="s">
        <v>728</v>
      </c>
      <c r="F27" s="104" t="s">
        <v>729</v>
      </c>
      <c r="G27" s="29" t="s">
        <v>729</v>
      </c>
      <c r="H27" s="29"/>
      <c r="I27" s="29"/>
      <c r="J27" s="29" t="s">
        <v>730</v>
      </c>
      <c r="K27" s="30" t="s">
        <v>1394</v>
      </c>
      <c r="L27" s="29" t="s">
        <v>685</v>
      </c>
      <c r="M27" s="29" t="s">
        <v>1528</v>
      </c>
      <c r="N27" s="74">
        <v>39303</v>
      </c>
      <c r="O27" s="29" t="s">
        <v>731</v>
      </c>
      <c r="P27" s="29"/>
      <c r="Q27" s="29"/>
      <c r="R27" s="29"/>
      <c r="S27" s="29"/>
      <c r="T27" s="148"/>
      <c r="U27" s="148"/>
      <c r="V27" s="148"/>
      <c r="W27" s="148"/>
      <c r="X27" s="148"/>
      <c r="Y27" s="148"/>
      <c r="Z27" s="148"/>
      <c r="AA27" s="148"/>
      <c r="AB27" s="148"/>
      <c r="AC27" s="148"/>
      <c r="AD27" s="148"/>
      <c r="AE27" s="148"/>
      <c r="AF27" s="148"/>
      <c r="AG27" s="148"/>
      <c r="AH27" s="148"/>
      <c r="AI27" s="148"/>
      <c r="AJ27" s="74">
        <v>39869</v>
      </c>
      <c r="AK27" s="720">
        <f t="shared" si="0"/>
        <v>566</v>
      </c>
      <c r="AL27" s="708"/>
    </row>
    <row r="28" spans="1:38" s="15" customFormat="1" ht="50.1" customHeight="1" x14ac:dyDescent="0.2">
      <c r="A28" s="695"/>
      <c r="B28" s="29" t="s">
        <v>2365</v>
      </c>
      <c r="C28" s="29"/>
      <c r="D28" s="29"/>
      <c r="E28" s="29" t="s">
        <v>724</v>
      </c>
      <c r="F28" s="104" t="s">
        <v>725</v>
      </c>
      <c r="G28" s="29" t="s">
        <v>726</v>
      </c>
      <c r="H28" s="29"/>
      <c r="I28" s="29"/>
      <c r="J28" s="29" t="s">
        <v>605</v>
      </c>
      <c r="K28" s="29" t="s">
        <v>1393</v>
      </c>
      <c r="L28" s="29" t="s">
        <v>685</v>
      </c>
      <c r="M28" s="29" t="s">
        <v>1528</v>
      </c>
      <c r="N28" s="74">
        <v>39443</v>
      </c>
      <c r="O28" s="69" t="s">
        <v>727</v>
      </c>
      <c r="P28" s="69"/>
      <c r="Q28" s="69"/>
      <c r="R28" s="69"/>
      <c r="S28" s="69"/>
      <c r="T28" s="148"/>
      <c r="U28" s="148"/>
      <c r="V28" s="148"/>
      <c r="W28" s="148"/>
      <c r="X28" s="148"/>
      <c r="Y28" s="148"/>
      <c r="Z28" s="148"/>
      <c r="AA28" s="148"/>
      <c r="AB28" s="148"/>
      <c r="AC28" s="148"/>
      <c r="AD28" s="148"/>
      <c r="AE28" s="148"/>
      <c r="AF28" s="148"/>
      <c r="AG28" s="148"/>
      <c r="AH28" s="148"/>
      <c r="AI28" s="148"/>
      <c r="AJ28" s="74">
        <v>39869</v>
      </c>
      <c r="AK28" s="720">
        <f t="shared" si="0"/>
        <v>426</v>
      </c>
      <c r="AL28" s="708"/>
    </row>
    <row r="29" spans="1:38" s="15" customFormat="1" ht="50.1" customHeight="1" x14ac:dyDescent="0.2">
      <c r="A29" s="695"/>
      <c r="B29" s="29" t="s">
        <v>2365</v>
      </c>
      <c r="C29" s="29"/>
      <c r="D29" s="29"/>
      <c r="E29" s="29" t="s">
        <v>732</v>
      </c>
      <c r="F29" s="104" t="s">
        <v>733</v>
      </c>
      <c r="G29" s="29" t="s">
        <v>734</v>
      </c>
      <c r="H29" s="159"/>
      <c r="I29" s="159"/>
      <c r="J29" s="29" t="s">
        <v>735</v>
      </c>
      <c r="K29" s="29" t="s">
        <v>1393</v>
      </c>
      <c r="L29" s="29" t="s">
        <v>12</v>
      </c>
      <c r="M29" s="29" t="s">
        <v>1528</v>
      </c>
      <c r="N29" s="74">
        <v>39643</v>
      </c>
      <c r="O29" s="69" t="s">
        <v>736</v>
      </c>
      <c r="P29" s="69"/>
      <c r="Q29" s="69"/>
      <c r="R29" s="69"/>
      <c r="S29" s="69"/>
      <c r="T29" s="148"/>
      <c r="U29" s="148"/>
      <c r="V29" s="148"/>
      <c r="W29" s="148"/>
      <c r="X29" s="148"/>
      <c r="Y29" s="148"/>
      <c r="Z29" s="148"/>
      <c r="AA29" s="148"/>
      <c r="AB29" s="148"/>
      <c r="AC29" s="148"/>
      <c r="AD29" s="148"/>
      <c r="AE29" s="148"/>
      <c r="AF29" s="148"/>
      <c r="AG29" s="148"/>
      <c r="AH29" s="148"/>
      <c r="AI29" s="148"/>
      <c r="AJ29" s="74">
        <v>39894</v>
      </c>
      <c r="AK29" s="720">
        <f t="shared" si="0"/>
        <v>251</v>
      </c>
      <c r="AL29" s="714"/>
    </row>
    <row r="30" spans="1:38" s="13" customFormat="1" ht="50.1" customHeight="1" x14ac:dyDescent="0.2">
      <c r="A30" s="695"/>
      <c r="B30" s="29" t="s">
        <v>2373</v>
      </c>
      <c r="C30" s="29"/>
      <c r="D30" s="29"/>
      <c r="E30" s="29" t="s">
        <v>2374</v>
      </c>
      <c r="F30" s="104" t="s">
        <v>741</v>
      </c>
      <c r="G30" s="29" t="s">
        <v>696</v>
      </c>
      <c r="H30" s="159"/>
      <c r="I30" s="159"/>
      <c r="J30" s="29" t="s">
        <v>697</v>
      </c>
      <c r="K30" s="29" t="s">
        <v>1393</v>
      </c>
      <c r="L30" s="29" t="s">
        <v>1923</v>
      </c>
      <c r="M30" s="29" t="s">
        <v>1528</v>
      </c>
      <c r="N30" s="74">
        <v>39576</v>
      </c>
      <c r="O30" s="29" t="s">
        <v>2377</v>
      </c>
      <c r="P30" s="29"/>
      <c r="Q30" s="29"/>
      <c r="R30" s="29"/>
      <c r="S30" s="29"/>
      <c r="T30" s="148"/>
      <c r="U30" s="148"/>
      <c r="V30" s="148"/>
      <c r="W30" s="148"/>
      <c r="X30" s="148"/>
      <c r="Y30" s="148"/>
      <c r="Z30" s="148"/>
      <c r="AA30" s="148"/>
      <c r="AB30" s="148"/>
      <c r="AC30" s="148"/>
      <c r="AD30" s="148"/>
      <c r="AE30" s="148"/>
      <c r="AF30" s="148"/>
      <c r="AG30" s="148"/>
      <c r="AH30" s="148"/>
      <c r="AI30" s="148"/>
      <c r="AJ30" s="74">
        <v>39895</v>
      </c>
      <c r="AK30" s="720">
        <f t="shared" si="0"/>
        <v>319</v>
      </c>
      <c r="AL30" s="708"/>
    </row>
    <row r="31" spans="1:38" s="13" customFormat="1" ht="50.1" customHeight="1" x14ac:dyDescent="0.2">
      <c r="A31" s="695"/>
      <c r="B31" s="29" t="s">
        <v>2365</v>
      </c>
      <c r="C31" s="29"/>
      <c r="D31" s="29"/>
      <c r="E31" s="160">
        <v>250000212139982</v>
      </c>
      <c r="F31" s="104" t="s">
        <v>2375</v>
      </c>
      <c r="G31" s="29" t="s">
        <v>738</v>
      </c>
      <c r="H31" s="159"/>
      <c r="I31" s="159"/>
      <c r="J31" s="29" t="s">
        <v>740</v>
      </c>
      <c r="K31" s="29" t="s">
        <v>1393</v>
      </c>
      <c r="L31" s="29" t="s">
        <v>739</v>
      </c>
      <c r="M31" s="29" t="s">
        <v>2443</v>
      </c>
      <c r="N31" s="74">
        <v>39299</v>
      </c>
      <c r="O31" s="29" t="s">
        <v>2376</v>
      </c>
      <c r="P31" s="29"/>
      <c r="Q31" s="29"/>
      <c r="R31" s="29"/>
      <c r="S31" s="29"/>
      <c r="T31" s="148"/>
      <c r="U31" s="148"/>
      <c r="V31" s="148"/>
      <c r="W31" s="148"/>
      <c r="X31" s="148"/>
      <c r="Y31" s="148"/>
      <c r="Z31" s="148"/>
      <c r="AA31" s="148"/>
      <c r="AB31" s="148"/>
      <c r="AC31" s="148"/>
      <c r="AD31" s="148"/>
      <c r="AE31" s="148"/>
      <c r="AF31" s="148"/>
      <c r="AG31" s="148"/>
      <c r="AH31" s="148"/>
      <c r="AI31" s="148"/>
      <c r="AJ31" s="74">
        <v>39902</v>
      </c>
      <c r="AK31" s="720">
        <f t="shared" si="0"/>
        <v>603</v>
      </c>
      <c r="AL31" s="708"/>
    </row>
    <row r="32" spans="1:38" s="16" customFormat="1" ht="50.1" customHeight="1" x14ac:dyDescent="0.2">
      <c r="A32" s="700"/>
      <c r="B32" s="29" t="s">
        <v>2365</v>
      </c>
      <c r="C32" s="29"/>
      <c r="D32" s="29"/>
      <c r="E32" s="29" t="s">
        <v>743</v>
      </c>
      <c r="F32" s="104" t="s">
        <v>744</v>
      </c>
      <c r="G32" s="29" t="s">
        <v>745</v>
      </c>
      <c r="H32" s="29"/>
      <c r="I32" s="29"/>
      <c r="J32" s="29" t="s">
        <v>51</v>
      </c>
      <c r="K32" s="29" t="s">
        <v>1393</v>
      </c>
      <c r="L32" s="29" t="s">
        <v>12</v>
      </c>
      <c r="M32" s="29" t="s">
        <v>1528</v>
      </c>
      <c r="N32" s="74">
        <v>39568</v>
      </c>
      <c r="O32" s="69" t="s">
        <v>746</v>
      </c>
      <c r="P32" s="69"/>
      <c r="Q32" s="69"/>
      <c r="R32" s="69"/>
      <c r="S32" s="69"/>
      <c r="T32" s="159"/>
      <c r="U32" s="159"/>
      <c r="V32" s="159"/>
      <c r="W32" s="159"/>
      <c r="X32" s="159"/>
      <c r="Y32" s="159"/>
      <c r="Z32" s="159"/>
      <c r="AA32" s="159"/>
      <c r="AB32" s="159"/>
      <c r="AC32" s="159"/>
      <c r="AD32" s="159"/>
      <c r="AE32" s="159"/>
      <c r="AF32" s="159"/>
      <c r="AG32" s="159"/>
      <c r="AH32" s="159"/>
      <c r="AI32" s="159"/>
      <c r="AJ32" s="74">
        <v>39909</v>
      </c>
      <c r="AK32" s="720">
        <f t="shared" si="0"/>
        <v>341</v>
      </c>
      <c r="AL32" s="708"/>
    </row>
    <row r="33" spans="1:282" s="12" customFormat="1" ht="50.1" customHeight="1" x14ac:dyDescent="0.2">
      <c r="A33" s="700"/>
      <c r="B33" s="29" t="s">
        <v>2365</v>
      </c>
      <c r="C33" s="29"/>
      <c r="D33" s="29"/>
      <c r="E33" s="29" t="s">
        <v>747</v>
      </c>
      <c r="F33" s="104" t="s">
        <v>67</v>
      </c>
      <c r="G33" s="29" t="s">
        <v>68</v>
      </c>
      <c r="H33" s="29"/>
      <c r="I33" s="29"/>
      <c r="J33" s="29" t="s">
        <v>50</v>
      </c>
      <c r="K33" s="29" t="s">
        <v>1393</v>
      </c>
      <c r="L33" s="30" t="s">
        <v>1923</v>
      </c>
      <c r="M33" s="29" t="s">
        <v>1528</v>
      </c>
      <c r="N33" s="74">
        <v>39408</v>
      </c>
      <c r="O33" s="69" t="s">
        <v>748</v>
      </c>
      <c r="P33" s="69"/>
      <c r="Q33" s="69"/>
      <c r="R33" s="69"/>
      <c r="S33" s="69"/>
      <c r="T33" s="159"/>
      <c r="U33" s="159"/>
      <c r="V33" s="159"/>
      <c r="W33" s="159"/>
      <c r="X33" s="159"/>
      <c r="Y33" s="159"/>
      <c r="Z33" s="159"/>
      <c r="AA33" s="159"/>
      <c r="AB33" s="159"/>
      <c r="AC33" s="159"/>
      <c r="AD33" s="159"/>
      <c r="AE33" s="159"/>
      <c r="AF33" s="159"/>
      <c r="AG33" s="159"/>
      <c r="AH33" s="159"/>
      <c r="AI33" s="159"/>
      <c r="AJ33" s="74">
        <v>39916</v>
      </c>
      <c r="AK33" s="720">
        <f t="shared" si="0"/>
        <v>508</v>
      </c>
      <c r="AL33" s="708"/>
    </row>
    <row r="34" spans="1:282" s="12" customFormat="1" ht="50.1" customHeight="1" x14ac:dyDescent="0.2">
      <c r="A34" s="700"/>
      <c r="B34" s="29" t="s">
        <v>2365</v>
      </c>
      <c r="C34" s="29"/>
      <c r="D34" s="29"/>
      <c r="E34" s="29" t="s">
        <v>750</v>
      </c>
      <c r="F34" s="104" t="s">
        <v>2422</v>
      </c>
      <c r="G34" s="29" t="s">
        <v>751</v>
      </c>
      <c r="H34" s="29"/>
      <c r="I34" s="29"/>
      <c r="J34" s="29" t="s">
        <v>42</v>
      </c>
      <c r="K34" s="29" t="s">
        <v>1393</v>
      </c>
      <c r="L34" s="29" t="s">
        <v>12</v>
      </c>
      <c r="M34" s="29" t="s">
        <v>1528</v>
      </c>
      <c r="N34" s="74">
        <v>39630</v>
      </c>
      <c r="O34" s="69" t="s">
        <v>752</v>
      </c>
      <c r="P34" s="69"/>
      <c r="Q34" s="69"/>
      <c r="R34" s="69"/>
      <c r="S34" s="69"/>
      <c r="T34" s="159"/>
      <c r="U34" s="159"/>
      <c r="V34" s="159"/>
      <c r="W34" s="159"/>
      <c r="X34" s="159"/>
      <c r="Y34" s="159"/>
      <c r="Z34" s="159"/>
      <c r="AA34" s="159"/>
      <c r="AB34" s="159"/>
      <c r="AC34" s="159"/>
      <c r="AD34" s="159"/>
      <c r="AE34" s="159"/>
      <c r="AF34" s="159"/>
      <c r="AG34" s="159"/>
      <c r="AH34" s="159"/>
      <c r="AI34" s="159"/>
      <c r="AJ34" s="74">
        <v>39958</v>
      </c>
      <c r="AK34" s="720">
        <f t="shared" ref="AK34:AK65" si="1">AJ34-N34</f>
        <v>328</v>
      </c>
      <c r="AL34" s="708"/>
    </row>
    <row r="35" spans="1:282" s="12" customFormat="1" ht="50.1" customHeight="1" x14ac:dyDescent="0.2">
      <c r="A35" s="700"/>
      <c r="B35" s="29" t="s">
        <v>2365</v>
      </c>
      <c r="C35" s="29"/>
      <c r="D35" s="29"/>
      <c r="E35" s="74" t="s">
        <v>753</v>
      </c>
      <c r="F35" s="104" t="s">
        <v>754</v>
      </c>
      <c r="G35" s="29" t="s">
        <v>754</v>
      </c>
      <c r="H35" s="29"/>
      <c r="I35" s="29"/>
      <c r="J35" s="29" t="s">
        <v>56</v>
      </c>
      <c r="K35" s="30" t="s">
        <v>1394</v>
      </c>
      <c r="L35" s="29" t="s">
        <v>18</v>
      </c>
      <c r="M35" s="29" t="s">
        <v>1528</v>
      </c>
      <c r="N35" s="74">
        <v>39507</v>
      </c>
      <c r="O35" s="29" t="s">
        <v>755</v>
      </c>
      <c r="P35" s="29"/>
      <c r="Q35" s="29"/>
      <c r="R35" s="29"/>
      <c r="S35" s="29"/>
      <c r="T35" s="159"/>
      <c r="U35" s="159"/>
      <c r="V35" s="159"/>
      <c r="W35" s="159"/>
      <c r="X35" s="159"/>
      <c r="Y35" s="159"/>
      <c r="Z35" s="159"/>
      <c r="AA35" s="159"/>
      <c r="AB35" s="159"/>
      <c r="AC35" s="159"/>
      <c r="AD35" s="159"/>
      <c r="AE35" s="159"/>
      <c r="AF35" s="159"/>
      <c r="AG35" s="159"/>
      <c r="AH35" s="159"/>
      <c r="AI35" s="159"/>
      <c r="AJ35" s="74">
        <v>39965</v>
      </c>
      <c r="AK35" s="720">
        <f t="shared" si="1"/>
        <v>458</v>
      </c>
      <c r="AL35" s="708"/>
    </row>
    <row r="36" spans="1:282" s="16" customFormat="1" ht="50.1" customHeight="1" x14ac:dyDescent="0.2">
      <c r="A36" s="700"/>
      <c r="B36" s="29" t="s">
        <v>2365</v>
      </c>
      <c r="C36" s="29"/>
      <c r="D36" s="29"/>
      <c r="E36" s="29" t="s">
        <v>756</v>
      </c>
      <c r="F36" s="104" t="s">
        <v>757</v>
      </c>
      <c r="G36" s="29" t="s">
        <v>758</v>
      </c>
      <c r="H36" s="29"/>
      <c r="I36" s="29"/>
      <c r="J36" s="29" t="s">
        <v>758</v>
      </c>
      <c r="K36" s="29" t="s">
        <v>2432</v>
      </c>
      <c r="L36" s="29" t="s">
        <v>2425</v>
      </c>
      <c r="M36" s="29" t="s">
        <v>2438</v>
      </c>
      <c r="N36" s="74">
        <v>39912</v>
      </c>
      <c r="O36" s="69" t="s">
        <v>759</v>
      </c>
      <c r="P36" s="69"/>
      <c r="Q36" s="69"/>
      <c r="R36" s="69"/>
      <c r="S36" s="69"/>
      <c r="T36" s="588"/>
      <c r="U36" s="588"/>
      <c r="V36" s="588"/>
      <c r="W36" s="588"/>
      <c r="X36" s="588"/>
      <c r="Y36" s="588"/>
      <c r="Z36" s="588"/>
      <c r="AA36" s="588"/>
      <c r="AB36" s="588"/>
      <c r="AC36" s="588"/>
      <c r="AD36" s="588"/>
      <c r="AE36" s="588"/>
      <c r="AF36" s="588"/>
      <c r="AG36" s="588"/>
      <c r="AH36" s="588"/>
      <c r="AI36" s="588"/>
      <c r="AJ36" s="74">
        <v>39965</v>
      </c>
      <c r="AK36" s="720">
        <f t="shared" si="1"/>
        <v>53</v>
      </c>
      <c r="AL36" s="715"/>
      <c r="IC36" s="12"/>
      <c r="ID36" s="12"/>
      <c r="IE36" s="12"/>
    </row>
    <row r="37" spans="1:282" s="16" customFormat="1" ht="50.1" customHeight="1" x14ac:dyDescent="0.2">
      <c r="A37" s="700"/>
      <c r="B37" s="29" t="s">
        <v>2365</v>
      </c>
      <c r="C37" s="29"/>
      <c r="D37" s="29"/>
      <c r="E37" s="29" t="s">
        <v>760</v>
      </c>
      <c r="F37" s="104" t="s">
        <v>2378</v>
      </c>
      <c r="G37" s="29" t="s">
        <v>761</v>
      </c>
      <c r="H37" s="29"/>
      <c r="I37" s="29"/>
      <c r="J37" s="29" t="s">
        <v>40</v>
      </c>
      <c r="K37" s="29" t="s">
        <v>1393</v>
      </c>
      <c r="L37" s="29" t="s">
        <v>685</v>
      </c>
      <c r="M37" s="29" t="s">
        <v>1528</v>
      </c>
      <c r="N37" s="74">
        <v>39615</v>
      </c>
      <c r="O37" s="69" t="s">
        <v>762</v>
      </c>
      <c r="P37" s="69"/>
      <c r="Q37" s="69"/>
      <c r="R37" s="69"/>
      <c r="S37" s="69"/>
      <c r="T37" s="156"/>
      <c r="U37" s="156"/>
      <c r="V37" s="156"/>
      <c r="W37" s="156"/>
      <c r="X37" s="156"/>
      <c r="Y37" s="156"/>
      <c r="Z37" s="156"/>
      <c r="AA37" s="156"/>
      <c r="AB37" s="156"/>
      <c r="AC37" s="156"/>
      <c r="AD37" s="156"/>
      <c r="AE37" s="156"/>
      <c r="AF37" s="156"/>
      <c r="AG37" s="156"/>
      <c r="AH37" s="156"/>
      <c r="AI37" s="156"/>
      <c r="AJ37" s="74">
        <v>39972</v>
      </c>
      <c r="AK37" s="720">
        <f t="shared" si="1"/>
        <v>357</v>
      </c>
      <c r="AL37" s="590"/>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2"/>
      <c r="FC37" s="12"/>
      <c r="FD37" s="12"/>
      <c r="FE37" s="12"/>
      <c r="FF37" s="12"/>
      <c r="FG37" s="12"/>
      <c r="FH37" s="12"/>
      <c r="FI37" s="12"/>
      <c r="FJ37" s="12"/>
      <c r="FK37" s="12"/>
      <c r="FL37" s="12"/>
      <c r="FM37" s="12"/>
      <c r="FN37" s="12"/>
      <c r="FO37" s="12"/>
      <c r="FP37" s="12"/>
      <c r="FQ37" s="12"/>
      <c r="FR37" s="12"/>
      <c r="FS37" s="12"/>
      <c r="FT37" s="12"/>
      <c r="FU37" s="12"/>
      <c r="FV37" s="12"/>
      <c r="FW37" s="12"/>
      <c r="FX37" s="12"/>
      <c r="FY37" s="12"/>
      <c r="FZ37" s="12"/>
      <c r="GA37" s="12"/>
      <c r="GB37" s="12"/>
      <c r="GC37" s="12"/>
      <c r="GD37" s="12"/>
      <c r="GE37" s="12"/>
      <c r="GF37" s="12"/>
      <c r="GG37" s="12"/>
      <c r="GH37" s="12"/>
      <c r="GI37" s="12"/>
      <c r="GJ37" s="12"/>
      <c r="GK37" s="12"/>
      <c r="GL37" s="12"/>
      <c r="GM37" s="12"/>
      <c r="GN37" s="12"/>
      <c r="GO37" s="12"/>
      <c r="GP37" s="12"/>
      <c r="GQ37" s="12"/>
      <c r="GR37" s="12"/>
      <c r="GS37" s="12"/>
      <c r="GT37" s="12"/>
      <c r="GU37" s="12"/>
      <c r="GV37" s="12"/>
      <c r="GW37" s="12"/>
      <c r="GX37" s="12"/>
      <c r="GY37" s="12"/>
      <c r="GZ37" s="12"/>
      <c r="HA37" s="12"/>
      <c r="HB37" s="12"/>
      <c r="HC37" s="12"/>
      <c r="HD37" s="12"/>
      <c r="HE37" s="12"/>
      <c r="HF37" s="12"/>
      <c r="HG37" s="12"/>
      <c r="HH37" s="12"/>
      <c r="HI37" s="12"/>
      <c r="HJ37" s="12"/>
      <c r="HK37" s="12"/>
      <c r="HL37" s="12"/>
      <c r="HM37" s="12"/>
      <c r="HN37" s="12"/>
      <c r="HO37" s="12"/>
      <c r="HP37" s="12"/>
      <c r="HQ37" s="12"/>
      <c r="HR37" s="12"/>
      <c r="HS37" s="12"/>
      <c r="HT37" s="12"/>
      <c r="HU37" s="12"/>
      <c r="HV37" s="12"/>
      <c r="HW37" s="12"/>
      <c r="HX37" s="12"/>
      <c r="HY37" s="12"/>
      <c r="HZ37" s="12"/>
      <c r="IA37" s="12"/>
      <c r="IB37" s="12"/>
      <c r="IC37" s="12"/>
      <c r="ID37" s="12"/>
      <c r="IE37" s="12"/>
      <c r="IF37" s="12"/>
      <c r="IG37" s="12"/>
      <c r="IH37" s="12"/>
      <c r="II37" s="12"/>
      <c r="IJ37" s="12"/>
      <c r="IK37" s="12"/>
      <c r="IL37" s="12"/>
      <c r="IM37" s="12"/>
      <c r="IN37" s="12"/>
      <c r="IO37" s="12"/>
      <c r="IP37" s="12"/>
      <c r="IQ37" s="12"/>
      <c r="IR37" s="12"/>
      <c r="IS37" s="12"/>
      <c r="IT37" s="12"/>
      <c r="IU37" s="12"/>
      <c r="IV37" s="12"/>
      <c r="IW37" s="12"/>
      <c r="IX37" s="12"/>
      <c r="IY37" s="12"/>
      <c r="IZ37" s="12"/>
      <c r="JA37" s="12"/>
      <c r="JB37" s="12"/>
      <c r="JC37" s="12"/>
      <c r="JD37" s="12"/>
      <c r="JE37" s="12"/>
      <c r="JF37" s="12"/>
      <c r="JG37" s="12"/>
      <c r="JH37" s="12"/>
      <c r="JI37" s="12"/>
      <c r="JJ37" s="12"/>
      <c r="JK37" s="12"/>
      <c r="JL37" s="12"/>
      <c r="JM37" s="12"/>
      <c r="JN37" s="12"/>
      <c r="JO37" s="12"/>
      <c r="JP37" s="12"/>
      <c r="JQ37" s="12"/>
      <c r="JR37" s="12"/>
      <c r="JS37" s="12"/>
      <c r="JT37" s="12"/>
      <c r="JU37" s="12"/>
      <c r="JV37" s="12"/>
    </row>
    <row r="38" spans="1:282" s="16" customFormat="1" ht="50.1" customHeight="1" x14ac:dyDescent="0.2">
      <c r="A38" s="700"/>
      <c r="B38" s="29" t="s">
        <v>2365</v>
      </c>
      <c r="C38" s="29"/>
      <c r="D38" s="29"/>
      <c r="E38" s="29" t="s">
        <v>764</v>
      </c>
      <c r="F38" s="104" t="s">
        <v>765</v>
      </c>
      <c r="G38" s="29" t="s">
        <v>766</v>
      </c>
      <c r="H38" s="29"/>
      <c r="I38" s="29"/>
      <c r="J38" s="29" t="s">
        <v>767</v>
      </c>
      <c r="K38" s="29" t="s">
        <v>1393</v>
      </c>
      <c r="L38" s="29" t="s">
        <v>18</v>
      </c>
      <c r="M38" s="29" t="s">
        <v>1528</v>
      </c>
      <c r="N38" s="74">
        <v>39721</v>
      </c>
      <c r="O38" s="69" t="s">
        <v>768</v>
      </c>
      <c r="P38" s="69"/>
      <c r="Q38" s="69"/>
      <c r="R38" s="69"/>
      <c r="S38" s="69"/>
      <c r="T38" s="156"/>
      <c r="U38" s="156"/>
      <c r="V38" s="156"/>
      <c r="W38" s="156"/>
      <c r="X38" s="156"/>
      <c r="Y38" s="156"/>
      <c r="Z38" s="156"/>
      <c r="AA38" s="156"/>
      <c r="AB38" s="156"/>
      <c r="AC38" s="156"/>
      <c r="AD38" s="156"/>
      <c r="AE38" s="156"/>
      <c r="AF38" s="156"/>
      <c r="AG38" s="156"/>
      <c r="AH38" s="156"/>
      <c r="AI38" s="156"/>
      <c r="AJ38" s="74">
        <v>40042</v>
      </c>
      <c r="AK38" s="720">
        <f t="shared" si="1"/>
        <v>321</v>
      </c>
      <c r="AL38" s="590"/>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c r="FF38" s="12"/>
      <c r="FG38" s="12"/>
      <c r="FH38" s="12"/>
      <c r="FI38" s="12"/>
      <c r="FJ38" s="12"/>
      <c r="FK38" s="12"/>
      <c r="FL38" s="12"/>
      <c r="FM38" s="12"/>
      <c r="FN38" s="12"/>
      <c r="FO38" s="12"/>
      <c r="FP38" s="12"/>
      <c r="FQ38" s="12"/>
      <c r="FR38" s="12"/>
      <c r="FS38" s="12"/>
      <c r="FT38" s="12"/>
      <c r="FU38" s="12"/>
      <c r="FV38" s="12"/>
      <c r="FW38" s="12"/>
      <c r="FX38" s="12"/>
      <c r="FY38" s="12"/>
      <c r="FZ38" s="12"/>
      <c r="GA38" s="12"/>
      <c r="GB38" s="12"/>
      <c r="GC38" s="12"/>
      <c r="GD38" s="12"/>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c r="HK38" s="12"/>
      <c r="HL38" s="12"/>
      <c r="HM38" s="12"/>
      <c r="HN38" s="12"/>
      <c r="HO38" s="12"/>
      <c r="HP38" s="12"/>
      <c r="HQ38" s="12"/>
      <c r="HR38" s="12"/>
      <c r="HS38" s="12"/>
      <c r="HT38" s="12"/>
      <c r="HU38" s="12"/>
      <c r="HV38" s="12"/>
      <c r="HW38" s="12"/>
      <c r="HX38" s="12"/>
      <c r="HY38" s="12"/>
      <c r="HZ38" s="12"/>
      <c r="IA38" s="12"/>
      <c r="IB38" s="12"/>
      <c r="IC38" s="12"/>
      <c r="ID38" s="12"/>
      <c r="IE38" s="12"/>
      <c r="IF38" s="12"/>
      <c r="IG38" s="12"/>
      <c r="IH38" s="12"/>
      <c r="II38" s="12"/>
      <c r="IJ38" s="12"/>
      <c r="IK38" s="12"/>
      <c r="IL38" s="12"/>
      <c r="IM38" s="12"/>
      <c r="IN38" s="12"/>
      <c r="IO38" s="12"/>
      <c r="IP38" s="12"/>
      <c r="IQ38" s="12"/>
      <c r="IR38" s="12"/>
      <c r="IS38" s="12"/>
      <c r="IT38" s="12"/>
      <c r="IU38" s="12"/>
      <c r="IV38" s="12"/>
      <c r="IW38" s="12"/>
      <c r="IX38" s="12"/>
      <c r="IY38" s="12"/>
      <c r="IZ38" s="12"/>
      <c r="JA38" s="12"/>
      <c r="JB38" s="12"/>
      <c r="JC38" s="12"/>
      <c r="JD38" s="12"/>
      <c r="JE38" s="12"/>
      <c r="JF38" s="12"/>
      <c r="JG38" s="12"/>
      <c r="JH38" s="12"/>
      <c r="JI38" s="12"/>
      <c r="JJ38" s="12"/>
      <c r="JK38" s="12"/>
      <c r="JL38" s="12"/>
      <c r="JM38" s="12"/>
      <c r="JN38" s="12"/>
      <c r="JO38" s="12"/>
      <c r="JP38" s="12"/>
      <c r="JQ38" s="12"/>
      <c r="JR38" s="12"/>
      <c r="JS38" s="12"/>
      <c r="JT38" s="12"/>
      <c r="JU38" s="12"/>
      <c r="JV38" s="12"/>
    </row>
    <row r="39" spans="1:282" s="16" customFormat="1" ht="50.1" customHeight="1" x14ac:dyDescent="0.2">
      <c r="A39" s="700"/>
      <c r="B39" s="29" t="s">
        <v>2365</v>
      </c>
      <c r="C39" s="29"/>
      <c r="D39" s="29"/>
      <c r="E39" s="74" t="s">
        <v>658</v>
      </c>
      <c r="F39" s="104" t="s">
        <v>2099</v>
      </c>
      <c r="G39" s="29" t="s">
        <v>2099</v>
      </c>
      <c r="H39" s="29"/>
      <c r="I39" s="29"/>
      <c r="J39" s="29" t="s">
        <v>2100</v>
      </c>
      <c r="K39" s="30" t="s">
        <v>1394</v>
      </c>
      <c r="L39" s="29" t="s">
        <v>18</v>
      </c>
      <c r="M39" s="29" t="s">
        <v>1528</v>
      </c>
      <c r="N39" s="74">
        <v>39567</v>
      </c>
      <c r="O39" s="74" t="s">
        <v>659</v>
      </c>
      <c r="P39" s="74"/>
      <c r="Q39" s="74"/>
      <c r="R39" s="74"/>
      <c r="S39" s="74"/>
      <c r="T39" s="156"/>
      <c r="U39" s="156"/>
      <c r="V39" s="156"/>
      <c r="W39" s="156"/>
      <c r="X39" s="156"/>
      <c r="Y39" s="156"/>
      <c r="Z39" s="156"/>
      <c r="AA39" s="156"/>
      <c r="AB39" s="156"/>
      <c r="AC39" s="156"/>
      <c r="AD39" s="156"/>
      <c r="AE39" s="156"/>
      <c r="AF39" s="156"/>
      <c r="AG39" s="156"/>
      <c r="AH39" s="156"/>
      <c r="AI39" s="156"/>
      <c r="AJ39" s="74">
        <v>40049</v>
      </c>
      <c r="AK39" s="720">
        <f t="shared" si="1"/>
        <v>482</v>
      </c>
      <c r="AL39" s="590"/>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c r="JK39" s="12"/>
      <c r="JL39" s="12"/>
      <c r="JM39" s="12"/>
      <c r="JN39" s="12"/>
      <c r="JO39" s="12"/>
      <c r="JP39" s="12"/>
      <c r="JQ39" s="12"/>
      <c r="JR39" s="12"/>
      <c r="JS39" s="12"/>
      <c r="JT39" s="12"/>
      <c r="JU39" s="12"/>
      <c r="JV39" s="12"/>
    </row>
    <row r="40" spans="1:282" s="16" customFormat="1" ht="50.1" customHeight="1" x14ac:dyDescent="0.2">
      <c r="A40" s="700"/>
      <c r="B40" s="29" t="s">
        <v>2365</v>
      </c>
      <c r="C40" s="29"/>
      <c r="D40" s="29"/>
      <c r="E40" s="74" t="s">
        <v>770</v>
      </c>
      <c r="F40" s="104" t="s">
        <v>771</v>
      </c>
      <c r="G40" s="29" t="s">
        <v>771</v>
      </c>
      <c r="H40" s="29"/>
      <c r="I40" s="29"/>
      <c r="J40" s="29" t="s">
        <v>411</v>
      </c>
      <c r="K40" s="30" t="s">
        <v>1394</v>
      </c>
      <c r="L40" s="29" t="s">
        <v>12</v>
      </c>
      <c r="M40" s="29" t="s">
        <v>1528</v>
      </c>
      <c r="N40" s="74">
        <v>39461</v>
      </c>
      <c r="O40" s="69" t="s">
        <v>772</v>
      </c>
      <c r="P40" s="69"/>
      <c r="Q40" s="69"/>
      <c r="R40" s="69"/>
      <c r="S40" s="69"/>
      <c r="T40" s="156"/>
      <c r="U40" s="156"/>
      <c r="V40" s="156"/>
      <c r="W40" s="156"/>
      <c r="X40" s="156"/>
      <c r="Y40" s="156"/>
      <c r="Z40" s="156"/>
      <c r="AA40" s="156"/>
      <c r="AB40" s="156"/>
      <c r="AC40" s="156"/>
      <c r="AD40" s="156"/>
      <c r="AE40" s="156"/>
      <c r="AF40" s="156"/>
      <c r="AG40" s="156"/>
      <c r="AH40" s="156"/>
      <c r="AI40" s="156"/>
      <c r="AJ40" s="74">
        <v>40091</v>
      </c>
      <c r="AK40" s="720">
        <f t="shared" si="1"/>
        <v>630</v>
      </c>
      <c r="AL40" s="590"/>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2"/>
      <c r="FC40" s="12"/>
      <c r="FD40" s="12"/>
      <c r="FE40" s="12"/>
      <c r="FF40" s="12"/>
      <c r="FG40" s="12"/>
      <c r="FH40" s="12"/>
      <c r="FI40" s="12"/>
      <c r="FJ40" s="12"/>
      <c r="FK40" s="12"/>
      <c r="FL40" s="12"/>
      <c r="FM40" s="12"/>
      <c r="FN40" s="12"/>
      <c r="FO40" s="12"/>
      <c r="FP40" s="12"/>
      <c r="FQ40" s="12"/>
      <c r="FR40" s="12"/>
      <c r="FS40" s="12"/>
      <c r="FT40" s="12"/>
      <c r="FU40" s="12"/>
      <c r="FV40" s="12"/>
      <c r="FW40" s="12"/>
      <c r="FX40" s="12"/>
      <c r="FY40" s="12"/>
      <c r="FZ40" s="12"/>
      <c r="GA40" s="12"/>
      <c r="GB40" s="12"/>
      <c r="GC40" s="12"/>
      <c r="GD40" s="12"/>
      <c r="GE40" s="12"/>
      <c r="GF40" s="12"/>
      <c r="GG40" s="12"/>
      <c r="GH40" s="12"/>
      <c r="GI40" s="12"/>
      <c r="GJ40" s="12"/>
      <c r="GK40" s="12"/>
      <c r="GL40" s="12"/>
      <c r="GM40" s="12"/>
      <c r="GN40" s="12"/>
      <c r="GO40" s="12"/>
      <c r="GP40" s="12"/>
      <c r="GQ40" s="12"/>
      <c r="GR40" s="12"/>
      <c r="GS40" s="12"/>
      <c r="GT40" s="12"/>
      <c r="GU40" s="12"/>
      <c r="GV40" s="12"/>
      <c r="GW40" s="12"/>
      <c r="GX40" s="12"/>
      <c r="GY40" s="12"/>
      <c r="GZ40" s="12"/>
      <c r="HA40" s="12"/>
      <c r="HB40" s="12"/>
      <c r="HC40" s="12"/>
      <c r="HD40" s="12"/>
      <c r="HE40" s="12"/>
      <c r="HF40" s="12"/>
      <c r="HG40" s="12"/>
      <c r="HH40" s="12"/>
      <c r="HI40" s="12"/>
      <c r="HJ40" s="12"/>
      <c r="HK40" s="12"/>
      <c r="HL40" s="12"/>
      <c r="HM40" s="12"/>
      <c r="HN40" s="12"/>
      <c r="HO40" s="12"/>
      <c r="HP40" s="12"/>
      <c r="HQ40" s="12"/>
      <c r="HR40" s="12"/>
      <c r="HS40" s="12"/>
      <c r="HT40" s="12"/>
      <c r="HU40" s="12"/>
      <c r="HV40" s="12"/>
      <c r="HW40" s="12"/>
      <c r="HX40" s="12"/>
      <c r="HY40" s="12"/>
      <c r="HZ40" s="12"/>
      <c r="IA40" s="12"/>
      <c r="IB40" s="12"/>
      <c r="IC40" s="12"/>
      <c r="ID40" s="12"/>
      <c r="IE40" s="12"/>
      <c r="IF40" s="12"/>
      <c r="IG40" s="12"/>
      <c r="IH40" s="12"/>
      <c r="II40" s="12"/>
      <c r="IJ40" s="12"/>
      <c r="IK40" s="12"/>
      <c r="IL40" s="12"/>
      <c r="IM40" s="12"/>
      <c r="IN40" s="12"/>
      <c r="IO40" s="12"/>
      <c r="IP40" s="12"/>
      <c r="IQ40" s="12"/>
      <c r="IR40" s="12"/>
      <c r="IS40" s="12"/>
      <c r="IT40" s="12"/>
      <c r="IU40" s="12"/>
      <c r="IV40" s="12"/>
      <c r="IW40" s="12"/>
      <c r="IX40" s="12"/>
      <c r="IY40" s="12"/>
      <c r="IZ40" s="12"/>
      <c r="JA40" s="12"/>
      <c r="JB40" s="12"/>
      <c r="JC40" s="12"/>
      <c r="JD40" s="12"/>
      <c r="JE40" s="12"/>
      <c r="JF40" s="12"/>
      <c r="JG40" s="12"/>
      <c r="JH40" s="12"/>
      <c r="JI40" s="12"/>
      <c r="JJ40" s="12"/>
      <c r="JK40" s="12"/>
      <c r="JL40" s="12"/>
      <c r="JM40" s="12"/>
      <c r="JN40" s="12"/>
      <c r="JO40" s="12"/>
      <c r="JP40" s="12"/>
      <c r="JQ40" s="12"/>
      <c r="JR40" s="12"/>
      <c r="JS40" s="12"/>
      <c r="JT40" s="12"/>
      <c r="JU40" s="12"/>
      <c r="JV40" s="12"/>
    </row>
    <row r="41" spans="1:282" s="16" customFormat="1" ht="50.1" customHeight="1" x14ac:dyDescent="0.2">
      <c r="A41" s="700"/>
      <c r="B41" s="29" t="s">
        <v>2365</v>
      </c>
      <c r="C41" s="29"/>
      <c r="D41" s="29"/>
      <c r="E41" s="29" t="s">
        <v>640</v>
      </c>
      <c r="F41" s="104" t="s">
        <v>773</v>
      </c>
      <c r="G41" s="29" t="s">
        <v>774</v>
      </c>
      <c r="H41" s="29"/>
      <c r="I41" s="29"/>
      <c r="J41" s="29" t="s">
        <v>775</v>
      </c>
      <c r="K41" s="29" t="s">
        <v>1393</v>
      </c>
      <c r="L41" s="29" t="s">
        <v>685</v>
      </c>
      <c r="M41" s="29" t="s">
        <v>2606</v>
      </c>
      <c r="N41" s="74">
        <v>39666</v>
      </c>
      <c r="O41" s="69" t="s">
        <v>776</v>
      </c>
      <c r="P41" s="69"/>
      <c r="Q41" s="69"/>
      <c r="R41" s="69"/>
      <c r="S41" s="69"/>
      <c r="T41" s="156"/>
      <c r="U41" s="156"/>
      <c r="V41" s="156"/>
      <c r="W41" s="156"/>
      <c r="X41" s="156"/>
      <c r="Y41" s="156"/>
      <c r="Z41" s="156"/>
      <c r="AA41" s="156"/>
      <c r="AB41" s="156"/>
      <c r="AC41" s="156"/>
      <c r="AD41" s="156"/>
      <c r="AE41" s="156"/>
      <c r="AF41" s="156"/>
      <c r="AG41" s="156"/>
      <c r="AH41" s="156"/>
      <c r="AI41" s="156"/>
      <c r="AJ41" s="74">
        <v>40105</v>
      </c>
      <c r="AK41" s="720">
        <f t="shared" si="1"/>
        <v>439</v>
      </c>
      <c r="AL41" s="155"/>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c r="FF41" s="12"/>
      <c r="FG41" s="12"/>
      <c r="FH41" s="12"/>
      <c r="FI41" s="12"/>
      <c r="FJ41" s="12"/>
      <c r="FK41" s="12"/>
      <c r="FL41" s="12"/>
      <c r="FM41" s="12"/>
      <c r="FN41" s="12"/>
      <c r="FO41" s="12"/>
      <c r="FP41" s="12"/>
      <c r="FQ41" s="12"/>
      <c r="FR41" s="12"/>
      <c r="FS41" s="12"/>
      <c r="FT41" s="12"/>
      <c r="FU41" s="12"/>
      <c r="FV41" s="12"/>
      <c r="FW41" s="12"/>
      <c r="FX41" s="12"/>
      <c r="FY41" s="12"/>
      <c r="FZ41" s="12"/>
      <c r="GA41" s="12"/>
      <c r="GB41" s="12"/>
      <c r="GC41" s="12"/>
      <c r="GD41" s="12"/>
      <c r="GE41" s="12"/>
      <c r="GF41" s="12"/>
      <c r="GG41" s="12"/>
      <c r="GH41" s="12"/>
      <c r="GI41" s="12"/>
      <c r="GJ41" s="12"/>
      <c r="GK41" s="12"/>
      <c r="GL41" s="12"/>
      <c r="GM41" s="12"/>
      <c r="GN41" s="12"/>
      <c r="GO41" s="12"/>
      <c r="GP41" s="12"/>
      <c r="GQ41" s="12"/>
      <c r="GR41" s="12"/>
      <c r="GS41" s="12"/>
      <c r="GT41" s="12"/>
      <c r="GU41" s="12"/>
      <c r="GV41" s="12"/>
      <c r="GW41" s="12"/>
      <c r="GX41" s="12"/>
      <c r="GY41" s="12"/>
      <c r="GZ41" s="12"/>
      <c r="HA41" s="12"/>
      <c r="HB41" s="12"/>
      <c r="HC41" s="12"/>
      <c r="HD41" s="12"/>
      <c r="HE41" s="12"/>
      <c r="HF41" s="12"/>
      <c r="HG41" s="12"/>
      <c r="HH41" s="12"/>
      <c r="HI41" s="12"/>
      <c r="HJ41" s="12"/>
      <c r="HK41" s="12"/>
      <c r="HL41" s="12"/>
      <c r="HM41" s="12"/>
      <c r="HN41" s="12"/>
      <c r="HO41" s="12"/>
      <c r="HP41" s="12"/>
      <c r="HQ41" s="12"/>
      <c r="HR41" s="12"/>
      <c r="HS41" s="12"/>
      <c r="HT41" s="12"/>
      <c r="HU41" s="12"/>
      <c r="HV41" s="12"/>
      <c r="HW41" s="12"/>
      <c r="HX41" s="12"/>
      <c r="HY41" s="12"/>
      <c r="HZ41" s="12"/>
      <c r="IA41" s="12"/>
      <c r="IB41" s="12"/>
      <c r="IC41" s="12"/>
      <c r="ID41" s="12"/>
      <c r="IE41" s="12"/>
      <c r="IF41" s="12"/>
      <c r="IG41" s="12"/>
      <c r="IH41" s="12"/>
      <c r="II41" s="12"/>
      <c r="IJ41" s="12"/>
      <c r="IK41" s="12"/>
      <c r="IL41" s="12"/>
      <c r="IM41" s="12"/>
      <c r="IN41" s="12"/>
      <c r="IO41" s="12"/>
      <c r="IP41" s="12"/>
      <c r="IQ41" s="12"/>
      <c r="IR41" s="12"/>
      <c r="IS41" s="12"/>
      <c r="IT41" s="12"/>
      <c r="IU41" s="12"/>
      <c r="IV41" s="12"/>
      <c r="IW41" s="12"/>
      <c r="IX41" s="12"/>
      <c r="IY41" s="12"/>
      <c r="IZ41" s="12"/>
      <c r="JA41" s="12"/>
      <c r="JB41" s="12"/>
      <c r="JC41" s="12"/>
      <c r="JD41" s="12"/>
      <c r="JE41" s="12"/>
      <c r="JF41" s="12"/>
      <c r="JG41" s="12"/>
      <c r="JH41" s="12"/>
      <c r="JI41" s="12"/>
      <c r="JJ41" s="12"/>
      <c r="JK41" s="12"/>
      <c r="JL41" s="12"/>
      <c r="JM41" s="12"/>
      <c r="JN41" s="12"/>
      <c r="JO41" s="12"/>
      <c r="JP41" s="12"/>
      <c r="JQ41" s="12"/>
      <c r="JR41" s="12"/>
      <c r="JS41" s="12"/>
      <c r="JT41" s="12"/>
      <c r="JU41" s="12"/>
      <c r="JV41" s="12"/>
    </row>
    <row r="42" spans="1:282" s="16" customFormat="1" ht="50.1" customHeight="1" x14ac:dyDescent="0.2">
      <c r="A42" s="700"/>
      <c r="B42" s="29" t="s">
        <v>2365</v>
      </c>
      <c r="C42" s="29"/>
      <c r="D42" s="29"/>
      <c r="E42" s="29" t="s">
        <v>781</v>
      </c>
      <c r="F42" s="104" t="s">
        <v>548</v>
      </c>
      <c r="G42" s="29" t="s">
        <v>548</v>
      </c>
      <c r="H42" s="29"/>
      <c r="I42" s="29"/>
      <c r="J42" s="29" t="s">
        <v>782</v>
      </c>
      <c r="K42" s="30" t="s">
        <v>1394</v>
      </c>
      <c r="L42" s="29" t="s">
        <v>685</v>
      </c>
      <c r="M42" s="29" t="s">
        <v>1528</v>
      </c>
      <c r="N42" s="74">
        <v>39721</v>
      </c>
      <c r="O42" s="74" t="s">
        <v>783</v>
      </c>
      <c r="P42" s="74"/>
      <c r="Q42" s="74"/>
      <c r="R42" s="74"/>
      <c r="S42" s="74"/>
      <c r="T42" s="156"/>
      <c r="U42" s="156"/>
      <c r="V42" s="156"/>
      <c r="W42" s="156"/>
      <c r="X42" s="156"/>
      <c r="Y42" s="156"/>
      <c r="Z42" s="156"/>
      <c r="AA42" s="156"/>
      <c r="AB42" s="156"/>
      <c r="AC42" s="156"/>
      <c r="AD42" s="156"/>
      <c r="AE42" s="156"/>
      <c r="AF42" s="156"/>
      <c r="AG42" s="156"/>
      <c r="AH42" s="156"/>
      <c r="AI42" s="156"/>
      <c r="AJ42" s="74">
        <v>40112</v>
      </c>
      <c r="AK42" s="720">
        <f t="shared" si="1"/>
        <v>391</v>
      </c>
      <c r="AL42" s="155"/>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c r="FF42" s="12"/>
      <c r="FG42" s="12"/>
      <c r="FH42" s="12"/>
      <c r="FI42" s="12"/>
      <c r="FJ42" s="12"/>
      <c r="FK42" s="12"/>
      <c r="FL42" s="12"/>
      <c r="FM42" s="12"/>
      <c r="FN42" s="12"/>
      <c r="FO42" s="12"/>
      <c r="FP42" s="12"/>
      <c r="FQ42" s="12"/>
      <c r="FR42" s="12"/>
      <c r="FS42" s="12"/>
      <c r="FT42" s="12"/>
      <c r="FU42" s="12"/>
      <c r="FV42" s="12"/>
      <c r="FW42" s="12"/>
      <c r="FX42" s="12"/>
      <c r="FY42" s="12"/>
      <c r="FZ42" s="12"/>
      <c r="GA42" s="12"/>
      <c r="GB42" s="12"/>
      <c r="GC42" s="12"/>
      <c r="GD42" s="12"/>
      <c r="GE42" s="12"/>
      <c r="GF42" s="12"/>
      <c r="GG42" s="12"/>
      <c r="GH42" s="12"/>
      <c r="GI42" s="12"/>
      <c r="GJ42" s="12"/>
      <c r="GK42" s="12"/>
      <c r="GL42" s="12"/>
      <c r="GM42" s="12"/>
      <c r="GN42" s="12"/>
      <c r="GO42" s="12"/>
      <c r="GP42" s="12"/>
      <c r="GQ42" s="12"/>
      <c r="GR42" s="12"/>
      <c r="GS42" s="12"/>
      <c r="GT42" s="12"/>
      <c r="GU42" s="12"/>
      <c r="GV42" s="12"/>
      <c r="GW42" s="12"/>
      <c r="GX42" s="12"/>
      <c r="GY42" s="12"/>
      <c r="GZ42" s="12"/>
      <c r="HA42" s="12"/>
      <c r="HB42" s="12"/>
      <c r="HC42" s="12"/>
      <c r="HD42" s="12"/>
      <c r="HE42" s="12"/>
      <c r="HF42" s="12"/>
      <c r="HG42" s="12"/>
      <c r="HH42" s="12"/>
      <c r="HI42" s="12"/>
      <c r="HJ42" s="12"/>
      <c r="HK42" s="12"/>
      <c r="HL42" s="12"/>
      <c r="HM42" s="12"/>
      <c r="HN42" s="12"/>
      <c r="HO42" s="12"/>
      <c r="HP42" s="12"/>
      <c r="HQ42" s="12"/>
      <c r="HR42" s="12"/>
      <c r="HS42" s="12"/>
      <c r="HT42" s="12"/>
      <c r="HU42" s="12"/>
      <c r="HV42" s="12"/>
      <c r="HW42" s="12"/>
      <c r="HX42" s="12"/>
      <c r="HY42" s="12"/>
      <c r="HZ42" s="12"/>
      <c r="IA42" s="12"/>
      <c r="IB42" s="12"/>
      <c r="IC42" s="12"/>
      <c r="ID42" s="12"/>
      <c r="IE42" s="12"/>
      <c r="IF42" s="12"/>
      <c r="IG42" s="12"/>
      <c r="IH42" s="12"/>
      <c r="II42" s="12"/>
      <c r="IJ42" s="12"/>
      <c r="IK42" s="12"/>
      <c r="IL42" s="12"/>
      <c r="IM42" s="12"/>
      <c r="IN42" s="12"/>
      <c r="IO42" s="12"/>
      <c r="IP42" s="12"/>
      <c r="IQ42" s="12"/>
      <c r="IR42" s="12"/>
      <c r="IS42" s="12"/>
      <c r="IT42" s="12"/>
      <c r="IU42" s="12"/>
      <c r="IV42" s="12"/>
      <c r="IW42" s="12"/>
      <c r="IX42" s="12"/>
      <c r="IY42" s="12"/>
      <c r="IZ42" s="12"/>
      <c r="JA42" s="12"/>
      <c r="JB42" s="12"/>
      <c r="JC42" s="12"/>
      <c r="JD42" s="12"/>
      <c r="JE42" s="12"/>
      <c r="JF42" s="12"/>
      <c r="JG42" s="12"/>
      <c r="JH42" s="12"/>
      <c r="JI42" s="12"/>
      <c r="JJ42" s="12"/>
      <c r="JK42" s="12"/>
      <c r="JL42" s="12"/>
      <c r="JM42" s="12"/>
      <c r="JN42" s="12"/>
      <c r="JO42" s="12"/>
      <c r="JP42" s="12"/>
      <c r="JQ42" s="12"/>
      <c r="JR42" s="12"/>
      <c r="JS42" s="12"/>
      <c r="JT42" s="12"/>
      <c r="JU42" s="12"/>
      <c r="JV42" s="12"/>
    </row>
    <row r="43" spans="1:282" s="16" customFormat="1" ht="50.1" customHeight="1" x14ac:dyDescent="0.2">
      <c r="A43" s="700"/>
      <c r="B43" s="29" t="s">
        <v>2365</v>
      </c>
      <c r="C43" s="29"/>
      <c r="D43" s="29"/>
      <c r="E43" s="29" t="s">
        <v>777</v>
      </c>
      <c r="F43" s="104" t="s">
        <v>778</v>
      </c>
      <c r="G43" s="29" t="s">
        <v>779</v>
      </c>
      <c r="H43" s="29"/>
      <c r="I43" s="29"/>
      <c r="J43" s="29" t="s">
        <v>758</v>
      </c>
      <c r="K43" s="29" t="s">
        <v>2431</v>
      </c>
      <c r="L43" s="29" t="s">
        <v>2431</v>
      </c>
      <c r="M43" s="29" t="s">
        <v>2439</v>
      </c>
      <c r="N43" s="74">
        <v>39785</v>
      </c>
      <c r="O43" s="29" t="s">
        <v>780</v>
      </c>
      <c r="P43" s="29"/>
      <c r="Q43" s="29"/>
      <c r="R43" s="29"/>
      <c r="S43" s="29"/>
      <c r="T43" s="155">
        <v>36</v>
      </c>
      <c r="U43" s="155"/>
      <c r="V43" s="155"/>
      <c r="W43" s="155"/>
      <c r="X43" s="155"/>
      <c r="Y43" s="155"/>
      <c r="Z43" s="155"/>
      <c r="AA43" s="155"/>
      <c r="AB43" s="155"/>
      <c r="AC43" s="155"/>
      <c r="AD43" s="155"/>
      <c r="AE43" s="155"/>
      <c r="AF43" s="155"/>
      <c r="AG43" s="155"/>
      <c r="AH43" s="155"/>
      <c r="AI43" s="155"/>
      <c r="AJ43" s="74">
        <v>40112</v>
      </c>
      <c r="AK43" s="720">
        <f t="shared" si="1"/>
        <v>327</v>
      </c>
      <c r="AL43" s="155"/>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2"/>
      <c r="FC43" s="12"/>
      <c r="FD43" s="12"/>
      <c r="FE43" s="12"/>
      <c r="FF43" s="12"/>
      <c r="FG43" s="12"/>
      <c r="FH43" s="12"/>
      <c r="FI43" s="12"/>
      <c r="FJ43" s="12"/>
      <c r="FK43" s="12"/>
      <c r="FL43" s="12"/>
      <c r="FM43" s="12"/>
      <c r="FN43" s="12"/>
      <c r="FO43" s="12"/>
      <c r="FP43" s="12"/>
      <c r="FQ43" s="12"/>
      <c r="FR43" s="12"/>
      <c r="FS43" s="12"/>
      <c r="FT43" s="12"/>
      <c r="FU43" s="12"/>
      <c r="FV43" s="12"/>
      <c r="FW43" s="12"/>
      <c r="FX43" s="12"/>
      <c r="FY43" s="12"/>
      <c r="FZ43" s="12"/>
      <c r="GA43" s="12"/>
      <c r="GB43" s="12"/>
      <c r="GC43" s="12"/>
      <c r="GD43" s="12"/>
      <c r="GE43" s="12"/>
      <c r="GF43" s="12"/>
      <c r="GG43" s="12"/>
      <c r="GH43" s="12"/>
      <c r="GI43" s="12"/>
      <c r="GJ43" s="12"/>
      <c r="GK43" s="12"/>
      <c r="GL43" s="12"/>
      <c r="GM43" s="12"/>
      <c r="GN43" s="12"/>
      <c r="GO43" s="12"/>
      <c r="GP43" s="12"/>
      <c r="GQ43" s="12"/>
      <c r="GR43" s="12"/>
      <c r="GS43" s="12"/>
      <c r="GT43" s="12"/>
      <c r="GU43" s="12"/>
      <c r="GV43" s="12"/>
      <c r="GW43" s="12"/>
      <c r="GX43" s="12"/>
      <c r="GY43" s="12"/>
      <c r="GZ43" s="12"/>
      <c r="HA43" s="12"/>
      <c r="HB43" s="12"/>
      <c r="HC43" s="12"/>
      <c r="HD43" s="12"/>
      <c r="HE43" s="12"/>
      <c r="HF43" s="12"/>
      <c r="HG43" s="12"/>
      <c r="HH43" s="12"/>
      <c r="HI43" s="12"/>
      <c r="HJ43" s="12"/>
      <c r="HK43" s="12"/>
      <c r="HL43" s="12"/>
      <c r="HM43" s="12"/>
      <c r="HN43" s="12"/>
      <c r="HO43" s="12"/>
      <c r="HP43" s="12"/>
      <c r="HQ43" s="12"/>
      <c r="HR43" s="12"/>
      <c r="HS43" s="12"/>
      <c r="HT43" s="12"/>
      <c r="HU43" s="12"/>
      <c r="HV43" s="12"/>
      <c r="HW43" s="12"/>
      <c r="HX43" s="12"/>
      <c r="HY43" s="12"/>
      <c r="HZ43" s="12"/>
      <c r="IA43" s="12"/>
      <c r="IB43" s="12"/>
      <c r="IC43" s="12"/>
      <c r="ID43" s="12"/>
      <c r="IE43" s="12"/>
      <c r="IF43" s="12"/>
      <c r="IG43" s="12"/>
      <c r="IH43" s="12"/>
      <c r="II43" s="12"/>
      <c r="IJ43" s="12"/>
      <c r="IK43" s="12"/>
      <c r="IL43" s="12"/>
      <c r="IM43" s="12"/>
      <c r="IN43" s="12"/>
      <c r="IO43" s="12"/>
      <c r="IP43" s="12"/>
      <c r="IQ43" s="12"/>
      <c r="IR43" s="12"/>
      <c r="IS43" s="12"/>
      <c r="IT43" s="12"/>
      <c r="IU43" s="12"/>
      <c r="IV43" s="12"/>
      <c r="IW43" s="12"/>
      <c r="IX43" s="12"/>
      <c r="IY43" s="12"/>
      <c r="IZ43" s="12"/>
      <c r="JA43" s="12"/>
      <c r="JB43" s="12"/>
      <c r="JC43" s="12"/>
      <c r="JD43" s="12"/>
      <c r="JE43" s="12"/>
      <c r="JF43" s="12"/>
      <c r="JG43" s="12"/>
      <c r="JH43" s="12"/>
      <c r="JI43" s="12"/>
      <c r="JJ43" s="12"/>
      <c r="JK43" s="12"/>
      <c r="JL43" s="12"/>
      <c r="JM43" s="12"/>
      <c r="JN43" s="12"/>
      <c r="JO43" s="12"/>
      <c r="JP43" s="12"/>
      <c r="JQ43" s="12"/>
      <c r="JR43" s="12"/>
      <c r="JS43" s="12"/>
      <c r="JT43" s="12"/>
      <c r="JU43" s="12"/>
      <c r="JV43" s="12"/>
    </row>
    <row r="44" spans="1:282" s="16" customFormat="1" ht="50.1" customHeight="1" x14ac:dyDescent="0.2">
      <c r="A44" s="700"/>
      <c r="B44" s="29" t="s">
        <v>2365</v>
      </c>
      <c r="C44" s="29"/>
      <c r="D44" s="29"/>
      <c r="E44" s="74" t="s">
        <v>784</v>
      </c>
      <c r="F44" s="104" t="s">
        <v>785</v>
      </c>
      <c r="G44" s="29" t="s">
        <v>785</v>
      </c>
      <c r="H44" s="29"/>
      <c r="I44" s="29"/>
      <c r="J44" s="29" t="s">
        <v>775</v>
      </c>
      <c r="K44" s="30" t="s">
        <v>1394</v>
      </c>
      <c r="L44" s="29" t="s">
        <v>685</v>
      </c>
      <c r="M44" s="29" t="s">
        <v>1528</v>
      </c>
      <c r="N44" s="74">
        <v>39144</v>
      </c>
      <c r="O44" s="29" t="s">
        <v>786</v>
      </c>
      <c r="P44" s="29"/>
      <c r="Q44" s="29"/>
      <c r="R44" s="29"/>
      <c r="S44" s="29"/>
      <c r="T44" s="155">
        <v>32</v>
      </c>
      <c r="U44" s="155"/>
      <c r="V44" s="155"/>
      <c r="W44" s="155"/>
      <c r="X44" s="155"/>
      <c r="Y44" s="155"/>
      <c r="Z44" s="155"/>
      <c r="AA44" s="155"/>
      <c r="AB44" s="155"/>
      <c r="AC44" s="155"/>
      <c r="AD44" s="155"/>
      <c r="AE44" s="155"/>
      <c r="AF44" s="155"/>
      <c r="AG44" s="155"/>
      <c r="AH44" s="155"/>
      <c r="AI44" s="155"/>
      <c r="AJ44" s="74">
        <v>40133</v>
      </c>
      <c r="AK44" s="720">
        <f t="shared" si="1"/>
        <v>989</v>
      </c>
      <c r="AL44" s="155"/>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2"/>
      <c r="FC44" s="12"/>
      <c r="FD44" s="12"/>
      <c r="FE44" s="12"/>
      <c r="FF44" s="12"/>
      <c r="FG44" s="12"/>
      <c r="FH44" s="12"/>
      <c r="FI44" s="12"/>
      <c r="FJ44" s="12"/>
      <c r="FK44" s="12"/>
      <c r="FL44" s="12"/>
      <c r="FM44" s="12"/>
      <c r="FN44" s="12"/>
      <c r="FO44" s="12"/>
      <c r="FP44" s="12"/>
      <c r="FQ44" s="12"/>
      <c r="FR44" s="12"/>
      <c r="FS44" s="12"/>
      <c r="FT44" s="12"/>
      <c r="FU44" s="12"/>
      <c r="FV44" s="12"/>
      <c r="FW44" s="12"/>
      <c r="FX44" s="12"/>
      <c r="FY44" s="12"/>
      <c r="FZ44" s="12"/>
      <c r="GA44" s="12"/>
      <c r="GB44" s="12"/>
      <c r="GC44" s="12"/>
      <c r="GD44" s="12"/>
      <c r="GE44" s="12"/>
      <c r="GF44" s="12"/>
      <c r="GG44" s="12"/>
      <c r="GH44" s="12"/>
      <c r="GI44" s="12"/>
      <c r="GJ44" s="12"/>
      <c r="GK44" s="12"/>
      <c r="GL44" s="12"/>
      <c r="GM44" s="12"/>
      <c r="GN44" s="12"/>
      <c r="GO44" s="12"/>
      <c r="GP44" s="12"/>
      <c r="GQ44" s="12"/>
      <c r="GR44" s="12"/>
      <c r="GS44" s="12"/>
      <c r="GT44" s="12"/>
      <c r="GU44" s="12"/>
      <c r="GV44" s="12"/>
      <c r="GW44" s="12"/>
      <c r="GX44" s="12"/>
      <c r="GY44" s="12"/>
      <c r="GZ44" s="12"/>
      <c r="HA44" s="12"/>
      <c r="HB44" s="12"/>
      <c r="HC44" s="12"/>
      <c r="HD44" s="12"/>
      <c r="HE44" s="12"/>
      <c r="HF44" s="12"/>
      <c r="HG44" s="12"/>
      <c r="HH44" s="12"/>
      <c r="HI44" s="12"/>
      <c r="HJ44" s="12"/>
      <c r="HK44" s="12"/>
      <c r="HL44" s="12"/>
      <c r="HM44" s="12"/>
      <c r="HN44" s="12"/>
      <c r="HO44" s="12"/>
      <c r="HP44" s="12"/>
      <c r="HQ44" s="12"/>
      <c r="HR44" s="12"/>
      <c r="HS44" s="12"/>
      <c r="HT44" s="12"/>
      <c r="HU44" s="12"/>
      <c r="HV44" s="12"/>
      <c r="HW44" s="12"/>
      <c r="HX44" s="12"/>
      <c r="HY44" s="12"/>
      <c r="HZ44" s="12"/>
      <c r="IA44" s="12"/>
      <c r="IB44" s="12"/>
      <c r="IC44" s="12"/>
      <c r="ID44" s="12"/>
      <c r="IE44" s="12"/>
      <c r="IF44" s="12"/>
      <c r="IG44" s="12"/>
      <c r="IH44" s="12"/>
      <c r="II44" s="12"/>
      <c r="IJ44" s="12"/>
      <c r="IK44" s="12"/>
      <c r="IL44" s="12"/>
      <c r="IM44" s="12"/>
      <c r="IN44" s="12"/>
      <c r="IO44" s="12"/>
      <c r="IP44" s="12"/>
      <c r="IQ44" s="12"/>
      <c r="IR44" s="12"/>
      <c r="IS44" s="12"/>
      <c r="IT44" s="12"/>
      <c r="IU44" s="12"/>
      <c r="IV44" s="12"/>
      <c r="IW44" s="12"/>
      <c r="IX44" s="12"/>
      <c r="IY44" s="12"/>
      <c r="IZ44" s="12"/>
      <c r="JA44" s="12"/>
      <c r="JB44" s="12"/>
      <c r="JC44" s="12"/>
      <c r="JD44" s="12"/>
      <c r="JE44" s="12"/>
      <c r="JF44" s="12"/>
      <c r="JG44" s="12"/>
      <c r="JH44" s="12"/>
      <c r="JI44" s="12"/>
      <c r="JJ44" s="12"/>
      <c r="JK44" s="12"/>
      <c r="JL44" s="12"/>
      <c r="JM44" s="12"/>
      <c r="JN44" s="12"/>
      <c r="JO44" s="12"/>
      <c r="JP44" s="12"/>
      <c r="JQ44" s="12"/>
      <c r="JR44" s="12"/>
      <c r="JS44" s="12"/>
      <c r="JT44" s="12"/>
      <c r="JU44" s="12"/>
      <c r="JV44" s="12"/>
    </row>
    <row r="45" spans="1:282" s="16" customFormat="1" ht="50.1" customHeight="1" x14ac:dyDescent="0.2">
      <c r="A45" s="700"/>
      <c r="B45" s="29" t="s">
        <v>2365</v>
      </c>
      <c r="C45" s="29"/>
      <c r="D45" s="29"/>
      <c r="E45" s="74" t="s">
        <v>787</v>
      </c>
      <c r="F45" s="104" t="s">
        <v>788</v>
      </c>
      <c r="G45" s="29" t="s">
        <v>788</v>
      </c>
      <c r="H45" s="29"/>
      <c r="I45" s="29"/>
      <c r="J45" s="29" t="s">
        <v>511</v>
      </c>
      <c r="K45" s="30" t="s">
        <v>1394</v>
      </c>
      <c r="L45" s="29" t="s">
        <v>18</v>
      </c>
      <c r="M45" s="29" t="s">
        <v>1528</v>
      </c>
      <c r="N45" s="74">
        <v>39527</v>
      </c>
      <c r="O45" s="74" t="s">
        <v>789</v>
      </c>
      <c r="P45" s="74"/>
      <c r="Q45" s="74"/>
      <c r="R45" s="74"/>
      <c r="S45" s="74"/>
      <c r="T45" s="591"/>
      <c r="U45" s="591"/>
      <c r="V45" s="591"/>
      <c r="W45" s="591"/>
      <c r="X45" s="591"/>
      <c r="Y45" s="591"/>
      <c r="Z45" s="591"/>
      <c r="AA45" s="591"/>
      <c r="AB45" s="591"/>
      <c r="AC45" s="591"/>
      <c r="AD45" s="591"/>
      <c r="AE45" s="591"/>
      <c r="AF45" s="591"/>
      <c r="AG45" s="591"/>
      <c r="AH45" s="591"/>
      <c r="AI45" s="591"/>
      <c r="AJ45" s="74">
        <v>40189</v>
      </c>
      <c r="AK45" s="720">
        <f t="shared" si="1"/>
        <v>662</v>
      </c>
      <c r="AL45" s="591"/>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c r="EQ45" s="12"/>
      <c r="ER45" s="12"/>
      <c r="ES45" s="12"/>
      <c r="ET45" s="12"/>
      <c r="EU45" s="12"/>
      <c r="EV45" s="12"/>
      <c r="EW45" s="12"/>
      <c r="EX45" s="12"/>
      <c r="EY45" s="12"/>
      <c r="EZ45" s="12"/>
      <c r="FA45" s="12"/>
      <c r="FB45" s="12"/>
      <c r="FC45" s="12"/>
      <c r="FD45" s="12"/>
      <c r="FE45" s="12"/>
      <c r="FF45" s="12"/>
      <c r="FG45" s="12"/>
      <c r="FH45" s="12"/>
      <c r="FI45" s="12"/>
      <c r="FJ45" s="12"/>
      <c r="FK45" s="12"/>
      <c r="FL45" s="12"/>
      <c r="FM45" s="12"/>
      <c r="FN45" s="12"/>
      <c r="FO45" s="12"/>
      <c r="FP45" s="12"/>
      <c r="FQ45" s="12"/>
      <c r="FR45" s="12"/>
      <c r="FS45" s="12"/>
      <c r="FT45" s="12"/>
      <c r="FU45" s="12"/>
      <c r="FV45" s="12"/>
      <c r="FW45" s="12"/>
      <c r="FX45" s="12"/>
      <c r="FY45" s="12"/>
      <c r="FZ45" s="12"/>
      <c r="GA45" s="12"/>
      <c r="GB45" s="12"/>
      <c r="GC45" s="12"/>
      <c r="GD45" s="12"/>
      <c r="GE45" s="12"/>
      <c r="GF45" s="12"/>
      <c r="GG45" s="12"/>
      <c r="GH45" s="12"/>
      <c r="GI45" s="12"/>
      <c r="GJ45" s="12"/>
      <c r="GK45" s="12"/>
      <c r="GL45" s="12"/>
      <c r="GM45" s="12"/>
      <c r="GN45" s="12"/>
      <c r="GO45" s="12"/>
      <c r="GP45" s="12"/>
      <c r="GQ45" s="12"/>
      <c r="GR45" s="12"/>
      <c r="GS45" s="12"/>
      <c r="GT45" s="12"/>
      <c r="GU45" s="12"/>
      <c r="GV45" s="12"/>
      <c r="GW45" s="12"/>
      <c r="GX45" s="12"/>
      <c r="GY45" s="12"/>
      <c r="GZ45" s="12"/>
      <c r="HA45" s="12"/>
      <c r="HB45" s="12"/>
      <c r="HC45" s="12"/>
      <c r="HD45" s="12"/>
      <c r="HE45" s="12"/>
      <c r="HF45" s="12"/>
      <c r="HG45" s="12"/>
      <c r="HH45" s="12"/>
      <c r="HI45" s="12"/>
      <c r="HJ45" s="12"/>
      <c r="HK45" s="12"/>
      <c r="HL45" s="12"/>
      <c r="HM45" s="12"/>
      <c r="HN45" s="12"/>
      <c r="HO45" s="12"/>
      <c r="HP45" s="12"/>
      <c r="HQ45" s="12"/>
      <c r="HR45" s="12"/>
      <c r="HS45" s="12"/>
      <c r="HT45" s="12"/>
      <c r="HU45" s="12"/>
      <c r="HV45" s="12"/>
      <c r="HW45" s="12"/>
      <c r="HX45" s="12"/>
      <c r="HY45" s="12"/>
      <c r="HZ45" s="12"/>
      <c r="IA45" s="12"/>
      <c r="IB45" s="12"/>
      <c r="IC45" s="12"/>
      <c r="ID45" s="12"/>
      <c r="IE45" s="12"/>
      <c r="IF45" s="12"/>
      <c r="IG45" s="12"/>
      <c r="IH45" s="12"/>
      <c r="II45" s="12"/>
      <c r="IJ45" s="12"/>
      <c r="IK45" s="12"/>
      <c r="IL45" s="12"/>
      <c r="IM45" s="12"/>
      <c r="IN45" s="12"/>
      <c r="IO45" s="12"/>
      <c r="IP45" s="12"/>
      <c r="IQ45" s="12"/>
      <c r="IR45" s="12"/>
      <c r="IS45" s="12"/>
      <c r="IT45" s="12"/>
      <c r="IU45" s="12"/>
      <c r="IV45" s="12"/>
      <c r="IW45" s="12"/>
      <c r="IX45" s="12"/>
      <c r="IY45" s="12"/>
      <c r="IZ45" s="12"/>
      <c r="JA45" s="12"/>
      <c r="JB45" s="12"/>
      <c r="JC45" s="12"/>
      <c r="JD45" s="12"/>
      <c r="JE45" s="12"/>
      <c r="JF45" s="12"/>
      <c r="JG45" s="12"/>
      <c r="JH45" s="12"/>
      <c r="JI45" s="12"/>
      <c r="JJ45" s="12"/>
      <c r="JK45" s="12"/>
      <c r="JL45" s="12"/>
      <c r="JM45" s="12"/>
      <c r="JN45" s="12"/>
      <c r="JO45" s="12"/>
      <c r="JP45" s="12"/>
      <c r="JQ45" s="12"/>
      <c r="JR45" s="12"/>
      <c r="JS45" s="12"/>
      <c r="JT45" s="12"/>
      <c r="JU45" s="12"/>
      <c r="JV45" s="12"/>
    </row>
    <row r="46" spans="1:282" s="16" customFormat="1" ht="50.1" customHeight="1" x14ac:dyDescent="0.2">
      <c r="A46" s="700"/>
      <c r="B46" s="29" t="s">
        <v>2365</v>
      </c>
      <c r="C46" s="29"/>
      <c r="D46" s="29"/>
      <c r="E46" s="29" t="s">
        <v>797</v>
      </c>
      <c r="F46" s="104" t="s">
        <v>798</v>
      </c>
      <c r="G46" s="29" t="s">
        <v>799</v>
      </c>
      <c r="H46" s="29"/>
      <c r="I46" s="29"/>
      <c r="J46" s="69" t="s">
        <v>801</v>
      </c>
      <c r="K46" s="29" t="s">
        <v>1393</v>
      </c>
      <c r="L46" s="29" t="s">
        <v>800</v>
      </c>
      <c r="M46" s="29" t="s">
        <v>1528</v>
      </c>
      <c r="N46" s="74">
        <v>39682</v>
      </c>
      <c r="O46" s="69" t="s">
        <v>802</v>
      </c>
      <c r="P46" s="69"/>
      <c r="Q46" s="69"/>
      <c r="R46" s="69"/>
      <c r="S46" s="69"/>
      <c r="T46" s="155">
        <v>34</v>
      </c>
      <c r="U46" s="155"/>
      <c r="V46" s="155"/>
      <c r="W46" s="155"/>
      <c r="X46" s="155"/>
      <c r="Y46" s="155"/>
      <c r="Z46" s="155"/>
      <c r="AA46" s="155"/>
      <c r="AB46" s="155"/>
      <c r="AC46" s="155"/>
      <c r="AD46" s="155"/>
      <c r="AE46" s="155"/>
      <c r="AF46" s="155"/>
      <c r="AG46" s="155"/>
      <c r="AH46" s="155"/>
      <c r="AI46" s="155"/>
      <c r="AJ46" s="74">
        <v>40203</v>
      </c>
      <c r="AK46" s="720">
        <f t="shared" si="1"/>
        <v>521</v>
      </c>
      <c r="AL46" s="155"/>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c r="IS46" s="12"/>
      <c r="IT46" s="12"/>
      <c r="IU46" s="12"/>
      <c r="IV46" s="12"/>
      <c r="IW46" s="12"/>
      <c r="IX46" s="12"/>
      <c r="IY46" s="12"/>
      <c r="IZ46" s="12"/>
      <c r="JA46" s="12"/>
      <c r="JB46" s="12"/>
      <c r="JC46" s="12"/>
      <c r="JD46" s="12"/>
      <c r="JE46" s="12"/>
      <c r="JF46" s="12"/>
      <c r="JG46" s="12"/>
      <c r="JH46" s="12"/>
      <c r="JI46" s="12"/>
      <c r="JJ46" s="12"/>
      <c r="JK46" s="12"/>
      <c r="JL46" s="12"/>
      <c r="JM46" s="12"/>
      <c r="JN46" s="12"/>
      <c r="JO46" s="12"/>
      <c r="JP46" s="12"/>
      <c r="JQ46" s="12"/>
      <c r="JR46" s="12"/>
      <c r="JS46" s="12"/>
      <c r="JT46" s="12"/>
      <c r="JU46" s="12"/>
      <c r="JV46" s="12"/>
    </row>
    <row r="47" spans="1:282" s="16" customFormat="1" ht="50.1" customHeight="1" x14ac:dyDescent="0.2">
      <c r="A47" s="700"/>
      <c r="B47" s="29" t="s">
        <v>2365</v>
      </c>
      <c r="C47" s="29"/>
      <c r="D47" s="29"/>
      <c r="E47" s="74" t="s">
        <v>790</v>
      </c>
      <c r="F47" s="104" t="s">
        <v>939</v>
      </c>
      <c r="G47" s="29" t="s">
        <v>791</v>
      </c>
      <c r="H47" s="29"/>
      <c r="I47" s="29"/>
      <c r="J47" s="29" t="s">
        <v>51</v>
      </c>
      <c r="K47" s="30" t="s">
        <v>1394</v>
      </c>
      <c r="L47" s="29" t="s">
        <v>685</v>
      </c>
      <c r="M47" s="29" t="s">
        <v>1528</v>
      </c>
      <c r="N47" s="74">
        <v>39855</v>
      </c>
      <c r="O47" s="29" t="s">
        <v>792</v>
      </c>
      <c r="P47" s="29"/>
      <c r="Q47" s="29"/>
      <c r="R47" s="29"/>
      <c r="S47" s="29"/>
      <c r="T47" s="155"/>
      <c r="U47" s="155"/>
      <c r="V47" s="155"/>
      <c r="W47" s="155"/>
      <c r="X47" s="155"/>
      <c r="Y47" s="155"/>
      <c r="Z47" s="155"/>
      <c r="AA47" s="155"/>
      <c r="AB47" s="155"/>
      <c r="AC47" s="155"/>
      <c r="AD47" s="155"/>
      <c r="AE47" s="155"/>
      <c r="AF47" s="155"/>
      <c r="AG47" s="155"/>
      <c r="AH47" s="155"/>
      <c r="AI47" s="155"/>
      <c r="AJ47" s="74">
        <v>40203</v>
      </c>
      <c r="AK47" s="720">
        <f t="shared" si="1"/>
        <v>348</v>
      </c>
      <c r="AL47" s="155"/>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c r="JK47" s="12"/>
      <c r="JL47" s="12"/>
      <c r="JM47" s="12"/>
      <c r="JN47" s="12"/>
      <c r="JO47" s="12"/>
      <c r="JP47" s="12"/>
      <c r="JQ47" s="12"/>
      <c r="JR47" s="12"/>
      <c r="JS47" s="12"/>
      <c r="JT47" s="12"/>
      <c r="JU47" s="12"/>
      <c r="JV47" s="12"/>
    </row>
    <row r="48" spans="1:282" s="16" customFormat="1" ht="50.1" customHeight="1" x14ac:dyDescent="0.2">
      <c r="A48" s="700"/>
      <c r="B48" s="29" t="s">
        <v>2365</v>
      </c>
      <c r="C48" s="29"/>
      <c r="D48" s="29"/>
      <c r="E48" s="29" t="s">
        <v>793</v>
      </c>
      <c r="F48" s="104" t="s">
        <v>794</v>
      </c>
      <c r="G48" s="29" t="s">
        <v>794</v>
      </c>
      <c r="H48" s="29"/>
      <c r="I48" s="29"/>
      <c r="J48" s="69" t="s">
        <v>50</v>
      </c>
      <c r="K48" s="30" t="s">
        <v>1394</v>
      </c>
      <c r="L48" s="30" t="s">
        <v>1923</v>
      </c>
      <c r="M48" s="29" t="s">
        <v>1528</v>
      </c>
      <c r="N48" s="74">
        <v>39898</v>
      </c>
      <c r="O48" s="29" t="s">
        <v>796</v>
      </c>
      <c r="P48" s="29"/>
      <c r="Q48" s="29"/>
      <c r="R48" s="29"/>
      <c r="S48" s="29"/>
      <c r="T48" s="155"/>
      <c r="U48" s="155"/>
      <c r="V48" s="155"/>
      <c r="W48" s="155"/>
      <c r="X48" s="155"/>
      <c r="Y48" s="155"/>
      <c r="Z48" s="155"/>
      <c r="AA48" s="155"/>
      <c r="AB48" s="155"/>
      <c r="AC48" s="155"/>
      <c r="AD48" s="155"/>
      <c r="AE48" s="155"/>
      <c r="AF48" s="155"/>
      <c r="AG48" s="155"/>
      <c r="AH48" s="155"/>
      <c r="AI48" s="155"/>
      <c r="AJ48" s="74">
        <v>40203</v>
      </c>
      <c r="AK48" s="720">
        <f t="shared" si="1"/>
        <v>305</v>
      </c>
      <c r="AL48" s="155"/>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c r="FD48" s="12"/>
      <c r="FE48" s="12"/>
      <c r="FF48" s="12"/>
      <c r="FG48" s="12"/>
      <c r="FH48" s="12"/>
      <c r="FI48" s="12"/>
      <c r="FJ48" s="12"/>
      <c r="FK48" s="12"/>
      <c r="FL48" s="12"/>
      <c r="FM48" s="12"/>
      <c r="FN48" s="12"/>
      <c r="FO48" s="12"/>
      <c r="FP48" s="12"/>
      <c r="FQ48" s="12"/>
      <c r="FR48" s="12"/>
      <c r="FS48" s="12"/>
      <c r="FT48" s="12"/>
      <c r="FU48" s="12"/>
      <c r="FV48" s="12"/>
      <c r="FW48" s="12"/>
      <c r="FX48" s="12"/>
      <c r="FY48" s="12"/>
      <c r="FZ48" s="12"/>
      <c r="GA48" s="12"/>
      <c r="GB48" s="12"/>
      <c r="GC48" s="12"/>
      <c r="GD48" s="12"/>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c r="HK48" s="12"/>
      <c r="HL48" s="12"/>
      <c r="HM48" s="12"/>
      <c r="HN48" s="12"/>
      <c r="HO48" s="12"/>
      <c r="HP48" s="12"/>
      <c r="HQ48" s="12"/>
      <c r="HR48" s="12"/>
      <c r="HS48" s="12"/>
      <c r="HT48" s="12"/>
      <c r="HU48" s="12"/>
      <c r="HV48" s="12"/>
      <c r="HW48" s="12"/>
      <c r="HX48" s="12"/>
      <c r="HY48" s="12"/>
      <c r="HZ48" s="12"/>
      <c r="IA48" s="12"/>
      <c r="IB48" s="12"/>
      <c r="IC48" s="12"/>
      <c r="ID48" s="12"/>
      <c r="IE48" s="12"/>
      <c r="IF48" s="12"/>
      <c r="IG48" s="12"/>
      <c r="IH48" s="12"/>
      <c r="II48" s="12"/>
      <c r="IJ48" s="12"/>
      <c r="IK48" s="12"/>
      <c r="IL48" s="12"/>
      <c r="IM48" s="12"/>
      <c r="IN48" s="12"/>
      <c r="IO48" s="12"/>
      <c r="IP48" s="12"/>
      <c r="IQ48" s="12"/>
      <c r="IR48" s="12"/>
      <c r="IS48" s="12"/>
      <c r="IT48" s="12"/>
      <c r="IU48" s="12"/>
      <c r="IV48" s="12"/>
      <c r="IW48" s="12"/>
      <c r="IX48" s="12"/>
      <c r="IY48" s="12"/>
      <c r="IZ48" s="12"/>
      <c r="JA48" s="12"/>
      <c r="JB48" s="12"/>
      <c r="JC48" s="12"/>
      <c r="JD48" s="12"/>
      <c r="JE48" s="12"/>
      <c r="JF48" s="12"/>
      <c r="JG48" s="12"/>
      <c r="JH48" s="12"/>
      <c r="JI48" s="12"/>
      <c r="JJ48" s="12"/>
      <c r="JK48" s="12"/>
      <c r="JL48" s="12"/>
      <c r="JM48" s="12"/>
      <c r="JN48" s="12"/>
      <c r="JO48" s="12"/>
      <c r="JP48" s="12"/>
      <c r="JQ48" s="12"/>
      <c r="JR48" s="12"/>
      <c r="JS48" s="12"/>
      <c r="JT48" s="12"/>
      <c r="JU48" s="12"/>
      <c r="JV48" s="12"/>
    </row>
    <row r="49" spans="1:282" s="7" customFormat="1" ht="50.1" customHeight="1" x14ac:dyDescent="0.2">
      <c r="A49" s="698"/>
      <c r="B49" s="29" t="s">
        <v>2899</v>
      </c>
      <c r="C49" s="29"/>
      <c r="D49" s="29"/>
      <c r="E49" s="29" t="s">
        <v>803</v>
      </c>
      <c r="F49" s="104" t="s">
        <v>804</v>
      </c>
      <c r="G49" s="29" t="s">
        <v>805</v>
      </c>
      <c r="H49" s="29"/>
      <c r="I49" s="29"/>
      <c r="J49" s="69" t="s">
        <v>758</v>
      </c>
      <c r="K49" s="29" t="s">
        <v>2432</v>
      </c>
      <c r="L49" s="30" t="s">
        <v>1923</v>
      </c>
      <c r="M49" s="29" t="s">
        <v>2438</v>
      </c>
      <c r="N49" s="74">
        <v>40189</v>
      </c>
      <c r="O49" s="69" t="s">
        <v>2379</v>
      </c>
      <c r="P49" s="69"/>
      <c r="Q49" s="69"/>
      <c r="R49" s="69"/>
      <c r="S49" s="69"/>
      <c r="T49" s="155">
        <v>19</v>
      </c>
      <c r="U49" s="155"/>
      <c r="V49" s="155"/>
      <c r="W49" s="155"/>
      <c r="X49" s="155"/>
      <c r="Y49" s="155"/>
      <c r="Z49" s="155"/>
      <c r="AA49" s="155"/>
      <c r="AB49" s="155"/>
      <c r="AC49" s="155"/>
      <c r="AD49" s="155"/>
      <c r="AE49" s="155"/>
      <c r="AF49" s="155"/>
      <c r="AG49" s="155"/>
      <c r="AH49" s="155"/>
      <c r="AI49" s="155"/>
      <c r="AJ49" s="74">
        <v>40217</v>
      </c>
      <c r="AK49" s="720">
        <f t="shared" si="1"/>
        <v>28</v>
      </c>
      <c r="AL49" s="155"/>
    </row>
    <row r="50" spans="1:282" s="16" customFormat="1" ht="50.1" customHeight="1" x14ac:dyDescent="0.2">
      <c r="A50" s="700"/>
      <c r="B50" s="29" t="s">
        <v>2365</v>
      </c>
      <c r="C50" s="29"/>
      <c r="D50" s="29"/>
      <c r="E50" s="29" t="s">
        <v>806</v>
      </c>
      <c r="F50" s="104" t="s">
        <v>691</v>
      </c>
      <c r="G50" s="29" t="s">
        <v>2105</v>
      </c>
      <c r="H50" s="29"/>
      <c r="I50" s="29"/>
      <c r="J50" s="69" t="s">
        <v>692</v>
      </c>
      <c r="K50" s="30" t="s">
        <v>1394</v>
      </c>
      <c r="L50" s="29" t="s">
        <v>685</v>
      </c>
      <c r="M50" s="29" t="s">
        <v>1528</v>
      </c>
      <c r="N50" s="74">
        <v>39539</v>
      </c>
      <c r="O50" s="29" t="s">
        <v>807</v>
      </c>
      <c r="P50" s="29"/>
      <c r="Q50" s="29"/>
      <c r="R50" s="29"/>
      <c r="S50" s="29"/>
      <c r="T50" s="155">
        <v>18</v>
      </c>
      <c r="U50" s="155"/>
      <c r="V50" s="155"/>
      <c r="W50" s="155"/>
      <c r="X50" s="155"/>
      <c r="Y50" s="155"/>
      <c r="Z50" s="155"/>
      <c r="AA50" s="155"/>
      <c r="AB50" s="155"/>
      <c r="AC50" s="155"/>
      <c r="AD50" s="155"/>
      <c r="AE50" s="155"/>
      <c r="AF50" s="155"/>
      <c r="AG50" s="155"/>
      <c r="AH50" s="155"/>
      <c r="AI50" s="155"/>
      <c r="AJ50" s="74">
        <v>40226</v>
      </c>
      <c r="AK50" s="720">
        <f t="shared" si="1"/>
        <v>687</v>
      </c>
      <c r="AL50" s="155"/>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row>
    <row r="51" spans="1:282" s="16" customFormat="1" ht="50.1" customHeight="1" x14ac:dyDescent="0.2">
      <c r="A51" s="700"/>
      <c r="B51" s="29" t="s">
        <v>2365</v>
      </c>
      <c r="C51" s="29"/>
      <c r="D51" s="29"/>
      <c r="E51" s="29" t="s">
        <v>808</v>
      </c>
      <c r="F51" s="104" t="s">
        <v>809</v>
      </c>
      <c r="G51" s="29" t="s">
        <v>809</v>
      </c>
      <c r="H51" s="29"/>
      <c r="I51" s="29"/>
      <c r="J51" s="69" t="s">
        <v>811</v>
      </c>
      <c r="K51" s="30" t="s">
        <v>1394</v>
      </c>
      <c r="L51" s="29" t="s">
        <v>810</v>
      </c>
      <c r="M51" s="29" t="s">
        <v>1528</v>
      </c>
      <c r="N51" s="74">
        <v>39875</v>
      </c>
      <c r="O51" s="29" t="s">
        <v>812</v>
      </c>
      <c r="P51" s="29"/>
      <c r="Q51" s="29"/>
      <c r="R51" s="29"/>
      <c r="S51" s="29"/>
      <c r="T51" s="155"/>
      <c r="U51" s="155"/>
      <c r="V51" s="155"/>
      <c r="W51" s="155"/>
      <c r="X51" s="155"/>
      <c r="Y51" s="155"/>
      <c r="Z51" s="155"/>
      <c r="AA51" s="155"/>
      <c r="AB51" s="155"/>
      <c r="AC51" s="155"/>
      <c r="AD51" s="155"/>
      <c r="AE51" s="155"/>
      <c r="AF51" s="155"/>
      <c r="AG51" s="155"/>
      <c r="AH51" s="155"/>
      <c r="AI51" s="155"/>
      <c r="AJ51" s="74">
        <v>40238</v>
      </c>
      <c r="AK51" s="720">
        <f t="shared" si="1"/>
        <v>363</v>
      </c>
      <c r="AL51" s="155"/>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2"/>
      <c r="FC51" s="12"/>
      <c r="FD51" s="12"/>
      <c r="FE51" s="12"/>
      <c r="FF51" s="12"/>
      <c r="FG51" s="12"/>
      <c r="FH51" s="12"/>
      <c r="FI51" s="12"/>
      <c r="FJ51" s="12"/>
      <c r="FK51" s="12"/>
      <c r="FL51" s="12"/>
      <c r="FM51" s="12"/>
      <c r="FN51" s="12"/>
      <c r="FO51" s="12"/>
      <c r="FP51" s="12"/>
      <c r="FQ51" s="12"/>
      <c r="FR51" s="12"/>
      <c r="FS51" s="12"/>
      <c r="FT51" s="12"/>
      <c r="FU51" s="12"/>
      <c r="FV51" s="12"/>
      <c r="FW51" s="12"/>
      <c r="FX51" s="12"/>
      <c r="FY51" s="12"/>
      <c r="FZ51" s="12"/>
      <c r="GA51" s="12"/>
      <c r="GB51" s="12"/>
      <c r="GC51" s="12"/>
      <c r="GD51" s="12"/>
      <c r="GE51" s="12"/>
      <c r="GF51" s="12"/>
      <c r="GG51" s="12"/>
      <c r="GH51" s="12"/>
      <c r="GI51" s="12"/>
      <c r="GJ51" s="12"/>
      <c r="GK51" s="12"/>
      <c r="GL51" s="12"/>
      <c r="GM51" s="12"/>
      <c r="GN51" s="12"/>
      <c r="GO51" s="12"/>
      <c r="GP51" s="12"/>
      <c r="GQ51" s="12"/>
      <c r="GR51" s="12"/>
      <c r="GS51" s="12"/>
      <c r="GT51" s="12"/>
      <c r="GU51" s="12"/>
      <c r="GV51" s="12"/>
      <c r="GW51" s="12"/>
      <c r="GX51" s="12"/>
      <c r="GY51" s="12"/>
      <c r="GZ51" s="12"/>
      <c r="HA51" s="12"/>
      <c r="HB51" s="12"/>
      <c r="HC51" s="12"/>
      <c r="HD51" s="12"/>
      <c r="HE51" s="12"/>
      <c r="HF51" s="12"/>
      <c r="HG51" s="12"/>
      <c r="HH51" s="12"/>
      <c r="HI51" s="12"/>
      <c r="HJ51" s="12"/>
      <c r="HK51" s="12"/>
      <c r="HL51" s="12"/>
      <c r="HM51" s="12"/>
      <c r="HN51" s="12"/>
      <c r="HO51" s="12"/>
      <c r="HP51" s="12"/>
      <c r="HQ51" s="12"/>
      <c r="HR51" s="12"/>
      <c r="HS51" s="12"/>
      <c r="HT51" s="12"/>
      <c r="HU51" s="12"/>
      <c r="HV51" s="12"/>
      <c r="HW51" s="12"/>
      <c r="HX51" s="12"/>
      <c r="HY51" s="12"/>
      <c r="HZ51" s="12"/>
      <c r="IA51" s="12"/>
      <c r="IB51" s="12"/>
      <c r="IC51" s="12"/>
      <c r="ID51" s="12"/>
      <c r="IE51" s="12"/>
      <c r="IF51" s="12"/>
      <c r="IG51" s="12"/>
      <c r="IH51" s="12"/>
      <c r="II51" s="12"/>
      <c r="IJ51" s="12"/>
      <c r="IK51" s="12"/>
      <c r="IL51" s="12"/>
      <c r="IM51" s="12"/>
      <c r="IN51" s="12"/>
      <c r="IO51" s="12"/>
      <c r="IP51" s="12"/>
      <c r="IQ51" s="12"/>
      <c r="IR51" s="12"/>
      <c r="IS51" s="12"/>
      <c r="IT51" s="12"/>
      <c r="IU51" s="12"/>
      <c r="IV51" s="12"/>
      <c r="IW51" s="12"/>
      <c r="IX51" s="12"/>
      <c r="IY51" s="12"/>
      <c r="IZ51" s="12"/>
      <c r="JA51" s="12"/>
      <c r="JB51" s="12"/>
      <c r="JC51" s="12"/>
      <c r="JD51" s="12"/>
      <c r="JE51" s="12"/>
      <c r="JF51" s="12"/>
      <c r="JG51" s="12"/>
      <c r="JH51" s="12"/>
      <c r="JI51" s="12"/>
      <c r="JJ51" s="12"/>
      <c r="JK51" s="12"/>
      <c r="JL51" s="12"/>
      <c r="JM51" s="12"/>
      <c r="JN51" s="12"/>
      <c r="JO51" s="12"/>
      <c r="JP51" s="12"/>
      <c r="JQ51" s="12"/>
      <c r="JR51" s="12"/>
      <c r="JS51" s="12"/>
      <c r="JT51" s="12"/>
      <c r="JU51" s="12"/>
      <c r="JV51" s="12"/>
    </row>
    <row r="52" spans="1:282" s="7" customFormat="1" ht="50.1" customHeight="1" x14ac:dyDescent="0.2">
      <c r="A52" s="698"/>
      <c r="B52" s="29" t="s">
        <v>2365</v>
      </c>
      <c r="C52" s="29"/>
      <c r="D52" s="29"/>
      <c r="E52" s="69" t="s">
        <v>813</v>
      </c>
      <c r="F52" s="247" t="s">
        <v>2380</v>
      </c>
      <c r="G52" s="69" t="s">
        <v>814</v>
      </c>
      <c r="H52" s="29"/>
      <c r="I52" s="29"/>
      <c r="J52" s="69" t="s">
        <v>815</v>
      </c>
      <c r="K52" s="30" t="s">
        <v>1394</v>
      </c>
      <c r="L52" s="29" t="s">
        <v>18</v>
      </c>
      <c r="M52" s="29" t="s">
        <v>1528</v>
      </c>
      <c r="N52" s="74">
        <v>39234</v>
      </c>
      <c r="O52" s="69" t="s">
        <v>816</v>
      </c>
      <c r="P52" s="69"/>
      <c r="Q52" s="69"/>
      <c r="R52" s="69"/>
      <c r="S52" s="69"/>
      <c r="T52" s="155" t="s">
        <v>997</v>
      </c>
      <c r="U52" s="155"/>
      <c r="V52" s="155"/>
      <c r="W52" s="155"/>
      <c r="X52" s="155"/>
      <c r="Y52" s="155"/>
      <c r="Z52" s="155"/>
      <c r="AA52" s="155"/>
      <c r="AB52" s="155"/>
      <c r="AC52" s="155"/>
      <c r="AD52" s="155"/>
      <c r="AE52" s="155"/>
      <c r="AF52" s="155"/>
      <c r="AG52" s="155"/>
      <c r="AH52" s="155"/>
      <c r="AI52" s="155"/>
      <c r="AJ52" s="74">
        <v>40280</v>
      </c>
      <c r="AK52" s="720">
        <f t="shared" si="1"/>
        <v>1046</v>
      </c>
      <c r="AL52" s="155"/>
    </row>
    <row r="53" spans="1:282" s="16" customFormat="1" ht="50.1" customHeight="1" x14ac:dyDescent="0.2">
      <c r="A53" s="700"/>
      <c r="B53" s="29" t="s">
        <v>2365</v>
      </c>
      <c r="C53" s="29"/>
      <c r="D53" s="29"/>
      <c r="E53" s="29" t="s">
        <v>822</v>
      </c>
      <c r="F53" s="104" t="s">
        <v>823</v>
      </c>
      <c r="G53" s="29" t="s">
        <v>824</v>
      </c>
      <c r="H53" s="29"/>
      <c r="I53" s="29"/>
      <c r="J53" s="29" t="s">
        <v>735</v>
      </c>
      <c r="K53" s="30" t="s">
        <v>1394</v>
      </c>
      <c r="L53" s="29" t="s">
        <v>685</v>
      </c>
      <c r="M53" s="29" t="s">
        <v>1528</v>
      </c>
      <c r="N53" s="74">
        <v>39857</v>
      </c>
      <c r="O53" s="29" t="s">
        <v>825</v>
      </c>
      <c r="P53" s="29"/>
      <c r="Q53" s="29"/>
      <c r="R53" s="29"/>
      <c r="S53" s="29"/>
      <c r="T53" s="155"/>
      <c r="U53" s="155"/>
      <c r="V53" s="155"/>
      <c r="W53" s="155"/>
      <c r="X53" s="155"/>
      <c r="Y53" s="155"/>
      <c r="Z53" s="155"/>
      <c r="AA53" s="155"/>
      <c r="AB53" s="155"/>
      <c r="AC53" s="155"/>
      <c r="AD53" s="155"/>
      <c r="AE53" s="155"/>
      <c r="AF53" s="155"/>
      <c r="AG53" s="155"/>
      <c r="AH53" s="155"/>
      <c r="AI53" s="155"/>
      <c r="AJ53" s="74">
        <v>40287</v>
      </c>
      <c r="AK53" s="720">
        <f t="shared" si="1"/>
        <v>430</v>
      </c>
      <c r="AL53" s="155"/>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c r="FD53" s="12"/>
      <c r="FE53" s="12"/>
      <c r="FF53" s="12"/>
      <c r="FG53" s="12"/>
      <c r="FH53" s="12"/>
      <c r="FI53" s="12"/>
      <c r="FJ53" s="12"/>
      <c r="FK53" s="12"/>
      <c r="FL53" s="12"/>
      <c r="FM53" s="12"/>
      <c r="FN53" s="12"/>
      <c r="FO53" s="12"/>
      <c r="FP53" s="12"/>
      <c r="FQ53" s="12"/>
      <c r="FR53" s="12"/>
      <c r="FS53" s="12"/>
      <c r="FT53" s="12"/>
      <c r="FU53" s="12"/>
      <c r="FV53" s="12"/>
      <c r="FW53" s="12"/>
      <c r="FX53" s="12"/>
      <c r="FY53" s="12"/>
      <c r="FZ53" s="12"/>
      <c r="GA53" s="12"/>
      <c r="GB53" s="12"/>
      <c r="GC53" s="12"/>
      <c r="GD53" s="12"/>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c r="HK53" s="12"/>
      <c r="HL53" s="12"/>
      <c r="HM53" s="12"/>
      <c r="HN53" s="12"/>
      <c r="HO53" s="12"/>
      <c r="HP53" s="12"/>
      <c r="HQ53" s="12"/>
      <c r="HR53" s="12"/>
      <c r="HS53" s="12"/>
      <c r="HT53" s="12"/>
      <c r="HU53" s="12"/>
      <c r="HV53" s="12"/>
      <c r="HW53" s="12"/>
      <c r="HX53" s="12"/>
      <c r="HY53" s="12"/>
      <c r="HZ53" s="12"/>
      <c r="IA53" s="12"/>
      <c r="IB53" s="12"/>
      <c r="IC53" s="12"/>
      <c r="ID53" s="12"/>
      <c r="IE53" s="12"/>
      <c r="IF53" s="12"/>
      <c r="IG53" s="12"/>
      <c r="IH53" s="12"/>
      <c r="II53" s="12"/>
      <c r="IJ53" s="12"/>
      <c r="IK53" s="12"/>
      <c r="IL53" s="12"/>
      <c r="IM53" s="12"/>
      <c r="IN53" s="12"/>
      <c r="IO53" s="12"/>
      <c r="IP53" s="12"/>
      <c r="IQ53" s="12"/>
      <c r="IR53" s="12"/>
      <c r="IS53" s="12"/>
      <c r="IT53" s="12"/>
      <c r="IU53" s="12"/>
      <c r="IV53" s="12"/>
      <c r="IW53" s="12"/>
      <c r="IX53" s="12"/>
      <c r="IY53" s="12"/>
      <c r="IZ53" s="12"/>
      <c r="JA53" s="12"/>
      <c r="JB53" s="12"/>
      <c r="JC53" s="12"/>
      <c r="JD53" s="12"/>
      <c r="JE53" s="12"/>
      <c r="JF53" s="12"/>
      <c r="JG53" s="12"/>
      <c r="JH53" s="12"/>
      <c r="JI53" s="12"/>
      <c r="JJ53" s="12"/>
      <c r="JK53" s="12"/>
      <c r="JL53" s="12"/>
      <c r="JM53" s="12"/>
      <c r="JN53" s="12"/>
      <c r="JO53" s="12"/>
      <c r="JP53" s="12"/>
      <c r="JQ53" s="12"/>
      <c r="JR53" s="12"/>
      <c r="JS53" s="12"/>
      <c r="JT53" s="12"/>
      <c r="JU53" s="12"/>
      <c r="JV53" s="12"/>
    </row>
    <row r="54" spans="1:282" s="16" customFormat="1" ht="50.1" customHeight="1" x14ac:dyDescent="0.2">
      <c r="A54" s="700"/>
      <c r="B54" s="29" t="s">
        <v>2365</v>
      </c>
      <c r="C54" s="29"/>
      <c r="D54" s="29"/>
      <c r="E54" s="29" t="s">
        <v>817</v>
      </c>
      <c r="F54" s="104" t="s">
        <v>818</v>
      </c>
      <c r="G54" s="29" t="s">
        <v>819</v>
      </c>
      <c r="H54" s="29"/>
      <c r="I54" s="29"/>
      <c r="J54" s="29" t="s">
        <v>820</v>
      </c>
      <c r="K54" s="30" t="s">
        <v>1394</v>
      </c>
      <c r="L54" s="29" t="s">
        <v>685</v>
      </c>
      <c r="M54" s="29" t="s">
        <v>1528</v>
      </c>
      <c r="N54" s="74">
        <v>39881</v>
      </c>
      <c r="O54" s="29" t="s">
        <v>821</v>
      </c>
      <c r="P54" s="29"/>
      <c r="Q54" s="29"/>
      <c r="R54" s="29"/>
      <c r="S54" s="29"/>
      <c r="T54" s="155">
        <v>15</v>
      </c>
      <c r="U54" s="155"/>
      <c r="V54" s="155"/>
      <c r="W54" s="155"/>
      <c r="X54" s="155"/>
      <c r="Y54" s="155"/>
      <c r="Z54" s="155"/>
      <c r="AA54" s="155"/>
      <c r="AB54" s="155"/>
      <c r="AC54" s="155"/>
      <c r="AD54" s="155"/>
      <c r="AE54" s="155"/>
      <c r="AF54" s="155"/>
      <c r="AG54" s="155"/>
      <c r="AH54" s="155"/>
      <c r="AI54" s="155"/>
      <c r="AJ54" s="74">
        <v>40287</v>
      </c>
      <c r="AK54" s="720">
        <f t="shared" si="1"/>
        <v>406</v>
      </c>
      <c r="AL54" s="155"/>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c r="FD54" s="12"/>
      <c r="FE54" s="12"/>
      <c r="FF54" s="12"/>
      <c r="FG54" s="12"/>
      <c r="FH54" s="12"/>
      <c r="FI54" s="12"/>
      <c r="FJ54" s="12"/>
      <c r="FK54" s="12"/>
      <c r="FL54" s="12"/>
      <c r="FM54" s="12"/>
      <c r="FN54" s="12"/>
      <c r="FO54" s="12"/>
      <c r="FP54" s="12"/>
      <c r="FQ54" s="12"/>
      <c r="FR54" s="12"/>
      <c r="FS54" s="12"/>
      <c r="FT54" s="12"/>
      <c r="FU54" s="12"/>
      <c r="FV54" s="12"/>
      <c r="FW54" s="12"/>
      <c r="FX54" s="12"/>
      <c r="FY54" s="12"/>
      <c r="FZ54" s="12"/>
      <c r="GA54" s="12"/>
      <c r="GB54" s="12"/>
      <c r="GC54" s="12"/>
      <c r="GD54" s="12"/>
      <c r="GE54" s="12"/>
      <c r="GF54" s="12"/>
      <c r="GG54" s="12"/>
      <c r="GH54" s="12"/>
      <c r="GI54" s="12"/>
      <c r="GJ54" s="12"/>
      <c r="GK54" s="12"/>
      <c r="GL54" s="12"/>
      <c r="GM54" s="12"/>
      <c r="GN54" s="12"/>
      <c r="GO54" s="12"/>
      <c r="GP54" s="12"/>
      <c r="GQ54" s="12"/>
      <c r="GR54" s="12"/>
      <c r="GS54" s="12"/>
      <c r="GT54" s="12"/>
      <c r="GU54" s="12"/>
      <c r="GV54" s="12"/>
      <c r="GW54" s="12"/>
      <c r="GX54" s="12"/>
      <c r="GY54" s="12"/>
      <c r="GZ54" s="12"/>
      <c r="HA54" s="12"/>
      <c r="HB54" s="12"/>
      <c r="HC54" s="12"/>
      <c r="HD54" s="12"/>
      <c r="HE54" s="12"/>
      <c r="HF54" s="12"/>
      <c r="HG54" s="12"/>
      <c r="HH54" s="12"/>
      <c r="HI54" s="12"/>
      <c r="HJ54" s="12"/>
      <c r="HK54" s="12"/>
      <c r="HL54" s="12"/>
      <c r="HM54" s="12"/>
      <c r="HN54" s="12"/>
      <c r="HO54" s="12"/>
      <c r="HP54" s="12"/>
      <c r="HQ54" s="12"/>
      <c r="HR54" s="12"/>
      <c r="HS54" s="12"/>
      <c r="HT54" s="12"/>
      <c r="HU54" s="12"/>
      <c r="HV54" s="12"/>
      <c r="HW54" s="12"/>
      <c r="HX54" s="12"/>
      <c r="HY54" s="12"/>
      <c r="HZ54" s="12"/>
      <c r="IA54" s="12"/>
      <c r="IB54" s="12"/>
      <c r="IC54" s="12"/>
      <c r="ID54" s="12"/>
      <c r="IE54" s="12"/>
      <c r="IF54" s="12"/>
      <c r="IG54" s="12"/>
      <c r="IH54" s="12"/>
      <c r="II54" s="12"/>
      <c r="IJ54" s="12"/>
      <c r="IK54" s="12"/>
      <c r="IL54" s="12"/>
      <c r="IM54" s="12"/>
      <c r="IN54" s="12"/>
      <c r="IO54" s="12"/>
      <c r="IP54" s="12"/>
      <c r="IQ54" s="12"/>
      <c r="IR54" s="12"/>
      <c r="IS54" s="12"/>
      <c r="IT54" s="12"/>
      <c r="IU54" s="12"/>
      <c r="IV54" s="12"/>
      <c r="IW54" s="12"/>
      <c r="IX54" s="12"/>
      <c r="IY54" s="12"/>
      <c r="IZ54" s="12"/>
      <c r="JA54" s="12"/>
      <c r="JB54" s="12"/>
      <c r="JC54" s="12"/>
      <c r="JD54" s="12"/>
      <c r="JE54" s="12"/>
      <c r="JF54" s="12"/>
      <c r="JG54" s="12"/>
      <c r="JH54" s="12"/>
      <c r="JI54" s="12"/>
      <c r="JJ54" s="12"/>
      <c r="JK54" s="12"/>
      <c r="JL54" s="12"/>
      <c r="JM54" s="12"/>
      <c r="JN54" s="12"/>
      <c r="JO54" s="12"/>
      <c r="JP54" s="12"/>
      <c r="JQ54" s="12"/>
      <c r="JR54" s="12"/>
      <c r="JS54" s="12"/>
      <c r="JT54" s="12"/>
      <c r="JU54" s="12"/>
      <c r="JV54" s="12"/>
    </row>
    <row r="55" spans="1:282" s="16" customFormat="1" ht="50.1" customHeight="1" x14ac:dyDescent="0.2">
      <c r="A55" s="700"/>
      <c r="B55" s="29" t="s">
        <v>2365</v>
      </c>
      <c r="C55" s="29"/>
      <c r="D55" s="29"/>
      <c r="E55" s="29" t="s">
        <v>3025</v>
      </c>
      <c r="F55" s="104" t="s">
        <v>754</v>
      </c>
      <c r="G55" s="29" t="s">
        <v>754</v>
      </c>
      <c r="H55" s="29"/>
      <c r="I55" s="29"/>
      <c r="J55" s="29" t="s">
        <v>2382</v>
      </c>
      <c r="K55" s="30" t="s">
        <v>1394</v>
      </c>
      <c r="L55" s="29" t="s">
        <v>641</v>
      </c>
      <c r="M55" s="29" t="s">
        <v>1528</v>
      </c>
      <c r="N55" s="74"/>
      <c r="O55" s="29" t="s">
        <v>2381</v>
      </c>
      <c r="P55" s="29"/>
      <c r="Q55" s="29"/>
      <c r="R55" s="29"/>
      <c r="S55" s="29"/>
      <c r="T55" s="155">
        <v>15</v>
      </c>
      <c r="U55" s="155"/>
      <c r="V55" s="155"/>
      <c r="W55" s="155"/>
      <c r="X55" s="155"/>
      <c r="Y55" s="155"/>
      <c r="Z55" s="155"/>
      <c r="AA55" s="155"/>
      <c r="AB55" s="155"/>
      <c r="AC55" s="155"/>
      <c r="AD55" s="155"/>
      <c r="AE55" s="155"/>
      <c r="AF55" s="155"/>
      <c r="AG55" s="155"/>
      <c r="AH55" s="155"/>
      <c r="AI55" s="155"/>
      <c r="AJ55" s="74">
        <v>40301</v>
      </c>
      <c r="AK55" s="720">
        <f t="shared" si="1"/>
        <v>40301</v>
      </c>
      <c r="AL55" s="155"/>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2"/>
      <c r="FC55" s="12"/>
      <c r="FD55" s="12"/>
      <c r="FE55" s="12"/>
      <c r="FF55" s="12"/>
      <c r="FG55" s="12"/>
      <c r="FH55" s="12"/>
      <c r="FI55" s="12"/>
      <c r="FJ55" s="12"/>
      <c r="FK55" s="12"/>
      <c r="FL55" s="12"/>
      <c r="FM55" s="12"/>
      <c r="FN55" s="12"/>
      <c r="FO55" s="12"/>
      <c r="FP55" s="12"/>
      <c r="FQ55" s="12"/>
      <c r="FR55" s="12"/>
      <c r="FS55" s="12"/>
      <c r="FT55" s="12"/>
      <c r="FU55" s="12"/>
      <c r="FV55" s="12"/>
      <c r="FW55" s="12"/>
      <c r="FX55" s="12"/>
      <c r="FY55" s="12"/>
      <c r="FZ55" s="12"/>
      <c r="GA55" s="12"/>
      <c r="GB55" s="12"/>
      <c r="GC55" s="12"/>
      <c r="GD55" s="12"/>
      <c r="GE55" s="12"/>
      <c r="GF55" s="12"/>
      <c r="GG55" s="12"/>
      <c r="GH55" s="12"/>
      <c r="GI55" s="12"/>
      <c r="GJ55" s="12"/>
      <c r="GK55" s="12"/>
      <c r="GL55" s="12"/>
      <c r="GM55" s="12"/>
      <c r="GN55" s="12"/>
      <c r="GO55" s="12"/>
      <c r="GP55" s="12"/>
      <c r="GQ55" s="12"/>
      <c r="GR55" s="12"/>
      <c r="GS55" s="12"/>
      <c r="GT55" s="12"/>
      <c r="GU55" s="12"/>
      <c r="GV55" s="12"/>
      <c r="GW55" s="12"/>
      <c r="GX55" s="12"/>
      <c r="GY55" s="12"/>
      <c r="GZ55" s="12"/>
      <c r="HA55" s="12"/>
      <c r="HB55" s="12"/>
      <c r="HC55" s="12"/>
      <c r="HD55" s="12"/>
      <c r="HE55" s="12"/>
      <c r="HF55" s="12"/>
      <c r="HG55" s="12"/>
      <c r="HH55" s="12"/>
      <c r="HI55" s="12"/>
      <c r="HJ55" s="12"/>
      <c r="HK55" s="12"/>
      <c r="HL55" s="12"/>
      <c r="HM55" s="12"/>
      <c r="HN55" s="12"/>
      <c r="HO55" s="12"/>
      <c r="HP55" s="12"/>
      <c r="HQ55" s="12"/>
      <c r="HR55" s="12"/>
      <c r="HS55" s="12"/>
      <c r="HT55" s="12"/>
      <c r="HU55" s="12"/>
      <c r="HV55" s="12"/>
      <c r="HW55" s="12"/>
      <c r="HX55" s="12"/>
      <c r="HY55" s="12"/>
      <c r="HZ55" s="12"/>
      <c r="IA55" s="12"/>
      <c r="IB55" s="12"/>
      <c r="IC55" s="12"/>
      <c r="ID55" s="12"/>
      <c r="IE55" s="12"/>
      <c r="IF55" s="12"/>
      <c r="IG55" s="12"/>
      <c r="IH55" s="12"/>
      <c r="II55" s="12"/>
      <c r="IJ55" s="12"/>
      <c r="IK55" s="12"/>
      <c r="IL55" s="12"/>
      <c r="IM55" s="12"/>
      <c r="IN55" s="12"/>
      <c r="IO55" s="12"/>
      <c r="IP55" s="12"/>
      <c r="IQ55" s="12"/>
      <c r="IR55" s="12"/>
      <c r="IS55" s="12"/>
      <c r="IT55" s="12"/>
      <c r="IU55" s="12"/>
      <c r="IV55" s="12"/>
      <c r="IW55" s="12"/>
      <c r="IX55" s="12"/>
      <c r="IY55" s="12"/>
      <c r="IZ55" s="12"/>
      <c r="JA55" s="12"/>
      <c r="JB55" s="12"/>
      <c r="JC55" s="12"/>
      <c r="JD55" s="12"/>
      <c r="JE55" s="12"/>
      <c r="JF55" s="12"/>
      <c r="JG55" s="12"/>
      <c r="JH55" s="12"/>
      <c r="JI55" s="12"/>
      <c r="JJ55" s="12"/>
      <c r="JK55" s="12"/>
      <c r="JL55" s="12"/>
      <c r="JM55" s="12"/>
      <c r="JN55" s="12"/>
      <c r="JO55" s="12"/>
      <c r="JP55" s="12"/>
      <c r="JQ55" s="12"/>
      <c r="JR55" s="12"/>
      <c r="JS55" s="12"/>
      <c r="JT55" s="12"/>
      <c r="JU55" s="12"/>
      <c r="JV55" s="12"/>
    </row>
    <row r="56" spans="1:282" s="16" customFormat="1" ht="50.1" customHeight="1" x14ac:dyDescent="0.2">
      <c r="A56" s="700"/>
      <c r="B56" s="29" t="s">
        <v>2365</v>
      </c>
      <c r="C56" s="29"/>
      <c r="D56" s="29"/>
      <c r="E56" s="29" t="s">
        <v>826</v>
      </c>
      <c r="F56" s="104" t="s">
        <v>827</v>
      </c>
      <c r="G56" s="29" t="s">
        <v>827</v>
      </c>
      <c r="H56" s="29"/>
      <c r="I56" s="29"/>
      <c r="J56" s="29" t="s">
        <v>77</v>
      </c>
      <c r="K56" s="30" t="s">
        <v>1394</v>
      </c>
      <c r="L56" s="29" t="s">
        <v>685</v>
      </c>
      <c r="M56" s="29" t="s">
        <v>2444</v>
      </c>
      <c r="N56" s="74">
        <v>39745</v>
      </c>
      <c r="O56" s="69" t="s">
        <v>828</v>
      </c>
      <c r="P56" s="69"/>
      <c r="Q56" s="69"/>
      <c r="R56" s="69"/>
      <c r="S56" s="69"/>
      <c r="T56" s="155"/>
      <c r="U56" s="155"/>
      <c r="V56" s="155"/>
      <c r="W56" s="155"/>
      <c r="X56" s="155"/>
      <c r="Y56" s="155"/>
      <c r="Z56" s="155"/>
      <c r="AA56" s="155"/>
      <c r="AB56" s="155"/>
      <c r="AC56" s="155"/>
      <c r="AD56" s="155"/>
      <c r="AE56" s="155"/>
      <c r="AF56" s="155"/>
      <c r="AG56" s="155"/>
      <c r="AH56" s="155"/>
      <c r="AI56" s="155"/>
      <c r="AJ56" s="74">
        <v>40315</v>
      </c>
      <c r="AK56" s="720">
        <f t="shared" si="1"/>
        <v>570</v>
      </c>
      <c r="AL56" s="155"/>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c r="FD56" s="12"/>
      <c r="FE56" s="12"/>
      <c r="FF56" s="12"/>
      <c r="FG56" s="12"/>
      <c r="FH56" s="12"/>
      <c r="FI56" s="12"/>
      <c r="FJ56" s="12"/>
      <c r="FK56" s="12"/>
      <c r="FL56" s="12"/>
      <c r="FM56" s="12"/>
      <c r="FN56" s="12"/>
      <c r="FO56" s="12"/>
      <c r="FP56" s="12"/>
      <c r="FQ56" s="12"/>
      <c r="FR56" s="12"/>
      <c r="FS56" s="12"/>
      <c r="FT56" s="12"/>
      <c r="FU56" s="12"/>
      <c r="FV56" s="12"/>
      <c r="FW56" s="12"/>
      <c r="FX56" s="12"/>
      <c r="FY56" s="12"/>
      <c r="FZ56" s="12"/>
      <c r="GA56" s="12"/>
      <c r="GB56" s="12"/>
      <c r="GC56" s="12"/>
      <c r="GD56" s="12"/>
      <c r="GE56" s="12"/>
      <c r="GF56" s="12"/>
      <c r="GG56" s="12"/>
      <c r="GH56" s="12"/>
      <c r="GI56" s="12"/>
      <c r="GJ56" s="12"/>
      <c r="GK56" s="12"/>
      <c r="GL56" s="12"/>
      <c r="GM56" s="12"/>
      <c r="GN56" s="12"/>
      <c r="GO56" s="12"/>
      <c r="GP56" s="12"/>
      <c r="GQ56" s="12"/>
      <c r="GR56" s="12"/>
      <c r="GS56" s="12"/>
      <c r="GT56" s="12"/>
      <c r="GU56" s="12"/>
      <c r="GV56" s="12"/>
      <c r="GW56" s="12"/>
      <c r="GX56" s="12"/>
      <c r="GY56" s="12"/>
      <c r="GZ56" s="12"/>
      <c r="HA56" s="12"/>
      <c r="HB56" s="12"/>
      <c r="HC56" s="12"/>
      <c r="HD56" s="12"/>
      <c r="HE56" s="12"/>
      <c r="HF56" s="12"/>
      <c r="HG56" s="12"/>
      <c r="HH56" s="12"/>
      <c r="HI56" s="12"/>
      <c r="HJ56" s="12"/>
      <c r="HK56" s="12"/>
      <c r="HL56" s="12"/>
      <c r="HM56" s="12"/>
      <c r="HN56" s="12"/>
      <c r="HO56" s="12"/>
      <c r="HP56" s="12"/>
      <c r="HQ56" s="12"/>
      <c r="HR56" s="12"/>
      <c r="HS56" s="12"/>
      <c r="HT56" s="12"/>
      <c r="HU56" s="12"/>
      <c r="HV56" s="12"/>
      <c r="HW56" s="12"/>
      <c r="HX56" s="12"/>
      <c r="HY56" s="12"/>
      <c r="HZ56" s="12"/>
      <c r="IA56" s="12"/>
      <c r="IB56" s="12"/>
      <c r="IC56" s="12"/>
      <c r="ID56" s="12"/>
      <c r="IE56" s="12"/>
      <c r="IF56" s="12"/>
      <c r="IG56" s="12"/>
      <c r="IH56" s="12"/>
      <c r="II56" s="12"/>
      <c r="IJ56" s="12"/>
      <c r="IK56" s="12"/>
      <c r="IL56" s="12"/>
      <c r="IM56" s="12"/>
      <c r="IN56" s="12"/>
      <c r="IO56" s="12"/>
      <c r="IP56" s="12"/>
      <c r="IQ56" s="12"/>
      <c r="IR56" s="12"/>
      <c r="IS56" s="12"/>
      <c r="IT56" s="12"/>
      <c r="IU56" s="12"/>
      <c r="IV56" s="12"/>
      <c r="IW56" s="12"/>
      <c r="IX56" s="12"/>
      <c r="IY56" s="12"/>
      <c r="IZ56" s="12"/>
      <c r="JA56" s="12"/>
      <c r="JB56" s="12"/>
      <c r="JC56" s="12"/>
      <c r="JD56" s="12"/>
      <c r="JE56" s="12"/>
      <c r="JF56" s="12"/>
      <c r="JG56" s="12"/>
      <c r="JH56" s="12"/>
      <c r="JI56" s="12"/>
      <c r="JJ56" s="12"/>
      <c r="JK56" s="12"/>
      <c r="JL56" s="12"/>
      <c r="JM56" s="12"/>
      <c r="JN56" s="12"/>
      <c r="JO56" s="12"/>
      <c r="JP56" s="12"/>
      <c r="JQ56" s="12"/>
      <c r="JR56" s="12"/>
      <c r="JS56" s="12"/>
      <c r="JT56" s="12"/>
      <c r="JU56" s="12"/>
      <c r="JV56" s="12"/>
    </row>
    <row r="57" spans="1:282" s="16" customFormat="1" ht="50.1" customHeight="1" x14ac:dyDescent="0.2">
      <c r="A57" s="700"/>
      <c r="B57" s="29" t="s">
        <v>2365</v>
      </c>
      <c r="C57" s="29"/>
      <c r="D57" s="29"/>
      <c r="E57" s="29" t="s">
        <v>829</v>
      </c>
      <c r="F57" s="104" t="s">
        <v>830</v>
      </c>
      <c r="G57" s="29" t="s">
        <v>830</v>
      </c>
      <c r="H57" s="29"/>
      <c r="I57" s="29"/>
      <c r="J57" s="69" t="s">
        <v>34</v>
      </c>
      <c r="K57" s="30" t="s">
        <v>1394</v>
      </c>
      <c r="L57" s="29" t="s">
        <v>18</v>
      </c>
      <c r="M57" s="29" t="s">
        <v>1528</v>
      </c>
      <c r="N57" s="74">
        <v>39903</v>
      </c>
      <c r="O57" s="29" t="s">
        <v>831</v>
      </c>
      <c r="P57" s="29"/>
      <c r="Q57" s="29"/>
      <c r="R57" s="29"/>
      <c r="S57" s="29"/>
      <c r="T57" s="155">
        <v>14</v>
      </c>
      <c r="U57" s="155"/>
      <c r="V57" s="155"/>
      <c r="W57" s="155"/>
      <c r="X57" s="155"/>
      <c r="Y57" s="155"/>
      <c r="Z57" s="155"/>
      <c r="AA57" s="155"/>
      <c r="AB57" s="155"/>
      <c r="AC57" s="155"/>
      <c r="AD57" s="155"/>
      <c r="AE57" s="155"/>
      <c r="AF57" s="155"/>
      <c r="AG57" s="155"/>
      <c r="AH57" s="155"/>
      <c r="AI57" s="155"/>
      <c r="AJ57" s="74">
        <v>40322</v>
      </c>
      <c r="AK57" s="720">
        <f t="shared" si="1"/>
        <v>419</v>
      </c>
      <c r="AL57" s="155"/>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2"/>
      <c r="FC57" s="12"/>
      <c r="FD57" s="12"/>
      <c r="FE57" s="12"/>
      <c r="FF57" s="12"/>
      <c r="FG57" s="12"/>
      <c r="FH57" s="12"/>
      <c r="FI57" s="12"/>
      <c r="FJ57" s="12"/>
      <c r="FK57" s="12"/>
      <c r="FL57" s="12"/>
      <c r="FM57" s="12"/>
      <c r="FN57" s="12"/>
      <c r="FO57" s="12"/>
      <c r="FP57" s="12"/>
      <c r="FQ57" s="12"/>
      <c r="FR57" s="12"/>
      <c r="FS57" s="12"/>
      <c r="FT57" s="12"/>
      <c r="FU57" s="12"/>
      <c r="FV57" s="12"/>
      <c r="FW57" s="12"/>
      <c r="FX57" s="12"/>
      <c r="FY57" s="12"/>
      <c r="FZ57" s="12"/>
      <c r="GA57" s="12"/>
      <c r="GB57" s="12"/>
      <c r="GC57" s="12"/>
      <c r="GD57" s="12"/>
      <c r="GE57" s="12"/>
      <c r="GF57" s="12"/>
      <c r="GG57" s="12"/>
      <c r="GH57" s="12"/>
      <c r="GI57" s="12"/>
      <c r="GJ57" s="12"/>
      <c r="GK57" s="12"/>
      <c r="GL57" s="12"/>
      <c r="GM57" s="12"/>
      <c r="GN57" s="12"/>
      <c r="GO57" s="12"/>
      <c r="GP57" s="12"/>
      <c r="GQ57" s="12"/>
      <c r="GR57" s="12"/>
      <c r="GS57" s="12"/>
      <c r="GT57" s="12"/>
      <c r="GU57" s="12"/>
      <c r="GV57" s="12"/>
      <c r="GW57" s="12"/>
      <c r="GX57" s="12"/>
      <c r="GY57" s="12"/>
      <c r="GZ57" s="12"/>
      <c r="HA57" s="12"/>
      <c r="HB57" s="12"/>
      <c r="HC57" s="12"/>
      <c r="HD57" s="12"/>
      <c r="HE57" s="12"/>
      <c r="HF57" s="12"/>
      <c r="HG57" s="12"/>
      <c r="HH57" s="12"/>
      <c r="HI57" s="12"/>
      <c r="HJ57" s="12"/>
      <c r="HK57" s="12"/>
      <c r="HL57" s="12"/>
      <c r="HM57" s="12"/>
      <c r="HN57" s="12"/>
      <c r="HO57" s="12"/>
      <c r="HP57" s="12"/>
      <c r="HQ57" s="12"/>
      <c r="HR57" s="12"/>
      <c r="HS57" s="12"/>
      <c r="HT57" s="12"/>
      <c r="HU57" s="12"/>
      <c r="HV57" s="12"/>
      <c r="HW57" s="12"/>
      <c r="HX57" s="12"/>
      <c r="HY57" s="12"/>
      <c r="HZ57" s="12"/>
      <c r="IA57" s="12"/>
      <c r="IB57" s="12"/>
      <c r="IC57" s="12"/>
      <c r="ID57" s="12"/>
      <c r="IE57" s="12"/>
      <c r="IF57" s="12"/>
      <c r="IG57" s="12"/>
      <c r="IH57" s="12"/>
      <c r="II57" s="12"/>
      <c r="IJ57" s="12"/>
      <c r="IK57" s="12"/>
      <c r="IL57" s="12"/>
      <c r="IM57" s="12"/>
      <c r="IN57" s="12"/>
      <c r="IO57" s="12"/>
      <c r="IP57" s="12"/>
      <c r="IQ57" s="12"/>
      <c r="IR57" s="12"/>
      <c r="IS57" s="12"/>
      <c r="IT57" s="12"/>
      <c r="IU57" s="12"/>
      <c r="IV57" s="12"/>
      <c r="IW57" s="12"/>
      <c r="IX57" s="12"/>
      <c r="IY57" s="12"/>
      <c r="IZ57" s="12"/>
      <c r="JA57" s="12"/>
      <c r="JB57" s="12"/>
      <c r="JC57" s="12"/>
      <c r="JD57" s="12"/>
      <c r="JE57" s="12"/>
      <c r="JF57" s="12"/>
      <c r="JG57" s="12"/>
      <c r="JH57" s="12"/>
      <c r="JI57" s="12"/>
      <c r="JJ57" s="12"/>
      <c r="JK57" s="12"/>
      <c r="JL57" s="12"/>
      <c r="JM57" s="12"/>
      <c r="JN57" s="12"/>
      <c r="JO57" s="12"/>
      <c r="JP57" s="12"/>
      <c r="JQ57" s="12"/>
      <c r="JR57" s="12"/>
      <c r="JS57" s="12"/>
      <c r="JT57" s="12"/>
      <c r="JU57" s="12"/>
      <c r="JV57" s="12"/>
    </row>
    <row r="58" spans="1:282" s="7" customFormat="1" ht="50.1" customHeight="1" x14ac:dyDescent="0.2">
      <c r="A58" s="698"/>
      <c r="B58" s="29" t="s">
        <v>2365</v>
      </c>
      <c r="C58" s="29"/>
      <c r="D58" s="29"/>
      <c r="E58" s="74" t="s">
        <v>832</v>
      </c>
      <c r="F58" s="104" t="s">
        <v>833</v>
      </c>
      <c r="G58" s="29" t="s">
        <v>833</v>
      </c>
      <c r="H58" s="29"/>
      <c r="I58" s="29"/>
      <c r="J58" s="69" t="s">
        <v>834</v>
      </c>
      <c r="K58" s="30" t="s">
        <v>1394</v>
      </c>
      <c r="L58" s="29" t="s">
        <v>685</v>
      </c>
      <c r="M58" s="29" t="s">
        <v>2444</v>
      </c>
      <c r="N58" s="74">
        <v>39630</v>
      </c>
      <c r="O58" s="74" t="s">
        <v>835</v>
      </c>
      <c r="P58" s="74"/>
      <c r="Q58" s="74"/>
      <c r="R58" s="74"/>
      <c r="S58" s="74"/>
      <c r="T58" s="190" t="s">
        <v>717</v>
      </c>
      <c r="U58" s="190"/>
      <c r="V58" s="190"/>
      <c r="W58" s="190"/>
      <c r="X58" s="190"/>
      <c r="Y58" s="190"/>
      <c r="Z58" s="190"/>
      <c r="AA58" s="190"/>
      <c r="AB58" s="190"/>
      <c r="AC58" s="190"/>
      <c r="AD58" s="190"/>
      <c r="AE58" s="190"/>
      <c r="AF58" s="190"/>
      <c r="AG58" s="190"/>
      <c r="AH58" s="190"/>
      <c r="AI58" s="190"/>
      <c r="AJ58" s="74">
        <v>40343</v>
      </c>
      <c r="AK58" s="720">
        <f t="shared" si="1"/>
        <v>713</v>
      </c>
      <c r="AL58" s="190"/>
    </row>
    <row r="59" spans="1:282" s="16" customFormat="1" ht="50.1" customHeight="1" x14ac:dyDescent="0.2">
      <c r="A59" s="700"/>
      <c r="B59" s="29" t="s">
        <v>2365</v>
      </c>
      <c r="C59" s="29"/>
      <c r="D59" s="29"/>
      <c r="E59" s="74" t="s">
        <v>836</v>
      </c>
      <c r="F59" s="104" t="s">
        <v>837</v>
      </c>
      <c r="G59" s="29" t="s">
        <v>838</v>
      </c>
      <c r="H59" s="29"/>
      <c r="I59" s="29"/>
      <c r="J59" s="69" t="s">
        <v>839</v>
      </c>
      <c r="K59" s="29" t="s">
        <v>1393</v>
      </c>
      <c r="L59" s="29" t="s">
        <v>641</v>
      </c>
      <c r="M59" s="29" t="s">
        <v>2445</v>
      </c>
      <c r="N59" s="74">
        <v>39805</v>
      </c>
      <c r="O59" s="74" t="s">
        <v>942</v>
      </c>
      <c r="P59" s="74"/>
      <c r="Q59" s="74"/>
      <c r="R59" s="74"/>
      <c r="S59" s="74"/>
      <c r="T59" s="155">
        <v>15</v>
      </c>
      <c r="U59" s="155"/>
      <c r="V59" s="155"/>
      <c r="W59" s="155"/>
      <c r="X59" s="155"/>
      <c r="Y59" s="155"/>
      <c r="Z59" s="155"/>
      <c r="AA59" s="155"/>
      <c r="AB59" s="155"/>
      <c r="AC59" s="155"/>
      <c r="AD59" s="155"/>
      <c r="AE59" s="155"/>
      <c r="AF59" s="155"/>
      <c r="AG59" s="155"/>
      <c r="AH59" s="155"/>
      <c r="AI59" s="155"/>
      <c r="AJ59" s="74">
        <v>40420</v>
      </c>
      <c r="AK59" s="720">
        <f t="shared" si="1"/>
        <v>615</v>
      </c>
      <c r="AL59" s="155"/>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2"/>
      <c r="FC59" s="12"/>
      <c r="FD59" s="12"/>
      <c r="FE59" s="12"/>
      <c r="FF59" s="12"/>
      <c r="FG59" s="12"/>
      <c r="FH59" s="12"/>
      <c r="FI59" s="12"/>
      <c r="FJ59" s="12"/>
      <c r="FK59" s="12"/>
      <c r="FL59" s="12"/>
      <c r="FM59" s="12"/>
      <c r="FN59" s="12"/>
      <c r="FO59" s="12"/>
      <c r="FP59" s="12"/>
      <c r="FQ59" s="12"/>
      <c r="FR59" s="12"/>
      <c r="FS59" s="12"/>
      <c r="FT59" s="12"/>
      <c r="FU59" s="12"/>
      <c r="FV59" s="12"/>
      <c r="FW59" s="12"/>
      <c r="FX59" s="12"/>
      <c r="FY59" s="12"/>
      <c r="FZ59" s="12"/>
      <c r="GA59" s="12"/>
      <c r="GB59" s="12"/>
      <c r="GC59" s="12"/>
      <c r="GD59" s="12"/>
      <c r="GE59" s="12"/>
      <c r="GF59" s="12"/>
      <c r="GG59" s="12"/>
      <c r="GH59" s="12"/>
      <c r="GI59" s="12"/>
      <c r="GJ59" s="12"/>
      <c r="GK59" s="12"/>
      <c r="GL59" s="12"/>
      <c r="GM59" s="12"/>
      <c r="GN59" s="12"/>
      <c r="GO59" s="12"/>
      <c r="GP59" s="12"/>
      <c r="GQ59" s="12"/>
      <c r="GR59" s="12"/>
      <c r="GS59" s="12"/>
      <c r="GT59" s="12"/>
      <c r="GU59" s="12"/>
      <c r="GV59" s="12"/>
      <c r="GW59" s="12"/>
      <c r="GX59" s="12"/>
      <c r="GY59" s="12"/>
      <c r="GZ59" s="12"/>
      <c r="HA59" s="12"/>
      <c r="HB59" s="12"/>
      <c r="HC59" s="12"/>
      <c r="HD59" s="12"/>
      <c r="HE59" s="12"/>
      <c r="HF59" s="12"/>
      <c r="HG59" s="12"/>
      <c r="HH59" s="12"/>
      <c r="HI59" s="12"/>
      <c r="HJ59" s="12"/>
      <c r="HK59" s="12"/>
      <c r="HL59" s="12"/>
      <c r="HM59" s="12"/>
      <c r="HN59" s="12"/>
      <c r="HO59" s="12"/>
      <c r="HP59" s="12"/>
      <c r="HQ59" s="12"/>
      <c r="HR59" s="12"/>
      <c r="HS59" s="12"/>
      <c r="HT59" s="12"/>
      <c r="HU59" s="12"/>
      <c r="HV59" s="12"/>
      <c r="HW59" s="12"/>
      <c r="HX59" s="12"/>
      <c r="HY59" s="12"/>
      <c r="HZ59" s="12"/>
      <c r="IA59" s="12"/>
      <c r="IB59" s="12"/>
      <c r="IC59" s="12"/>
      <c r="ID59" s="12"/>
      <c r="IE59" s="12"/>
      <c r="IF59" s="12"/>
      <c r="IG59" s="12"/>
      <c r="IH59" s="12"/>
      <c r="II59" s="12"/>
      <c r="IJ59" s="12"/>
      <c r="IK59" s="12"/>
      <c r="IL59" s="12"/>
      <c r="IM59" s="12"/>
      <c r="IN59" s="12"/>
      <c r="IO59" s="12"/>
      <c r="IP59" s="12"/>
      <c r="IQ59" s="12"/>
      <c r="IR59" s="12"/>
      <c r="IS59" s="12"/>
      <c r="IT59" s="12"/>
      <c r="IU59" s="12"/>
      <c r="IV59" s="12"/>
      <c r="IW59" s="12"/>
      <c r="IX59" s="12"/>
      <c r="IY59" s="12"/>
      <c r="IZ59" s="12"/>
      <c r="JA59" s="12"/>
      <c r="JB59" s="12"/>
      <c r="JC59" s="12"/>
      <c r="JD59" s="12"/>
      <c r="JE59" s="12"/>
      <c r="JF59" s="12"/>
      <c r="JG59" s="12"/>
      <c r="JH59" s="12"/>
      <c r="JI59" s="12"/>
      <c r="JJ59" s="12"/>
      <c r="JK59" s="12"/>
      <c r="JL59" s="12"/>
      <c r="JM59" s="12"/>
      <c r="JN59" s="12"/>
      <c r="JO59" s="12"/>
      <c r="JP59" s="12"/>
      <c r="JQ59" s="12"/>
      <c r="JR59" s="12"/>
      <c r="JS59" s="12"/>
      <c r="JT59" s="12"/>
      <c r="JU59" s="12"/>
      <c r="JV59" s="12"/>
    </row>
    <row r="60" spans="1:282" s="16" customFormat="1" ht="50.1" customHeight="1" x14ac:dyDescent="0.2">
      <c r="A60" s="700"/>
      <c r="B60" s="29" t="s">
        <v>1174</v>
      </c>
      <c r="C60" s="29"/>
      <c r="D60" s="29"/>
      <c r="E60" s="29" t="s">
        <v>840</v>
      </c>
      <c r="F60" s="104" t="s">
        <v>841</v>
      </c>
      <c r="G60" s="29" t="s">
        <v>841</v>
      </c>
      <c r="H60" s="29" t="s">
        <v>842</v>
      </c>
      <c r="I60" s="29"/>
      <c r="J60" s="29" t="s">
        <v>2407</v>
      </c>
      <c r="K60" s="30" t="s">
        <v>1394</v>
      </c>
      <c r="L60" s="29" t="s">
        <v>843</v>
      </c>
      <c r="M60" s="29" t="s">
        <v>1528</v>
      </c>
      <c r="N60" s="74">
        <v>39919</v>
      </c>
      <c r="O60" s="29" t="s">
        <v>844</v>
      </c>
      <c r="P60" s="29"/>
      <c r="Q60" s="29"/>
      <c r="R60" s="29"/>
      <c r="S60" s="29"/>
      <c r="T60" s="190" t="s">
        <v>749</v>
      </c>
      <c r="U60" s="190"/>
      <c r="V60" s="190"/>
      <c r="W60" s="190"/>
      <c r="X60" s="190"/>
      <c r="Y60" s="190"/>
      <c r="Z60" s="190"/>
      <c r="AA60" s="190"/>
      <c r="AB60" s="190"/>
      <c r="AC60" s="190"/>
      <c r="AD60" s="190"/>
      <c r="AE60" s="190"/>
      <c r="AF60" s="190"/>
      <c r="AG60" s="190"/>
      <c r="AH60" s="190"/>
      <c r="AI60" s="190"/>
      <c r="AJ60" s="74">
        <v>40456</v>
      </c>
      <c r="AK60" s="720">
        <f t="shared" si="1"/>
        <v>537</v>
      </c>
      <c r="AL60" s="190"/>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c r="FD60" s="12"/>
      <c r="FE60" s="12"/>
      <c r="FF60" s="12"/>
      <c r="FG60" s="12"/>
      <c r="FH60" s="12"/>
      <c r="FI60" s="12"/>
      <c r="FJ60" s="12"/>
      <c r="FK60" s="12"/>
      <c r="FL60" s="12"/>
      <c r="FM60" s="12"/>
      <c r="FN60" s="12"/>
      <c r="FO60" s="12"/>
      <c r="FP60" s="12"/>
      <c r="FQ60" s="12"/>
      <c r="FR60" s="12"/>
      <c r="FS60" s="12"/>
      <c r="FT60" s="12"/>
      <c r="FU60" s="12"/>
      <c r="FV60" s="12"/>
      <c r="FW60" s="12"/>
      <c r="FX60" s="12"/>
      <c r="FY60" s="12"/>
      <c r="FZ60" s="12"/>
      <c r="GA60" s="12"/>
      <c r="GB60" s="12"/>
      <c r="GC60" s="12"/>
      <c r="GD60" s="12"/>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c r="HK60" s="12"/>
      <c r="HL60" s="12"/>
      <c r="HM60" s="12"/>
      <c r="HN60" s="12"/>
      <c r="HO60" s="12"/>
      <c r="HP60" s="12"/>
      <c r="HQ60" s="12"/>
      <c r="HR60" s="12"/>
      <c r="HS60" s="12"/>
      <c r="HT60" s="12"/>
      <c r="HU60" s="12"/>
      <c r="HV60" s="12"/>
      <c r="HW60" s="12"/>
      <c r="HX60" s="12"/>
      <c r="HY60" s="12"/>
      <c r="HZ60" s="12"/>
      <c r="IA60" s="12"/>
      <c r="IB60" s="12"/>
      <c r="IC60" s="12"/>
      <c r="ID60" s="12"/>
      <c r="IE60" s="12"/>
      <c r="IF60" s="12"/>
      <c r="IG60" s="12"/>
      <c r="IH60" s="12"/>
      <c r="II60" s="12"/>
      <c r="IJ60" s="12"/>
      <c r="IK60" s="12"/>
      <c r="IL60" s="12"/>
      <c r="IM60" s="12"/>
      <c r="IN60" s="12"/>
      <c r="IO60" s="12"/>
      <c r="IP60" s="12"/>
      <c r="IQ60" s="12"/>
      <c r="IR60" s="12"/>
      <c r="IS60" s="12"/>
      <c r="IT60" s="12"/>
      <c r="IU60" s="12"/>
      <c r="IV60" s="12"/>
      <c r="IW60" s="12"/>
      <c r="IX60" s="12"/>
      <c r="IY60" s="12"/>
      <c r="IZ60" s="12"/>
      <c r="JA60" s="12"/>
      <c r="JB60" s="12"/>
      <c r="JC60" s="12"/>
      <c r="JD60" s="12"/>
      <c r="JE60" s="12"/>
      <c r="JF60" s="12"/>
      <c r="JG60" s="12"/>
      <c r="JH60" s="12"/>
      <c r="JI60" s="12"/>
      <c r="JJ60" s="12"/>
      <c r="JK60" s="12"/>
      <c r="JL60" s="12"/>
      <c r="JM60" s="12"/>
      <c r="JN60" s="12"/>
      <c r="JO60" s="12"/>
      <c r="JP60" s="12"/>
      <c r="JQ60" s="12"/>
      <c r="JR60" s="12"/>
      <c r="JS60" s="12"/>
      <c r="JT60" s="12"/>
      <c r="JU60" s="12"/>
      <c r="JV60" s="12"/>
    </row>
    <row r="61" spans="1:282" s="16" customFormat="1" ht="50.1" customHeight="1" x14ac:dyDescent="0.2">
      <c r="A61" s="700"/>
      <c r="B61" s="29" t="s">
        <v>1174</v>
      </c>
      <c r="C61" s="29"/>
      <c r="D61" s="29"/>
      <c r="E61" s="29" t="s">
        <v>859</v>
      </c>
      <c r="F61" s="104" t="s">
        <v>860</v>
      </c>
      <c r="G61" s="29" t="s">
        <v>861</v>
      </c>
      <c r="H61" s="29" t="s">
        <v>862</v>
      </c>
      <c r="I61" s="29"/>
      <c r="J61" s="69" t="s">
        <v>50</v>
      </c>
      <c r="K61" s="29" t="s">
        <v>1393</v>
      </c>
      <c r="L61" s="30" t="s">
        <v>1923</v>
      </c>
      <c r="M61" s="29" t="s">
        <v>2445</v>
      </c>
      <c r="N61" s="74">
        <v>39262</v>
      </c>
      <c r="O61" s="69" t="s">
        <v>863</v>
      </c>
      <c r="P61" s="69"/>
      <c r="Q61" s="69"/>
      <c r="R61" s="69"/>
      <c r="S61" s="69"/>
      <c r="T61" s="156"/>
      <c r="U61" s="156"/>
      <c r="V61" s="156"/>
      <c r="W61" s="156"/>
      <c r="X61" s="156"/>
      <c r="Y61" s="156"/>
      <c r="Z61" s="156"/>
      <c r="AA61" s="156"/>
      <c r="AB61" s="156"/>
      <c r="AC61" s="156"/>
      <c r="AD61" s="156"/>
      <c r="AE61" s="156"/>
      <c r="AF61" s="156"/>
      <c r="AG61" s="156"/>
      <c r="AH61" s="156"/>
      <c r="AI61" s="156"/>
      <c r="AJ61" s="74">
        <v>40476</v>
      </c>
      <c r="AK61" s="720">
        <f t="shared" si="1"/>
        <v>1214</v>
      </c>
      <c r="AL61" s="59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c r="EQ61" s="12"/>
      <c r="ER61" s="12"/>
      <c r="ES61" s="12"/>
      <c r="ET61" s="12"/>
      <c r="EU61" s="12"/>
      <c r="EV61" s="12"/>
      <c r="EW61" s="12"/>
      <c r="EX61" s="12"/>
      <c r="EY61" s="12"/>
      <c r="EZ61" s="12"/>
      <c r="FA61" s="12"/>
      <c r="FB61" s="12"/>
      <c r="FC61" s="12"/>
      <c r="FD61" s="12"/>
      <c r="FE61" s="12"/>
      <c r="FF61" s="12"/>
      <c r="FG61" s="12"/>
      <c r="FH61" s="12"/>
      <c r="FI61" s="12"/>
      <c r="FJ61" s="12"/>
      <c r="FK61" s="12"/>
      <c r="FL61" s="12"/>
      <c r="FM61" s="12"/>
      <c r="FN61" s="12"/>
      <c r="FO61" s="12"/>
      <c r="FP61" s="12"/>
      <c r="FQ61" s="12"/>
      <c r="FR61" s="12"/>
      <c r="FS61" s="12"/>
      <c r="FT61" s="12"/>
      <c r="FU61" s="12"/>
      <c r="FV61" s="12"/>
      <c r="FW61" s="12"/>
      <c r="FX61" s="12"/>
      <c r="FY61" s="12"/>
      <c r="FZ61" s="12"/>
      <c r="GA61" s="12"/>
      <c r="GB61" s="12"/>
      <c r="GC61" s="12"/>
      <c r="GD61" s="12"/>
      <c r="GE61" s="12"/>
      <c r="GF61" s="12"/>
      <c r="GG61" s="12"/>
      <c r="GH61" s="12"/>
      <c r="GI61" s="12"/>
      <c r="GJ61" s="12"/>
      <c r="GK61" s="12"/>
      <c r="GL61" s="12"/>
      <c r="GM61" s="12"/>
      <c r="GN61" s="12"/>
      <c r="GO61" s="12"/>
      <c r="GP61" s="12"/>
      <c r="GQ61" s="12"/>
      <c r="GR61" s="12"/>
      <c r="GS61" s="12"/>
      <c r="GT61" s="12"/>
      <c r="GU61" s="12"/>
      <c r="GV61" s="12"/>
      <c r="GW61" s="12"/>
      <c r="GX61" s="12"/>
      <c r="GY61" s="12"/>
      <c r="GZ61" s="12"/>
      <c r="HA61" s="12"/>
      <c r="HB61" s="12"/>
      <c r="HC61" s="12"/>
      <c r="HD61" s="12"/>
      <c r="HE61" s="12"/>
      <c r="HF61" s="12"/>
      <c r="HG61" s="12"/>
      <c r="HH61" s="12"/>
      <c r="HI61" s="12"/>
      <c r="HJ61" s="12"/>
      <c r="HK61" s="12"/>
      <c r="HL61" s="12"/>
      <c r="HM61" s="12"/>
      <c r="HN61" s="12"/>
      <c r="HO61" s="12"/>
      <c r="HP61" s="12"/>
      <c r="HQ61" s="12"/>
      <c r="HR61" s="12"/>
      <c r="HS61" s="12"/>
      <c r="HT61" s="12"/>
      <c r="HU61" s="12"/>
      <c r="HV61" s="12"/>
      <c r="HW61" s="12"/>
      <c r="HX61" s="12"/>
      <c r="HY61" s="12"/>
      <c r="HZ61" s="12"/>
      <c r="IA61" s="12"/>
      <c r="IB61" s="12"/>
      <c r="IC61" s="12"/>
      <c r="ID61" s="12"/>
      <c r="IE61" s="12"/>
      <c r="IF61" s="12"/>
      <c r="IG61" s="12"/>
      <c r="IH61" s="12"/>
      <c r="II61" s="12"/>
      <c r="IJ61" s="12"/>
      <c r="IK61" s="12"/>
      <c r="IL61" s="12"/>
      <c r="IM61" s="12"/>
      <c r="IN61" s="12"/>
      <c r="IO61" s="12"/>
      <c r="IP61" s="12"/>
      <c r="IQ61" s="12"/>
      <c r="IR61" s="12"/>
      <c r="IS61" s="12"/>
      <c r="IT61" s="12"/>
      <c r="IU61" s="12"/>
      <c r="IV61" s="12"/>
      <c r="IW61" s="12"/>
      <c r="IX61" s="12"/>
      <c r="IY61" s="12"/>
      <c r="IZ61" s="12"/>
      <c r="JA61" s="12"/>
      <c r="JB61" s="12"/>
      <c r="JC61" s="12"/>
      <c r="JD61" s="12"/>
      <c r="JE61" s="12"/>
      <c r="JF61" s="12"/>
      <c r="JG61" s="12"/>
      <c r="JH61" s="12"/>
      <c r="JI61" s="12"/>
      <c r="JJ61" s="12"/>
      <c r="JK61" s="12"/>
      <c r="JL61" s="12"/>
      <c r="JM61" s="12"/>
      <c r="JN61" s="12"/>
      <c r="JO61" s="12"/>
      <c r="JP61" s="12"/>
      <c r="JQ61" s="12"/>
      <c r="JR61" s="12"/>
      <c r="JS61" s="12"/>
      <c r="JT61" s="12"/>
      <c r="JU61" s="12"/>
      <c r="JV61" s="12"/>
    </row>
    <row r="62" spans="1:282" s="16" customFormat="1" ht="50.1" customHeight="1" x14ac:dyDescent="0.2">
      <c r="A62" s="700"/>
      <c r="B62" s="29" t="s">
        <v>1174</v>
      </c>
      <c r="C62" s="29"/>
      <c r="D62" s="29"/>
      <c r="E62" s="29" t="s">
        <v>845</v>
      </c>
      <c r="F62" s="104" t="s">
        <v>2383</v>
      </c>
      <c r="G62" s="29" t="s">
        <v>846</v>
      </c>
      <c r="H62" s="29" t="s">
        <v>847</v>
      </c>
      <c r="I62" s="29"/>
      <c r="J62" s="69" t="s">
        <v>848</v>
      </c>
      <c r="K62" s="30" t="s">
        <v>1394</v>
      </c>
      <c r="L62" s="29" t="s">
        <v>685</v>
      </c>
      <c r="M62" s="29" t="s">
        <v>1528</v>
      </c>
      <c r="N62" s="74">
        <v>39766</v>
      </c>
      <c r="O62" s="74" t="s">
        <v>849</v>
      </c>
      <c r="P62" s="74"/>
      <c r="Q62" s="74"/>
      <c r="R62" s="74"/>
      <c r="S62" s="74"/>
      <c r="T62" s="156"/>
      <c r="U62" s="156"/>
      <c r="V62" s="156"/>
      <c r="W62" s="156"/>
      <c r="X62" s="156"/>
      <c r="Y62" s="156"/>
      <c r="Z62" s="156"/>
      <c r="AA62" s="156"/>
      <c r="AB62" s="156"/>
      <c r="AC62" s="156"/>
      <c r="AD62" s="156"/>
      <c r="AE62" s="156"/>
      <c r="AF62" s="156"/>
      <c r="AG62" s="156"/>
      <c r="AH62" s="156"/>
      <c r="AI62" s="156"/>
      <c r="AJ62" s="74">
        <v>40485</v>
      </c>
      <c r="AK62" s="720">
        <f t="shared" si="1"/>
        <v>719</v>
      </c>
      <c r="AL62" s="155"/>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row>
    <row r="63" spans="1:282" s="16" customFormat="1" ht="50.1" customHeight="1" x14ac:dyDescent="0.2">
      <c r="A63" s="700"/>
      <c r="B63" s="29" t="s">
        <v>1174</v>
      </c>
      <c r="C63" s="29"/>
      <c r="D63" s="29"/>
      <c r="E63" s="29" t="s">
        <v>850</v>
      </c>
      <c r="F63" s="104" t="s">
        <v>851</v>
      </c>
      <c r="G63" s="29" t="s">
        <v>841</v>
      </c>
      <c r="H63" s="29" t="s">
        <v>842</v>
      </c>
      <c r="I63" s="29"/>
      <c r="J63" s="29" t="s">
        <v>2408</v>
      </c>
      <c r="K63" s="29" t="s">
        <v>1393</v>
      </c>
      <c r="L63" s="29" t="s">
        <v>843</v>
      </c>
      <c r="M63" s="29" t="s">
        <v>1528</v>
      </c>
      <c r="N63" s="74">
        <v>39965</v>
      </c>
      <c r="O63" s="29" t="s">
        <v>852</v>
      </c>
      <c r="P63" s="29"/>
      <c r="Q63" s="29"/>
      <c r="R63" s="29"/>
      <c r="S63" s="29"/>
      <c r="T63" s="155">
        <v>14</v>
      </c>
      <c r="U63" s="155"/>
      <c r="V63" s="155"/>
      <c r="W63" s="155"/>
      <c r="X63" s="155"/>
      <c r="Y63" s="155"/>
      <c r="Z63" s="155"/>
      <c r="AA63" s="155"/>
      <c r="AB63" s="155"/>
      <c r="AC63" s="155"/>
      <c r="AD63" s="155"/>
      <c r="AE63" s="155"/>
      <c r="AF63" s="155"/>
      <c r="AG63" s="155"/>
      <c r="AH63" s="155"/>
      <c r="AI63" s="155"/>
      <c r="AJ63" s="74">
        <v>40485</v>
      </c>
      <c r="AK63" s="720">
        <f t="shared" si="1"/>
        <v>520</v>
      </c>
      <c r="AL63" s="155"/>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c r="JF63" s="12"/>
      <c r="JG63" s="12"/>
      <c r="JH63" s="12"/>
      <c r="JI63" s="12"/>
      <c r="JJ63" s="12"/>
      <c r="JK63" s="12"/>
      <c r="JL63" s="12"/>
      <c r="JM63" s="12"/>
      <c r="JN63" s="12"/>
      <c r="JO63" s="12"/>
      <c r="JP63" s="12"/>
      <c r="JQ63" s="12"/>
      <c r="JR63" s="12"/>
      <c r="JS63" s="12"/>
      <c r="JT63" s="12"/>
      <c r="JU63" s="12"/>
      <c r="JV63" s="12"/>
    </row>
    <row r="64" spans="1:282" s="16" customFormat="1" ht="50.1" customHeight="1" x14ac:dyDescent="0.2">
      <c r="A64" s="700"/>
      <c r="B64" s="29" t="s">
        <v>1174</v>
      </c>
      <c r="C64" s="29"/>
      <c r="D64" s="29"/>
      <c r="E64" s="29" t="s">
        <v>853</v>
      </c>
      <c r="F64" s="104" t="s">
        <v>854</v>
      </c>
      <c r="G64" s="29" t="s">
        <v>855</v>
      </c>
      <c r="H64" s="29" t="s">
        <v>856</v>
      </c>
      <c r="I64" s="29"/>
      <c r="J64" s="29" t="s">
        <v>857</v>
      </c>
      <c r="K64" s="29" t="s">
        <v>1393</v>
      </c>
      <c r="L64" s="29" t="s">
        <v>2409</v>
      </c>
      <c r="M64" s="29" t="s">
        <v>1528</v>
      </c>
      <c r="N64" s="74">
        <v>39997</v>
      </c>
      <c r="O64" s="29" t="s">
        <v>858</v>
      </c>
      <c r="P64" s="29"/>
      <c r="Q64" s="29"/>
      <c r="R64" s="29"/>
      <c r="S64" s="29"/>
      <c r="T64" s="155">
        <v>21</v>
      </c>
      <c r="U64" s="155"/>
      <c r="V64" s="155"/>
      <c r="W64" s="155"/>
      <c r="X64" s="155"/>
      <c r="Y64" s="155"/>
      <c r="Z64" s="155"/>
      <c r="AA64" s="155"/>
      <c r="AB64" s="155"/>
      <c r="AC64" s="155"/>
      <c r="AD64" s="155"/>
      <c r="AE64" s="155"/>
      <c r="AF64" s="155"/>
      <c r="AG64" s="155"/>
      <c r="AH64" s="155"/>
      <c r="AI64" s="155"/>
      <c r="AJ64" s="74">
        <v>40485</v>
      </c>
      <c r="AK64" s="720">
        <f t="shared" si="1"/>
        <v>488</v>
      </c>
      <c r="AL64" s="155"/>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c r="FD64" s="12"/>
      <c r="FE64" s="12"/>
      <c r="FF64" s="12"/>
      <c r="FG64" s="12"/>
      <c r="FH64" s="12"/>
      <c r="FI64" s="12"/>
      <c r="FJ64" s="12"/>
      <c r="FK64" s="12"/>
      <c r="FL64" s="12"/>
      <c r="FM64" s="12"/>
      <c r="FN64" s="12"/>
      <c r="FO64" s="12"/>
      <c r="FP64" s="12"/>
      <c r="FQ64" s="12"/>
      <c r="FR64" s="12"/>
      <c r="FS64" s="12"/>
      <c r="FT64" s="12"/>
      <c r="FU64" s="12"/>
      <c r="FV64" s="12"/>
      <c r="FW64" s="12"/>
      <c r="FX64" s="12"/>
      <c r="FY64" s="12"/>
      <c r="FZ64" s="12"/>
      <c r="GA64" s="12"/>
      <c r="GB64" s="12"/>
      <c r="GC64" s="12"/>
      <c r="GD64" s="12"/>
      <c r="GE64" s="12"/>
      <c r="GF64" s="12"/>
      <c r="GG64" s="12"/>
      <c r="GH64" s="12"/>
      <c r="GI64" s="12"/>
      <c r="GJ64" s="12"/>
      <c r="GK64" s="12"/>
      <c r="GL64" s="12"/>
      <c r="GM64" s="12"/>
      <c r="GN64" s="12"/>
      <c r="GO64" s="12"/>
      <c r="GP64" s="12"/>
      <c r="GQ64" s="12"/>
      <c r="GR64" s="12"/>
      <c r="GS64" s="12"/>
      <c r="GT64" s="12"/>
      <c r="GU64" s="12"/>
      <c r="GV64" s="12"/>
      <c r="GW64" s="12"/>
      <c r="GX64" s="12"/>
      <c r="GY64" s="12"/>
      <c r="GZ64" s="12"/>
      <c r="HA64" s="12"/>
      <c r="HB64" s="12"/>
      <c r="HC64" s="12"/>
      <c r="HD64" s="12"/>
      <c r="HE64" s="12"/>
      <c r="HF64" s="12"/>
      <c r="HG64" s="12"/>
      <c r="HH64" s="12"/>
      <c r="HI64" s="12"/>
      <c r="HJ64" s="12"/>
      <c r="HK64" s="12"/>
      <c r="HL64" s="12"/>
      <c r="HM64" s="12"/>
      <c r="HN64" s="12"/>
      <c r="HO64" s="12"/>
      <c r="HP64" s="12"/>
      <c r="HQ64" s="12"/>
      <c r="HR64" s="12"/>
      <c r="HS64" s="12"/>
      <c r="HT64" s="12"/>
      <c r="HU64" s="12"/>
      <c r="HV64" s="12"/>
      <c r="HW64" s="12"/>
      <c r="HX64" s="12"/>
      <c r="HY64" s="12"/>
      <c r="HZ64" s="12"/>
      <c r="IA64" s="12"/>
      <c r="IB64" s="12"/>
      <c r="IC64" s="12"/>
      <c r="ID64" s="12"/>
      <c r="IE64" s="12"/>
      <c r="IF64" s="12"/>
      <c r="IG64" s="12"/>
      <c r="IH64" s="12"/>
      <c r="II64" s="12"/>
      <c r="IJ64" s="12"/>
      <c r="IK64" s="12"/>
      <c r="IL64" s="12"/>
      <c r="IM64" s="12"/>
      <c r="IN64" s="12"/>
      <c r="IO64" s="12"/>
      <c r="IP64" s="12"/>
      <c r="IQ64" s="12"/>
      <c r="IR64" s="12"/>
      <c r="IS64" s="12"/>
      <c r="IT64" s="12"/>
      <c r="IU64" s="12"/>
      <c r="IV64" s="12"/>
      <c r="IW64" s="12"/>
      <c r="IX64" s="12"/>
      <c r="IY64" s="12"/>
      <c r="IZ64" s="12"/>
      <c r="JA64" s="12"/>
      <c r="JB64" s="12"/>
      <c r="JC64" s="12"/>
      <c r="JD64" s="12"/>
      <c r="JE64" s="12"/>
      <c r="JF64" s="12"/>
      <c r="JG64" s="12"/>
      <c r="JH64" s="12"/>
      <c r="JI64" s="12"/>
      <c r="JJ64" s="12"/>
      <c r="JK64" s="12"/>
      <c r="JL64" s="12"/>
      <c r="JM64" s="12"/>
      <c r="JN64" s="12"/>
      <c r="JO64" s="12"/>
      <c r="JP64" s="12"/>
      <c r="JQ64" s="12"/>
      <c r="JR64" s="12"/>
      <c r="JS64" s="12"/>
      <c r="JT64" s="12"/>
      <c r="JU64" s="12"/>
      <c r="JV64" s="12"/>
    </row>
    <row r="65" spans="1:282" s="16" customFormat="1" ht="50.1" customHeight="1" x14ac:dyDescent="0.2">
      <c r="A65" s="700"/>
      <c r="B65" s="29" t="s">
        <v>1174</v>
      </c>
      <c r="C65" s="29"/>
      <c r="D65" s="29"/>
      <c r="E65" s="29" t="s">
        <v>872</v>
      </c>
      <c r="F65" s="104" t="s">
        <v>873</v>
      </c>
      <c r="G65" s="29" t="s">
        <v>873</v>
      </c>
      <c r="H65" s="29" t="s">
        <v>874</v>
      </c>
      <c r="I65" s="29"/>
      <c r="J65" s="69" t="s">
        <v>876</v>
      </c>
      <c r="K65" s="30" t="s">
        <v>1394</v>
      </c>
      <c r="L65" s="29" t="s">
        <v>875</v>
      </c>
      <c r="M65" s="29" t="s">
        <v>1528</v>
      </c>
      <c r="N65" s="74">
        <v>39602</v>
      </c>
      <c r="O65" s="29" t="s">
        <v>877</v>
      </c>
      <c r="P65" s="29"/>
      <c r="Q65" s="29"/>
      <c r="R65" s="29"/>
      <c r="S65" s="29"/>
      <c r="T65" s="155"/>
      <c r="U65" s="155"/>
      <c r="V65" s="155"/>
      <c r="W65" s="155"/>
      <c r="X65" s="155"/>
      <c r="Y65" s="155"/>
      <c r="Z65" s="155"/>
      <c r="AA65" s="155"/>
      <c r="AB65" s="155"/>
      <c r="AC65" s="155"/>
      <c r="AD65" s="155"/>
      <c r="AE65" s="155"/>
      <c r="AF65" s="155"/>
      <c r="AG65" s="155"/>
      <c r="AH65" s="155"/>
      <c r="AI65" s="155"/>
      <c r="AJ65" s="74">
        <v>40498</v>
      </c>
      <c r="AK65" s="720">
        <f t="shared" si="1"/>
        <v>896</v>
      </c>
      <c r="AL65" s="155"/>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c r="EQ65" s="12"/>
      <c r="ER65" s="12"/>
      <c r="ES65" s="12"/>
      <c r="ET65" s="12"/>
      <c r="EU65" s="12"/>
      <c r="EV65" s="12"/>
      <c r="EW65" s="12"/>
      <c r="EX65" s="12"/>
      <c r="EY65" s="12"/>
      <c r="EZ65" s="12"/>
      <c r="FA65" s="12"/>
      <c r="FB65" s="12"/>
      <c r="FC65" s="12"/>
      <c r="FD65" s="12"/>
      <c r="FE65" s="12"/>
      <c r="FF65" s="12"/>
      <c r="FG65" s="12"/>
      <c r="FH65" s="12"/>
      <c r="FI65" s="12"/>
      <c r="FJ65" s="12"/>
      <c r="FK65" s="12"/>
      <c r="FL65" s="12"/>
      <c r="FM65" s="12"/>
      <c r="FN65" s="12"/>
      <c r="FO65" s="12"/>
      <c r="FP65" s="12"/>
      <c r="FQ65" s="12"/>
      <c r="FR65" s="12"/>
      <c r="FS65" s="12"/>
      <c r="FT65" s="12"/>
      <c r="FU65" s="12"/>
      <c r="FV65" s="12"/>
      <c r="FW65" s="12"/>
      <c r="FX65" s="12"/>
      <c r="FY65" s="12"/>
      <c r="FZ65" s="12"/>
      <c r="GA65" s="12"/>
      <c r="GB65" s="12"/>
      <c r="GC65" s="12"/>
      <c r="GD65" s="12"/>
      <c r="GE65" s="12"/>
      <c r="GF65" s="12"/>
      <c r="GG65" s="12"/>
      <c r="GH65" s="12"/>
      <c r="GI65" s="12"/>
      <c r="GJ65" s="12"/>
      <c r="GK65" s="12"/>
      <c r="GL65" s="12"/>
      <c r="GM65" s="12"/>
      <c r="GN65" s="12"/>
      <c r="GO65" s="12"/>
      <c r="GP65" s="12"/>
      <c r="GQ65" s="12"/>
      <c r="GR65" s="12"/>
      <c r="GS65" s="12"/>
      <c r="GT65" s="12"/>
      <c r="GU65" s="12"/>
      <c r="GV65" s="12"/>
      <c r="GW65" s="12"/>
      <c r="GX65" s="12"/>
      <c r="GY65" s="12"/>
      <c r="GZ65" s="12"/>
      <c r="HA65" s="12"/>
      <c r="HB65" s="12"/>
      <c r="HC65" s="12"/>
      <c r="HD65" s="12"/>
      <c r="HE65" s="12"/>
      <c r="HF65" s="12"/>
      <c r="HG65" s="12"/>
      <c r="HH65" s="12"/>
      <c r="HI65" s="12"/>
      <c r="HJ65" s="12"/>
      <c r="HK65" s="12"/>
      <c r="HL65" s="12"/>
      <c r="HM65" s="12"/>
      <c r="HN65" s="12"/>
      <c r="HO65" s="12"/>
      <c r="HP65" s="12"/>
      <c r="HQ65" s="12"/>
      <c r="HR65" s="12"/>
      <c r="HS65" s="12"/>
      <c r="HT65" s="12"/>
      <c r="HU65" s="12"/>
      <c r="HV65" s="12"/>
      <c r="HW65" s="12"/>
      <c r="HX65" s="12"/>
      <c r="HY65" s="12"/>
      <c r="HZ65" s="12"/>
      <c r="IA65" s="12"/>
      <c r="IB65" s="12"/>
      <c r="IC65" s="12"/>
      <c r="ID65" s="12"/>
      <c r="IE65" s="12"/>
      <c r="IF65" s="12"/>
      <c r="IG65" s="12"/>
      <c r="IH65" s="12"/>
      <c r="II65" s="12"/>
      <c r="IJ65" s="12"/>
      <c r="IK65" s="12"/>
      <c r="IL65" s="12"/>
      <c r="IM65" s="12"/>
      <c r="IN65" s="12"/>
      <c r="IO65" s="12"/>
      <c r="IP65" s="12"/>
      <c r="IQ65" s="12"/>
      <c r="IR65" s="12"/>
      <c r="IS65" s="12"/>
      <c r="IT65" s="12"/>
      <c r="IU65" s="12"/>
      <c r="IV65" s="12"/>
      <c r="IW65" s="12"/>
      <c r="IX65" s="12"/>
      <c r="IY65" s="12"/>
      <c r="IZ65" s="12"/>
      <c r="JA65" s="12"/>
      <c r="JB65" s="12"/>
      <c r="JC65" s="12"/>
      <c r="JD65" s="12"/>
      <c r="JE65" s="12"/>
      <c r="JF65" s="12"/>
      <c r="JG65" s="12"/>
      <c r="JH65" s="12"/>
      <c r="JI65" s="12"/>
      <c r="JJ65" s="12"/>
      <c r="JK65" s="12"/>
      <c r="JL65" s="12"/>
      <c r="JM65" s="12"/>
      <c r="JN65" s="12"/>
      <c r="JO65" s="12"/>
      <c r="JP65" s="12"/>
      <c r="JQ65" s="12"/>
      <c r="JR65" s="12"/>
      <c r="JS65" s="12"/>
      <c r="JT65" s="12"/>
      <c r="JU65" s="12"/>
      <c r="JV65" s="12"/>
    </row>
    <row r="66" spans="1:282" s="16" customFormat="1" ht="50.1" customHeight="1" x14ac:dyDescent="0.2">
      <c r="A66" s="700"/>
      <c r="B66" s="29" t="s">
        <v>1174</v>
      </c>
      <c r="C66" s="29"/>
      <c r="D66" s="29"/>
      <c r="E66" s="74" t="s">
        <v>864</v>
      </c>
      <c r="F66" s="104" t="s">
        <v>865</v>
      </c>
      <c r="G66" s="29" t="s">
        <v>865</v>
      </c>
      <c r="H66" s="29" t="s">
        <v>866</v>
      </c>
      <c r="I66" s="29"/>
      <c r="J66" s="29" t="s">
        <v>763</v>
      </c>
      <c r="K66" s="30" t="s">
        <v>1394</v>
      </c>
      <c r="L66" s="29" t="s">
        <v>1286</v>
      </c>
      <c r="M66" s="29" t="s">
        <v>1528</v>
      </c>
      <c r="N66" s="74">
        <v>39912</v>
      </c>
      <c r="O66" s="29" t="s">
        <v>867</v>
      </c>
      <c r="P66" s="29"/>
      <c r="Q66" s="29"/>
      <c r="R66" s="29"/>
      <c r="S66" s="29"/>
      <c r="T66" s="155"/>
      <c r="U66" s="155"/>
      <c r="V66" s="155"/>
      <c r="W66" s="155"/>
      <c r="X66" s="155"/>
      <c r="Y66" s="155"/>
      <c r="Z66" s="155"/>
      <c r="AA66" s="155"/>
      <c r="AB66" s="155"/>
      <c r="AC66" s="155"/>
      <c r="AD66" s="155"/>
      <c r="AE66" s="155"/>
      <c r="AF66" s="155"/>
      <c r="AG66" s="155"/>
      <c r="AH66" s="155"/>
      <c r="AI66" s="155"/>
      <c r="AJ66" s="74">
        <v>40498</v>
      </c>
      <c r="AK66" s="720">
        <f t="shared" ref="AK66:AK97" si="2">AJ66-N66</f>
        <v>586</v>
      </c>
      <c r="AL66" s="155"/>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c r="EQ66" s="12"/>
      <c r="ER66" s="12"/>
      <c r="ES66" s="12"/>
      <c r="ET66" s="12"/>
      <c r="EU66" s="12"/>
      <c r="EV66" s="12"/>
      <c r="EW66" s="12"/>
      <c r="EX66" s="12"/>
      <c r="EY66" s="12"/>
      <c r="EZ66" s="12"/>
      <c r="FA66" s="12"/>
      <c r="FB66" s="12"/>
      <c r="FC66" s="12"/>
      <c r="FD66" s="12"/>
      <c r="FE66" s="12"/>
      <c r="FF66" s="12"/>
      <c r="FG66" s="12"/>
      <c r="FH66" s="12"/>
      <c r="FI66" s="12"/>
      <c r="FJ66" s="12"/>
      <c r="FK66" s="12"/>
      <c r="FL66" s="12"/>
      <c r="FM66" s="12"/>
      <c r="FN66" s="12"/>
      <c r="FO66" s="12"/>
      <c r="FP66" s="12"/>
      <c r="FQ66" s="12"/>
      <c r="FR66" s="12"/>
      <c r="FS66" s="12"/>
      <c r="FT66" s="12"/>
      <c r="FU66" s="12"/>
      <c r="FV66" s="12"/>
      <c r="FW66" s="12"/>
      <c r="FX66" s="12"/>
      <c r="FY66" s="12"/>
      <c r="FZ66" s="12"/>
      <c r="GA66" s="12"/>
      <c r="GB66" s="12"/>
      <c r="GC66" s="12"/>
      <c r="GD66" s="12"/>
      <c r="GE66" s="12"/>
      <c r="GF66" s="12"/>
      <c r="GG66" s="12"/>
      <c r="GH66" s="12"/>
      <c r="GI66" s="12"/>
      <c r="GJ66" s="12"/>
      <c r="GK66" s="12"/>
      <c r="GL66" s="12"/>
      <c r="GM66" s="12"/>
      <c r="GN66" s="12"/>
      <c r="GO66" s="12"/>
      <c r="GP66" s="12"/>
      <c r="GQ66" s="12"/>
      <c r="GR66" s="12"/>
      <c r="GS66" s="12"/>
      <c r="GT66" s="12"/>
      <c r="GU66" s="12"/>
      <c r="GV66" s="12"/>
      <c r="GW66" s="12"/>
      <c r="GX66" s="12"/>
      <c r="GY66" s="12"/>
      <c r="GZ66" s="12"/>
      <c r="HA66" s="12"/>
      <c r="HB66" s="12"/>
      <c r="HC66" s="12"/>
      <c r="HD66" s="12"/>
      <c r="HE66" s="12"/>
      <c r="HF66" s="12"/>
      <c r="HG66" s="12"/>
      <c r="HH66" s="12"/>
      <c r="HI66" s="12"/>
      <c r="HJ66" s="12"/>
      <c r="HK66" s="12"/>
      <c r="HL66" s="12"/>
      <c r="HM66" s="12"/>
      <c r="HN66" s="12"/>
      <c r="HO66" s="12"/>
      <c r="HP66" s="12"/>
      <c r="HQ66" s="12"/>
      <c r="HR66" s="12"/>
      <c r="HS66" s="12"/>
      <c r="HT66" s="12"/>
      <c r="HU66" s="12"/>
      <c r="HV66" s="12"/>
      <c r="HW66" s="12"/>
      <c r="HX66" s="12"/>
      <c r="HY66" s="12"/>
      <c r="HZ66" s="12"/>
      <c r="IA66" s="12"/>
      <c r="IB66" s="12"/>
      <c r="IC66" s="12"/>
      <c r="ID66" s="12"/>
      <c r="IE66" s="12"/>
      <c r="IF66" s="12"/>
      <c r="IG66" s="12"/>
      <c r="IH66" s="12"/>
      <c r="II66" s="12"/>
      <c r="IJ66" s="12"/>
      <c r="IK66" s="12"/>
      <c r="IL66" s="12"/>
      <c r="IM66" s="12"/>
      <c r="IN66" s="12"/>
      <c r="IO66" s="12"/>
      <c r="IP66" s="12"/>
      <c r="IQ66" s="12"/>
      <c r="IR66" s="12"/>
      <c r="IS66" s="12"/>
      <c r="IT66" s="12"/>
      <c r="IU66" s="12"/>
      <c r="IV66" s="12"/>
      <c r="IW66" s="12"/>
      <c r="IX66" s="12"/>
      <c r="IY66" s="12"/>
      <c r="IZ66" s="12"/>
      <c r="JA66" s="12"/>
      <c r="JB66" s="12"/>
      <c r="JC66" s="12"/>
      <c r="JD66" s="12"/>
      <c r="JE66" s="12"/>
      <c r="JF66" s="12"/>
      <c r="JG66" s="12"/>
      <c r="JH66" s="12"/>
      <c r="JI66" s="12"/>
      <c r="JJ66" s="12"/>
      <c r="JK66" s="12"/>
      <c r="JL66" s="12"/>
      <c r="JM66" s="12"/>
      <c r="JN66" s="12"/>
      <c r="JO66" s="12"/>
      <c r="JP66" s="12"/>
      <c r="JQ66" s="12"/>
      <c r="JR66" s="12"/>
      <c r="JS66" s="12"/>
      <c r="JT66" s="12"/>
      <c r="JU66" s="12"/>
      <c r="JV66" s="12"/>
    </row>
    <row r="67" spans="1:282" s="16" customFormat="1" ht="50.1" customHeight="1" x14ac:dyDescent="0.2">
      <c r="A67" s="700"/>
      <c r="B67" s="29" t="s">
        <v>1174</v>
      </c>
      <c r="C67" s="29"/>
      <c r="D67" s="29"/>
      <c r="E67" s="29" t="s">
        <v>868</v>
      </c>
      <c r="F67" s="104" t="s">
        <v>510</v>
      </c>
      <c r="G67" s="29" t="s">
        <v>510</v>
      </c>
      <c r="H67" s="29" t="s">
        <v>869</v>
      </c>
      <c r="I67" s="29"/>
      <c r="J67" s="29" t="s">
        <v>520</v>
      </c>
      <c r="K67" s="30" t="s">
        <v>1394</v>
      </c>
      <c r="L67" s="29" t="s">
        <v>18</v>
      </c>
      <c r="M67" s="29" t="s">
        <v>1528</v>
      </c>
      <c r="N67" s="74">
        <v>39946</v>
      </c>
      <c r="O67" s="29" t="s">
        <v>870</v>
      </c>
      <c r="P67" s="29"/>
      <c r="Q67" s="29"/>
      <c r="R67" s="29"/>
      <c r="S67" s="29"/>
      <c r="T67" s="155">
        <v>38</v>
      </c>
      <c r="U67" s="155"/>
      <c r="V67" s="155"/>
      <c r="W67" s="155"/>
      <c r="X67" s="155"/>
      <c r="Y67" s="155"/>
      <c r="Z67" s="155"/>
      <c r="AA67" s="155"/>
      <c r="AB67" s="155"/>
      <c r="AC67" s="155"/>
      <c r="AD67" s="155"/>
      <c r="AE67" s="155"/>
      <c r="AF67" s="155"/>
      <c r="AG67" s="155"/>
      <c r="AH67" s="155"/>
      <c r="AI67" s="155"/>
      <c r="AJ67" s="74">
        <v>40498</v>
      </c>
      <c r="AK67" s="720">
        <f t="shared" si="2"/>
        <v>552</v>
      </c>
      <c r="AL67" s="155"/>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c r="FD67" s="12"/>
      <c r="FE67" s="12"/>
      <c r="FF67" s="12"/>
      <c r="FG67" s="12"/>
      <c r="FH67" s="12"/>
      <c r="FI67" s="12"/>
      <c r="FJ67" s="12"/>
      <c r="FK67" s="12"/>
      <c r="FL67" s="12"/>
      <c r="FM67" s="12"/>
      <c r="FN67" s="12"/>
      <c r="FO67" s="12"/>
      <c r="FP67" s="12"/>
      <c r="FQ67" s="12"/>
      <c r="FR67" s="12"/>
      <c r="FS67" s="12"/>
      <c r="FT67" s="12"/>
      <c r="FU67" s="12"/>
      <c r="FV67" s="12"/>
      <c r="FW67" s="12"/>
      <c r="FX67" s="12"/>
      <c r="FY67" s="12"/>
      <c r="FZ67" s="12"/>
      <c r="GA67" s="12"/>
      <c r="GB67" s="12"/>
      <c r="GC67" s="12"/>
      <c r="GD67" s="12"/>
      <c r="GE67" s="12"/>
      <c r="GF67" s="12"/>
      <c r="GG67" s="12"/>
      <c r="GH67" s="12"/>
      <c r="GI67" s="12"/>
      <c r="GJ67" s="12"/>
      <c r="GK67" s="12"/>
      <c r="GL67" s="12"/>
      <c r="GM67" s="12"/>
      <c r="GN67" s="12"/>
      <c r="GO67" s="12"/>
      <c r="GP67" s="12"/>
      <c r="GQ67" s="12"/>
      <c r="GR67" s="12"/>
      <c r="GS67" s="12"/>
      <c r="GT67" s="12"/>
      <c r="GU67" s="12"/>
      <c r="GV67" s="12"/>
      <c r="GW67" s="12"/>
      <c r="GX67" s="12"/>
      <c r="GY67" s="12"/>
      <c r="GZ67" s="12"/>
      <c r="HA67" s="12"/>
      <c r="HB67" s="12"/>
      <c r="HC67" s="12"/>
      <c r="HD67" s="12"/>
      <c r="HE67" s="12"/>
      <c r="HF67" s="12"/>
      <c r="HG67" s="12"/>
      <c r="HH67" s="12"/>
      <c r="HI67" s="12"/>
      <c r="HJ67" s="12"/>
      <c r="HK67" s="12"/>
      <c r="HL67" s="12"/>
      <c r="HM67" s="12"/>
      <c r="HN67" s="12"/>
      <c r="HO67" s="12"/>
      <c r="HP67" s="12"/>
      <c r="HQ67" s="12"/>
      <c r="HR67" s="12"/>
      <c r="HS67" s="12"/>
      <c r="HT67" s="12"/>
      <c r="HU67" s="12"/>
      <c r="HV67" s="12"/>
      <c r="HW67" s="12"/>
      <c r="HX67" s="12"/>
      <c r="HY67" s="12"/>
      <c r="HZ67" s="12"/>
      <c r="IA67" s="12"/>
      <c r="IB67" s="12"/>
      <c r="IC67" s="12"/>
      <c r="ID67" s="12"/>
      <c r="IE67" s="12"/>
      <c r="IF67" s="12"/>
      <c r="IG67" s="12"/>
      <c r="IH67" s="12"/>
      <c r="II67" s="12"/>
      <c r="IJ67" s="12"/>
      <c r="IK67" s="12"/>
      <c r="IL67" s="12"/>
      <c r="IM67" s="12"/>
      <c r="IN67" s="12"/>
      <c r="IO67" s="12"/>
      <c r="IP67" s="12"/>
      <c r="IQ67" s="12"/>
      <c r="IR67" s="12"/>
      <c r="IS67" s="12"/>
      <c r="IT67" s="12"/>
      <c r="IU67" s="12"/>
      <c r="IV67" s="12"/>
      <c r="IW67" s="12"/>
      <c r="IX67" s="12"/>
      <c r="IY67" s="12"/>
      <c r="IZ67" s="12"/>
      <c r="JA67" s="12"/>
      <c r="JB67" s="12"/>
      <c r="JC67" s="12"/>
      <c r="JD67" s="12"/>
      <c r="JE67" s="12"/>
      <c r="JF67" s="12"/>
      <c r="JG67" s="12"/>
      <c r="JH67" s="12"/>
      <c r="JI67" s="12"/>
      <c r="JJ67" s="12"/>
      <c r="JK67" s="12"/>
      <c r="JL67" s="12"/>
      <c r="JM67" s="12"/>
      <c r="JN67" s="12"/>
      <c r="JO67" s="12"/>
      <c r="JP67" s="12"/>
      <c r="JQ67" s="12"/>
      <c r="JR67" s="12"/>
      <c r="JS67" s="12"/>
      <c r="JT67" s="12"/>
      <c r="JU67" s="12"/>
      <c r="JV67" s="12"/>
    </row>
    <row r="68" spans="1:282" s="16" customFormat="1" ht="50.1" customHeight="1" x14ac:dyDescent="0.2">
      <c r="A68" s="700"/>
      <c r="B68" s="29" t="s">
        <v>1174</v>
      </c>
      <c r="C68" s="29"/>
      <c r="D68" s="29"/>
      <c r="E68" s="29" t="s">
        <v>2390</v>
      </c>
      <c r="F68" s="104" t="s">
        <v>882</v>
      </c>
      <c r="G68" s="29" t="s">
        <v>818</v>
      </c>
      <c r="H68" s="29" t="s">
        <v>883</v>
      </c>
      <c r="I68" s="29"/>
      <c r="J68" s="69" t="s">
        <v>884</v>
      </c>
      <c r="K68" s="29" t="s">
        <v>1393</v>
      </c>
      <c r="L68" s="29" t="s">
        <v>685</v>
      </c>
      <c r="M68" s="29" t="s">
        <v>1528</v>
      </c>
      <c r="N68" s="74">
        <v>39883</v>
      </c>
      <c r="O68" s="29" t="s">
        <v>885</v>
      </c>
      <c r="P68" s="29"/>
      <c r="Q68" s="29"/>
      <c r="R68" s="29"/>
      <c r="S68" s="29"/>
      <c r="T68" s="155"/>
      <c r="U68" s="155"/>
      <c r="V68" s="155"/>
      <c r="W68" s="155"/>
      <c r="X68" s="155"/>
      <c r="Y68" s="155"/>
      <c r="Z68" s="155"/>
      <c r="AA68" s="155"/>
      <c r="AB68" s="155"/>
      <c r="AC68" s="155"/>
      <c r="AD68" s="155"/>
      <c r="AE68" s="155"/>
      <c r="AF68" s="155"/>
      <c r="AG68" s="155"/>
      <c r="AH68" s="155"/>
      <c r="AI68" s="155"/>
      <c r="AJ68" s="74">
        <v>40507</v>
      </c>
      <c r="AK68" s="720">
        <f t="shared" si="2"/>
        <v>624</v>
      </c>
      <c r="AL68" s="155"/>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c r="EQ68" s="12"/>
      <c r="ER68" s="12"/>
      <c r="ES68" s="12"/>
      <c r="ET68" s="12"/>
      <c r="EU68" s="12"/>
      <c r="EV68" s="12"/>
      <c r="EW68" s="12"/>
      <c r="EX68" s="12"/>
      <c r="EY68" s="12"/>
      <c r="EZ68" s="12"/>
      <c r="FA68" s="12"/>
      <c r="FB68" s="12"/>
      <c r="FC68" s="12"/>
      <c r="FD68" s="12"/>
      <c r="FE68" s="12"/>
      <c r="FF68" s="12"/>
      <c r="FG68" s="12"/>
      <c r="FH68" s="12"/>
      <c r="FI68" s="12"/>
      <c r="FJ68" s="12"/>
      <c r="FK68" s="12"/>
      <c r="FL68" s="12"/>
      <c r="FM68" s="12"/>
      <c r="FN68" s="12"/>
      <c r="FO68" s="12"/>
      <c r="FP68" s="12"/>
      <c r="FQ68" s="12"/>
      <c r="FR68" s="12"/>
      <c r="FS68" s="12"/>
      <c r="FT68" s="12"/>
      <c r="FU68" s="12"/>
      <c r="FV68" s="12"/>
      <c r="FW68" s="12"/>
      <c r="FX68" s="12"/>
      <c r="FY68" s="12"/>
      <c r="FZ68" s="12"/>
      <c r="GA68" s="12"/>
      <c r="GB68" s="12"/>
      <c r="GC68" s="12"/>
      <c r="GD68" s="12"/>
      <c r="GE68" s="12"/>
      <c r="GF68" s="12"/>
      <c r="GG68" s="12"/>
      <c r="GH68" s="12"/>
      <c r="GI68" s="12"/>
      <c r="GJ68" s="12"/>
      <c r="GK68" s="12"/>
      <c r="GL68" s="12"/>
      <c r="GM68" s="12"/>
      <c r="GN68" s="12"/>
      <c r="GO68" s="12"/>
      <c r="GP68" s="12"/>
      <c r="GQ68" s="12"/>
      <c r="GR68" s="12"/>
      <c r="GS68" s="12"/>
      <c r="GT68" s="12"/>
      <c r="GU68" s="12"/>
      <c r="GV68" s="12"/>
      <c r="GW68" s="12"/>
      <c r="GX68" s="12"/>
      <c r="GY68" s="12"/>
      <c r="GZ68" s="12"/>
      <c r="HA68" s="12"/>
      <c r="HB68" s="12"/>
      <c r="HC68" s="12"/>
      <c r="HD68" s="12"/>
      <c r="HE68" s="12"/>
      <c r="HF68" s="12"/>
      <c r="HG68" s="12"/>
      <c r="HH68" s="12"/>
      <c r="HI68" s="12"/>
      <c r="HJ68" s="12"/>
      <c r="HK68" s="12"/>
      <c r="HL68" s="12"/>
      <c r="HM68" s="12"/>
      <c r="HN68" s="12"/>
      <c r="HO68" s="12"/>
      <c r="HP68" s="12"/>
      <c r="HQ68" s="12"/>
      <c r="HR68" s="12"/>
      <c r="HS68" s="12"/>
      <c r="HT68" s="12"/>
      <c r="HU68" s="12"/>
      <c r="HV68" s="12"/>
      <c r="HW68" s="12"/>
      <c r="HX68" s="12"/>
      <c r="HY68" s="12"/>
      <c r="HZ68" s="12"/>
      <c r="IA68" s="12"/>
      <c r="IB68" s="12"/>
      <c r="IC68" s="12"/>
      <c r="ID68" s="12"/>
      <c r="IE68" s="12"/>
      <c r="IF68" s="12"/>
      <c r="IG68" s="12"/>
      <c r="IH68" s="12"/>
      <c r="II68" s="12"/>
      <c r="IJ68" s="12"/>
      <c r="IK68" s="12"/>
      <c r="IL68" s="12"/>
      <c r="IM68" s="12"/>
      <c r="IN68" s="12"/>
      <c r="IO68" s="12"/>
      <c r="IP68" s="12"/>
      <c r="IQ68" s="12"/>
      <c r="IR68" s="12"/>
      <c r="IS68" s="12"/>
      <c r="IT68" s="12"/>
      <c r="IU68" s="12"/>
      <c r="IV68" s="12"/>
      <c r="IW68" s="12"/>
      <c r="IX68" s="12"/>
      <c r="IY68" s="12"/>
      <c r="IZ68" s="12"/>
      <c r="JA68" s="12"/>
      <c r="JB68" s="12"/>
      <c r="JC68" s="12"/>
      <c r="JD68" s="12"/>
      <c r="JE68" s="12"/>
      <c r="JF68" s="12"/>
      <c r="JG68" s="12"/>
      <c r="JH68" s="12"/>
      <c r="JI68" s="12"/>
      <c r="JJ68" s="12"/>
      <c r="JK68" s="12"/>
      <c r="JL68" s="12"/>
      <c r="JM68" s="12"/>
      <c r="JN68" s="12"/>
      <c r="JO68" s="12"/>
      <c r="JP68" s="12"/>
      <c r="JQ68" s="12"/>
      <c r="JR68" s="12"/>
      <c r="JS68" s="12"/>
      <c r="JT68" s="12"/>
      <c r="JU68" s="12"/>
      <c r="JV68" s="12"/>
    </row>
    <row r="69" spans="1:282" s="16" customFormat="1" ht="50.1" customHeight="1" x14ac:dyDescent="0.2">
      <c r="A69" s="700"/>
      <c r="B69" s="29" t="s">
        <v>1174</v>
      </c>
      <c r="C69" s="29"/>
      <c r="D69" s="29"/>
      <c r="E69" s="29" t="s">
        <v>2392</v>
      </c>
      <c r="F69" s="104" t="s">
        <v>841</v>
      </c>
      <c r="G69" s="29" t="s">
        <v>841</v>
      </c>
      <c r="H69" s="29" t="s">
        <v>878</v>
      </c>
      <c r="I69" s="29"/>
      <c r="J69" s="29" t="s">
        <v>769</v>
      </c>
      <c r="K69" s="30" t="s">
        <v>1394</v>
      </c>
      <c r="L69" s="29" t="s">
        <v>879</v>
      </c>
      <c r="M69" s="29" t="s">
        <v>1528</v>
      </c>
      <c r="N69" s="74">
        <v>39968</v>
      </c>
      <c r="O69" s="29" t="s">
        <v>880</v>
      </c>
      <c r="P69" s="29"/>
      <c r="Q69" s="29"/>
      <c r="R69" s="29"/>
      <c r="S69" s="29"/>
      <c r="T69" s="155">
        <v>16</v>
      </c>
      <c r="U69" s="155"/>
      <c r="V69" s="155"/>
      <c r="W69" s="155"/>
      <c r="X69" s="155"/>
      <c r="Y69" s="155"/>
      <c r="Z69" s="155"/>
      <c r="AA69" s="155"/>
      <c r="AB69" s="155"/>
      <c r="AC69" s="155"/>
      <c r="AD69" s="155"/>
      <c r="AE69" s="155"/>
      <c r="AF69" s="155"/>
      <c r="AG69" s="155"/>
      <c r="AH69" s="155"/>
      <c r="AI69" s="155"/>
      <c r="AJ69" s="74">
        <v>40507</v>
      </c>
      <c r="AK69" s="720">
        <f t="shared" si="2"/>
        <v>539</v>
      </c>
      <c r="AL69" s="155"/>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c r="JF69" s="12"/>
      <c r="JG69" s="12"/>
      <c r="JH69" s="12"/>
      <c r="JI69" s="12"/>
      <c r="JJ69" s="12"/>
      <c r="JK69" s="12"/>
      <c r="JL69" s="12"/>
      <c r="JM69" s="12"/>
      <c r="JN69" s="12"/>
      <c r="JO69" s="12"/>
      <c r="JP69" s="12"/>
      <c r="JQ69" s="12"/>
      <c r="JR69" s="12"/>
      <c r="JS69" s="12"/>
      <c r="JT69" s="12"/>
      <c r="JU69" s="12"/>
      <c r="JV69" s="12"/>
    </row>
    <row r="70" spans="1:282" s="16" customFormat="1" ht="50.1" customHeight="1" x14ac:dyDescent="0.2">
      <c r="A70" s="700"/>
      <c r="B70" s="29" t="s">
        <v>1174</v>
      </c>
      <c r="C70" s="29"/>
      <c r="D70" s="29"/>
      <c r="E70" s="29" t="s">
        <v>2391</v>
      </c>
      <c r="F70" s="104" t="s">
        <v>2384</v>
      </c>
      <c r="G70" s="29" t="s">
        <v>855</v>
      </c>
      <c r="H70" s="29" t="s">
        <v>856</v>
      </c>
      <c r="I70" s="29"/>
      <c r="J70" s="29" t="s">
        <v>857</v>
      </c>
      <c r="K70" s="30" t="s">
        <v>1394</v>
      </c>
      <c r="L70" s="30" t="s">
        <v>2418</v>
      </c>
      <c r="M70" s="29" t="s">
        <v>1528</v>
      </c>
      <c r="N70" s="74">
        <v>39993</v>
      </c>
      <c r="O70" s="29" t="s">
        <v>881</v>
      </c>
      <c r="P70" s="29"/>
      <c r="Q70" s="29"/>
      <c r="R70" s="29"/>
      <c r="S70" s="29"/>
      <c r="T70" s="155"/>
      <c r="U70" s="155"/>
      <c r="V70" s="155"/>
      <c r="W70" s="155"/>
      <c r="X70" s="155"/>
      <c r="Y70" s="155"/>
      <c r="Z70" s="155"/>
      <c r="AA70" s="155"/>
      <c r="AB70" s="155"/>
      <c r="AC70" s="155"/>
      <c r="AD70" s="155"/>
      <c r="AE70" s="155"/>
      <c r="AF70" s="155"/>
      <c r="AG70" s="155"/>
      <c r="AH70" s="155"/>
      <c r="AI70" s="155"/>
      <c r="AJ70" s="74">
        <v>40507</v>
      </c>
      <c r="AK70" s="720">
        <f t="shared" si="2"/>
        <v>514</v>
      </c>
      <c r="AL70" s="155"/>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row>
    <row r="71" spans="1:282" s="16" customFormat="1" ht="50.1" customHeight="1" x14ac:dyDescent="0.2">
      <c r="A71" s="700"/>
      <c r="B71" s="29" t="s">
        <v>1174</v>
      </c>
      <c r="C71" s="29"/>
      <c r="D71" s="29"/>
      <c r="E71" s="29" t="s">
        <v>2393</v>
      </c>
      <c r="F71" s="104" t="s">
        <v>53</v>
      </c>
      <c r="G71" s="29" t="s">
        <v>886</v>
      </c>
      <c r="H71" s="29" t="s">
        <v>887</v>
      </c>
      <c r="I71" s="29"/>
      <c r="J71" s="69" t="s">
        <v>740</v>
      </c>
      <c r="K71" s="30" t="s">
        <v>1394</v>
      </c>
      <c r="L71" s="29" t="s">
        <v>879</v>
      </c>
      <c r="M71" s="29" t="s">
        <v>1528</v>
      </c>
      <c r="N71" s="74">
        <v>40028</v>
      </c>
      <c r="O71" s="69" t="s">
        <v>2394</v>
      </c>
      <c r="P71" s="69"/>
      <c r="Q71" s="69"/>
      <c r="R71" s="69"/>
      <c r="S71" s="69"/>
      <c r="T71" s="155">
        <v>10</v>
      </c>
      <c r="U71" s="155"/>
      <c r="V71" s="155"/>
      <c r="W71" s="155"/>
      <c r="X71" s="155"/>
      <c r="Y71" s="155"/>
      <c r="Z71" s="155"/>
      <c r="AA71" s="155"/>
      <c r="AB71" s="155"/>
      <c r="AC71" s="155"/>
      <c r="AD71" s="155"/>
      <c r="AE71" s="155"/>
      <c r="AF71" s="155"/>
      <c r="AG71" s="155"/>
      <c r="AH71" s="155"/>
      <c r="AI71" s="155"/>
      <c r="AJ71" s="74">
        <v>40507</v>
      </c>
      <c r="AK71" s="720">
        <f t="shared" si="2"/>
        <v>479</v>
      </c>
      <c r="AL71" s="155"/>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c r="EQ71" s="12"/>
      <c r="ER71" s="12"/>
      <c r="ES71" s="12"/>
      <c r="ET71" s="12"/>
      <c r="EU71" s="12"/>
      <c r="EV71" s="12"/>
      <c r="EW71" s="12"/>
      <c r="EX71" s="12"/>
      <c r="EY71" s="12"/>
      <c r="EZ71" s="12"/>
      <c r="FA71" s="12"/>
      <c r="FB71" s="12"/>
      <c r="FC71" s="12"/>
      <c r="FD71" s="12"/>
      <c r="FE71" s="12"/>
      <c r="FF71" s="12"/>
      <c r="FG71" s="12"/>
      <c r="FH71" s="12"/>
      <c r="FI71" s="12"/>
      <c r="FJ71" s="12"/>
      <c r="FK71" s="12"/>
      <c r="FL71" s="12"/>
      <c r="FM71" s="12"/>
      <c r="FN71" s="12"/>
      <c r="FO71" s="12"/>
      <c r="FP71" s="12"/>
      <c r="FQ71" s="12"/>
      <c r="FR71" s="12"/>
      <c r="FS71" s="12"/>
      <c r="FT71" s="12"/>
      <c r="FU71" s="12"/>
      <c r="FV71" s="12"/>
      <c r="FW71" s="12"/>
      <c r="FX71" s="12"/>
      <c r="FY71" s="12"/>
      <c r="FZ71" s="12"/>
      <c r="GA71" s="12"/>
      <c r="GB71" s="12"/>
      <c r="GC71" s="12"/>
      <c r="GD71" s="12"/>
      <c r="GE71" s="12"/>
      <c r="GF71" s="12"/>
      <c r="GG71" s="12"/>
      <c r="GH71" s="12"/>
      <c r="GI71" s="12"/>
      <c r="GJ71" s="12"/>
      <c r="GK71" s="12"/>
      <c r="GL71" s="12"/>
      <c r="GM71" s="12"/>
      <c r="GN71" s="12"/>
      <c r="GO71" s="12"/>
      <c r="GP71" s="12"/>
      <c r="GQ71" s="12"/>
      <c r="GR71" s="12"/>
      <c r="GS71" s="12"/>
      <c r="GT71" s="12"/>
      <c r="GU71" s="12"/>
      <c r="GV71" s="12"/>
      <c r="GW71" s="12"/>
      <c r="GX71" s="12"/>
      <c r="GY71" s="12"/>
      <c r="GZ71" s="12"/>
      <c r="HA71" s="12"/>
      <c r="HB71" s="12"/>
      <c r="HC71" s="12"/>
      <c r="HD71" s="12"/>
      <c r="HE71" s="12"/>
      <c r="HF71" s="12"/>
      <c r="HG71" s="12"/>
      <c r="HH71" s="12"/>
      <c r="HI71" s="12"/>
      <c r="HJ71" s="12"/>
      <c r="HK71" s="12"/>
      <c r="HL71" s="12"/>
      <c r="HM71" s="12"/>
      <c r="HN71" s="12"/>
      <c r="HO71" s="12"/>
      <c r="HP71" s="12"/>
      <c r="HQ71" s="12"/>
      <c r="HR71" s="12"/>
      <c r="HS71" s="12"/>
      <c r="HT71" s="12"/>
      <c r="HU71" s="12"/>
      <c r="HV71" s="12"/>
      <c r="HW71" s="12"/>
      <c r="HX71" s="12"/>
      <c r="HY71" s="12"/>
      <c r="HZ71" s="12"/>
      <c r="IA71" s="12"/>
      <c r="IB71" s="12"/>
      <c r="IC71" s="12"/>
      <c r="ID71" s="12"/>
      <c r="IE71" s="12"/>
      <c r="IF71" s="12"/>
      <c r="IG71" s="12"/>
      <c r="IH71" s="12"/>
      <c r="II71" s="12"/>
      <c r="IJ71" s="12"/>
      <c r="IK71" s="12"/>
      <c r="IL71" s="12"/>
      <c r="IM71" s="12"/>
      <c r="IN71" s="12"/>
      <c r="IO71" s="12"/>
      <c r="IP71" s="12"/>
      <c r="IQ71" s="12"/>
      <c r="IR71" s="12"/>
      <c r="IS71" s="12"/>
      <c r="IT71" s="12"/>
      <c r="IU71" s="12"/>
      <c r="IV71" s="12"/>
      <c r="IW71" s="12"/>
      <c r="IX71" s="12"/>
      <c r="IY71" s="12"/>
      <c r="IZ71" s="12"/>
      <c r="JA71" s="12"/>
      <c r="JB71" s="12"/>
      <c r="JC71" s="12"/>
      <c r="JD71" s="12"/>
      <c r="JE71" s="12"/>
      <c r="JF71" s="12"/>
      <c r="JG71" s="12"/>
      <c r="JH71" s="12"/>
      <c r="JI71" s="12"/>
      <c r="JJ71" s="12"/>
      <c r="JK71" s="12"/>
      <c r="JL71" s="12"/>
      <c r="JM71" s="12"/>
      <c r="JN71" s="12"/>
      <c r="JO71" s="12"/>
      <c r="JP71" s="12"/>
      <c r="JQ71" s="12"/>
      <c r="JR71" s="12"/>
      <c r="JS71" s="12"/>
      <c r="JT71" s="12"/>
      <c r="JU71" s="12"/>
      <c r="JV71" s="12"/>
    </row>
    <row r="72" spans="1:282" s="16" customFormat="1" ht="50.1" customHeight="1" x14ac:dyDescent="0.2">
      <c r="A72" s="700"/>
      <c r="B72" s="29" t="s">
        <v>1174</v>
      </c>
      <c r="C72" s="29"/>
      <c r="D72" s="29"/>
      <c r="E72" s="29" t="s">
        <v>3021</v>
      </c>
      <c r="F72" s="104" t="s">
        <v>889</v>
      </c>
      <c r="G72" s="29" t="s">
        <v>666</v>
      </c>
      <c r="H72" s="29" t="s">
        <v>890</v>
      </c>
      <c r="I72" s="29"/>
      <c r="J72" s="29" t="s">
        <v>763</v>
      </c>
      <c r="K72" s="30" t="s">
        <v>1394</v>
      </c>
      <c r="L72" s="29"/>
      <c r="M72" s="29" t="s">
        <v>1528</v>
      </c>
      <c r="N72" s="74">
        <v>39993</v>
      </c>
      <c r="O72" s="74" t="s">
        <v>891</v>
      </c>
      <c r="P72" s="74"/>
      <c r="Q72" s="74"/>
      <c r="R72" s="74"/>
      <c r="S72" s="74"/>
      <c r="T72" s="155">
        <v>22</v>
      </c>
      <c r="U72" s="155"/>
      <c r="V72" s="155"/>
      <c r="W72" s="155"/>
      <c r="X72" s="155"/>
      <c r="Y72" s="155"/>
      <c r="Z72" s="155"/>
      <c r="AA72" s="155"/>
      <c r="AB72" s="155"/>
      <c r="AC72" s="155"/>
      <c r="AD72" s="155"/>
      <c r="AE72" s="155"/>
      <c r="AF72" s="155"/>
      <c r="AG72" s="155"/>
      <c r="AH72" s="155"/>
      <c r="AI72" s="155"/>
      <c r="AJ72" s="74">
        <v>40518</v>
      </c>
      <c r="AK72" s="720">
        <f t="shared" si="2"/>
        <v>525</v>
      </c>
      <c r="AL72" s="155"/>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c r="EQ72" s="12"/>
      <c r="ER72" s="12"/>
      <c r="ES72" s="12"/>
      <c r="ET72" s="12"/>
      <c r="EU72" s="12"/>
      <c r="EV72" s="12"/>
      <c r="EW72" s="12"/>
      <c r="EX72" s="12"/>
      <c r="EY72" s="12"/>
      <c r="EZ72" s="12"/>
      <c r="FA72" s="12"/>
      <c r="FB72" s="12"/>
      <c r="FC72" s="12"/>
      <c r="FD72" s="12"/>
      <c r="FE72" s="12"/>
      <c r="FF72" s="12"/>
      <c r="FG72" s="12"/>
      <c r="FH72" s="12"/>
      <c r="FI72" s="12"/>
      <c r="FJ72" s="12"/>
      <c r="FK72" s="12"/>
      <c r="FL72" s="12"/>
      <c r="FM72" s="12"/>
      <c r="FN72" s="12"/>
      <c r="FO72" s="12"/>
      <c r="FP72" s="12"/>
      <c r="FQ72" s="12"/>
      <c r="FR72" s="12"/>
      <c r="FS72" s="12"/>
      <c r="FT72" s="12"/>
      <c r="FU72" s="12"/>
      <c r="FV72" s="12"/>
      <c r="FW72" s="12"/>
      <c r="FX72" s="12"/>
      <c r="FY72" s="12"/>
      <c r="FZ72" s="12"/>
      <c r="GA72" s="12"/>
      <c r="GB72" s="12"/>
      <c r="GC72" s="12"/>
      <c r="GD72" s="12"/>
      <c r="GE72" s="12"/>
      <c r="GF72" s="12"/>
      <c r="GG72" s="12"/>
      <c r="GH72" s="12"/>
      <c r="GI72" s="12"/>
      <c r="GJ72" s="12"/>
      <c r="GK72" s="12"/>
      <c r="GL72" s="12"/>
      <c r="GM72" s="12"/>
      <c r="GN72" s="12"/>
      <c r="GO72" s="12"/>
      <c r="GP72" s="12"/>
      <c r="GQ72" s="12"/>
      <c r="GR72" s="12"/>
      <c r="GS72" s="12"/>
      <c r="GT72" s="12"/>
      <c r="GU72" s="12"/>
      <c r="GV72" s="12"/>
      <c r="GW72" s="12"/>
      <c r="GX72" s="12"/>
      <c r="GY72" s="12"/>
      <c r="GZ72" s="12"/>
      <c r="HA72" s="12"/>
      <c r="HB72" s="12"/>
      <c r="HC72" s="12"/>
      <c r="HD72" s="12"/>
      <c r="HE72" s="12"/>
      <c r="HF72" s="12"/>
      <c r="HG72" s="12"/>
      <c r="HH72" s="12"/>
      <c r="HI72" s="12"/>
      <c r="HJ72" s="12"/>
      <c r="HK72" s="12"/>
      <c r="HL72" s="12"/>
      <c r="HM72" s="12"/>
      <c r="HN72" s="12"/>
      <c r="HO72" s="12"/>
      <c r="HP72" s="12"/>
      <c r="HQ72" s="12"/>
      <c r="HR72" s="12"/>
      <c r="HS72" s="12"/>
      <c r="HT72" s="12"/>
      <c r="HU72" s="12"/>
      <c r="HV72" s="12"/>
      <c r="HW72" s="12"/>
      <c r="HX72" s="12"/>
      <c r="HY72" s="12"/>
      <c r="HZ72" s="12"/>
      <c r="IA72" s="12"/>
      <c r="IB72" s="12"/>
      <c r="IC72" s="12"/>
      <c r="ID72" s="12"/>
      <c r="IE72" s="12"/>
      <c r="IF72" s="12"/>
      <c r="IG72" s="12"/>
      <c r="IH72" s="12"/>
      <c r="II72" s="12"/>
      <c r="IJ72" s="12"/>
      <c r="IK72" s="12"/>
      <c r="IL72" s="12"/>
      <c r="IM72" s="12"/>
      <c r="IN72" s="12"/>
      <c r="IO72" s="12"/>
      <c r="IP72" s="12"/>
      <c r="IQ72" s="12"/>
      <c r="IR72" s="12"/>
      <c r="IS72" s="12"/>
      <c r="IT72" s="12"/>
      <c r="IU72" s="12"/>
      <c r="IV72" s="12"/>
      <c r="IW72" s="12"/>
      <c r="IX72" s="12"/>
      <c r="IY72" s="12"/>
      <c r="IZ72" s="12"/>
      <c r="JA72" s="12"/>
      <c r="JB72" s="12"/>
      <c r="JC72" s="12"/>
      <c r="JD72" s="12"/>
      <c r="JE72" s="12"/>
      <c r="JF72" s="12"/>
      <c r="JG72" s="12"/>
      <c r="JH72" s="12"/>
      <c r="JI72" s="12"/>
      <c r="JJ72" s="12"/>
      <c r="JK72" s="12"/>
      <c r="JL72" s="12"/>
      <c r="JM72" s="12"/>
      <c r="JN72" s="12"/>
      <c r="JO72" s="12"/>
      <c r="JP72" s="12"/>
      <c r="JQ72" s="12"/>
      <c r="JR72" s="12"/>
      <c r="JS72" s="12"/>
      <c r="JT72" s="12"/>
      <c r="JU72" s="12"/>
      <c r="JV72" s="12"/>
    </row>
    <row r="73" spans="1:282" s="16" customFormat="1" ht="50.1" customHeight="1" x14ac:dyDescent="0.2">
      <c r="A73" s="700"/>
      <c r="B73" s="69" t="s">
        <v>2373</v>
      </c>
      <c r="C73" s="69"/>
      <c r="D73" s="69"/>
      <c r="E73" s="29" t="s">
        <v>2398</v>
      </c>
      <c r="F73" s="104" t="s">
        <v>888</v>
      </c>
      <c r="G73" s="29" t="s">
        <v>2501</v>
      </c>
      <c r="H73" s="29"/>
      <c r="I73" s="29"/>
      <c r="J73" s="29" t="s">
        <v>758</v>
      </c>
      <c r="K73" s="30" t="s">
        <v>2603</v>
      </c>
      <c r="L73" s="29" t="s">
        <v>2426</v>
      </c>
      <c r="M73" s="29" t="s">
        <v>2439</v>
      </c>
      <c r="N73" s="74">
        <v>40309</v>
      </c>
      <c r="O73" s="29" t="s">
        <v>2400</v>
      </c>
      <c r="P73" s="29"/>
      <c r="Q73" s="29"/>
      <c r="R73" s="29"/>
      <c r="S73" s="29"/>
      <c r="T73" s="155">
        <v>22</v>
      </c>
      <c r="U73" s="155"/>
      <c r="V73" s="155"/>
      <c r="W73" s="155"/>
      <c r="X73" s="155"/>
      <c r="Y73" s="155"/>
      <c r="Z73" s="155"/>
      <c r="AA73" s="155"/>
      <c r="AB73" s="155"/>
      <c r="AC73" s="155"/>
      <c r="AD73" s="155"/>
      <c r="AE73" s="155"/>
      <c r="AF73" s="155"/>
      <c r="AG73" s="155"/>
      <c r="AH73" s="155"/>
      <c r="AI73" s="155"/>
      <c r="AJ73" s="74">
        <v>40519</v>
      </c>
      <c r="AK73" s="720">
        <f t="shared" si="2"/>
        <v>210</v>
      </c>
      <c r="AL73" s="155"/>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c r="EA73" s="12"/>
      <c r="EB73" s="12"/>
      <c r="EC73" s="12"/>
      <c r="ED73" s="12"/>
      <c r="EE73" s="12"/>
      <c r="EF73" s="12"/>
      <c r="EG73" s="12"/>
      <c r="EH73" s="12"/>
      <c r="EI73" s="12"/>
      <c r="EJ73" s="12"/>
      <c r="EK73" s="12"/>
      <c r="EL73" s="12"/>
      <c r="EM73" s="12"/>
      <c r="EN73" s="12"/>
      <c r="EO73" s="12"/>
      <c r="EP73" s="12"/>
      <c r="EQ73" s="12"/>
      <c r="ER73" s="12"/>
      <c r="ES73" s="12"/>
      <c r="ET73" s="12"/>
      <c r="EU73" s="12"/>
      <c r="EV73" s="12"/>
      <c r="EW73" s="12"/>
      <c r="EX73" s="12"/>
      <c r="EY73" s="12"/>
      <c r="EZ73" s="12"/>
      <c r="FA73" s="12"/>
      <c r="FB73" s="12"/>
      <c r="FC73" s="12"/>
      <c r="FD73" s="12"/>
      <c r="FE73" s="12"/>
      <c r="FF73" s="12"/>
      <c r="FG73" s="12"/>
      <c r="FH73" s="12"/>
      <c r="FI73" s="12"/>
      <c r="FJ73" s="12"/>
      <c r="FK73" s="12"/>
      <c r="FL73" s="12"/>
      <c r="FM73" s="12"/>
      <c r="FN73" s="12"/>
      <c r="FO73" s="12"/>
      <c r="FP73" s="12"/>
      <c r="FQ73" s="12"/>
      <c r="FR73" s="12"/>
      <c r="FS73" s="12"/>
      <c r="FT73" s="12"/>
      <c r="FU73" s="12"/>
      <c r="FV73" s="12"/>
      <c r="FW73" s="12"/>
      <c r="FX73" s="12"/>
      <c r="FY73" s="12"/>
      <c r="FZ73" s="12"/>
      <c r="GA73" s="12"/>
      <c r="GB73" s="12"/>
      <c r="GC73" s="12"/>
      <c r="GD73" s="12"/>
      <c r="GE73" s="12"/>
      <c r="GF73" s="12"/>
      <c r="GG73" s="12"/>
      <c r="GH73" s="12"/>
      <c r="GI73" s="12"/>
      <c r="GJ73" s="12"/>
      <c r="GK73" s="12"/>
      <c r="GL73" s="12"/>
      <c r="GM73" s="12"/>
      <c r="GN73" s="12"/>
      <c r="GO73" s="12"/>
      <c r="GP73" s="12"/>
      <c r="GQ73" s="12"/>
      <c r="GR73" s="12"/>
      <c r="GS73" s="12"/>
      <c r="GT73" s="12"/>
      <c r="GU73" s="12"/>
      <c r="GV73" s="12"/>
      <c r="GW73" s="12"/>
      <c r="GX73" s="12"/>
      <c r="GY73" s="12"/>
      <c r="GZ73" s="12"/>
      <c r="HA73" s="12"/>
      <c r="HB73" s="12"/>
      <c r="HC73" s="12"/>
      <c r="HD73" s="12"/>
      <c r="HE73" s="12"/>
      <c r="HF73" s="12"/>
      <c r="HG73" s="12"/>
      <c r="HH73" s="12"/>
      <c r="HI73" s="12"/>
      <c r="HJ73" s="12"/>
      <c r="HK73" s="12"/>
      <c r="HL73" s="12"/>
      <c r="HM73" s="12"/>
      <c r="HN73" s="12"/>
      <c r="HO73" s="12"/>
      <c r="HP73" s="12"/>
      <c r="HQ73" s="12"/>
      <c r="HR73" s="12"/>
      <c r="HS73" s="12"/>
      <c r="HT73" s="12"/>
      <c r="HU73" s="12"/>
      <c r="HV73" s="12"/>
      <c r="HW73" s="12"/>
      <c r="HX73" s="12"/>
      <c r="HY73" s="12"/>
      <c r="HZ73" s="12"/>
      <c r="IA73" s="12"/>
      <c r="IB73" s="12"/>
      <c r="IC73" s="12"/>
      <c r="ID73" s="12"/>
      <c r="IE73" s="12"/>
      <c r="IF73" s="12"/>
      <c r="IG73" s="12"/>
      <c r="IH73" s="12"/>
      <c r="II73" s="12"/>
      <c r="IJ73" s="12"/>
      <c r="IK73" s="12"/>
      <c r="IL73" s="12"/>
      <c r="IM73" s="12"/>
      <c r="IN73" s="12"/>
      <c r="IO73" s="12"/>
      <c r="IP73" s="12"/>
      <c r="IQ73" s="12"/>
      <c r="IR73" s="12"/>
      <c r="IS73" s="12"/>
      <c r="IT73" s="12"/>
      <c r="IU73" s="12"/>
      <c r="IV73" s="12"/>
      <c r="IW73" s="12"/>
      <c r="IX73" s="12"/>
      <c r="IY73" s="12"/>
      <c r="IZ73" s="12"/>
      <c r="JA73" s="12"/>
      <c r="JB73" s="12"/>
      <c r="JC73" s="12"/>
      <c r="JD73" s="12"/>
      <c r="JE73" s="12"/>
      <c r="JF73" s="12"/>
      <c r="JG73" s="12"/>
      <c r="JH73" s="12"/>
      <c r="JI73" s="12"/>
      <c r="JJ73" s="12"/>
      <c r="JK73" s="12"/>
      <c r="JL73" s="12"/>
      <c r="JM73" s="12"/>
      <c r="JN73" s="12"/>
      <c r="JO73" s="12"/>
      <c r="JP73" s="12"/>
      <c r="JQ73" s="12"/>
      <c r="JR73" s="12"/>
      <c r="JS73" s="12"/>
      <c r="JT73" s="12"/>
      <c r="JU73" s="12"/>
      <c r="JV73" s="12"/>
    </row>
    <row r="74" spans="1:282" s="7" customFormat="1" ht="50.1" customHeight="1" x14ac:dyDescent="0.2">
      <c r="A74" s="698"/>
      <c r="B74" s="29" t="s">
        <v>1174</v>
      </c>
      <c r="C74" s="29"/>
      <c r="D74" s="29"/>
      <c r="E74" s="29" t="s">
        <v>892</v>
      </c>
      <c r="F74" s="104" t="s">
        <v>893</v>
      </c>
      <c r="G74" s="29" t="s">
        <v>894</v>
      </c>
      <c r="H74" s="29" t="s">
        <v>88</v>
      </c>
      <c r="I74" s="29"/>
      <c r="J74" s="29" t="s">
        <v>2274</v>
      </c>
      <c r="K74" s="38" t="s">
        <v>1392</v>
      </c>
      <c r="L74" s="29" t="s">
        <v>895</v>
      </c>
      <c r="M74" s="29" t="s">
        <v>1528</v>
      </c>
      <c r="N74" s="74">
        <v>40182</v>
      </c>
      <c r="O74" s="69" t="s">
        <v>3020</v>
      </c>
      <c r="P74" s="69"/>
      <c r="Q74" s="69"/>
      <c r="R74" s="69"/>
      <c r="S74" s="69"/>
      <c r="T74" s="155">
        <v>35</v>
      </c>
      <c r="U74" s="155"/>
      <c r="V74" s="155"/>
      <c r="W74" s="155"/>
      <c r="X74" s="155"/>
      <c r="Y74" s="155"/>
      <c r="Z74" s="155"/>
      <c r="AA74" s="155"/>
      <c r="AB74" s="155"/>
      <c r="AC74" s="155"/>
      <c r="AD74" s="155"/>
      <c r="AE74" s="155"/>
      <c r="AF74" s="155"/>
      <c r="AG74" s="155"/>
      <c r="AH74" s="155"/>
      <c r="AI74" s="155"/>
      <c r="AJ74" s="74">
        <v>40546</v>
      </c>
      <c r="AK74" s="720">
        <f t="shared" si="2"/>
        <v>364</v>
      </c>
      <c r="AL74" s="155"/>
    </row>
    <row r="75" spans="1:282" s="16" customFormat="1" ht="50.1" customHeight="1" x14ac:dyDescent="0.2">
      <c r="A75" s="700"/>
      <c r="B75" s="29" t="s">
        <v>1174</v>
      </c>
      <c r="C75" s="29"/>
      <c r="D75" s="29"/>
      <c r="E75" s="29" t="s">
        <v>896</v>
      </c>
      <c r="F75" s="104" t="s">
        <v>897</v>
      </c>
      <c r="G75" s="29" t="s">
        <v>898</v>
      </c>
      <c r="H75" s="29" t="s">
        <v>899</v>
      </c>
      <c r="I75" s="29"/>
      <c r="J75" s="69" t="s">
        <v>857</v>
      </c>
      <c r="K75" s="29" t="s">
        <v>1393</v>
      </c>
      <c r="L75" s="29" t="s">
        <v>900</v>
      </c>
      <c r="M75" s="29" t="s">
        <v>2445</v>
      </c>
      <c r="N75" s="74">
        <v>39106</v>
      </c>
      <c r="O75" s="69" t="s">
        <v>901</v>
      </c>
      <c r="P75" s="69"/>
      <c r="Q75" s="69"/>
      <c r="R75" s="69"/>
      <c r="S75" s="69"/>
      <c r="T75" s="155"/>
      <c r="U75" s="155"/>
      <c r="V75" s="155"/>
      <c r="W75" s="155"/>
      <c r="X75" s="155"/>
      <c r="Y75" s="155"/>
      <c r="Z75" s="155"/>
      <c r="AA75" s="155"/>
      <c r="AB75" s="155"/>
      <c r="AC75" s="155"/>
      <c r="AD75" s="155"/>
      <c r="AE75" s="155"/>
      <c r="AF75" s="155"/>
      <c r="AG75" s="155"/>
      <c r="AH75" s="155"/>
      <c r="AI75" s="155"/>
      <c r="AJ75" s="74">
        <v>40560</v>
      </c>
      <c r="AK75" s="720">
        <f t="shared" si="2"/>
        <v>1454</v>
      </c>
      <c r="AL75" s="155"/>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c r="EQ75" s="12"/>
      <c r="ER75" s="12"/>
      <c r="ES75" s="12"/>
      <c r="ET75" s="12"/>
      <c r="EU75" s="12"/>
      <c r="EV75" s="12"/>
      <c r="EW75" s="12"/>
      <c r="EX75" s="12"/>
      <c r="EY75" s="12"/>
      <c r="EZ75" s="12"/>
      <c r="FA75" s="12"/>
      <c r="FB75" s="12"/>
      <c r="FC75" s="12"/>
      <c r="FD75" s="12"/>
      <c r="FE75" s="12"/>
      <c r="FF75" s="12"/>
      <c r="FG75" s="12"/>
      <c r="FH75" s="12"/>
      <c r="FI75" s="12"/>
      <c r="FJ75" s="12"/>
      <c r="FK75" s="12"/>
      <c r="FL75" s="12"/>
      <c r="FM75" s="12"/>
      <c r="FN75" s="12"/>
      <c r="FO75" s="12"/>
      <c r="FP75" s="12"/>
      <c r="FQ75" s="12"/>
      <c r="FR75" s="12"/>
      <c r="FS75" s="12"/>
      <c r="FT75" s="12"/>
      <c r="FU75" s="12"/>
      <c r="FV75" s="12"/>
      <c r="FW75" s="12"/>
      <c r="FX75" s="12"/>
      <c r="FY75" s="12"/>
      <c r="FZ75" s="12"/>
      <c r="GA75" s="12"/>
      <c r="GB75" s="12"/>
      <c r="GC75" s="12"/>
      <c r="GD75" s="12"/>
      <c r="GE75" s="12"/>
      <c r="GF75" s="12"/>
      <c r="GG75" s="12"/>
      <c r="GH75" s="12"/>
      <c r="GI75" s="12"/>
      <c r="GJ75" s="12"/>
      <c r="GK75" s="12"/>
      <c r="GL75" s="12"/>
      <c r="GM75" s="12"/>
      <c r="GN75" s="12"/>
      <c r="GO75" s="12"/>
      <c r="GP75" s="12"/>
      <c r="GQ75" s="12"/>
      <c r="GR75" s="12"/>
      <c r="GS75" s="12"/>
      <c r="GT75" s="12"/>
      <c r="GU75" s="12"/>
      <c r="GV75" s="12"/>
      <c r="GW75" s="12"/>
      <c r="GX75" s="12"/>
      <c r="GY75" s="12"/>
      <c r="GZ75" s="12"/>
      <c r="HA75" s="12"/>
      <c r="HB75" s="12"/>
      <c r="HC75" s="12"/>
      <c r="HD75" s="12"/>
      <c r="HE75" s="12"/>
      <c r="HF75" s="12"/>
      <c r="HG75" s="12"/>
      <c r="HH75" s="12"/>
      <c r="HI75" s="12"/>
      <c r="HJ75" s="12"/>
      <c r="HK75" s="12"/>
      <c r="HL75" s="12"/>
      <c r="HM75" s="12"/>
      <c r="HN75" s="12"/>
      <c r="HO75" s="12"/>
      <c r="HP75" s="12"/>
      <c r="HQ75" s="12"/>
      <c r="HR75" s="12"/>
      <c r="HS75" s="12"/>
      <c r="HT75" s="12"/>
      <c r="HU75" s="12"/>
      <c r="HV75" s="12"/>
      <c r="HW75" s="12"/>
      <c r="HX75" s="12"/>
      <c r="HY75" s="12"/>
      <c r="HZ75" s="12"/>
      <c r="IA75" s="12"/>
      <c r="IB75" s="12"/>
      <c r="IC75" s="12"/>
      <c r="ID75" s="12"/>
      <c r="IE75" s="12"/>
      <c r="IF75" s="12"/>
      <c r="IG75" s="12"/>
      <c r="IH75" s="12"/>
      <c r="II75" s="12"/>
      <c r="IJ75" s="12"/>
      <c r="IK75" s="12"/>
      <c r="IL75" s="12"/>
      <c r="IM75" s="12"/>
      <c r="IN75" s="12"/>
      <c r="IO75" s="12"/>
      <c r="IP75" s="12"/>
      <c r="IQ75" s="12"/>
      <c r="IR75" s="12"/>
      <c r="IS75" s="12"/>
      <c r="IT75" s="12"/>
      <c r="IU75" s="12"/>
      <c r="IV75" s="12"/>
      <c r="IW75" s="12"/>
      <c r="IX75" s="12"/>
      <c r="IY75" s="12"/>
      <c r="IZ75" s="12"/>
      <c r="JA75" s="12"/>
      <c r="JB75" s="12"/>
      <c r="JC75" s="12"/>
      <c r="JD75" s="12"/>
      <c r="JE75" s="12"/>
      <c r="JF75" s="12"/>
      <c r="JG75" s="12"/>
      <c r="JH75" s="12"/>
      <c r="JI75" s="12"/>
      <c r="JJ75" s="12"/>
      <c r="JK75" s="12"/>
      <c r="JL75" s="12"/>
      <c r="JM75" s="12"/>
      <c r="JN75" s="12"/>
      <c r="JO75" s="12"/>
      <c r="JP75" s="12"/>
      <c r="JQ75" s="12"/>
      <c r="JR75" s="12"/>
      <c r="JS75" s="12"/>
      <c r="JT75" s="12"/>
      <c r="JU75" s="12"/>
      <c r="JV75" s="12"/>
    </row>
    <row r="76" spans="1:282" s="16" customFormat="1" ht="50.1" customHeight="1" x14ac:dyDescent="0.2">
      <c r="A76" s="700"/>
      <c r="B76" s="29" t="s">
        <v>1174</v>
      </c>
      <c r="C76" s="29"/>
      <c r="D76" s="29"/>
      <c r="E76" s="29" t="s">
        <v>902</v>
      </c>
      <c r="F76" s="104" t="s">
        <v>903</v>
      </c>
      <c r="G76" s="29" t="s">
        <v>794</v>
      </c>
      <c r="H76" s="29" t="s">
        <v>904</v>
      </c>
      <c r="I76" s="29"/>
      <c r="J76" s="69" t="s">
        <v>50</v>
      </c>
      <c r="K76" s="29" t="s">
        <v>1393</v>
      </c>
      <c r="L76" s="30" t="s">
        <v>1923</v>
      </c>
      <c r="M76" s="29" t="s">
        <v>2445</v>
      </c>
      <c r="N76" s="74">
        <v>39946</v>
      </c>
      <c r="O76" s="69" t="s">
        <v>905</v>
      </c>
      <c r="P76" s="69"/>
      <c r="Q76" s="69"/>
      <c r="R76" s="69"/>
      <c r="S76" s="69"/>
      <c r="T76" s="155" t="s">
        <v>997</v>
      </c>
      <c r="U76" s="155"/>
      <c r="V76" s="155"/>
      <c r="W76" s="155"/>
      <c r="X76" s="155"/>
      <c r="Y76" s="155"/>
      <c r="Z76" s="155"/>
      <c r="AA76" s="155"/>
      <c r="AB76" s="155"/>
      <c r="AC76" s="155"/>
      <c r="AD76" s="155"/>
      <c r="AE76" s="155"/>
      <c r="AF76" s="155"/>
      <c r="AG76" s="155"/>
      <c r="AH76" s="155"/>
      <c r="AI76" s="155"/>
      <c r="AJ76" s="74">
        <v>40560</v>
      </c>
      <c r="AK76" s="720">
        <f t="shared" si="2"/>
        <v>614</v>
      </c>
      <c r="AL76" s="155"/>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c r="EA76" s="12"/>
      <c r="EB76" s="12"/>
      <c r="EC76" s="12"/>
      <c r="ED76" s="12"/>
      <c r="EE76" s="12"/>
      <c r="EF76" s="12"/>
      <c r="EG76" s="12"/>
      <c r="EH76" s="12"/>
      <c r="EI76" s="12"/>
      <c r="EJ76" s="12"/>
      <c r="EK76" s="12"/>
      <c r="EL76" s="12"/>
      <c r="EM76" s="12"/>
      <c r="EN76" s="12"/>
      <c r="EO76" s="12"/>
      <c r="EP76" s="12"/>
      <c r="EQ76" s="12"/>
      <c r="ER76" s="12"/>
      <c r="ES76" s="12"/>
      <c r="ET76" s="12"/>
      <c r="EU76" s="12"/>
      <c r="EV76" s="12"/>
      <c r="EW76" s="12"/>
      <c r="EX76" s="12"/>
      <c r="EY76" s="12"/>
      <c r="EZ76" s="12"/>
      <c r="FA76" s="12"/>
      <c r="FB76" s="12"/>
      <c r="FC76" s="12"/>
      <c r="FD76" s="12"/>
      <c r="FE76" s="12"/>
      <c r="FF76" s="12"/>
      <c r="FG76" s="12"/>
      <c r="FH76" s="12"/>
      <c r="FI76" s="12"/>
      <c r="FJ76" s="12"/>
      <c r="FK76" s="12"/>
      <c r="FL76" s="12"/>
      <c r="FM76" s="12"/>
      <c r="FN76" s="12"/>
      <c r="FO76" s="12"/>
      <c r="FP76" s="12"/>
      <c r="FQ76" s="12"/>
      <c r="FR76" s="12"/>
      <c r="FS76" s="12"/>
      <c r="FT76" s="12"/>
      <c r="FU76" s="12"/>
      <c r="FV76" s="12"/>
      <c r="FW76" s="12"/>
      <c r="FX76" s="12"/>
      <c r="FY76" s="12"/>
      <c r="FZ76" s="12"/>
      <c r="GA76" s="12"/>
      <c r="GB76" s="12"/>
      <c r="GC76" s="12"/>
      <c r="GD76" s="12"/>
      <c r="GE76" s="12"/>
      <c r="GF76" s="12"/>
      <c r="GG76" s="12"/>
      <c r="GH76" s="12"/>
      <c r="GI76" s="12"/>
      <c r="GJ76" s="12"/>
      <c r="GK76" s="12"/>
      <c r="GL76" s="12"/>
      <c r="GM76" s="12"/>
      <c r="GN76" s="12"/>
      <c r="GO76" s="12"/>
      <c r="GP76" s="12"/>
      <c r="GQ76" s="12"/>
      <c r="GR76" s="12"/>
      <c r="GS76" s="12"/>
      <c r="GT76" s="12"/>
      <c r="GU76" s="12"/>
      <c r="GV76" s="12"/>
      <c r="GW76" s="12"/>
      <c r="GX76" s="12"/>
      <c r="GY76" s="12"/>
      <c r="GZ76" s="12"/>
      <c r="HA76" s="12"/>
      <c r="HB76" s="12"/>
      <c r="HC76" s="12"/>
      <c r="HD76" s="12"/>
      <c r="HE76" s="12"/>
      <c r="HF76" s="12"/>
      <c r="HG76" s="12"/>
      <c r="HH76" s="12"/>
      <c r="HI76" s="12"/>
      <c r="HJ76" s="12"/>
      <c r="HK76" s="12"/>
      <c r="HL76" s="12"/>
      <c r="HM76" s="12"/>
      <c r="HN76" s="12"/>
      <c r="HO76" s="12"/>
      <c r="HP76" s="12"/>
      <c r="HQ76" s="12"/>
      <c r="HR76" s="12"/>
      <c r="HS76" s="12"/>
      <c r="HT76" s="12"/>
      <c r="HU76" s="12"/>
      <c r="HV76" s="12"/>
      <c r="HW76" s="12"/>
      <c r="HX76" s="12"/>
      <c r="HY76" s="12"/>
      <c r="HZ76" s="12"/>
      <c r="IA76" s="12"/>
      <c r="IB76" s="12"/>
      <c r="IC76" s="12"/>
      <c r="ID76" s="12"/>
      <c r="IE76" s="12"/>
      <c r="IF76" s="12"/>
      <c r="IG76" s="12"/>
      <c r="IH76" s="12"/>
      <c r="II76" s="12"/>
      <c r="IJ76" s="12"/>
      <c r="IK76" s="12"/>
      <c r="IL76" s="12"/>
      <c r="IM76" s="12"/>
      <c r="IN76" s="12"/>
      <c r="IO76" s="12"/>
      <c r="IP76" s="12"/>
      <c r="IQ76" s="12"/>
      <c r="IR76" s="12"/>
      <c r="IS76" s="12"/>
      <c r="IT76" s="12"/>
      <c r="IU76" s="12"/>
      <c r="IV76" s="12"/>
      <c r="IW76" s="12"/>
      <c r="IX76" s="12"/>
      <c r="IY76" s="12"/>
      <c r="IZ76" s="12"/>
      <c r="JA76" s="12"/>
      <c r="JB76" s="12"/>
      <c r="JC76" s="12"/>
      <c r="JD76" s="12"/>
      <c r="JE76" s="12"/>
      <c r="JF76" s="12"/>
      <c r="JG76" s="12"/>
      <c r="JH76" s="12"/>
      <c r="JI76" s="12"/>
      <c r="JJ76" s="12"/>
      <c r="JK76" s="12"/>
      <c r="JL76" s="12"/>
      <c r="JM76" s="12"/>
      <c r="JN76" s="12"/>
      <c r="JO76" s="12"/>
      <c r="JP76" s="12"/>
      <c r="JQ76" s="12"/>
      <c r="JR76" s="12"/>
      <c r="JS76" s="12"/>
      <c r="JT76" s="12"/>
      <c r="JU76" s="12"/>
      <c r="JV76" s="12"/>
    </row>
    <row r="77" spans="1:282" s="16" customFormat="1" ht="50.1" customHeight="1" x14ac:dyDescent="0.2">
      <c r="A77" s="700"/>
      <c r="B77" s="29" t="s">
        <v>1174</v>
      </c>
      <c r="C77" s="29"/>
      <c r="D77" s="29"/>
      <c r="E77" s="29" t="s">
        <v>906</v>
      </c>
      <c r="F77" s="104" t="s">
        <v>907</v>
      </c>
      <c r="G77" s="29" t="s">
        <v>907</v>
      </c>
      <c r="H77" s="29" t="s">
        <v>908</v>
      </c>
      <c r="I77" s="29"/>
      <c r="J77" s="29" t="s">
        <v>25</v>
      </c>
      <c r="K77" s="30" t="s">
        <v>1394</v>
      </c>
      <c r="L77" s="29" t="s">
        <v>685</v>
      </c>
      <c r="M77" s="29" t="s">
        <v>1528</v>
      </c>
      <c r="N77" s="74">
        <v>39931</v>
      </c>
      <c r="O77" s="29" t="s">
        <v>909</v>
      </c>
      <c r="P77" s="29"/>
      <c r="Q77" s="29"/>
      <c r="R77" s="29"/>
      <c r="S77" s="29"/>
      <c r="T77" s="155">
        <v>10</v>
      </c>
      <c r="U77" s="155"/>
      <c r="V77" s="155"/>
      <c r="W77" s="155"/>
      <c r="X77" s="155"/>
      <c r="Y77" s="155"/>
      <c r="Z77" s="155"/>
      <c r="AA77" s="155"/>
      <c r="AB77" s="155"/>
      <c r="AC77" s="155"/>
      <c r="AD77" s="155"/>
      <c r="AE77" s="155"/>
      <c r="AF77" s="155"/>
      <c r="AG77" s="155"/>
      <c r="AH77" s="155"/>
      <c r="AI77" s="155"/>
      <c r="AJ77" s="74">
        <v>40567</v>
      </c>
      <c r="AK77" s="720">
        <f t="shared" si="2"/>
        <v>636</v>
      </c>
      <c r="AL77" s="155"/>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c r="EA77" s="12"/>
      <c r="EB77" s="12"/>
      <c r="EC77" s="12"/>
      <c r="ED77" s="12"/>
      <c r="EE77" s="12"/>
      <c r="EF77" s="12"/>
      <c r="EG77" s="12"/>
      <c r="EH77" s="12"/>
      <c r="EI77" s="12"/>
      <c r="EJ77" s="12"/>
      <c r="EK77" s="12"/>
      <c r="EL77" s="12"/>
      <c r="EM77" s="12"/>
      <c r="EN77" s="12"/>
      <c r="EO77" s="12"/>
      <c r="EP77" s="12"/>
      <c r="EQ77" s="12"/>
      <c r="ER77" s="12"/>
      <c r="ES77" s="12"/>
      <c r="ET77" s="12"/>
      <c r="EU77" s="12"/>
      <c r="EV77" s="12"/>
      <c r="EW77" s="12"/>
      <c r="EX77" s="12"/>
      <c r="EY77" s="12"/>
      <c r="EZ77" s="12"/>
      <c r="FA77" s="12"/>
      <c r="FB77" s="12"/>
      <c r="FC77" s="12"/>
      <c r="FD77" s="12"/>
      <c r="FE77" s="12"/>
      <c r="FF77" s="12"/>
      <c r="FG77" s="12"/>
      <c r="FH77" s="12"/>
      <c r="FI77" s="12"/>
      <c r="FJ77" s="12"/>
      <c r="FK77" s="12"/>
      <c r="FL77" s="12"/>
      <c r="FM77" s="12"/>
      <c r="FN77" s="12"/>
      <c r="FO77" s="12"/>
      <c r="FP77" s="12"/>
      <c r="FQ77" s="12"/>
      <c r="FR77" s="12"/>
      <c r="FS77" s="12"/>
      <c r="FT77" s="12"/>
      <c r="FU77" s="12"/>
      <c r="FV77" s="12"/>
      <c r="FW77" s="12"/>
      <c r="FX77" s="12"/>
      <c r="FY77" s="12"/>
      <c r="FZ77" s="12"/>
      <c r="GA77" s="12"/>
      <c r="GB77" s="12"/>
      <c r="GC77" s="12"/>
      <c r="GD77" s="12"/>
      <c r="GE77" s="12"/>
      <c r="GF77" s="12"/>
      <c r="GG77" s="12"/>
      <c r="GH77" s="12"/>
      <c r="GI77" s="12"/>
      <c r="GJ77" s="12"/>
      <c r="GK77" s="12"/>
      <c r="GL77" s="12"/>
      <c r="GM77" s="12"/>
      <c r="GN77" s="12"/>
      <c r="GO77" s="12"/>
      <c r="GP77" s="12"/>
      <c r="GQ77" s="12"/>
      <c r="GR77" s="12"/>
      <c r="GS77" s="12"/>
      <c r="GT77" s="12"/>
      <c r="GU77" s="12"/>
      <c r="GV77" s="12"/>
      <c r="GW77" s="12"/>
      <c r="GX77" s="12"/>
      <c r="GY77" s="12"/>
      <c r="GZ77" s="12"/>
      <c r="HA77" s="12"/>
      <c r="HB77" s="12"/>
      <c r="HC77" s="12"/>
      <c r="HD77" s="12"/>
      <c r="HE77" s="12"/>
      <c r="HF77" s="12"/>
      <c r="HG77" s="12"/>
      <c r="HH77" s="12"/>
      <c r="HI77" s="12"/>
      <c r="HJ77" s="12"/>
      <c r="HK77" s="12"/>
      <c r="HL77" s="12"/>
      <c r="HM77" s="12"/>
      <c r="HN77" s="12"/>
      <c r="HO77" s="12"/>
      <c r="HP77" s="12"/>
      <c r="HQ77" s="12"/>
      <c r="HR77" s="12"/>
      <c r="HS77" s="12"/>
      <c r="HT77" s="12"/>
      <c r="HU77" s="12"/>
      <c r="HV77" s="12"/>
      <c r="HW77" s="12"/>
      <c r="HX77" s="12"/>
      <c r="HY77" s="12"/>
      <c r="HZ77" s="12"/>
      <c r="IA77" s="12"/>
      <c r="IB77" s="12"/>
      <c r="IC77" s="12"/>
      <c r="ID77" s="12"/>
      <c r="IE77" s="12"/>
      <c r="IF77" s="12"/>
      <c r="IG77" s="12"/>
      <c r="IH77" s="12"/>
      <c r="II77" s="12"/>
      <c r="IJ77" s="12"/>
      <c r="IK77" s="12"/>
      <c r="IL77" s="12"/>
      <c r="IM77" s="12"/>
      <c r="IN77" s="12"/>
      <c r="IO77" s="12"/>
      <c r="IP77" s="12"/>
      <c r="IQ77" s="12"/>
      <c r="IR77" s="12"/>
      <c r="IS77" s="12"/>
      <c r="IT77" s="12"/>
      <c r="IU77" s="12"/>
      <c r="IV77" s="12"/>
      <c r="IW77" s="12"/>
      <c r="IX77" s="12"/>
      <c r="IY77" s="12"/>
      <c r="IZ77" s="12"/>
      <c r="JA77" s="12"/>
      <c r="JB77" s="12"/>
      <c r="JC77" s="12"/>
      <c r="JD77" s="12"/>
      <c r="JE77" s="12"/>
      <c r="JF77" s="12"/>
      <c r="JG77" s="12"/>
      <c r="JH77" s="12"/>
      <c r="JI77" s="12"/>
      <c r="JJ77" s="12"/>
      <c r="JK77" s="12"/>
      <c r="JL77" s="12"/>
      <c r="JM77" s="12"/>
      <c r="JN77" s="12"/>
      <c r="JO77" s="12"/>
      <c r="JP77" s="12"/>
      <c r="JQ77" s="12"/>
      <c r="JR77" s="12"/>
      <c r="JS77" s="12"/>
      <c r="JT77" s="12"/>
      <c r="JU77" s="12"/>
      <c r="JV77" s="12"/>
    </row>
    <row r="78" spans="1:282" s="16" customFormat="1" ht="50.1" customHeight="1" x14ac:dyDescent="0.2">
      <c r="A78" s="700"/>
      <c r="B78" s="29" t="s">
        <v>1174</v>
      </c>
      <c r="C78" s="29"/>
      <c r="D78" s="29"/>
      <c r="E78" s="29" t="s">
        <v>910</v>
      </c>
      <c r="F78" s="104" t="s">
        <v>911</v>
      </c>
      <c r="G78" s="29" t="s">
        <v>841</v>
      </c>
      <c r="H78" s="29" t="s">
        <v>842</v>
      </c>
      <c r="I78" s="29"/>
      <c r="J78" s="29" t="s">
        <v>769</v>
      </c>
      <c r="K78" s="29" t="s">
        <v>1393</v>
      </c>
      <c r="L78" s="29" t="s">
        <v>879</v>
      </c>
      <c r="M78" s="29" t="s">
        <v>1528</v>
      </c>
      <c r="N78" s="74">
        <v>39965</v>
      </c>
      <c r="O78" s="29" t="s">
        <v>852</v>
      </c>
      <c r="P78" s="29"/>
      <c r="Q78" s="29"/>
      <c r="R78" s="29"/>
      <c r="S78" s="29"/>
      <c r="T78" s="155">
        <v>12</v>
      </c>
      <c r="U78" s="155"/>
      <c r="V78" s="155"/>
      <c r="W78" s="155"/>
      <c r="X78" s="155"/>
      <c r="Y78" s="155"/>
      <c r="Z78" s="155"/>
      <c r="AA78" s="155"/>
      <c r="AB78" s="155"/>
      <c r="AC78" s="155"/>
      <c r="AD78" s="155"/>
      <c r="AE78" s="155"/>
      <c r="AF78" s="155"/>
      <c r="AG78" s="155"/>
      <c r="AH78" s="155"/>
      <c r="AI78" s="155"/>
      <c r="AJ78" s="74">
        <v>40581</v>
      </c>
      <c r="AK78" s="720">
        <f t="shared" si="2"/>
        <v>616</v>
      </c>
      <c r="AL78" s="155"/>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c r="FF78" s="12"/>
      <c r="FG78" s="12"/>
      <c r="FH78" s="12"/>
      <c r="FI78" s="12"/>
      <c r="FJ78" s="12"/>
      <c r="FK78" s="12"/>
      <c r="FL78" s="12"/>
      <c r="FM78" s="12"/>
      <c r="FN78" s="12"/>
      <c r="FO78" s="12"/>
      <c r="FP78" s="12"/>
      <c r="FQ78" s="12"/>
      <c r="FR78" s="12"/>
      <c r="FS78" s="12"/>
      <c r="FT78" s="12"/>
      <c r="FU78" s="12"/>
      <c r="FV78" s="12"/>
      <c r="FW78" s="12"/>
      <c r="FX78" s="12"/>
      <c r="FY78" s="12"/>
      <c r="FZ78" s="12"/>
      <c r="GA78" s="12"/>
      <c r="GB78" s="12"/>
      <c r="GC78" s="12"/>
      <c r="GD78" s="12"/>
      <c r="GE78" s="12"/>
      <c r="GF78" s="12"/>
      <c r="GG78" s="12"/>
      <c r="GH78" s="12"/>
      <c r="GI78" s="12"/>
      <c r="GJ78" s="12"/>
      <c r="GK78" s="12"/>
      <c r="GL78" s="12"/>
      <c r="GM78" s="12"/>
      <c r="GN78" s="12"/>
      <c r="GO78" s="12"/>
      <c r="GP78" s="12"/>
      <c r="GQ78" s="12"/>
      <c r="GR78" s="12"/>
      <c r="GS78" s="12"/>
      <c r="GT78" s="12"/>
      <c r="GU78" s="12"/>
      <c r="GV78" s="12"/>
      <c r="GW78" s="12"/>
      <c r="GX78" s="12"/>
      <c r="GY78" s="12"/>
      <c r="GZ78" s="12"/>
      <c r="HA78" s="12"/>
      <c r="HB78" s="12"/>
      <c r="HC78" s="12"/>
      <c r="HD78" s="12"/>
      <c r="HE78" s="12"/>
      <c r="HF78" s="12"/>
      <c r="HG78" s="12"/>
      <c r="HH78" s="12"/>
      <c r="HI78" s="12"/>
      <c r="HJ78" s="12"/>
      <c r="HK78" s="12"/>
      <c r="HL78" s="12"/>
      <c r="HM78" s="12"/>
      <c r="HN78" s="12"/>
      <c r="HO78" s="12"/>
      <c r="HP78" s="12"/>
      <c r="HQ78" s="12"/>
      <c r="HR78" s="12"/>
      <c r="HS78" s="12"/>
      <c r="HT78" s="12"/>
      <c r="HU78" s="12"/>
      <c r="HV78" s="12"/>
      <c r="HW78" s="12"/>
      <c r="HX78" s="12"/>
      <c r="HY78" s="12"/>
      <c r="HZ78" s="12"/>
      <c r="IA78" s="12"/>
      <c r="IB78" s="12"/>
      <c r="IC78" s="12"/>
      <c r="ID78" s="12"/>
      <c r="IE78" s="12"/>
      <c r="IF78" s="12"/>
      <c r="IG78" s="12"/>
      <c r="IH78" s="12"/>
      <c r="II78" s="12"/>
      <c r="IJ78" s="12"/>
      <c r="IK78" s="12"/>
      <c r="IL78" s="12"/>
      <c r="IM78" s="12"/>
      <c r="IN78" s="12"/>
      <c r="IO78" s="12"/>
      <c r="IP78" s="12"/>
      <c r="IQ78" s="12"/>
      <c r="IR78" s="12"/>
      <c r="IS78" s="12"/>
      <c r="IT78" s="12"/>
      <c r="IU78" s="12"/>
      <c r="IV78" s="12"/>
      <c r="IW78" s="12"/>
      <c r="IX78" s="12"/>
      <c r="IY78" s="12"/>
      <c r="IZ78" s="12"/>
      <c r="JA78" s="12"/>
      <c r="JB78" s="12"/>
      <c r="JC78" s="12"/>
      <c r="JD78" s="12"/>
      <c r="JE78" s="12"/>
      <c r="JF78" s="12"/>
      <c r="JG78" s="12"/>
      <c r="JH78" s="12"/>
      <c r="JI78" s="12"/>
      <c r="JJ78" s="12"/>
      <c r="JK78" s="12"/>
      <c r="JL78" s="12"/>
      <c r="JM78" s="12"/>
      <c r="JN78" s="12"/>
      <c r="JO78" s="12"/>
      <c r="JP78" s="12"/>
      <c r="JQ78" s="12"/>
      <c r="JR78" s="12"/>
      <c r="JS78" s="12"/>
      <c r="JT78" s="12"/>
      <c r="JU78" s="12"/>
      <c r="JV78" s="12"/>
    </row>
    <row r="79" spans="1:282" s="16" customFormat="1" ht="50.1" customHeight="1" x14ac:dyDescent="0.2">
      <c r="A79" s="700"/>
      <c r="B79" s="29" t="s">
        <v>1174</v>
      </c>
      <c r="C79" s="29"/>
      <c r="D79" s="29"/>
      <c r="E79" s="29" t="s">
        <v>912</v>
      </c>
      <c r="F79" s="104" t="s">
        <v>913</v>
      </c>
      <c r="G79" s="29" t="s">
        <v>913</v>
      </c>
      <c r="H79" s="29" t="s">
        <v>914</v>
      </c>
      <c r="I79" s="29"/>
      <c r="J79" s="29" t="s">
        <v>123</v>
      </c>
      <c r="K79" s="30" t="s">
        <v>1394</v>
      </c>
      <c r="L79" s="29" t="s">
        <v>685</v>
      </c>
      <c r="M79" s="29" t="s">
        <v>1528</v>
      </c>
      <c r="N79" s="74">
        <v>40030</v>
      </c>
      <c r="O79" s="29" t="s">
        <v>915</v>
      </c>
      <c r="P79" s="29"/>
      <c r="Q79" s="29"/>
      <c r="R79" s="29"/>
      <c r="S79" s="29"/>
      <c r="T79" s="156"/>
      <c r="U79" s="156"/>
      <c r="V79" s="156"/>
      <c r="W79" s="156"/>
      <c r="X79" s="156"/>
      <c r="Y79" s="156"/>
      <c r="Z79" s="156"/>
      <c r="AA79" s="156"/>
      <c r="AB79" s="156"/>
      <c r="AC79" s="156"/>
      <c r="AD79" s="156"/>
      <c r="AE79" s="156"/>
      <c r="AF79" s="156"/>
      <c r="AG79" s="156"/>
      <c r="AH79" s="156"/>
      <c r="AI79" s="156"/>
      <c r="AJ79" s="74">
        <v>40588</v>
      </c>
      <c r="AK79" s="720">
        <f t="shared" si="2"/>
        <v>558</v>
      </c>
      <c r="AL79" s="593"/>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c r="FF79" s="12"/>
      <c r="FG79" s="12"/>
      <c r="FH79" s="12"/>
      <c r="FI79" s="12"/>
      <c r="FJ79" s="12"/>
      <c r="FK79" s="12"/>
      <c r="FL79" s="12"/>
      <c r="FM79" s="12"/>
      <c r="FN79" s="12"/>
      <c r="FO79" s="12"/>
      <c r="FP79" s="12"/>
      <c r="FQ79" s="12"/>
      <c r="FR79" s="12"/>
      <c r="FS79" s="12"/>
      <c r="FT79" s="12"/>
      <c r="FU79" s="12"/>
      <c r="FV79" s="12"/>
      <c r="FW79" s="12"/>
      <c r="FX79" s="12"/>
      <c r="FY79" s="12"/>
      <c r="FZ79" s="12"/>
      <c r="GA79" s="12"/>
      <c r="GB79" s="12"/>
      <c r="GC79" s="12"/>
      <c r="GD79" s="12"/>
      <c r="GE79" s="12"/>
      <c r="GF79" s="12"/>
      <c r="GG79" s="12"/>
      <c r="GH79" s="12"/>
      <c r="GI79" s="12"/>
      <c r="GJ79" s="12"/>
      <c r="GK79" s="12"/>
      <c r="GL79" s="12"/>
      <c r="GM79" s="12"/>
      <c r="GN79" s="12"/>
      <c r="GO79" s="12"/>
      <c r="GP79" s="12"/>
      <c r="GQ79" s="12"/>
      <c r="GR79" s="12"/>
      <c r="GS79" s="12"/>
      <c r="GT79" s="12"/>
      <c r="GU79" s="12"/>
      <c r="GV79" s="12"/>
      <c r="GW79" s="12"/>
      <c r="GX79" s="12"/>
      <c r="GY79" s="12"/>
      <c r="GZ79" s="12"/>
      <c r="HA79" s="12"/>
      <c r="HB79" s="12"/>
      <c r="HC79" s="12"/>
      <c r="HD79" s="12"/>
      <c r="HE79" s="12"/>
      <c r="HF79" s="12"/>
      <c r="HG79" s="12"/>
      <c r="HH79" s="12"/>
      <c r="HI79" s="12"/>
      <c r="HJ79" s="12"/>
      <c r="HK79" s="12"/>
      <c r="HL79" s="12"/>
      <c r="HM79" s="12"/>
      <c r="HN79" s="12"/>
      <c r="HO79" s="12"/>
      <c r="HP79" s="12"/>
      <c r="HQ79" s="12"/>
      <c r="HR79" s="12"/>
      <c r="HS79" s="12"/>
      <c r="HT79" s="12"/>
      <c r="HU79" s="12"/>
      <c r="HV79" s="12"/>
      <c r="HW79" s="12"/>
      <c r="HX79" s="12"/>
      <c r="HY79" s="12"/>
      <c r="HZ79" s="12"/>
      <c r="IA79" s="12"/>
      <c r="IB79" s="12"/>
      <c r="IC79" s="12"/>
      <c r="ID79" s="12"/>
      <c r="IE79" s="12"/>
      <c r="IF79" s="12"/>
      <c r="IG79" s="12"/>
      <c r="IH79" s="12"/>
      <c r="II79" s="12"/>
      <c r="IJ79" s="12"/>
      <c r="IK79" s="12"/>
      <c r="IL79" s="12"/>
      <c r="IM79" s="12"/>
      <c r="IN79" s="12"/>
      <c r="IO79" s="12"/>
      <c r="IP79" s="12"/>
      <c r="IQ79" s="12"/>
      <c r="IR79" s="12"/>
      <c r="IS79" s="12"/>
      <c r="IT79" s="12"/>
      <c r="IU79" s="12"/>
      <c r="IV79" s="12"/>
      <c r="IW79" s="12"/>
      <c r="IX79" s="12"/>
      <c r="IY79" s="12"/>
      <c r="IZ79" s="12"/>
      <c r="JA79" s="12"/>
      <c r="JB79" s="12"/>
      <c r="JC79" s="12"/>
      <c r="JD79" s="12"/>
      <c r="JE79" s="12"/>
      <c r="JF79" s="12"/>
      <c r="JG79" s="12"/>
      <c r="JH79" s="12"/>
      <c r="JI79" s="12"/>
      <c r="JJ79" s="12"/>
      <c r="JK79" s="12"/>
      <c r="JL79" s="12"/>
      <c r="JM79" s="12"/>
      <c r="JN79" s="12"/>
      <c r="JO79" s="12"/>
      <c r="JP79" s="12"/>
      <c r="JQ79" s="12"/>
      <c r="JR79" s="12"/>
      <c r="JS79" s="12"/>
      <c r="JT79" s="12"/>
      <c r="JU79" s="12"/>
      <c r="JV79" s="12"/>
    </row>
    <row r="80" spans="1:282" s="16" customFormat="1" ht="50.1" customHeight="1" x14ac:dyDescent="0.2">
      <c r="A80" s="700"/>
      <c r="B80" s="29" t="s">
        <v>1174</v>
      </c>
      <c r="C80" s="29"/>
      <c r="D80" s="29"/>
      <c r="E80" s="29" t="s">
        <v>919</v>
      </c>
      <c r="F80" s="104" t="s">
        <v>920</v>
      </c>
      <c r="G80" s="29" t="s">
        <v>146</v>
      </c>
      <c r="H80" s="29" t="s">
        <v>921</v>
      </c>
      <c r="I80" s="29"/>
      <c r="J80" s="29" t="s">
        <v>834</v>
      </c>
      <c r="K80" s="29" t="s">
        <v>1393</v>
      </c>
      <c r="L80" s="29" t="s">
        <v>685</v>
      </c>
      <c r="M80" s="29" t="s">
        <v>2444</v>
      </c>
      <c r="N80" s="74">
        <v>39630</v>
      </c>
      <c r="O80" s="29" t="s">
        <v>922</v>
      </c>
      <c r="P80" s="29"/>
      <c r="Q80" s="29"/>
      <c r="R80" s="29"/>
      <c r="S80" s="29"/>
      <c r="T80" s="155">
        <v>10</v>
      </c>
      <c r="U80" s="155"/>
      <c r="V80" s="155"/>
      <c r="W80" s="155"/>
      <c r="X80" s="155"/>
      <c r="Y80" s="155"/>
      <c r="Z80" s="155"/>
      <c r="AA80" s="155"/>
      <c r="AB80" s="155"/>
      <c r="AC80" s="155"/>
      <c r="AD80" s="155"/>
      <c r="AE80" s="155"/>
      <c r="AF80" s="155"/>
      <c r="AG80" s="155"/>
      <c r="AH80" s="155"/>
      <c r="AI80" s="155"/>
      <c r="AJ80" s="74">
        <v>40596</v>
      </c>
      <c r="AK80" s="720">
        <f t="shared" si="2"/>
        <v>966</v>
      </c>
      <c r="AL80" s="155"/>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c r="EQ80" s="12"/>
      <c r="ER80" s="12"/>
      <c r="ES80" s="12"/>
      <c r="ET80" s="12"/>
      <c r="EU80" s="12"/>
      <c r="EV80" s="12"/>
      <c r="EW80" s="12"/>
      <c r="EX80" s="12"/>
      <c r="EY80" s="12"/>
      <c r="EZ80" s="12"/>
      <c r="FA80" s="12"/>
      <c r="FB80" s="12"/>
      <c r="FC80" s="12"/>
      <c r="FD80" s="12"/>
      <c r="FE80" s="12"/>
      <c r="FF80" s="12"/>
      <c r="FG80" s="12"/>
      <c r="FH80" s="12"/>
      <c r="FI80" s="12"/>
      <c r="FJ80" s="12"/>
      <c r="FK80" s="12"/>
      <c r="FL80" s="12"/>
      <c r="FM80" s="12"/>
      <c r="FN80" s="12"/>
      <c r="FO80" s="12"/>
      <c r="FP80" s="12"/>
      <c r="FQ80" s="12"/>
      <c r="FR80" s="12"/>
      <c r="FS80" s="12"/>
      <c r="FT80" s="12"/>
      <c r="FU80" s="12"/>
      <c r="FV80" s="12"/>
      <c r="FW80" s="12"/>
      <c r="FX80" s="12"/>
      <c r="FY80" s="12"/>
      <c r="FZ80" s="12"/>
      <c r="GA80" s="12"/>
      <c r="GB80" s="12"/>
      <c r="GC80" s="12"/>
      <c r="GD80" s="12"/>
      <c r="GE80" s="12"/>
      <c r="GF80" s="12"/>
      <c r="GG80" s="12"/>
      <c r="GH80" s="12"/>
      <c r="GI80" s="12"/>
      <c r="GJ80" s="12"/>
      <c r="GK80" s="12"/>
      <c r="GL80" s="12"/>
      <c r="GM80" s="12"/>
      <c r="GN80" s="12"/>
      <c r="GO80" s="12"/>
      <c r="GP80" s="12"/>
      <c r="GQ80" s="12"/>
      <c r="GR80" s="12"/>
      <c r="GS80" s="12"/>
      <c r="GT80" s="12"/>
      <c r="GU80" s="12"/>
      <c r="GV80" s="12"/>
      <c r="GW80" s="12"/>
      <c r="GX80" s="12"/>
      <c r="GY80" s="12"/>
      <c r="GZ80" s="12"/>
      <c r="HA80" s="12"/>
      <c r="HB80" s="12"/>
      <c r="HC80" s="12"/>
      <c r="HD80" s="12"/>
      <c r="HE80" s="12"/>
      <c r="HF80" s="12"/>
      <c r="HG80" s="12"/>
      <c r="HH80" s="12"/>
      <c r="HI80" s="12"/>
      <c r="HJ80" s="12"/>
      <c r="HK80" s="12"/>
      <c r="HL80" s="12"/>
      <c r="HM80" s="12"/>
      <c r="HN80" s="12"/>
      <c r="HO80" s="12"/>
      <c r="HP80" s="12"/>
      <c r="HQ80" s="12"/>
      <c r="HR80" s="12"/>
      <c r="HS80" s="12"/>
      <c r="HT80" s="12"/>
      <c r="HU80" s="12"/>
      <c r="HV80" s="12"/>
      <c r="HW80" s="12"/>
      <c r="HX80" s="12"/>
      <c r="HY80" s="12"/>
      <c r="HZ80" s="12"/>
      <c r="IA80" s="12"/>
      <c r="IB80" s="12"/>
      <c r="IC80" s="12"/>
      <c r="ID80" s="12"/>
      <c r="IE80" s="12"/>
      <c r="IF80" s="12"/>
      <c r="IG80" s="12"/>
      <c r="IH80" s="12"/>
      <c r="II80" s="12"/>
      <c r="IJ80" s="12"/>
      <c r="IK80" s="12"/>
      <c r="IL80" s="12"/>
      <c r="IM80" s="12"/>
      <c r="IN80" s="12"/>
      <c r="IO80" s="12"/>
      <c r="IP80" s="12"/>
      <c r="IQ80" s="12"/>
      <c r="IR80" s="12"/>
      <c r="IS80" s="12"/>
      <c r="IT80" s="12"/>
      <c r="IU80" s="12"/>
      <c r="IV80" s="12"/>
      <c r="IW80" s="12"/>
      <c r="IX80" s="12"/>
      <c r="IY80" s="12"/>
      <c r="IZ80" s="12"/>
      <c r="JA80" s="12"/>
      <c r="JB80" s="12"/>
      <c r="JC80" s="12"/>
      <c r="JD80" s="12"/>
      <c r="JE80" s="12"/>
      <c r="JF80" s="12"/>
      <c r="JG80" s="12"/>
      <c r="JH80" s="12"/>
      <c r="JI80" s="12"/>
      <c r="JJ80" s="12"/>
      <c r="JK80" s="12"/>
      <c r="JL80" s="12"/>
      <c r="JM80" s="12"/>
      <c r="JN80" s="12"/>
      <c r="JO80" s="12"/>
      <c r="JP80" s="12"/>
      <c r="JQ80" s="12"/>
      <c r="JR80" s="12"/>
      <c r="JS80" s="12"/>
      <c r="JT80" s="12"/>
      <c r="JU80" s="12"/>
      <c r="JV80" s="12"/>
    </row>
    <row r="81" spans="1:282" s="16" customFormat="1" ht="50.1" customHeight="1" x14ac:dyDescent="0.2">
      <c r="A81" s="700"/>
      <c r="B81" s="29" t="s">
        <v>1174</v>
      </c>
      <c r="C81" s="29"/>
      <c r="D81" s="29"/>
      <c r="E81" s="29" t="s">
        <v>916</v>
      </c>
      <c r="F81" s="104" t="s">
        <v>917</v>
      </c>
      <c r="G81" s="29" t="s">
        <v>907</v>
      </c>
      <c r="H81" s="29" t="s">
        <v>908</v>
      </c>
      <c r="I81" s="29"/>
      <c r="J81" s="29" t="s">
        <v>25</v>
      </c>
      <c r="K81" s="29" t="s">
        <v>1393</v>
      </c>
      <c r="L81" s="29" t="s">
        <v>685</v>
      </c>
      <c r="M81" s="29" t="s">
        <v>1528</v>
      </c>
      <c r="N81" s="74">
        <v>39931</v>
      </c>
      <c r="O81" s="29" t="s">
        <v>918</v>
      </c>
      <c r="P81" s="29"/>
      <c r="Q81" s="29"/>
      <c r="R81" s="29"/>
      <c r="S81" s="29"/>
      <c r="T81" s="156"/>
      <c r="U81" s="156"/>
      <c r="V81" s="156"/>
      <c r="W81" s="156"/>
      <c r="X81" s="156"/>
      <c r="Y81" s="156"/>
      <c r="Z81" s="156"/>
      <c r="AA81" s="156"/>
      <c r="AB81" s="156"/>
      <c r="AC81" s="156"/>
      <c r="AD81" s="156"/>
      <c r="AE81" s="156"/>
      <c r="AF81" s="156"/>
      <c r="AG81" s="156"/>
      <c r="AH81" s="156"/>
      <c r="AI81" s="156"/>
      <c r="AJ81" s="74">
        <v>40596</v>
      </c>
      <c r="AK81" s="720">
        <f t="shared" si="2"/>
        <v>665</v>
      </c>
      <c r="AL81" s="155"/>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c r="EA81" s="12"/>
      <c r="EB81" s="12"/>
      <c r="EC81" s="12"/>
      <c r="ED81" s="12"/>
      <c r="EE81" s="12"/>
      <c r="EF81" s="12"/>
      <c r="EG81" s="12"/>
      <c r="EH81" s="12"/>
      <c r="EI81" s="12"/>
      <c r="EJ81" s="12"/>
      <c r="EK81" s="12"/>
      <c r="EL81" s="12"/>
      <c r="EM81" s="12"/>
      <c r="EN81" s="12"/>
      <c r="EO81" s="12"/>
      <c r="EP81" s="12"/>
      <c r="EQ81" s="12"/>
      <c r="ER81" s="12"/>
      <c r="ES81" s="12"/>
      <c r="ET81" s="12"/>
      <c r="EU81" s="12"/>
      <c r="EV81" s="12"/>
      <c r="EW81" s="12"/>
      <c r="EX81" s="12"/>
      <c r="EY81" s="12"/>
      <c r="EZ81" s="12"/>
      <c r="FA81" s="12"/>
      <c r="FB81" s="12"/>
      <c r="FC81" s="12"/>
      <c r="FD81" s="12"/>
      <c r="FE81" s="12"/>
      <c r="FF81" s="12"/>
      <c r="FG81" s="12"/>
      <c r="FH81" s="12"/>
      <c r="FI81" s="12"/>
      <c r="FJ81" s="12"/>
      <c r="FK81" s="12"/>
      <c r="FL81" s="12"/>
      <c r="FM81" s="12"/>
      <c r="FN81" s="12"/>
      <c r="FO81" s="12"/>
      <c r="FP81" s="12"/>
      <c r="FQ81" s="12"/>
      <c r="FR81" s="12"/>
      <c r="FS81" s="12"/>
      <c r="FT81" s="12"/>
      <c r="FU81" s="12"/>
      <c r="FV81" s="12"/>
      <c r="FW81" s="12"/>
      <c r="FX81" s="12"/>
      <c r="FY81" s="12"/>
      <c r="FZ81" s="12"/>
      <c r="GA81" s="12"/>
      <c r="GB81" s="12"/>
      <c r="GC81" s="12"/>
      <c r="GD81" s="12"/>
      <c r="GE81" s="12"/>
      <c r="GF81" s="12"/>
      <c r="GG81" s="12"/>
      <c r="GH81" s="12"/>
      <c r="GI81" s="12"/>
      <c r="GJ81" s="12"/>
      <c r="GK81" s="12"/>
      <c r="GL81" s="12"/>
      <c r="GM81" s="12"/>
      <c r="GN81" s="12"/>
      <c r="GO81" s="12"/>
      <c r="GP81" s="12"/>
      <c r="GQ81" s="12"/>
      <c r="GR81" s="12"/>
      <c r="GS81" s="12"/>
      <c r="GT81" s="12"/>
      <c r="GU81" s="12"/>
      <c r="GV81" s="12"/>
      <c r="GW81" s="12"/>
      <c r="GX81" s="12"/>
      <c r="GY81" s="12"/>
      <c r="GZ81" s="12"/>
      <c r="HA81" s="12"/>
      <c r="HB81" s="12"/>
      <c r="HC81" s="12"/>
      <c r="HD81" s="12"/>
      <c r="HE81" s="12"/>
      <c r="HF81" s="12"/>
      <c r="HG81" s="12"/>
      <c r="HH81" s="12"/>
      <c r="HI81" s="12"/>
      <c r="HJ81" s="12"/>
      <c r="HK81" s="12"/>
      <c r="HL81" s="12"/>
      <c r="HM81" s="12"/>
      <c r="HN81" s="12"/>
      <c r="HO81" s="12"/>
      <c r="HP81" s="12"/>
      <c r="HQ81" s="12"/>
      <c r="HR81" s="12"/>
      <c r="HS81" s="12"/>
      <c r="HT81" s="12"/>
      <c r="HU81" s="12"/>
      <c r="HV81" s="12"/>
      <c r="HW81" s="12"/>
      <c r="HX81" s="12"/>
      <c r="HY81" s="12"/>
      <c r="HZ81" s="12"/>
      <c r="IA81" s="12"/>
      <c r="IB81" s="12"/>
      <c r="IC81" s="12"/>
      <c r="ID81" s="12"/>
      <c r="IE81" s="12"/>
      <c r="IF81" s="12"/>
      <c r="IG81" s="12"/>
      <c r="IH81" s="12"/>
      <c r="II81" s="12"/>
      <c r="IJ81" s="12"/>
      <c r="IK81" s="12"/>
      <c r="IL81" s="12"/>
      <c r="IM81" s="12"/>
      <c r="IN81" s="12"/>
      <c r="IO81" s="12"/>
      <c r="IP81" s="12"/>
      <c r="IQ81" s="12"/>
      <c r="IR81" s="12"/>
      <c r="IS81" s="12"/>
      <c r="IT81" s="12"/>
      <c r="IU81" s="12"/>
      <c r="IV81" s="12"/>
      <c r="IW81" s="12"/>
      <c r="IX81" s="12"/>
      <c r="IY81" s="12"/>
      <c r="IZ81" s="12"/>
      <c r="JA81" s="12"/>
      <c r="JB81" s="12"/>
      <c r="JC81" s="12"/>
      <c r="JD81" s="12"/>
      <c r="JE81" s="12"/>
      <c r="JF81" s="12"/>
      <c r="JG81" s="12"/>
      <c r="JH81" s="12"/>
      <c r="JI81" s="12"/>
      <c r="JJ81" s="12"/>
      <c r="JK81" s="12"/>
      <c r="JL81" s="12"/>
      <c r="JM81" s="12"/>
      <c r="JN81" s="12"/>
      <c r="JO81" s="12"/>
      <c r="JP81" s="12"/>
      <c r="JQ81" s="12"/>
      <c r="JR81" s="12"/>
      <c r="JS81" s="12"/>
      <c r="JT81" s="12"/>
      <c r="JU81" s="12"/>
      <c r="JV81" s="12"/>
    </row>
    <row r="82" spans="1:282" s="16" customFormat="1" ht="50.1" customHeight="1" x14ac:dyDescent="0.2">
      <c r="A82" s="700"/>
      <c r="B82" s="165" t="s">
        <v>1174</v>
      </c>
      <c r="C82" s="165"/>
      <c r="D82" s="165"/>
      <c r="E82" s="165" t="s">
        <v>923</v>
      </c>
      <c r="F82" s="722" t="s">
        <v>924</v>
      </c>
      <c r="G82" s="165" t="s">
        <v>925</v>
      </c>
      <c r="H82" s="165" t="s">
        <v>112</v>
      </c>
      <c r="I82" s="165"/>
      <c r="J82" s="165" t="s">
        <v>1853</v>
      </c>
      <c r="K82" s="705" t="s">
        <v>1392</v>
      </c>
      <c r="L82" s="165" t="s">
        <v>685</v>
      </c>
      <c r="M82" s="165" t="s">
        <v>1528</v>
      </c>
      <c r="N82" s="723">
        <v>40430</v>
      </c>
      <c r="O82" s="165">
        <v>766355102</v>
      </c>
      <c r="P82" s="165"/>
      <c r="Q82" s="165"/>
      <c r="R82" s="165"/>
      <c r="S82" s="165"/>
      <c r="T82" s="592" t="s">
        <v>3018</v>
      </c>
      <c r="U82" s="592"/>
      <c r="V82" s="592"/>
      <c r="W82" s="592"/>
      <c r="X82" s="592"/>
      <c r="Y82" s="592"/>
      <c r="Z82" s="592"/>
      <c r="AA82" s="592"/>
      <c r="AB82" s="592"/>
      <c r="AC82" s="592"/>
      <c r="AD82" s="592"/>
      <c r="AE82" s="592"/>
      <c r="AF82" s="592"/>
      <c r="AG82" s="592"/>
      <c r="AH82" s="592"/>
      <c r="AI82" s="592"/>
      <c r="AJ82" s="723">
        <v>40602</v>
      </c>
      <c r="AK82" s="720">
        <f t="shared" si="2"/>
        <v>172</v>
      </c>
      <c r="AL82" s="59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c r="FF82" s="12"/>
      <c r="FG82" s="12"/>
      <c r="FH82" s="12"/>
      <c r="FI82" s="12"/>
      <c r="FJ82" s="12"/>
      <c r="FK82" s="12"/>
      <c r="FL82" s="12"/>
      <c r="FM82" s="12"/>
      <c r="FN82" s="12"/>
      <c r="FO82" s="12"/>
      <c r="FP82" s="12"/>
      <c r="FQ82" s="12"/>
      <c r="FR82" s="12"/>
      <c r="FS82" s="12"/>
      <c r="FT82" s="12"/>
      <c r="FU82" s="12"/>
      <c r="FV82" s="12"/>
      <c r="FW82" s="12"/>
      <c r="FX82" s="12"/>
      <c r="FY82" s="12"/>
      <c r="FZ82" s="12"/>
      <c r="GA82" s="12"/>
      <c r="GB82" s="12"/>
      <c r="GC82" s="12"/>
      <c r="GD82" s="12"/>
      <c r="GE82" s="12"/>
      <c r="GF82" s="12"/>
      <c r="GG82" s="12"/>
      <c r="GH82" s="12"/>
      <c r="GI82" s="12"/>
      <c r="GJ82" s="12"/>
      <c r="GK82" s="12"/>
      <c r="GL82" s="12"/>
      <c r="GM82" s="12"/>
      <c r="GN82" s="12"/>
      <c r="GO82" s="12"/>
      <c r="GP82" s="12"/>
      <c r="GQ82" s="12"/>
      <c r="GR82" s="12"/>
      <c r="GS82" s="12"/>
      <c r="GT82" s="12"/>
      <c r="GU82" s="12"/>
      <c r="GV82" s="12"/>
      <c r="GW82" s="12"/>
      <c r="GX82" s="12"/>
      <c r="GY82" s="12"/>
      <c r="GZ82" s="12"/>
      <c r="HA82" s="12"/>
      <c r="HB82" s="12"/>
      <c r="HC82" s="12"/>
      <c r="HD82" s="12"/>
      <c r="HE82" s="12"/>
      <c r="HF82" s="12"/>
      <c r="HG82" s="12"/>
      <c r="HH82" s="12"/>
      <c r="HI82" s="12"/>
      <c r="HJ82" s="12"/>
      <c r="HK82" s="12"/>
      <c r="HL82" s="12"/>
      <c r="HM82" s="12"/>
      <c r="HN82" s="12"/>
      <c r="HO82" s="12"/>
      <c r="HP82" s="12"/>
      <c r="HQ82" s="12"/>
      <c r="HR82" s="12"/>
      <c r="HS82" s="12"/>
      <c r="HT82" s="12"/>
      <c r="HU82" s="12"/>
      <c r="HV82" s="12"/>
      <c r="HW82" s="12"/>
      <c r="HX82" s="12"/>
      <c r="HY82" s="12"/>
      <c r="HZ82" s="12"/>
      <c r="IA82" s="12"/>
      <c r="IB82" s="12"/>
      <c r="IC82" s="12"/>
      <c r="ID82" s="12"/>
      <c r="IE82" s="12"/>
      <c r="IF82" s="12"/>
      <c r="IG82" s="12"/>
      <c r="IH82" s="12"/>
      <c r="II82" s="12"/>
      <c r="IJ82" s="12"/>
      <c r="IK82" s="12"/>
      <c r="IL82" s="12"/>
      <c r="IM82" s="12"/>
      <c r="IN82" s="12"/>
      <c r="IO82" s="12"/>
      <c r="IP82" s="12"/>
      <c r="IQ82" s="12"/>
      <c r="IR82" s="12"/>
      <c r="IS82" s="12"/>
      <c r="IT82" s="12"/>
      <c r="IU82" s="12"/>
      <c r="IV82" s="12"/>
      <c r="IW82" s="12"/>
      <c r="IX82" s="12"/>
      <c r="IY82" s="12"/>
      <c r="IZ82" s="12"/>
      <c r="JA82" s="12"/>
      <c r="JB82" s="12"/>
      <c r="JC82" s="12"/>
      <c r="JD82" s="12"/>
      <c r="JE82" s="12"/>
      <c r="JF82" s="12"/>
      <c r="JG82" s="12"/>
      <c r="JH82" s="12"/>
      <c r="JI82" s="12"/>
      <c r="JJ82" s="12"/>
      <c r="JK82" s="12"/>
      <c r="JL82" s="12"/>
      <c r="JM82" s="12"/>
      <c r="JN82" s="12"/>
      <c r="JO82" s="12"/>
      <c r="JP82" s="12"/>
      <c r="JQ82" s="12"/>
      <c r="JR82" s="12"/>
      <c r="JS82" s="12"/>
      <c r="JT82" s="12"/>
      <c r="JU82" s="12"/>
      <c r="JV82" s="12"/>
    </row>
    <row r="83" spans="1:282" s="16" customFormat="1" ht="50.1" customHeight="1" x14ac:dyDescent="0.2">
      <c r="A83" s="700"/>
      <c r="B83" s="29" t="s">
        <v>1174</v>
      </c>
      <c r="C83" s="29"/>
      <c r="D83" s="29"/>
      <c r="E83" s="29" t="s">
        <v>926</v>
      </c>
      <c r="F83" s="104" t="s">
        <v>927</v>
      </c>
      <c r="G83" s="29" t="s">
        <v>927</v>
      </c>
      <c r="H83" s="29" t="s">
        <v>928</v>
      </c>
      <c r="I83" s="29"/>
      <c r="J83" s="29" t="s">
        <v>929</v>
      </c>
      <c r="K83" s="30" t="s">
        <v>1394</v>
      </c>
      <c r="L83" s="29" t="s">
        <v>810</v>
      </c>
      <c r="M83" s="29" t="s">
        <v>1528</v>
      </c>
      <c r="N83" s="74">
        <v>39539</v>
      </c>
      <c r="O83" s="29">
        <v>284835080</v>
      </c>
      <c r="P83" s="29"/>
      <c r="Q83" s="29"/>
      <c r="R83" s="29"/>
      <c r="S83" s="29"/>
      <c r="T83" s="155">
        <v>8</v>
      </c>
      <c r="U83" s="155"/>
      <c r="V83" s="155"/>
      <c r="W83" s="155"/>
      <c r="X83" s="155"/>
      <c r="Y83" s="155"/>
      <c r="Z83" s="155"/>
      <c r="AA83" s="155"/>
      <c r="AB83" s="155"/>
      <c r="AC83" s="155"/>
      <c r="AD83" s="155"/>
      <c r="AE83" s="155"/>
      <c r="AF83" s="155"/>
      <c r="AG83" s="155"/>
      <c r="AH83" s="155"/>
      <c r="AI83" s="155"/>
      <c r="AJ83" s="74">
        <v>40611</v>
      </c>
      <c r="AK83" s="720">
        <f t="shared" si="2"/>
        <v>1072</v>
      </c>
      <c r="AL83" s="155"/>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c r="EA83" s="12"/>
      <c r="EB83" s="12"/>
      <c r="EC83" s="12"/>
      <c r="ED83" s="12"/>
      <c r="EE83" s="12"/>
      <c r="EF83" s="12"/>
      <c r="EG83" s="12"/>
      <c r="EH83" s="12"/>
      <c r="EI83" s="12"/>
      <c r="EJ83" s="12"/>
      <c r="EK83" s="12"/>
      <c r="EL83" s="12"/>
      <c r="EM83" s="12"/>
      <c r="EN83" s="12"/>
      <c r="EO83" s="12"/>
      <c r="EP83" s="12"/>
      <c r="EQ83" s="12"/>
      <c r="ER83" s="12"/>
      <c r="ES83" s="12"/>
      <c r="ET83" s="12"/>
      <c r="EU83" s="12"/>
      <c r="EV83" s="12"/>
      <c r="EW83" s="12"/>
      <c r="EX83" s="12"/>
      <c r="EY83" s="12"/>
      <c r="EZ83" s="12"/>
      <c r="FA83" s="12"/>
      <c r="FB83" s="12"/>
      <c r="FC83" s="12"/>
      <c r="FD83" s="12"/>
      <c r="FE83" s="12"/>
      <c r="FF83" s="12"/>
      <c r="FG83" s="12"/>
      <c r="FH83" s="12"/>
      <c r="FI83" s="12"/>
      <c r="FJ83" s="12"/>
      <c r="FK83" s="12"/>
      <c r="FL83" s="12"/>
      <c r="FM83" s="12"/>
      <c r="FN83" s="12"/>
      <c r="FO83" s="12"/>
      <c r="FP83" s="12"/>
      <c r="FQ83" s="12"/>
      <c r="FR83" s="12"/>
      <c r="FS83" s="12"/>
      <c r="FT83" s="12"/>
      <c r="FU83" s="12"/>
      <c r="FV83" s="12"/>
      <c r="FW83" s="12"/>
      <c r="FX83" s="12"/>
      <c r="FY83" s="12"/>
      <c r="FZ83" s="12"/>
      <c r="GA83" s="12"/>
      <c r="GB83" s="12"/>
      <c r="GC83" s="12"/>
      <c r="GD83" s="12"/>
      <c r="GE83" s="12"/>
      <c r="GF83" s="12"/>
      <c r="GG83" s="12"/>
      <c r="GH83" s="12"/>
      <c r="GI83" s="12"/>
      <c r="GJ83" s="12"/>
      <c r="GK83" s="12"/>
      <c r="GL83" s="12"/>
      <c r="GM83" s="12"/>
      <c r="GN83" s="12"/>
      <c r="GO83" s="12"/>
      <c r="GP83" s="12"/>
      <c r="GQ83" s="12"/>
      <c r="GR83" s="12"/>
      <c r="GS83" s="12"/>
      <c r="GT83" s="12"/>
      <c r="GU83" s="12"/>
      <c r="GV83" s="12"/>
      <c r="GW83" s="12"/>
      <c r="GX83" s="12"/>
      <c r="GY83" s="12"/>
      <c r="GZ83" s="12"/>
      <c r="HA83" s="12"/>
      <c r="HB83" s="12"/>
      <c r="HC83" s="12"/>
      <c r="HD83" s="12"/>
      <c r="HE83" s="12"/>
      <c r="HF83" s="12"/>
      <c r="HG83" s="12"/>
      <c r="HH83" s="12"/>
      <c r="HI83" s="12"/>
      <c r="HJ83" s="12"/>
      <c r="HK83" s="12"/>
      <c r="HL83" s="12"/>
      <c r="HM83" s="12"/>
      <c r="HN83" s="12"/>
      <c r="HO83" s="12"/>
      <c r="HP83" s="12"/>
      <c r="HQ83" s="12"/>
      <c r="HR83" s="12"/>
      <c r="HS83" s="12"/>
      <c r="HT83" s="12"/>
      <c r="HU83" s="12"/>
      <c r="HV83" s="12"/>
      <c r="HW83" s="12"/>
      <c r="HX83" s="12"/>
      <c r="HY83" s="12"/>
      <c r="HZ83" s="12"/>
      <c r="IA83" s="12"/>
      <c r="IB83" s="12"/>
      <c r="IC83" s="12"/>
      <c r="ID83" s="12"/>
      <c r="IE83" s="12"/>
      <c r="IF83" s="12"/>
      <c r="IG83" s="12"/>
      <c r="IH83" s="12"/>
      <c r="II83" s="12"/>
      <c r="IJ83" s="12"/>
      <c r="IK83" s="12"/>
      <c r="IL83" s="12"/>
      <c r="IM83" s="12"/>
      <c r="IN83" s="12"/>
      <c r="IO83" s="12"/>
      <c r="IP83" s="12"/>
      <c r="IQ83" s="12"/>
      <c r="IR83" s="12"/>
      <c r="IS83" s="12"/>
      <c r="IT83" s="12"/>
      <c r="IU83" s="12"/>
      <c r="IV83" s="12"/>
      <c r="IW83" s="12"/>
      <c r="IX83" s="12"/>
      <c r="IY83" s="12"/>
      <c r="IZ83" s="12"/>
      <c r="JA83" s="12"/>
      <c r="JB83" s="12"/>
      <c r="JC83" s="12"/>
      <c r="JD83" s="12"/>
      <c r="JE83" s="12"/>
      <c r="JF83" s="12"/>
      <c r="JG83" s="12"/>
      <c r="JH83" s="12"/>
      <c r="JI83" s="12"/>
      <c r="JJ83" s="12"/>
      <c r="JK83" s="12"/>
      <c r="JL83" s="12"/>
      <c r="JM83" s="12"/>
      <c r="JN83" s="12"/>
      <c r="JO83" s="12"/>
      <c r="JP83" s="12"/>
      <c r="JQ83" s="12"/>
      <c r="JR83" s="12"/>
      <c r="JS83" s="12"/>
      <c r="JT83" s="12"/>
      <c r="JU83" s="12"/>
      <c r="JV83" s="12"/>
    </row>
    <row r="84" spans="1:282" s="16" customFormat="1" ht="50.1" customHeight="1" x14ac:dyDescent="0.2">
      <c r="A84" s="700"/>
      <c r="B84" s="29" t="s">
        <v>1174</v>
      </c>
      <c r="C84" s="29"/>
      <c r="D84" s="29"/>
      <c r="E84" s="29" t="s">
        <v>930</v>
      </c>
      <c r="F84" s="104" t="s">
        <v>931</v>
      </c>
      <c r="G84" s="29" t="s">
        <v>932</v>
      </c>
      <c r="H84" s="29" t="s">
        <v>933</v>
      </c>
      <c r="I84" s="29"/>
      <c r="J84" s="69" t="s">
        <v>934</v>
      </c>
      <c r="K84" s="29" t="s">
        <v>1393</v>
      </c>
      <c r="L84" s="29" t="s">
        <v>641</v>
      </c>
      <c r="M84" s="29" t="s">
        <v>1528</v>
      </c>
      <c r="N84" s="74">
        <v>39903</v>
      </c>
      <c r="O84" s="29" t="s">
        <v>935</v>
      </c>
      <c r="P84" s="29"/>
      <c r="Q84" s="29"/>
      <c r="R84" s="29"/>
      <c r="S84" s="29"/>
      <c r="T84" s="155">
        <v>9</v>
      </c>
      <c r="U84" s="155"/>
      <c r="V84" s="155"/>
      <c r="W84" s="155"/>
      <c r="X84" s="155"/>
      <c r="Y84" s="155"/>
      <c r="Z84" s="155"/>
      <c r="AA84" s="155"/>
      <c r="AB84" s="155"/>
      <c r="AC84" s="155"/>
      <c r="AD84" s="155"/>
      <c r="AE84" s="155"/>
      <c r="AF84" s="155"/>
      <c r="AG84" s="155"/>
      <c r="AH84" s="155"/>
      <c r="AI84" s="155"/>
      <c r="AJ84" s="74">
        <v>40616</v>
      </c>
      <c r="AK84" s="720">
        <f t="shared" si="2"/>
        <v>713</v>
      </c>
      <c r="AL84" s="155"/>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c r="EA84" s="12"/>
      <c r="EB84" s="12"/>
      <c r="EC84" s="12"/>
      <c r="ED84" s="12"/>
      <c r="EE84" s="12"/>
      <c r="EF84" s="12"/>
      <c r="EG84" s="12"/>
      <c r="EH84" s="12"/>
      <c r="EI84" s="12"/>
      <c r="EJ84" s="12"/>
      <c r="EK84" s="12"/>
      <c r="EL84" s="12"/>
      <c r="EM84" s="12"/>
      <c r="EN84" s="12"/>
      <c r="EO84" s="12"/>
      <c r="EP84" s="12"/>
      <c r="EQ84" s="12"/>
      <c r="ER84" s="12"/>
      <c r="ES84" s="12"/>
      <c r="ET84" s="12"/>
      <c r="EU84" s="12"/>
      <c r="EV84" s="12"/>
      <c r="EW84" s="12"/>
      <c r="EX84" s="12"/>
      <c r="EY84" s="12"/>
      <c r="EZ84" s="12"/>
      <c r="FA84" s="12"/>
      <c r="FB84" s="12"/>
      <c r="FC84" s="12"/>
      <c r="FD84" s="12"/>
      <c r="FE84" s="12"/>
      <c r="FF84" s="12"/>
      <c r="FG84" s="12"/>
      <c r="FH84" s="12"/>
      <c r="FI84" s="12"/>
      <c r="FJ84" s="12"/>
      <c r="FK84" s="12"/>
      <c r="FL84" s="12"/>
      <c r="FM84" s="12"/>
      <c r="FN84" s="12"/>
      <c r="FO84" s="12"/>
      <c r="FP84" s="12"/>
      <c r="FQ84" s="12"/>
      <c r="FR84" s="12"/>
      <c r="FS84" s="12"/>
      <c r="FT84" s="12"/>
      <c r="FU84" s="12"/>
      <c r="FV84" s="12"/>
      <c r="FW84" s="12"/>
      <c r="FX84" s="12"/>
      <c r="FY84" s="12"/>
      <c r="FZ84" s="12"/>
      <c r="GA84" s="12"/>
      <c r="GB84" s="12"/>
      <c r="GC84" s="12"/>
      <c r="GD84" s="12"/>
      <c r="GE84" s="12"/>
      <c r="GF84" s="12"/>
      <c r="GG84" s="12"/>
      <c r="GH84" s="12"/>
      <c r="GI84" s="12"/>
      <c r="GJ84" s="12"/>
      <c r="GK84" s="12"/>
      <c r="GL84" s="12"/>
      <c r="GM84" s="12"/>
      <c r="GN84" s="12"/>
      <c r="GO84" s="12"/>
      <c r="GP84" s="12"/>
      <c r="GQ84" s="12"/>
      <c r="GR84" s="12"/>
      <c r="GS84" s="12"/>
      <c r="GT84" s="12"/>
      <c r="GU84" s="12"/>
      <c r="GV84" s="12"/>
      <c r="GW84" s="12"/>
      <c r="GX84" s="12"/>
      <c r="GY84" s="12"/>
      <c r="GZ84" s="12"/>
      <c r="HA84" s="12"/>
      <c r="HB84" s="12"/>
      <c r="HC84" s="12"/>
      <c r="HD84" s="12"/>
      <c r="HE84" s="12"/>
      <c r="HF84" s="12"/>
      <c r="HG84" s="12"/>
      <c r="HH84" s="12"/>
      <c r="HI84" s="12"/>
      <c r="HJ84" s="12"/>
      <c r="HK84" s="12"/>
      <c r="HL84" s="12"/>
      <c r="HM84" s="12"/>
      <c r="HN84" s="12"/>
      <c r="HO84" s="12"/>
      <c r="HP84" s="12"/>
      <c r="HQ84" s="12"/>
      <c r="HR84" s="12"/>
      <c r="HS84" s="12"/>
      <c r="HT84" s="12"/>
      <c r="HU84" s="12"/>
      <c r="HV84" s="12"/>
      <c r="HW84" s="12"/>
      <c r="HX84" s="12"/>
      <c r="HY84" s="12"/>
      <c r="HZ84" s="12"/>
      <c r="IA84" s="12"/>
      <c r="IB84" s="12"/>
      <c r="IC84" s="12"/>
      <c r="ID84" s="12"/>
      <c r="IE84" s="12"/>
      <c r="IF84" s="12"/>
      <c r="IG84" s="12"/>
      <c r="IH84" s="12"/>
      <c r="II84" s="12"/>
      <c r="IJ84" s="12"/>
      <c r="IK84" s="12"/>
      <c r="IL84" s="12"/>
      <c r="IM84" s="12"/>
      <c r="IN84" s="12"/>
      <c r="IO84" s="12"/>
      <c r="IP84" s="12"/>
      <c r="IQ84" s="12"/>
      <c r="IR84" s="12"/>
      <c r="IS84" s="12"/>
      <c r="IT84" s="12"/>
      <c r="IU84" s="12"/>
      <c r="IV84" s="12"/>
      <c r="IW84" s="12"/>
      <c r="IX84" s="12"/>
      <c r="IY84" s="12"/>
      <c r="IZ84" s="12"/>
      <c r="JA84" s="12"/>
      <c r="JB84" s="12"/>
      <c r="JC84" s="12"/>
      <c r="JD84" s="12"/>
      <c r="JE84" s="12"/>
      <c r="JF84" s="12"/>
      <c r="JG84" s="12"/>
      <c r="JH84" s="12"/>
      <c r="JI84" s="12"/>
      <c r="JJ84" s="12"/>
      <c r="JK84" s="12"/>
      <c r="JL84" s="12"/>
      <c r="JM84" s="12"/>
      <c r="JN84" s="12"/>
      <c r="JO84" s="12"/>
      <c r="JP84" s="12"/>
      <c r="JQ84" s="12"/>
      <c r="JR84" s="12"/>
      <c r="JS84" s="12"/>
      <c r="JT84" s="12"/>
      <c r="JU84" s="12"/>
      <c r="JV84" s="12"/>
    </row>
    <row r="85" spans="1:282" s="16" customFormat="1" ht="50.1" customHeight="1" x14ac:dyDescent="0.2">
      <c r="A85" s="700"/>
      <c r="B85" s="29" t="s">
        <v>1174</v>
      </c>
      <c r="C85" s="29"/>
      <c r="D85" s="29"/>
      <c r="E85" s="29" t="s">
        <v>936</v>
      </c>
      <c r="F85" s="104" t="s">
        <v>937</v>
      </c>
      <c r="G85" s="29" t="s">
        <v>932</v>
      </c>
      <c r="H85" s="29" t="s">
        <v>933</v>
      </c>
      <c r="I85" s="29"/>
      <c r="J85" s="69" t="s">
        <v>934</v>
      </c>
      <c r="K85" s="30" t="s">
        <v>1394</v>
      </c>
      <c r="L85" s="30" t="s">
        <v>641</v>
      </c>
      <c r="M85" s="29" t="s">
        <v>1528</v>
      </c>
      <c r="N85" s="74">
        <v>39903</v>
      </c>
      <c r="O85" s="29" t="s">
        <v>938</v>
      </c>
      <c r="P85" s="29"/>
      <c r="Q85" s="29"/>
      <c r="R85" s="29"/>
      <c r="S85" s="29"/>
      <c r="T85" s="155"/>
      <c r="U85" s="155"/>
      <c r="V85" s="155"/>
      <c r="W85" s="155"/>
      <c r="X85" s="155"/>
      <c r="Y85" s="155"/>
      <c r="Z85" s="155"/>
      <c r="AA85" s="155"/>
      <c r="AB85" s="155"/>
      <c r="AC85" s="155"/>
      <c r="AD85" s="155"/>
      <c r="AE85" s="155"/>
      <c r="AF85" s="155"/>
      <c r="AG85" s="155"/>
      <c r="AH85" s="155"/>
      <c r="AI85" s="155"/>
      <c r="AJ85" s="73">
        <v>40616</v>
      </c>
      <c r="AK85" s="720">
        <f t="shared" si="2"/>
        <v>713</v>
      </c>
      <c r="AL85" s="155"/>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c r="EQ85" s="12"/>
      <c r="ER85" s="12"/>
      <c r="ES85" s="12"/>
      <c r="ET85" s="12"/>
      <c r="EU85" s="12"/>
      <c r="EV85" s="12"/>
      <c r="EW85" s="12"/>
      <c r="EX85" s="12"/>
      <c r="EY85" s="12"/>
      <c r="EZ85" s="12"/>
      <c r="FA85" s="12"/>
      <c r="FB85" s="12"/>
      <c r="FC85" s="12"/>
      <c r="FD85" s="12"/>
      <c r="FE85" s="12"/>
      <c r="FF85" s="12"/>
      <c r="FG85" s="12"/>
      <c r="FH85" s="12"/>
      <c r="FI85" s="12"/>
      <c r="FJ85" s="12"/>
      <c r="FK85" s="12"/>
      <c r="FL85" s="12"/>
      <c r="FM85" s="12"/>
      <c r="FN85" s="12"/>
      <c r="FO85" s="12"/>
      <c r="FP85" s="12"/>
      <c r="FQ85" s="12"/>
      <c r="FR85" s="12"/>
      <c r="FS85" s="12"/>
      <c r="FT85" s="12"/>
      <c r="FU85" s="12"/>
      <c r="FV85" s="12"/>
      <c r="FW85" s="12"/>
      <c r="FX85" s="12"/>
      <c r="FY85" s="12"/>
      <c r="FZ85" s="12"/>
      <c r="GA85" s="12"/>
      <c r="GB85" s="12"/>
      <c r="GC85" s="12"/>
      <c r="GD85" s="12"/>
      <c r="GE85" s="12"/>
      <c r="GF85" s="12"/>
      <c r="GG85" s="12"/>
      <c r="GH85" s="12"/>
      <c r="GI85" s="12"/>
      <c r="GJ85" s="12"/>
      <c r="GK85" s="12"/>
      <c r="GL85" s="12"/>
      <c r="GM85" s="12"/>
      <c r="GN85" s="12"/>
      <c r="GO85" s="12"/>
      <c r="GP85" s="12"/>
      <c r="GQ85" s="12"/>
      <c r="GR85" s="12"/>
      <c r="GS85" s="12"/>
      <c r="GT85" s="12"/>
      <c r="GU85" s="12"/>
      <c r="GV85" s="12"/>
      <c r="GW85" s="12"/>
      <c r="GX85" s="12"/>
      <c r="GY85" s="12"/>
      <c r="GZ85" s="12"/>
      <c r="HA85" s="12"/>
      <c r="HB85" s="12"/>
      <c r="HC85" s="12"/>
      <c r="HD85" s="12"/>
      <c r="HE85" s="12"/>
      <c r="HF85" s="12"/>
      <c r="HG85" s="12"/>
      <c r="HH85" s="12"/>
      <c r="HI85" s="12"/>
      <c r="HJ85" s="12"/>
      <c r="HK85" s="12"/>
      <c r="HL85" s="12"/>
      <c r="HM85" s="12"/>
      <c r="HN85" s="12"/>
      <c r="HO85" s="12"/>
      <c r="HP85" s="12"/>
      <c r="HQ85" s="12"/>
      <c r="HR85" s="12"/>
      <c r="HS85" s="12"/>
      <c r="HT85" s="12"/>
      <c r="HU85" s="12"/>
      <c r="HV85" s="12"/>
      <c r="HW85" s="12"/>
      <c r="HX85" s="12"/>
      <c r="HY85" s="12"/>
      <c r="HZ85" s="12"/>
      <c r="IA85" s="12"/>
      <c r="IB85" s="12"/>
      <c r="IC85" s="12"/>
      <c r="ID85" s="12"/>
      <c r="IE85" s="12"/>
      <c r="IF85" s="12"/>
      <c r="IG85" s="12"/>
      <c r="IH85" s="12"/>
      <c r="II85" s="12"/>
      <c r="IJ85" s="12"/>
      <c r="IK85" s="12"/>
      <c r="IL85" s="12"/>
      <c r="IM85" s="12"/>
      <c r="IN85" s="12"/>
      <c r="IO85" s="12"/>
      <c r="IP85" s="12"/>
      <c r="IQ85" s="12"/>
      <c r="IR85" s="12"/>
      <c r="IS85" s="12"/>
      <c r="IT85" s="12"/>
      <c r="IU85" s="12"/>
      <c r="IV85" s="12"/>
      <c r="IW85" s="12"/>
      <c r="IX85" s="12"/>
      <c r="IY85" s="12"/>
      <c r="IZ85" s="12"/>
      <c r="JA85" s="12"/>
      <c r="JB85" s="12"/>
      <c r="JC85" s="12"/>
      <c r="JD85" s="12"/>
      <c r="JE85" s="12"/>
      <c r="JF85" s="12"/>
      <c r="JG85" s="12"/>
      <c r="JH85" s="12"/>
      <c r="JI85" s="12"/>
      <c r="JJ85" s="12"/>
      <c r="JK85" s="12"/>
      <c r="JL85" s="12"/>
      <c r="JM85" s="12"/>
      <c r="JN85" s="12"/>
      <c r="JO85" s="12"/>
      <c r="JP85" s="12"/>
      <c r="JQ85" s="12"/>
      <c r="JR85" s="12"/>
      <c r="JS85" s="12"/>
      <c r="JT85" s="12"/>
      <c r="JU85" s="12"/>
      <c r="JV85" s="12"/>
    </row>
    <row r="86" spans="1:282" s="16" customFormat="1" ht="50.1" customHeight="1" x14ac:dyDescent="0.2">
      <c r="A86" s="700"/>
      <c r="B86" s="30" t="s">
        <v>2365</v>
      </c>
      <c r="C86" s="30"/>
      <c r="D86" s="30"/>
      <c r="E86" s="29" t="s">
        <v>941</v>
      </c>
      <c r="F86" s="104" t="s">
        <v>837</v>
      </c>
      <c r="G86" s="29" t="s">
        <v>838</v>
      </c>
      <c r="H86" s="29"/>
      <c r="I86" s="29"/>
      <c r="J86" s="69" t="s">
        <v>414</v>
      </c>
      <c r="K86" s="29" t="s">
        <v>1393</v>
      </c>
      <c r="L86" s="29" t="s">
        <v>685</v>
      </c>
      <c r="M86" s="29" t="s">
        <v>2445</v>
      </c>
      <c r="N86" s="74">
        <v>39805</v>
      </c>
      <c r="O86" s="29" t="s">
        <v>942</v>
      </c>
      <c r="P86" s="29"/>
      <c r="Q86" s="29"/>
      <c r="R86" s="29"/>
      <c r="S86" s="29"/>
      <c r="T86" s="155">
        <v>12</v>
      </c>
      <c r="U86" s="155"/>
      <c r="V86" s="155"/>
      <c r="W86" s="155"/>
      <c r="X86" s="155"/>
      <c r="Y86" s="155"/>
      <c r="Z86" s="155"/>
      <c r="AA86" s="155"/>
      <c r="AB86" s="155"/>
      <c r="AC86" s="155"/>
      <c r="AD86" s="155"/>
      <c r="AE86" s="155"/>
      <c r="AF86" s="155"/>
      <c r="AG86" s="155"/>
      <c r="AH86" s="155"/>
      <c r="AI86" s="155"/>
      <c r="AJ86" s="724">
        <v>40630</v>
      </c>
      <c r="AK86" s="720">
        <f t="shared" si="2"/>
        <v>825</v>
      </c>
      <c r="AL86" s="155"/>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c r="EQ86" s="12"/>
      <c r="ER86" s="12"/>
      <c r="ES86" s="12"/>
      <c r="ET86" s="12"/>
      <c r="EU86" s="12"/>
      <c r="EV86" s="12"/>
      <c r="EW86" s="12"/>
      <c r="EX86" s="12"/>
      <c r="EY86" s="12"/>
      <c r="EZ86" s="12"/>
      <c r="FA86" s="12"/>
      <c r="FB86" s="12"/>
      <c r="FC86" s="12"/>
      <c r="FD86" s="12"/>
      <c r="FE86" s="12"/>
      <c r="FF86" s="12"/>
      <c r="FG86" s="12"/>
      <c r="FH86" s="12"/>
      <c r="FI86" s="12"/>
      <c r="FJ86" s="12"/>
      <c r="FK86" s="12"/>
      <c r="FL86" s="12"/>
      <c r="FM86" s="12"/>
      <c r="FN86" s="12"/>
      <c r="FO86" s="12"/>
      <c r="FP86" s="12"/>
      <c r="FQ86" s="12"/>
      <c r="FR86" s="12"/>
      <c r="FS86" s="12"/>
      <c r="FT86" s="12"/>
      <c r="FU86" s="12"/>
      <c r="FV86" s="12"/>
      <c r="FW86" s="12"/>
      <c r="FX86" s="12"/>
      <c r="FY86" s="12"/>
      <c r="FZ86" s="12"/>
      <c r="GA86" s="12"/>
      <c r="GB86" s="12"/>
      <c r="GC86" s="12"/>
      <c r="GD86" s="12"/>
      <c r="GE86" s="12"/>
      <c r="GF86" s="12"/>
      <c r="GG86" s="12"/>
      <c r="GH86" s="12"/>
      <c r="GI86" s="12"/>
      <c r="GJ86" s="12"/>
      <c r="GK86" s="12"/>
      <c r="GL86" s="12"/>
      <c r="GM86" s="12"/>
      <c r="GN86" s="12"/>
      <c r="GO86" s="12"/>
      <c r="GP86" s="12"/>
      <c r="GQ86" s="12"/>
      <c r="GR86" s="12"/>
      <c r="GS86" s="12"/>
      <c r="GT86" s="12"/>
      <c r="GU86" s="12"/>
      <c r="GV86" s="12"/>
      <c r="GW86" s="12"/>
      <c r="GX86" s="12"/>
      <c r="GY86" s="12"/>
      <c r="GZ86" s="12"/>
      <c r="HA86" s="12"/>
      <c r="HB86" s="12"/>
      <c r="HC86" s="12"/>
      <c r="HD86" s="12"/>
      <c r="HE86" s="12"/>
      <c r="HF86" s="12"/>
      <c r="HG86" s="12"/>
      <c r="HH86" s="12"/>
      <c r="HI86" s="12"/>
      <c r="HJ86" s="12"/>
      <c r="HK86" s="12"/>
      <c r="HL86" s="12"/>
      <c r="HM86" s="12"/>
      <c r="HN86" s="12"/>
      <c r="HO86" s="12"/>
      <c r="HP86" s="12"/>
      <c r="HQ86" s="12"/>
      <c r="HR86" s="12"/>
      <c r="HS86" s="12"/>
      <c r="HT86" s="12"/>
      <c r="HU86" s="12"/>
      <c r="HV86" s="12"/>
      <c r="HW86" s="12"/>
      <c r="HX86" s="12"/>
      <c r="HY86" s="12"/>
      <c r="HZ86" s="12"/>
      <c r="IA86" s="12"/>
      <c r="IB86" s="12"/>
      <c r="IC86" s="12"/>
      <c r="ID86" s="12"/>
      <c r="IE86" s="12"/>
      <c r="IF86" s="12"/>
      <c r="IG86" s="12"/>
      <c r="IH86" s="12"/>
      <c r="II86" s="12"/>
      <c r="IJ86" s="12"/>
      <c r="IK86" s="12"/>
      <c r="IL86" s="12"/>
      <c r="IM86" s="12"/>
      <c r="IN86" s="12"/>
      <c r="IO86" s="12"/>
      <c r="IP86" s="12"/>
      <c r="IQ86" s="12"/>
      <c r="IR86" s="12"/>
      <c r="IS86" s="12"/>
      <c r="IT86" s="12"/>
      <c r="IU86" s="12"/>
      <c r="IV86" s="12"/>
      <c r="IW86" s="12"/>
      <c r="IX86" s="12"/>
      <c r="IY86" s="12"/>
      <c r="IZ86" s="12"/>
      <c r="JA86" s="12"/>
      <c r="JB86" s="12"/>
      <c r="JC86" s="12"/>
      <c r="JD86" s="12"/>
      <c r="JE86" s="12"/>
      <c r="JF86" s="12"/>
      <c r="JG86" s="12"/>
      <c r="JH86" s="12"/>
      <c r="JI86" s="12"/>
      <c r="JJ86" s="12"/>
      <c r="JK86" s="12"/>
      <c r="JL86" s="12"/>
      <c r="JM86" s="12"/>
      <c r="JN86" s="12"/>
      <c r="JO86" s="12"/>
      <c r="JP86" s="12"/>
      <c r="JQ86" s="12"/>
      <c r="JR86" s="12"/>
      <c r="JS86" s="12"/>
      <c r="JT86" s="12"/>
      <c r="JU86" s="12"/>
      <c r="JV86" s="12"/>
    </row>
    <row r="87" spans="1:282" ht="50.1" customHeight="1" x14ac:dyDescent="0.2">
      <c r="A87" s="298"/>
      <c r="B87" s="29" t="s">
        <v>1174</v>
      </c>
      <c r="C87" s="29"/>
      <c r="D87" s="29"/>
      <c r="E87" s="29" t="s">
        <v>2395</v>
      </c>
      <c r="F87" s="104" t="s">
        <v>57</v>
      </c>
      <c r="G87" s="29" t="s">
        <v>939</v>
      </c>
      <c r="H87" s="29" t="s">
        <v>88</v>
      </c>
      <c r="I87" s="29"/>
      <c r="J87" s="69" t="s">
        <v>2410</v>
      </c>
      <c r="K87" s="29" t="s">
        <v>1393</v>
      </c>
      <c r="L87" s="29" t="s">
        <v>2411</v>
      </c>
      <c r="M87" s="29" t="s">
        <v>2444</v>
      </c>
      <c r="N87" s="74">
        <v>39857</v>
      </c>
      <c r="O87" s="29" t="s">
        <v>940</v>
      </c>
      <c r="P87" s="29"/>
      <c r="Q87" s="29"/>
      <c r="R87" s="29"/>
      <c r="S87" s="29"/>
      <c r="T87" s="174">
        <v>12</v>
      </c>
      <c r="U87" s="174"/>
      <c r="V87" s="174"/>
      <c r="W87" s="174"/>
      <c r="X87" s="174"/>
      <c r="Y87" s="174"/>
      <c r="Z87" s="174"/>
      <c r="AA87" s="174"/>
      <c r="AB87" s="174"/>
      <c r="AC87" s="174"/>
      <c r="AD87" s="174"/>
      <c r="AE87" s="174"/>
      <c r="AF87" s="174"/>
      <c r="AG87" s="174"/>
      <c r="AH87" s="174"/>
      <c r="AI87" s="174"/>
      <c r="AJ87" s="724">
        <v>40630</v>
      </c>
      <c r="AK87" s="720">
        <f t="shared" si="2"/>
        <v>773</v>
      </c>
      <c r="AL87" s="174"/>
      <c r="AM87" s="564"/>
      <c r="AN87" s="564"/>
      <c r="AO87" s="564"/>
      <c r="AP87" s="564"/>
      <c r="AQ87" s="564"/>
      <c r="AR87" s="564"/>
      <c r="AS87" s="564"/>
      <c r="AT87" s="564"/>
      <c r="AU87" s="564"/>
      <c r="AV87" s="564"/>
      <c r="AW87" s="564"/>
      <c r="AX87" s="564"/>
      <c r="AY87" s="564"/>
      <c r="AZ87" s="564"/>
      <c r="BA87" s="564"/>
      <c r="BB87" s="564"/>
      <c r="BC87" s="564"/>
      <c r="BD87" s="564"/>
      <c r="BE87" s="564"/>
      <c r="BF87" s="564"/>
      <c r="BG87" s="564"/>
      <c r="BH87" s="564"/>
      <c r="BI87" s="564"/>
      <c r="BJ87" s="564"/>
      <c r="BK87" s="564"/>
      <c r="BL87" s="564"/>
      <c r="BM87" s="564"/>
      <c r="BN87" s="564"/>
      <c r="BO87" s="564"/>
      <c r="BP87" s="564"/>
      <c r="BQ87" s="564"/>
      <c r="BR87" s="564"/>
      <c r="BS87" s="564"/>
      <c r="BT87" s="564"/>
      <c r="BU87" s="564"/>
      <c r="BV87" s="564"/>
      <c r="BW87" s="564"/>
      <c r="BX87" s="564"/>
      <c r="BY87" s="564"/>
      <c r="BZ87" s="564"/>
      <c r="CA87" s="564"/>
      <c r="CB87" s="564"/>
      <c r="CC87" s="564"/>
      <c r="CD87" s="564"/>
      <c r="CE87" s="564"/>
      <c r="CF87" s="564"/>
      <c r="CG87" s="564"/>
      <c r="CH87" s="564"/>
      <c r="CI87" s="564"/>
      <c r="CJ87" s="564"/>
      <c r="CK87" s="564"/>
      <c r="CL87" s="564"/>
      <c r="CM87" s="564"/>
      <c r="CN87" s="564"/>
      <c r="CO87" s="564"/>
      <c r="CP87" s="564"/>
      <c r="CQ87" s="564"/>
      <c r="CR87" s="564"/>
      <c r="CS87" s="564"/>
      <c r="CT87" s="564"/>
      <c r="CU87" s="564"/>
      <c r="CV87" s="564"/>
      <c r="CW87" s="564"/>
      <c r="CX87" s="564"/>
      <c r="CY87" s="564"/>
      <c r="CZ87" s="564"/>
      <c r="DA87" s="564"/>
      <c r="DB87" s="564"/>
      <c r="DC87" s="564"/>
      <c r="DD87" s="564"/>
      <c r="DE87" s="564"/>
      <c r="DF87" s="564"/>
      <c r="DG87" s="564"/>
      <c r="DH87" s="564"/>
      <c r="DI87" s="564"/>
      <c r="DJ87" s="564"/>
      <c r="DK87" s="564"/>
      <c r="DL87" s="564"/>
      <c r="DM87" s="564"/>
      <c r="DN87" s="564"/>
      <c r="DO87" s="564"/>
      <c r="DP87" s="564"/>
      <c r="DQ87" s="564"/>
      <c r="DR87" s="564"/>
      <c r="DS87" s="564"/>
      <c r="DT87" s="564"/>
      <c r="DU87" s="564"/>
      <c r="DV87" s="564"/>
      <c r="DW87" s="564"/>
      <c r="DX87" s="564"/>
      <c r="DY87" s="564"/>
      <c r="DZ87" s="564"/>
      <c r="EA87" s="564"/>
      <c r="EB87" s="564"/>
      <c r="EC87" s="564"/>
      <c r="ED87" s="564"/>
      <c r="EE87" s="564"/>
      <c r="EF87" s="564"/>
      <c r="EG87" s="564"/>
      <c r="EH87" s="564"/>
      <c r="EI87" s="564"/>
      <c r="EJ87" s="564"/>
      <c r="EK87" s="564"/>
      <c r="EL87" s="564"/>
      <c r="EM87" s="564"/>
      <c r="EN87" s="564"/>
      <c r="EO87" s="564"/>
      <c r="EP87" s="564"/>
      <c r="EQ87" s="564"/>
      <c r="ER87" s="564"/>
      <c r="ES87" s="564"/>
      <c r="ET87" s="564"/>
      <c r="EU87" s="564"/>
      <c r="EV87" s="564"/>
      <c r="EW87" s="564"/>
      <c r="EX87" s="564"/>
      <c r="EY87" s="564"/>
      <c r="EZ87" s="564"/>
      <c r="FA87" s="564"/>
      <c r="FB87" s="564"/>
      <c r="FC87" s="564"/>
      <c r="FD87" s="564"/>
      <c r="FE87" s="564"/>
      <c r="FF87" s="564"/>
      <c r="FG87" s="564"/>
      <c r="FH87" s="564"/>
      <c r="FI87" s="564"/>
      <c r="FJ87" s="564"/>
      <c r="FK87" s="564"/>
      <c r="FL87" s="564"/>
      <c r="FM87" s="564"/>
      <c r="FN87" s="564"/>
      <c r="FO87" s="564"/>
      <c r="FP87" s="564"/>
      <c r="FQ87" s="564"/>
      <c r="FR87" s="564"/>
      <c r="FS87" s="564"/>
      <c r="FT87" s="564"/>
      <c r="FU87" s="564"/>
      <c r="FV87" s="564"/>
      <c r="FW87" s="564"/>
      <c r="FX87" s="564"/>
      <c r="FY87" s="564"/>
      <c r="FZ87" s="564"/>
      <c r="GA87" s="564"/>
      <c r="GB87" s="564"/>
      <c r="GC87" s="564"/>
      <c r="GD87" s="564"/>
      <c r="GE87" s="564"/>
      <c r="GF87" s="564"/>
      <c r="GG87" s="564"/>
      <c r="GH87" s="564"/>
      <c r="GI87" s="564"/>
      <c r="GJ87" s="564"/>
      <c r="GK87" s="564"/>
      <c r="GL87" s="564"/>
      <c r="GM87" s="564"/>
      <c r="GN87" s="564"/>
      <c r="GO87" s="564"/>
      <c r="GP87" s="564"/>
      <c r="GQ87" s="564"/>
      <c r="GR87" s="564"/>
      <c r="GS87" s="564"/>
      <c r="GT87" s="564"/>
      <c r="GU87" s="564"/>
      <c r="GV87" s="564"/>
      <c r="GW87" s="564"/>
      <c r="GX87" s="564"/>
      <c r="GY87" s="564"/>
      <c r="GZ87" s="564"/>
      <c r="HA87" s="564"/>
      <c r="HB87" s="564"/>
      <c r="HC87" s="564"/>
      <c r="HD87" s="564"/>
      <c r="HE87" s="564"/>
      <c r="HF87" s="564"/>
      <c r="HG87" s="564"/>
      <c r="HH87" s="564"/>
      <c r="HI87" s="564"/>
      <c r="HJ87" s="564"/>
      <c r="HK87" s="564"/>
      <c r="HL87" s="564"/>
      <c r="HM87" s="564"/>
      <c r="HN87" s="564"/>
      <c r="HO87" s="564"/>
      <c r="HP87" s="564"/>
      <c r="HQ87" s="564"/>
      <c r="HR87" s="564"/>
      <c r="HS87" s="564"/>
      <c r="HT87" s="564"/>
      <c r="HU87" s="564"/>
      <c r="HV87" s="564"/>
      <c r="HW87" s="564"/>
      <c r="HX87" s="564"/>
      <c r="HY87" s="564"/>
      <c r="HZ87" s="564"/>
      <c r="IA87" s="564"/>
      <c r="IB87" s="564"/>
      <c r="IC87" s="564"/>
      <c r="ID87" s="564"/>
      <c r="IE87" s="564"/>
      <c r="IF87" s="564"/>
      <c r="IG87" s="564"/>
      <c r="IH87" s="564"/>
      <c r="II87" s="564"/>
      <c r="IJ87" s="564"/>
      <c r="IK87" s="564"/>
      <c r="IL87" s="564"/>
      <c r="IM87" s="564"/>
      <c r="IN87" s="564"/>
      <c r="IO87" s="564"/>
      <c r="IP87" s="564"/>
      <c r="IQ87" s="564"/>
      <c r="IR87" s="564"/>
      <c r="IS87" s="564"/>
      <c r="IT87" s="564"/>
      <c r="IU87" s="564"/>
      <c r="IV87" s="564"/>
      <c r="IW87" s="564"/>
      <c r="IX87" s="564"/>
      <c r="IY87" s="564"/>
      <c r="IZ87" s="564"/>
      <c r="JA87" s="564"/>
      <c r="JB87" s="564"/>
      <c r="JC87" s="564"/>
      <c r="JD87" s="564"/>
      <c r="JE87" s="564"/>
      <c r="JF87" s="564"/>
      <c r="JG87" s="564"/>
      <c r="JH87" s="564"/>
      <c r="JI87" s="564"/>
      <c r="JJ87" s="564"/>
      <c r="JK87" s="564"/>
      <c r="JL87" s="564"/>
      <c r="JM87" s="564"/>
      <c r="JN87" s="564"/>
      <c r="JO87" s="564"/>
      <c r="JP87" s="564"/>
      <c r="JQ87" s="564"/>
      <c r="JR87" s="564"/>
      <c r="JS87" s="564"/>
      <c r="JT87" s="564"/>
      <c r="JU87" s="564"/>
      <c r="JV87" s="564"/>
    </row>
    <row r="88" spans="1:282" s="16" customFormat="1" ht="50.1" customHeight="1" x14ac:dyDescent="0.2">
      <c r="A88" s="700"/>
      <c r="B88" s="29" t="s">
        <v>1174</v>
      </c>
      <c r="C88" s="29"/>
      <c r="D88" s="29"/>
      <c r="E88" s="73" t="s">
        <v>2396</v>
      </c>
      <c r="F88" s="196" t="s">
        <v>947</v>
      </c>
      <c r="G88" s="30" t="s">
        <v>948</v>
      </c>
      <c r="H88" s="29" t="s">
        <v>949</v>
      </c>
      <c r="I88" s="29"/>
      <c r="J88" s="30" t="s">
        <v>2098</v>
      </c>
      <c r="K88" s="29" t="s">
        <v>1393</v>
      </c>
      <c r="L88" s="29" t="s">
        <v>685</v>
      </c>
      <c r="M88" s="29" t="s">
        <v>2444</v>
      </c>
      <c r="N88" s="74">
        <v>39498</v>
      </c>
      <c r="O88" s="69" t="s">
        <v>950</v>
      </c>
      <c r="P88" s="69"/>
      <c r="Q88" s="69"/>
      <c r="R88" s="69"/>
      <c r="S88" s="69"/>
      <c r="T88" s="594"/>
      <c r="U88" s="594"/>
      <c r="V88" s="594"/>
      <c r="W88" s="594"/>
      <c r="X88" s="594"/>
      <c r="Y88" s="594"/>
      <c r="Z88" s="594"/>
      <c r="AA88" s="594"/>
      <c r="AB88" s="594"/>
      <c r="AC88" s="594"/>
      <c r="AD88" s="594"/>
      <c r="AE88" s="594"/>
      <c r="AF88" s="594"/>
      <c r="AG88" s="594"/>
      <c r="AH88" s="594"/>
      <c r="AI88" s="594"/>
      <c r="AJ88" s="724">
        <v>40644</v>
      </c>
      <c r="AK88" s="720">
        <f t="shared" si="2"/>
        <v>1146</v>
      </c>
      <c r="AL88" s="594"/>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c r="DI88" s="12"/>
      <c r="DJ88" s="12"/>
      <c r="DK88" s="12"/>
      <c r="DL88" s="12"/>
      <c r="DM88" s="12"/>
      <c r="DN88" s="12"/>
      <c r="DO88" s="12"/>
      <c r="DP88" s="12"/>
      <c r="DQ88" s="12"/>
      <c r="DR88" s="12"/>
      <c r="DS88" s="12"/>
      <c r="DT88" s="12"/>
      <c r="DU88" s="12"/>
      <c r="DV88" s="12"/>
      <c r="DW88" s="12"/>
      <c r="DX88" s="12"/>
      <c r="DY88" s="12"/>
      <c r="DZ88" s="12"/>
      <c r="EA88" s="12"/>
      <c r="EB88" s="12"/>
      <c r="EC88" s="12"/>
      <c r="ED88" s="12"/>
      <c r="EE88" s="12"/>
      <c r="EF88" s="12"/>
      <c r="EG88" s="12"/>
      <c r="EH88" s="12"/>
      <c r="EI88" s="12"/>
      <c r="EJ88" s="12"/>
      <c r="EK88" s="12"/>
      <c r="EL88" s="12"/>
      <c r="EM88" s="12"/>
      <c r="EN88" s="12"/>
      <c r="EO88" s="12"/>
      <c r="EP88" s="12"/>
      <c r="EQ88" s="12"/>
      <c r="ER88" s="12"/>
      <c r="ES88" s="12"/>
      <c r="ET88" s="12"/>
      <c r="EU88" s="12"/>
      <c r="EV88" s="12"/>
      <c r="EW88" s="12"/>
      <c r="EX88" s="12"/>
      <c r="EY88" s="12"/>
      <c r="EZ88" s="12"/>
      <c r="FA88" s="12"/>
      <c r="FB88" s="12"/>
      <c r="FC88" s="12"/>
      <c r="FD88" s="12"/>
      <c r="FE88" s="12"/>
      <c r="FF88" s="12"/>
      <c r="FG88" s="12"/>
      <c r="FH88" s="12"/>
      <c r="FI88" s="12"/>
      <c r="FJ88" s="12"/>
      <c r="FK88" s="12"/>
      <c r="FL88" s="12"/>
      <c r="FM88" s="12"/>
      <c r="FN88" s="12"/>
      <c r="FO88" s="12"/>
      <c r="FP88" s="12"/>
      <c r="FQ88" s="12"/>
      <c r="FR88" s="12"/>
      <c r="FS88" s="12"/>
      <c r="FT88" s="12"/>
      <c r="FU88" s="12"/>
      <c r="FV88" s="12"/>
      <c r="FW88" s="12"/>
      <c r="FX88" s="12"/>
      <c r="FY88" s="12"/>
      <c r="FZ88" s="12"/>
      <c r="GA88" s="12"/>
      <c r="GB88" s="12"/>
      <c r="GC88" s="12"/>
      <c r="GD88" s="12"/>
      <c r="GE88" s="12"/>
      <c r="GF88" s="12"/>
      <c r="GG88" s="12"/>
      <c r="GH88" s="12"/>
      <c r="GI88" s="12"/>
      <c r="GJ88" s="12"/>
      <c r="GK88" s="12"/>
      <c r="GL88" s="12"/>
      <c r="GM88" s="12"/>
      <c r="GN88" s="12"/>
      <c r="GO88" s="12"/>
      <c r="GP88" s="12"/>
      <c r="GQ88" s="12"/>
      <c r="GR88" s="12"/>
      <c r="GS88" s="12"/>
      <c r="GT88" s="12"/>
      <c r="GU88" s="12"/>
      <c r="GV88" s="12"/>
      <c r="GW88" s="12"/>
      <c r="GX88" s="12"/>
      <c r="GY88" s="12"/>
      <c r="GZ88" s="12"/>
      <c r="HA88" s="12"/>
      <c r="HB88" s="12"/>
      <c r="HC88" s="12"/>
      <c r="HD88" s="12"/>
      <c r="HE88" s="12"/>
      <c r="HF88" s="12"/>
      <c r="HG88" s="12"/>
      <c r="HH88" s="12"/>
      <c r="HI88" s="12"/>
      <c r="HJ88" s="12"/>
      <c r="HK88" s="12"/>
      <c r="HL88" s="12"/>
      <c r="HM88" s="12"/>
      <c r="HN88" s="12"/>
      <c r="HO88" s="12"/>
      <c r="HP88" s="12"/>
      <c r="HQ88" s="12"/>
      <c r="HR88" s="12"/>
      <c r="HS88" s="12"/>
      <c r="HT88" s="12"/>
      <c r="HU88" s="12"/>
      <c r="HV88" s="12"/>
      <c r="HW88" s="12"/>
      <c r="HX88" s="12"/>
      <c r="HY88" s="12"/>
      <c r="HZ88" s="12"/>
      <c r="IA88" s="12"/>
      <c r="IB88" s="12"/>
      <c r="IC88" s="12"/>
      <c r="ID88" s="12"/>
      <c r="IE88" s="12"/>
      <c r="IF88" s="12"/>
      <c r="IG88" s="12"/>
      <c r="IH88" s="12"/>
      <c r="II88" s="12"/>
      <c r="IJ88" s="12"/>
      <c r="IK88" s="12"/>
      <c r="IL88" s="12"/>
      <c r="IM88" s="12"/>
      <c r="IN88" s="12"/>
      <c r="IO88" s="12"/>
      <c r="IP88" s="12"/>
      <c r="IQ88" s="12"/>
      <c r="IR88" s="12"/>
      <c r="IS88" s="12"/>
      <c r="IT88" s="12"/>
      <c r="IU88" s="12"/>
      <c r="IV88" s="12"/>
      <c r="IW88" s="12"/>
      <c r="IX88" s="12"/>
      <c r="IY88" s="12"/>
      <c r="IZ88" s="12"/>
      <c r="JA88" s="12"/>
      <c r="JB88" s="12"/>
      <c r="JC88" s="12"/>
      <c r="JD88" s="12"/>
      <c r="JE88" s="12"/>
      <c r="JF88" s="12"/>
      <c r="JG88" s="12"/>
      <c r="JH88" s="12"/>
      <c r="JI88" s="12"/>
      <c r="JJ88" s="12"/>
      <c r="JK88" s="12"/>
      <c r="JL88" s="12"/>
      <c r="JM88" s="12"/>
      <c r="JN88" s="12"/>
      <c r="JO88" s="12"/>
      <c r="JP88" s="12"/>
      <c r="JQ88" s="12"/>
      <c r="JR88" s="12"/>
      <c r="JS88" s="12"/>
      <c r="JT88" s="12"/>
      <c r="JU88" s="12"/>
      <c r="JV88" s="12"/>
    </row>
    <row r="89" spans="1:282" ht="50.1" customHeight="1" x14ac:dyDescent="0.2">
      <c r="A89" s="298"/>
      <c r="B89" s="29" t="s">
        <v>1174</v>
      </c>
      <c r="C89" s="29"/>
      <c r="D89" s="29"/>
      <c r="E89" s="73" t="s">
        <v>943</v>
      </c>
      <c r="F89" s="196" t="s">
        <v>944</v>
      </c>
      <c r="G89" s="30" t="s">
        <v>944</v>
      </c>
      <c r="H89" s="29" t="s">
        <v>945</v>
      </c>
      <c r="I89" s="29"/>
      <c r="J89" s="30" t="s">
        <v>960</v>
      </c>
      <c r="K89" s="30" t="s">
        <v>1394</v>
      </c>
      <c r="L89" s="29" t="s">
        <v>685</v>
      </c>
      <c r="M89" s="29" t="s">
        <v>1528</v>
      </c>
      <c r="N89" s="74">
        <v>39850</v>
      </c>
      <c r="O89" s="69" t="s">
        <v>946</v>
      </c>
      <c r="P89" s="69"/>
      <c r="Q89" s="69"/>
      <c r="R89" s="69"/>
      <c r="S89" s="69"/>
      <c r="T89" s="174">
        <v>32</v>
      </c>
      <c r="U89" s="174"/>
      <c r="V89" s="174"/>
      <c r="W89" s="174"/>
      <c r="X89" s="174"/>
      <c r="Y89" s="174"/>
      <c r="Z89" s="174"/>
      <c r="AA89" s="174"/>
      <c r="AB89" s="174"/>
      <c r="AC89" s="174"/>
      <c r="AD89" s="174"/>
      <c r="AE89" s="174"/>
      <c r="AF89" s="174"/>
      <c r="AG89" s="174"/>
      <c r="AH89" s="174"/>
      <c r="AI89" s="174"/>
      <c r="AJ89" s="724">
        <v>40644</v>
      </c>
      <c r="AK89" s="720">
        <f t="shared" si="2"/>
        <v>794</v>
      </c>
      <c r="AL89" s="174"/>
      <c r="AM89" s="564"/>
      <c r="AN89" s="564"/>
      <c r="AO89" s="564"/>
      <c r="AP89" s="564"/>
      <c r="AQ89" s="564"/>
      <c r="AR89" s="564"/>
      <c r="AS89" s="564"/>
      <c r="AT89" s="564"/>
      <c r="AU89" s="564"/>
      <c r="AV89" s="564"/>
      <c r="AW89" s="564"/>
      <c r="AX89" s="564"/>
      <c r="AY89" s="564"/>
      <c r="AZ89" s="564"/>
      <c r="BA89" s="564"/>
      <c r="BB89" s="564"/>
      <c r="BC89" s="564"/>
      <c r="BD89" s="564"/>
      <c r="BE89" s="564"/>
      <c r="BF89" s="564"/>
      <c r="BG89" s="564"/>
      <c r="BH89" s="564"/>
      <c r="BI89" s="564"/>
      <c r="BJ89" s="564"/>
      <c r="BK89" s="564"/>
      <c r="BL89" s="564"/>
      <c r="BM89" s="564"/>
      <c r="BN89" s="564"/>
      <c r="BO89" s="564"/>
      <c r="BP89" s="564"/>
      <c r="BQ89" s="564"/>
      <c r="BR89" s="564"/>
      <c r="BS89" s="564"/>
      <c r="BT89" s="564"/>
      <c r="BU89" s="564"/>
      <c r="BV89" s="564"/>
      <c r="BW89" s="564"/>
      <c r="BX89" s="564"/>
      <c r="BY89" s="564"/>
      <c r="BZ89" s="564"/>
      <c r="CA89" s="564"/>
      <c r="CB89" s="564"/>
      <c r="CC89" s="564"/>
      <c r="CD89" s="564"/>
      <c r="CE89" s="564"/>
      <c r="CF89" s="564"/>
      <c r="CG89" s="564"/>
      <c r="CH89" s="564"/>
      <c r="CI89" s="564"/>
      <c r="CJ89" s="564"/>
      <c r="CK89" s="564"/>
      <c r="CL89" s="564"/>
      <c r="CM89" s="564"/>
      <c r="CN89" s="564"/>
      <c r="CO89" s="564"/>
      <c r="CP89" s="564"/>
      <c r="CQ89" s="564"/>
      <c r="CR89" s="564"/>
      <c r="CS89" s="564"/>
      <c r="CT89" s="564"/>
      <c r="CU89" s="564"/>
      <c r="CV89" s="564"/>
      <c r="CW89" s="564"/>
      <c r="CX89" s="564"/>
      <c r="CY89" s="564"/>
      <c r="CZ89" s="564"/>
      <c r="DA89" s="564"/>
      <c r="DB89" s="564"/>
      <c r="DC89" s="564"/>
      <c r="DD89" s="564"/>
      <c r="DE89" s="564"/>
      <c r="DF89" s="564"/>
      <c r="DG89" s="564"/>
      <c r="DH89" s="564"/>
      <c r="DI89" s="564"/>
      <c r="DJ89" s="564"/>
      <c r="DK89" s="564"/>
      <c r="DL89" s="564"/>
      <c r="DM89" s="564"/>
      <c r="DN89" s="564"/>
      <c r="DO89" s="564"/>
      <c r="DP89" s="564"/>
      <c r="DQ89" s="564"/>
      <c r="DR89" s="564"/>
      <c r="DS89" s="564"/>
      <c r="DT89" s="564"/>
      <c r="DU89" s="564"/>
      <c r="DV89" s="564"/>
      <c r="DW89" s="564"/>
      <c r="DX89" s="564"/>
      <c r="DY89" s="564"/>
      <c r="DZ89" s="564"/>
      <c r="EA89" s="564"/>
      <c r="EB89" s="564"/>
      <c r="EC89" s="564"/>
      <c r="ED89" s="564"/>
      <c r="EE89" s="564"/>
      <c r="EF89" s="564"/>
      <c r="EG89" s="564"/>
      <c r="EH89" s="564"/>
      <c r="EI89" s="564"/>
      <c r="EJ89" s="564"/>
      <c r="EK89" s="564"/>
      <c r="EL89" s="564"/>
      <c r="EM89" s="564"/>
      <c r="EN89" s="564"/>
      <c r="EO89" s="564"/>
      <c r="EP89" s="564"/>
      <c r="EQ89" s="564"/>
      <c r="ER89" s="564"/>
      <c r="ES89" s="564"/>
      <c r="ET89" s="564"/>
      <c r="EU89" s="564"/>
      <c r="EV89" s="564"/>
      <c r="EW89" s="564"/>
      <c r="EX89" s="564"/>
      <c r="EY89" s="564"/>
      <c r="EZ89" s="564"/>
      <c r="FA89" s="564"/>
      <c r="FB89" s="564"/>
      <c r="FC89" s="564"/>
      <c r="FD89" s="564"/>
      <c r="FE89" s="564"/>
      <c r="FF89" s="564"/>
      <c r="FG89" s="564"/>
      <c r="FH89" s="564"/>
      <c r="FI89" s="564"/>
      <c r="FJ89" s="564"/>
      <c r="FK89" s="564"/>
      <c r="FL89" s="564"/>
      <c r="FM89" s="564"/>
      <c r="FN89" s="564"/>
      <c r="FO89" s="564"/>
      <c r="FP89" s="564"/>
      <c r="FQ89" s="564"/>
      <c r="FR89" s="564"/>
      <c r="FS89" s="564"/>
      <c r="FT89" s="564"/>
      <c r="FU89" s="564"/>
      <c r="FV89" s="564"/>
      <c r="FW89" s="564"/>
      <c r="FX89" s="564"/>
      <c r="FY89" s="564"/>
      <c r="FZ89" s="564"/>
      <c r="GA89" s="564"/>
      <c r="GB89" s="564"/>
      <c r="GC89" s="564"/>
      <c r="GD89" s="564"/>
      <c r="GE89" s="564"/>
      <c r="GF89" s="564"/>
      <c r="GG89" s="564"/>
      <c r="GH89" s="564"/>
      <c r="GI89" s="564"/>
      <c r="GJ89" s="564"/>
      <c r="GK89" s="564"/>
      <c r="GL89" s="564"/>
      <c r="GM89" s="564"/>
      <c r="GN89" s="564"/>
      <c r="GO89" s="564"/>
      <c r="GP89" s="564"/>
      <c r="GQ89" s="564"/>
      <c r="GR89" s="564"/>
      <c r="GS89" s="564"/>
      <c r="GT89" s="564"/>
      <c r="GU89" s="564"/>
      <c r="GV89" s="564"/>
      <c r="GW89" s="564"/>
      <c r="GX89" s="564"/>
      <c r="GY89" s="564"/>
      <c r="GZ89" s="564"/>
      <c r="HA89" s="564"/>
      <c r="HB89" s="564"/>
      <c r="HC89" s="564"/>
      <c r="HD89" s="564"/>
      <c r="HE89" s="564"/>
      <c r="HF89" s="564"/>
      <c r="HG89" s="564"/>
      <c r="HH89" s="564"/>
      <c r="HI89" s="564"/>
      <c r="HJ89" s="564"/>
      <c r="HK89" s="564"/>
      <c r="HL89" s="564"/>
      <c r="HM89" s="564"/>
      <c r="HN89" s="564"/>
      <c r="HO89" s="564"/>
      <c r="HP89" s="564"/>
      <c r="HQ89" s="564"/>
      <c r="HR89" s="564"/>
      <c r="HS89" s="564"/>
      <c r="HT89" s="564"/>
      <c r="HU89" s="564"/>
      <c r="HV89" s="564"/>
      <c r="HW89" s="564"/>
      <c r="HX89" s="564"/>
      <c r="HY89" s="564"/>
      <c r="HZ89" s="564"/>
      <c r="IA89" s="564"/>
      <c r="IB89" s="564"/>
      <c r="IC89" s="564"/>
      <c r="ID89" s="564"/>
      <c r="IE89" s="564"/>
      <c r="IF89" s="564"/>
      <c r="IG89" s="564"/>
      <c r="IH89" s="564"/>
      <c r="II89" s="564"/>
      <c r="IJ89" s="564"/>
      <c r="IK89" s="564"/>
      <c r="IL89" s="564"/>
      <c r="IM89" s="564"/>
      <c r="IN89" s="564"/>
      <c r="IO89" s="564"/>
      <c r="IP89" s="564"/>
      <c r="IQ89" s="564"/>
      <c r="IR89" s="564"/>
      <c r="IS89" s="564"/>
      <c r="IT89" s="564"/>
      <c r="IU89" s="564"/>
      <c r="IV89" s="564"/>
      <c r="IW89" s="564"/>
      <c r="IX89" s="564"/>
      <c r="IY89" s="564"/>
      <c r="IZ89" s="564"/>
      <c r="JA89" s="564"/>
      <c r="JB89" s="564"/>
      <c r="JC89" s="564"/>
      <c r="JD89" s="564"/>
      <c r="JE89" s="564"/>
      <c r="JF89" s="564"/>
      <c r="JG89" s="564"/>
      <c r="JH89" s="564"/>
      <c r="JI89" s="564"/>
      <c r="JJ89" s="564"/>
      <c r="JK89" s="564"/>
      <c r="JL89" s="564"/>
      <c r="JM89" s="564"/>
      <c r="JN89" s="564"/>
      <c r="JO89" s="564"/>
      <c r="JP89" s="564"/>
      <c r="JQ89" s="564"/>
      <c r="JR89" s="564"/>
      <c r="JS89" s="564"/>
      <c r="JT89" s="564"/>
      <c r="JU89" s="564"/>
      <c r="JV89" s="564"/>
    </row>
    <row r="90" spans="1:282" ht="50.1" customHeight="1" x14ac:dyDescent="0.2">
      <c r="A90" s="298"/>
      <c r="B90" s="29" t="s">
        <v>1174</v>
      </c>
      <c r="C90" s="29"/>
      <c r="D90" s="29"/>
      <c r="E90" s="29" t="s">
        <v>958</v>
      </c>
      <c r="F90" s="104" t="s">
        <v>959</v>
      </c>
      <c r="G90" s="29" t="s">
        <v>944</v>
      </c>
      <c r="H90" s="29" t="s">
        <v>945</v>
      </c>
      <c r="I90" s="29"/>
      <c r="J90" s="69" t="s">
        <v>960</v>
      </c>
      <c r="K90" s="29" t="s">
        <v>1393</v>
      </c>
      <c r="L90" s="29" t="s">
        <v>685</v>
      </c>
      <c r="M90" s="29" t="s">
        <v>1528</v>
      </c>
      <c r="N90" s="74">
        <v>39849</v>
      </c>
      <c r="O90" s="69" t="s">
        <v>961</v>
      </c>
      <c r="P90" s="69"/>
      <c r="Q90" s="69"/>
      <c r="R90" s="69"/>
      <c r="S90" s="69"/>
      <c r="T90" s="595" t="s">
        <v>737</v>
      </c>
      <c r="U90" s="595"/>
      <c r="V90" s="595"/>
      <c r="W90" s="595"/>
      <c r="X90" s="595"/>
      <c r="Y90" s="595"/>
      <c r="Z90" s="595"/>
      <c r="AA90" s="595"/>
      <c r="AB90" s="595"/>
      <c r="AC90" s="595"/>
      <c r="AD90" s="595"/>
      <c r="AE90" s="595"/>
      <c r="AF90" s="595"/>
      <c r="AG90" s="595"/>
      <c r="AH90" s="595"/>
      <c r="AI90" s="595"/>
      <c r="AJ90" s="724">
        <v>40651</v>
      </c>
      <c r="AK90" s="720">
        <f t="shared" si="2"/>
        <v>802</v>
      </c>
      <c r="AL90" s="595"/>
      <c r="AM90" s="564"/>
      <c r="AN90" s="564"/>
      <c r="AO90" s="564"/>
      <c r="AP90" s="564"/>
      <c r="AQ90" s="564"/>
      <c r="AR90" s="564"/>
      <c r="AS90" s="564"/>
      <c r="AT90" s="564"/>
      <c r="AU90" s="564"/>
      <c r="AV90" s="564"/>
      <c r="AW90" s="564"/>
      <c r="AX90" s="564"/>
      <c r="AY90" s="564"/>
      <c r="AZ90" s="564"/>
      <c r="BA90" s="564"/>
      <c r="BB90" s="564"/>
      <c r="BC90" s="564"/>
      <c r="BD90" s="564"/>
      <c r="BE90" s="564"/>
      <c r="BF90" s="564"/>
      <c r="BG90" s="564"/>
      <c r="BH90" s="564"/>
      <c r="BI90" s="564"/>
      <c r="BJ90" s="564"/>
      <c r="BK90" s="564"/>
      <c r="BL90" s="564"/>
      <c r="BM90" s="564"/>
      <c r="BN90" s="564"/>
      <c r="BO90" s="564"/>
      <c r="BP90" s="564"/>
      <c r="BQ90" s="564"/>
      <c r="BR90" s="564"/>
      <c r="BS90" s="564"/>
      <c r="BT90" s="564"/>
      <c r="BU90" s="564"/>
      <c r="BV90" s="564"/>
      <c r="BW90" s="564"/>
      <c r="BX90" s="564"/>
      <c r="BY90" s="564"/>
      <c r="BZ90" s="564"/>
      <c r="CA90" s="564"/>
      <c r="CB90" s="564"/>
      <c r="CC90" s="564"/>
      <c r="CD90" s="564"/>
      <c r="CE90" s="564"/>
      <c r="CF90" s="564"/>
      <c r="CG90" s="564"/>
      <c r="CH90" s="564"/>
      <c r="CI90" s="564"/>
      <c r="CJ90" s="564"/>
      <c r="CK90" s="564"/>
      <c r="CL90" s="564"/>
      <c r="CM90" s="564"/>
      <c r="CN90" s="564"/>
      <c r="CO90" s="564"/>
      <c r="CP90" s="564"/>
      <c r="CQ90" s="564"/>
      <c r="CR90" s="564"/>
      <c r="CS90" s="564"/>
      <c r="CT90" s="564"/>
      <c r="CU90" s="564"/>
      <c r="CV90" s="564"/>
      <c r="CW90" s="564"/>
      <c r="CX90" s="564"/>
      <c r="CY90" s="564"/>
      <c r="CZ90" s="564"/>
      <c r="DA90" s="564"/>
      <c r="DB90" s="564"/>
      <c r="DC90" s="564"/>
      <c r="DD90" s="564"/>
      <c r="DE90" s="564"/>
      <c r="DF90" s="564"/>
      <c r="DG90" s="564"/>
      <c r="DH90" s="564"/>
      <c r="DI90" s="564"/>
      <c r="DJ90" s="564"/>
      <c r="DK90" s="564"/>
      <c r="DL90" s="564"/>
      <c r="DM90" s="564"/>
      <c r="DN90" s="564"/>
      <c r="DO90" s="564"/>
      <c r="DP90" s="564"/>
      <c r="DQ90" s="564"/>
      <c r="DR90" s="564"/>
      <c r="DS90" s="564"/>
      <c r="DT90" s="564"/>
      <c r="DU90" s="564"/>
      <c r="DV90" s="564"/>
      <c r="DW90" s="564"/>
      <c r="DX90" s="564"/>
      <c r="DY90" s="564"/>
      <c r="DZ90" s="564"/>
      <c r="EA90" s="564"/>
      <c r="EB90" s="564"/>
      <c r="EC90" s="564"/>
      <c r="ED90" s="564"/>
      <c r="EE90" s="564"/>
      <c r="EF90" s="564"/>
      <c r="EG90" s="564"/>
      <c r="EH90" s="564"/>
      <c r="EI90" s="564"/>
      <c r="EJ90" s="564"/>
      <c r="EK90" s="564"/>
      <c r="EL90" s="564"/>
      <c r="EM90" s="564"/>
      <c r="EN90" s="564"/>
      <c r="EO90" s="564"/>
      <c r="EP90" s="564"/>
      <c r="EQ90" s="564"/>
      <c r="ER90" s="564"/>
      <c r="ES90" s="564"/>
      <c r="ET90" s="564"/>
      <c r="EU90" s="564"/>
      <c r="EV90" s="564"/>
      <c r="EW90" s="564"/>
      <c r="EX90" s="564"/>
      <c r="EY90" s="564"/>
      <c r="EZ90" s="564"/>
      <c r="FA90" s="564"/>
      <c r="FB90" s="564"/>
      <c r="FC90" s="564"/>
      <c r="FD90" s="564"/>
      <c r="FE90" s="564"/>
      <c r="FF90" s="564"/>
      <c r="FG90" s="564"/>
      <c r="FH90" s="564"/>
      <c r="FI90" s="564"/>
      <c r="FJ90" s="564"/>
      <c r="FK90" s="564"/>
      <c r="FL90" s="564"/>
      <c r="FM90" s="564"/>
      <c r="FN90" s="564"/>
      <c r="FO90" s="564"/>
      <c r="FP90" s="564"/>
      <c r="FQ90" s="564"/>
      <c r="FR90" s="564"/>
      <c r="FS90" s="564"/>
      <c r="FT90" s="564"/>
      <c r="FU90" s="564"/>
      <c r="FV90" s="564"/>
      <c r="FW90" s="564"/>
      <c r="FX90" s="564"/>
      <c r="FY90" s="564"/>
      <c r="FZ90" s="564"/>
      <c r="GA90" s="564"/>
      <c r="GB90" s="564"/>
      <c r="GC90" s="564"/>
      <c r="GD90" s="564"/>
      <c r="GE90" s="564"/>
      <c r="GF90" s="564"/>
      <c r="GG90" s="564"/>
      <c r="GH90" s="564"/>
      <c r="GI90" s="564"/>
      <c r="GJ90" s="564"/>
      <c r="GK90" s="564"/>
      <c r="GL90" s="564"/>
      <c r="GM90" s="564"/>
      <c r="GN90" s="564"/>
      <c r="GO90" s="564"/>
      <c r="GP90" s="564"/>
      <c r="GQ90" s="564"/>
      <c r="GR90" s="564"/>
      <c r="GS90" s="564"/>
      <c r="GT90" s="564"/>
      <c r="GU90" s="564"/>
      <c r="GV90" s="564"/>
      <c r="GW90" s="564"/>
      <c r="GX90" s="564"/>
      <c r="GY90" s="564"/>
      <c r="GZ90" s="564"/>
      <c r="HA90" s="564"/>
      <c r="HB90" s="564"/>
      <c r="HC90" s="564"/>
      <c r="HD90" s="564"/>
      <c r="HE90" s="564"/>
      <c r="HF90" s="564"/>
      <c r="HG90" s="564"/>
      <c r="HH90" s="564"/>
      <c r="HI90" s="564"/>
      <c r="HJ90" s="564"/>
      <c r="HK90" s="564"/>
      <c r="HL90" s="564"/>
      <c r="HM90" s="564"/>
      <c r="HN90" s="564"/>
      <c r="HO90" s="564"/>
      <c r="HP90" s="564"/>
      <c r="HQ90" s="564"/>
      <c r="HR90" s="564"/>
      <c r="HS90" s="564"/>
      <c r="HT90" s="564"/>
      <c r="HU90" s="564"/>
      <c r="HV90" s="564"/>
      <c r="HW90" s="564"/>
      <c r="HX90" s="564"/>
      <c r="HY90" s="564"/>
      <c r="HZ90" s="564"/>
      <c r="IA90" s="564"/>
      <c r="IB90" s="564"/>
      <c r="IC90" s="564"/>
      <c r="ID90" s="564"/>
      <c r="IE90" s="564"/>
      <c r="IF90" s="564"/>
      <c r="IG90" s="564"/>
      <c r="IH90" s="564"/>
      <c r="II90" s="564"/>
      <c r="IJ90" s="564"/>
      <c r="IK90" s="564"/>
      <c r="IL90" s="564"/>
      <c r="IM90" s="564"/>
      <c r="IN90" s="564"/>
      <c r="IO90" s="564"/>
      <c r="IP90" s="564"/>
      <c r="IQ90" s="564"/>
      <c r="IR90" s="564"/>
      <c r="IS90" s="564"/>
      <c r="IT90" s="564"/>
      <c r="IU90" s="564"/>
      <c r="IV90" s="564"/>
      <c r="IW90" s="564"/>
      <c r="IX90" s="564"/>
      <c r="IY90" s="564"/>
      <c r="IZ90" s="564"/>
      <c r="JA90" s="564"/>
      <c r="JB90" s="564"/>
      <c r="JC90" s="564"/>
      <c r="JD90" s="564"/>
      <c r="JE90" s="564"/>
      <c r="JF90" s="564"/>
      <c r="JG90" s="564"/>
      <c r="JH90" s="564"/>
      <c r="JI90" s="564"/>
      <c r="JJ90" s="564"/>
      <c r="JK90" s="564"/>
      <c r="JL90" s="564"/>
      <c r="JM90" s="564"/>
      <c r="JN90" s="564"/>
      <c r="JO90" s="564"/>
      <c r="JP90" s="564"/>
      <c r="JQ90" s="564"/>
      <c r="JR90" s="564"/>
      <c r="JS90" s="564"/>
      <c r="JT90" s="564"/>
      <c r="JU90" s="564"/>
      <c r="JV90" s="564"/>
    </row>
    <row r="91" spans="1:282" ht="50.1" customHeight="1" x14ac:dyDescent="0.2">
      <c r="A91" s="298"/>
      <c r="B91" s="29" t="s">
        <v>1174</v>
      </c>
      <c r="C91" s="29"/>
      <c r="D91" s="29"/>
      <c r="E91" s="74" t="s">
        <v>951</v>
      </c>
      <c r="F91" s="104" t="s">
        <v>952</v>
      </c>
      <c r="G91" s="29" t="s">
        <v>952</v>
      </c>
      <c r="H91" s="29" t="s">
        <v>953</v>
      </c>
      <c r="I91" s="29"/>
      <c r="J91" s="29" t="s">
        <v>40</v>
      </c>
      <c r="K91" s="30" t="s">
        <v>1394</v>
      </c>
      <c r="L91" s="29" t="s">
        <v>12</v>
      </c>
      <c r="M91" s="29" t="s">
        <v>1528</v>
      </c>
      <c r="N91" s="74">
        <v>40354</v>
      </c>
      <c r="O91" s="29" t="s">
        <v>954</v>
      </c>
      <c r="P91" s="29"/>
      <c r="Q91" s="29"/>
      <c r="R91" s="29"/>
      <c r="S91" s="29"/>
      <c r="T91" s="174">
        <v>14</v>
      </c>
      <c r="U91" s="174"/>
      <c r="V91" s="174"/>
      <c r="W91" s="174"/>
      <c r="X91" s="174"/>
      <c r="Y91" s="174"/>
      <c r="Z91" s="174"/>
      <c r="AA91" s="174"/>
      <c r="AB91" s="174"/>
      <c r="AC91" s="174"/>
      <c r="AD91" s="174"/>
      <c r="AE91" s="174"/>
      <c r="AF91" s="174"/>
      <c r="AG91" s="174"/>
      <c r="AH91" s="174"/>
      <c r="AI91" s="174"/>
      <c r="AJ91" s="724">
        <v>40651</v>
      </c>
      <c r="AK91" s="720">
        <f t="shared" si="2"/>
        <v>297</v>
      </c>
      <c r="AL91" s="174"/>
      <c r="AM91" s="564"/>
      <c r="AN91" s="564"/>
      <c r="AO91" s="564"/>
      <c r="AP91" s="564"/>
      <c r="AQ91" s="564"/>
      <c r="AR91" s="564"/>
      <c r="AS91" s="564"/>
      <c r="AT91" s="564"/>
      <c r="AU91" s="564"/>
      <c r="AV91" s="564"/>
      <c r="AW91" s="564"/>
      <c r="AX91" s="564"/>
      <c r="AY91" s="564"/>
      <c r="AZ91" s="564"/>
      <c r="BA91" s="564"/>
      <c r="BB91" s="564"/>
      <c r="BC91" s="564"/>
      <c r="BD91" s="564"/>
      <c r="BE91" s="564"/>
      <c r="BF91" s="564"/>
      <c r="BG91" s="564"/>
      <c r="BH91" s="564"/>
      <c r="BI91" s="564"/>
      <c r="BJ91" s="564"/>
      <c r="BK91" s="564"/>
      <c r="BL91" s="564"/>
      <c r="BM91" s="564"/>
      <c r="BN91" s="564"/>
      <c r="BO91" s="564"/>
      <c r="BP91" s="564"/>
      <c r="BQ91" s="564"/>
      <c r="BR91" s="564"/>
      <c r="BS91" s="564"/>
      <c r="BT91" s="564"/>
      <c r="BU91" s="564"/>
      <c r="BV91" s="564"/>
      <c r="BW91" s="564"/>
      <c r="BX91" s="564"/>
      <c r="BY91" s="564"/>
      <c r="BZ91" s="564"/>
      <c r="CA91" s="564"/>
      <c r="CB91" s="564"/>
      <c r="CC91" s="564"/>
      <c r="CD91" s="564"/>
      <c r="CE91" s="564"/>
      <c r="CF91" s="564"/>
      <c r="CG91" s="564"/>
      <c r="CH91" s="564"/>
      <c r="CI91" s="564"/>
      <c r="CJ91" s="564"/>
      <c r="CK91" s="564"/>
      <c r="CL91" s="564"/>
      <c r="CM91" s="564"/>
      <c r="CN91" s="564"/>
      <c r="CO91" s="564"/>
      <c r="CP91" s="564"/>
      <c r="CQ91" s="564"/>
      <c r="CR91" s="564"/>
      <c r="CS91" s="564"/>
      <c r="CT91" s="564"/>
      <c r="CU91" s="564"/>
      <c r="CV91" s="564"/>
      <c r="CW91" s="564"/>
      <c r="CX91" s="564"/>
      <c r="CY91" s="564"/>
      <c r="CZ91" s="564"/>
      <c r="DA91" s="564"/>
      <c r="DB91" s="564"/>
      <c r="DC91" s="564"/>
      <c r="DD91" s="564"/>
      <c r="DE91" s="564"/>
      <c r="DF91" s="564"/>
      <c r="DG91" s="564"/>
      <c r="DH91" s="564"/>
      <c r="DI91" s="564"/>
      <c r="DJ91" s="564"/>
      <c r="DK91" s="564"/>
      <c r="DL91" s="564"/>
      <c r="DM91" s="564"/>
      <c r="DN91" s="564"/>
      <c r="DO91" s="564"/>
      <c r="DP91" s="564"/>
      <c r="DQ91" s="564"/>
      <c r="DR91" s="564"/>
      <c r="DS91" s="564"/>
      <c r="DT91" s="564"/>
      <c r="DU91" s="564"/>
      <c r="DV91" s="564"/>
      <c r="DW91" s="564"/>
      <c r="DX91" s="564"/>
      <c r="DY91" s="564"/>
      <c r="DZ91" s="564"/>
      <c r="EA91" s="564"/>
      <c r="EB91" s="564"/>
      <c r="EC91" s="564"/>
      <c r="ED91" s="564"/>
      <c r="EE91" s="564"/>
      <c r="EF91" s="564"/>
      <c r="EG91" s="564"/>
      <c r="EH91" s="564"/>
      <c r="EI91" s="564"/>
      <c r="EJ91" s="564"/>
      <c r="EK91" s="564"/>
      <c r="EL91" s="564"/>
      <c r="EM91" s="564"/>
      <c r="EN91" s="564"/>
      <c r="EO91" s="564"/>
      <c r="EP91" s="564"/>
      <c r="EQ91" s="564"/>
      <c r="ER91" s="564"/>
      <c r="ES91" s="564"/>
      <c r="ET91" s="564"/>
      <c r="EU91" s="564"/>
      <c r="EV91" s="564"/>
      <c r="EW91" s="564"/>
      <c r="EX91" s="564"/>
      <c r="EY91" s="564"/>
      <c r="EZ91" s="564"/>
      <c r="FA91" s="564"/>
      <c r="FB91" s="564"/>
      <c r="FC91" s="564"/>
      <c r="FD91" s="564"/>
      <c r="FE91" s="564"/>
      <c r="FF91" s="564"/>
      <c r="FG91" s="564"/>
      <c r="FH91" s="564"/>
      <c r="FI91" s="564"/>
      <c r="FJ91" s="564"/>
      <c r="FK91" s="564"/>
      <c r="FL91" s="564"/>
      <c r="FM91" s="564"/>
      <c r="FN91" s="564"/>
      <c r="FO91" s="564"/>
      <c r="FP91" s="564"/>
      <c r="FQ91" s="564"/>
      <c r="FR91" s="564"/>
      <c r="FS91" s="564"/>
      <c r="FT91" s="564"/>
      <c r="FU91" s="564"/>
      <c r="FV91" s="564"/>
      <c r="FW91" s="564"/>
      <c r="FX91" s="564"/>
      <c r="FY91" s="564"/>
      <c r="FZ91" s="564"/>
      <c r="GA91" s="564"/>
      <c r="GB91" s="564"/>
      <c r="GC91" s="564"/>
      <c r="GD91" s="564"/>
      <c r="GE91" s="564"/>
      <c r="GF91" s="564"/>
      <c r="GG91" s="564"/>
      <c r="GH91" s="564"/>
      <c r="GI91" s="564"/>
      <c r="GJ91" s="564"/>
      <c r="GK91" s="564"/>
      <c r="GL91" s="564"/>
      <c r="GM91" s="564"/>
      <c r="GN91" s="564"/>
      <c r="GO91" s="564"/>
      <c r="GP91" s="564"/>
      <c r="GQ91" s="564"/>
      <c r="GR91" s="564"/>
      <c r="GS91" s="564"/>
      <c r="GT91" s="564"/>
      <c r="GU91" s="564"/>
      <c r="GV91" s="564"/>
      <c r="GW91" s="564"/>
      <c r="GX91" s="564"/>
      <c r="GY91" s="564"/>
      <c r="GZ91" s="564"/>
      <c r="HA91" s="564"/>
      <c r="HB91" s="564"/>
      <c r="HC91" s="564"/>
      <c r="HD91" s="564"/>
      <c r="HE91" s="564"/>
      <c r="HF91" s="564"/>
      <c r="HG91" s="564"/>
      <c r="HH91" s="564"/>
      <c r="HI91" s="564"/>
      <c r="HJ91" s="564"/>
      <c r="HK91" s="564"/>
      <c r="HL91" s="564"/>
      <c r="HM91" s="564"/>
      <c r="HN91" s="564"/>
      <c r="HO91" s="564"/>
      <c r="HP91" s="564"/>
      <c r="HQ91" s="564"/>
      <c r="HR91" s="564"/>
      <c r="HS91" s="564"/>
      <c r="HT91" s="564"/>
      <c r="HU91" s="564"/>
      <c r="HV91" s="564"/>
      <c r="HW91" s="564"/>
      <c r="HX91" s="564"/>
      <c r="HY91" s="564"/>
      <c r="HZ91" s="564"/>
      <c r="IA91" s="564"/>
      <c r="IB91" s="564"/>
      <c r="IC91" s="564"/>
      <c r="ID91" s="564"/>
      <c r="IE91" s="564"/>
      <c r="IF91" s="564"/>
      <c r="IG91" s="564"/>
      <c r="IH91" s="564"/>
      <c r="II91" s="564"/>
      <c r="IJ91" s="564"/>
      <c r="IK91" s="564"/>
      <c r="IL91" s="564"/>
      <c r="IM91" s="564"/>
      <c r="IN91" s="564"/>
      <c r="IO91" s="564"/>
      <c r="IP91" s="564"/>
      <c r="IQ91" s="564"/>
      <c r="IR91" s="564"/>
      <c r="IS91" s="564"/>
      <c r="IT91" s="564"/>
      <c r="IU91" s="564"/>
      <c r="IV91" s="564"/>
      <c r="IW91" s="564"/>
      <c r="IX91" s="564"/>
      <c r="IY91" s="564"/>
      <c r="IZ91" s="564"/>
      <c r="JA91" s="564"/>
      <c r="JB91" s="564"/>
      <c r="JC91" s="564"/>
      <c r="JD91" s="564"/>
      <c r="JE91" s="564"/>
      <c r="JF91" s="564"/>
      <c r="JG91" s="564"/>
      <c r="JH91" s="564"/>
      <c r="JI91" s="564"/>
      <c r="JJ91" s="564"/>
      <c r="JK91" s="564"/>
      <c r="JL91" s="564"/>
      <c r="JM91" s="564"/>
      <c r="JN91" s="564"/>
      <c r="JO91" s="564"/>
      <c r="JP91" s="564"/>
      <c r="JQ91" s="564"/>
      <c r="JR91" s="564"/>
      <c r="JS91" s="564"/>
      <c r="JT91" s="564"/>
      <c r="JU91" s="564"/>
      <c r="JV91" s="564"/>
    </row>
    <row r="92" spans="1:282" ht="50.1" customHeight="1" x14ac:dyDescent="0.2">
      <c r="A92" s="298"/>
      <c r="B92" s="29" t="s">
        <v>1174</v>
      </c>
      <c r="C92" s="29"/>
      <c r="D92" s="29"/>
      <c r="E92" s="29" t="s">
        <v>955</v>
      </c>
      <c r="F92" s="104" t="s">
        <v>956</v>
      </c>
      <c r="G92" s="29" t="s">
        <v>952</v>
      </c>
      <c r="H92" s="29" t="s">
        <v>953</v>
      </c>
      <c r="I92" s="29"/>
      <c r="J92" s="29" t="s">
        <v>40</v>
      </c>
      <c r="K92" s="29" t="s">
        <v>1393</v>
      </c>
      <c r="L92" s="29" t="s">
        <v>12</v>
      </c>
      <c r="M92" s="29" t="s">
        <v>1528</v>
      </c>
      <c r="N92" s="74">
        <v>40354</v>
      </c>
      <c r="O92" s="69" t="s">
        <v>957</v>
      </c>
      <c r="P92" s="69"/>
      <c r="Q92" s="69"/>
      <c r="R92" s="69"/>
      <c r="S92" s="69"/>
      <c r="T92" s="174">
        <v>11</v>
      </c>
      <c r="U92" s="174"/>
      <c r="V92" s="174"/>
      <c r="W92" s="174"/>
      <c r="X92" s="174"/>
      <c r="Y92" s="174"/>
      <c r="Z92" s="174"/>
      <c r="AA92" s="174"/>
      <c r="AB92" s="174"/>
      <c r="AC92" s="174"/>
      <c r="AD92" s="174"/>
      <c r="AE92" s="174"/>
      <c r="AF92" s="174"/>
      <c r="AG92" s="174"/>
      <c r="AH92" s="174"/>
      <c r="AI92" s="174"/>
      <c r="AJ92" s="724">
        <v>40651</v>
      </c>
      <c r="AK92" s="720">
        <f t="shared" si="2"/>
        <v>297</v>
      </c>
      <c r="AL92" s="174"/>
      <c r="AM92" s="564"/>
      <c r="AN92" s="564"/>
      <c r="AO92" s="564"/>
      <c r="AP92" s="564"/>
      <c r="AQ92" s="564"/>
      <c r="AR92" s="564"/>
      <c r="AS92" s="564"/>
      <c r="AT92" s="564"/>
      <c r="AU92" s="564"/>
      <c r="AV92" s="564"/>
      <c r="AW92" s="564"/>
      <c r="AX92" s="564"/>
      <c r="AY92" s="564"/>
      <c r="AZ92" s="564"/>
      <c r="BA92" s="564"/>
      <c r="BB92" s="564"/>
      <c r="BC92" s="564"/>
      <c r="BD92" s="564"/>
      <c r="BE92" s="564"/>
      <c r="BF92" s="564"/>
      <c r="BG92" s="564"/>
      <c r="BH92" s="564"/>
      <c r="BI92" s="564"/>
      <c r="BJ92" s="564"/>
      <c r="BK92" s="564"/>
      <c r="BL92" s="564"/>
      <c r="BM92" s="564"/>
      <c r="BN92" s="564"/>
      <c r="BO92" s="564"/>
      <c r="BP92" s="564"/>
      <c r="BQ92" s="564"/>
      <c r="BR92" s="564"/>
      <c r="BS92" s="564"/>
      <c r="BT92" s="564"/>
      <c r="BU92" s="564"/>
      <c r="BV92" s="564"/>
      <c r="BW92" s="564"/>
      <c r="BX92" s="564"/>
      <c r="BY92" s="564"/>
      <c r="BZ92" s="564"/>
      <c r="CA92" s="564"/>
      <c r="CB92" s="564"/>
      <c r="CC92" s="564"/>
      <c r="CD92" s="564"/>
      <c r="CE92" s="564"/>
      <c r="CF92" s="564"/>
      <c r="CG92" s="564"/>
      <c r="CH92" s="564"/>
      <c r="CI92" s="564"/>
      <c r="CJ92" s="564"/>
      <c r="CK92" s="564"/>
      <c r="CL92" s="564"/>
      <c r="CM92" s="564"/>
      <c r="CN92" s="564"/>
      <c r="CO92" s="564"/>
      <c r="CP92" s="564"/>
      <c r="CQ92" s="564"/>
      <c r="CR92" s="564"/>
      <c r="CS92" s="564"/>
      <c r="CT92" s="564"/>
      <c r="CU92" s="564"/>
      <c r="CV92" s="564"/>
      <c r="CW92" s="564"/>
      <c r="CX92" s="564"/>
      <c r="CY92" s="564"/>
      <c r="CZ92" s="564"/>
      <c r="DA92" s="564"/>
      <c r="DB92" s="564"/>
      <c r="DC92" s="564"/>
      <c r="DD92" s="564"/>
      <c r="DE92" s="564"/>
      <c r="DF92" s="564"/>
      <c r="DG92" s="564"/>
      <c r="DH92" s="564"/>
      <c r="DI92" s="564"/>
      <c r="DJ92" s="564"/>
      <c r="DK92" s="564"/>
      <c r="DL92" s="564"/>
      <c r="DM92" s="564"/>
      <c r="DN92" s="564"/>
      <c r="DO92" s="564"/>
      <c r="DP92" s="564"/>
      <c r="DQ92" s="564"/>
      <c r="DR92" s="564"/>
      <c r="DS92" s="564"/>
      <c r="DT92" s="564"/>
      <c r="DU92" s="564"/>
      <c r="DV92" s="564"/>
      <c r="DW92" s="564"/>
      <c r="DX92" s="564"/>
      <c r="DY92" s="564"/>
      <c r="DZ92" s="564"/>
      <c r="EA92" s="564"/>
      <c r="EB92" s="564"/>
      <c r="EC92" s="564"/>
      <c r="ED92" s="564"/>
      <c r="EE92" s="564"/>
      <c r="EF92" s="564"/>
      <c r="EG92" s="564"/>
      <c r="EH92" s="564"/>
      <c r="EI92" s="564"/>
      <c r="EJ92" s="564"/>
      <c r="EK92" s="564"/>
      <c r="EL92" s="564"/>
      <c r="EM92" s="564"/>
      <c r="EN92" s="564"/>
      <c r="EO92" s="564"/>
      <c r="EP92" s="564"/>
      <c r="EQ92" s="564"/>
      <c r="ER92" s="564"/>
      <c r="ES92" s="564"/>
      <c r="ET92" s="564"/>
      <c r="EU92" s="564"/>
      <c r="EV92" s="564"/>
      <c r="EW92" s="564"/>
      <c r="EX92" s="564"/>
      <c r="EY92" s="564"/>
      <c r="EZ92" s="564"/>
      <c r="FA92" s="564"/>
      <c r="FB92" s="564"/>
      <c r="FC92" s="564"/>
      <c r="FD92" s="564"/>
      <c r="FE92" s="564"/>
      <c r="FF92" s="564"/>
      <c r="FG92" s="564"/>
      <c r="FH92" s="564"/>
      <c r="FI92" s="564"/>
      <c r="FJ92" s="564"/>
      <c r="FK92" s="564"/>
      <c r="FL92" s="564"/>
      <c r="FM92" s="564"/>
      <c r="FN92" s="564"/>
      <c r="FO92" s="564"/>
      <c r="FP92" s="564"/>
      <c r="FQ92" s="564"/>
      <c r="FR92" s="564"/>
      <c r="FS92" s="564"/>
      <c r="FT92" s="564"/>
      <c r="FU92" s="564"/>
      <c r="FV92" s="564"/>
      <c r="FW92" s="564"/>
      <c r="FX92" s="564"/>
      <c r="FY92" s="564"/>
      <c r="FZ92" s="564"/>
      <c r="GA92" s="564"/>
      <c r="GB92" s="564"/>
      <c r="GC92" s="564"/>
      <c r="GD92" s="564"/>
      <c r="GE92" s="564"/>
      <c r="GF92" s="564"/>
      <c r="GG92" s="564"/>
      <c r="GH92" s="564"/>
      <c r="GI92" s="564"/>
      <c r="GJ92" s="564"/>
      <c r="GK92" s="564"/>
      <c r="GL92" s="564"/>
      <c r="GM92" s="564"/>
      <c r="GN92" s="564"/>
      <c r="GO92" s="564"/>
      <c r="GP92" s="564"/>
      <c r="GQ92" s="564"/>
      <c r="GR92" s="564"/>
      <c r="GS92" s="564"/>
      <c r="GT92" s="564"/>
      <c r="GU92" s="564"/>
      <c r="GV92" s="564"/>
      <c r="GW92" s="564"/>
      <c r="GX92" s="564"/>
      <c r="GY92" s="564"/>
      <c r="GZ92" s="564"/>
      <c r="HA92" s="564"/>
      <c r="HB92" s="564"/>
      <c r="HC92" s="564"/>
      <c r="HD92" s="564"/>
      <c r="HE92" s="564"/>
      <c r="HF92" s="564"/>
      <c r="HG92" s="564"/>
      <c r="HH92" s="564"/>
      <c r="HI92" s="564"/>
      <c r="HJ92" s="564"/>
      <c r="HK92" s="564"/>
      <c r="HL92" s="564"/>
      <c r="HM92" s="564"/>
      <c r="HN92" s="564"/>
      <c r="HO92" s="564"/>
      <c r="HP92" s="564"/>
      <c r="HQ92" s="564"/>
      <c r="HR92" s="564"/>
      <c r="HS92" s="564"/>
      <c r="HT92" s="564"/>
      <c r="HU92" s="564"/>
      <c r="HV92" s="564"/>
      <c r="HW92" s="564"/>
      <c r="HX92" s="564"/>
      <c r="HY92" s="564"/>
      <c r="HZ92" s="564"/>
      <c r="IA92" s="564"/>
      <c r="IB92" s="564"/>
      <c r="IC92" s="564"/>
      <c r="ID92" s="564"/>
      <c r="IE92" s="564"/>
      <c r="IF92" s="564"/>
      <c r="IG92" s="564"/>
      <c r="IH92" s="564"/>
      <c r="II92" s="564"/>
      <c r="IJ92" s="564"/>
      <c r="IK92" s="564"/>
      <c r="IL92" s="564"/>
      <c r="IM92" s="564"/>
      <c r="IN92" s="564"/>
      <c r="IO92" s="564"/>
      <c r="IP92" s="564"/>
      <c r="IQ92" s="564"/>
      <c r="IR92" s="564"/>
      <c r="IS92" s="564"/>
      <c r="IT92" s="564"/>
      <c r="IU92" s="564"/>
      <c r="IV92" s="564"/>
      <c r="IW92" s="564"/>
      <c r="IX92" s="564"/>
      <c r="IY92" s="564"/>
      <c r="IZ92" s="564"/>
      <c r="JA92" s="564"/>
      <c r="JB92" s="564"/>
      <c r="JC92" s="564"/>
      <c r="JD92" s="564"/>
      <c r="JE92" s="564"/>
      <c r="JF92" s="564"/>
      <c r="JG92" s="564"/>
      <c r="JH92" s="564"/>
      <c r="JI92" s="564"/>
      <c r="JJ92" s="564"/>
      <c r="JK92" s="564"/>
      <c r="JL92" s="564"/>
      <c r="JM92" s="564"/>
      <c r="JN92" s="564"/>
      <c r="JO92" s="564"/>
      <c r="JP92" s="564"/>
      <c r="JQ92" s="564"/>
      <c r="JR92" s="564"/>
      <c r="JS92" s="564"/>
      <c r="JT92" s="564"/>
      <c r="JU92" s="564"/>
      <c r="JV92" s="564"/>
    </row>
    <row r="93" spans="1:282" ht="50.1" customHeight="1" x14ac:dyDescent="0.2">
      <c r="A93" s="298"/>
      <c r="B93" s="29" t="s">
        <v>1174</v>
      </c>
      <c r="C93" s="29"/>
      <c r="D93" s="29"/>
      <c r="E93" s="30" t="s">
        <v>965</v>
      </c>
      <c r="F93" s="196" t="s">
        <v>589</v>
      </c>
      <c r="G93" s="30" t="s">
        <v>589</v>
      </c>
      <c r="H93" s="29" t="s">
        <v>590</v>
      </c>
      <c r="I93" s="29"/>
      <c r="J93" s="69" t="s">
        <v>2401</v>
      </c>
      <c r="K93" s="30" t="s">
        <v>1394</v>
      </c>
      <c r="L93" s="29" t="s">
        <v>12</v>
      </c>
      <c r="M93" s="29" t="s">
        <v>1528</v>
      </c>
      <c r="N93" s="74">
        <v>39884</v>
      </c>
      <c r="O93" s="69" t="s">
        <v>966</v>
      </c>
      <c r="P93" s="69"/>
      <c r="Q93" s="69"/>
      <c r="R93" s="69"/>
      <c r="S93" s="69"/>
      <c r="T93" s="171"/>
      <c r="U93" s="171"/>
      <c r="V93" s="171"/>
      <c r="W93" s="171"/>
      <c r="X93" s="171"/>
      <c r="Y93" s="171"/>
      <c r="Z93" s="171"/>
      <c r="AA93" s="171"/>
      <c r="AB93" s="171"/>
      <c r="AC93" s="171"/>
      <c r="AD93" s="171"/>
      <c r="AE93" s="171"/>
      <c r="AF93" s="171"/>
      <c r="AG93" s="171"/>
      <c r="AH93" s="171"/>
      <c r="AI93" s="171"/>
      <c r="AJ93" s="724">
        <v>40665</v>
      </c>
      <c r="AK93" s="720">
        <f t="shared" si="2"/>
        <v>781</v>
      </c>
      <c r="AL93" s="171"/>
      <c r="AM93" s="564"/>
      <c r="AN93" s="564"/>
      <c r="AO93" s="564"/>
      <c r="AP93" s="564"/>
      <c r="AQ93" s="564"/>
      <c r="AR93" s="564"/>
      <c r="AS93" s="564"/>
      <c r="AT93" s="564"/>
      <c r="AU93" s="564"/>
      <c r="AV93" s="564"/>
      <c r="AW93" s="564"/>
      <c r="AX93" s="564"/>
      <c r="AY93" s="564"/>
      <c r="AZ93" s="564"/>
      <c r="BA93" s="564"/>
      <c r="BB93" s="564"/>
      <c r="BC93" s="564"/>
      <c r="BD93" s="564"/>
      <c r="BE93" s="564"/>
      <c r="BF93" s="564"/>
      <c r="BG93" s="564"/>
      <c r="BH93" s="564"/>
      <c r="BI93" s="564"/>
      <c r="BJ93" s="564"/>
      <c r="BK93" s="564"/>
      <c r="BL93" s="564"/>
      <c r="BM93" s="564"/>
      <c r="BN93" s="564"/>
      <c r="BO93" s="564"/>
      <c r="BP93" s="564"/>
      <c r="BQ93" s="564"/>
      <c r="BR93" s="564"/>
      <c r="BS93" s="564"/>
      <c r="BT93" s="564"/>
      <c r="BU93" s="564"/>
      <c r="BV93" s="564"/>
      <c r="BW93" s="564"/>
      <c r="BX93" s="564"/>
      <c r="BY93" s="564"/>
      <c r="BZ93" s="564"/>
      <c r="CA93" s="564"/>
      <c r="CB93" s="564"/>
      <c r="CC93" s="564"/>
      <c r="CD93" s="564"/>
      <c r="CE93" s="564"/>
      <c r="CF93" s="564"/>
      <c r="CG93" s="564"/>
      <c r="CH93" s="564"/>
      <c r="CI93" s="564"/>
      <c r="CJ93" s="564"/>
      <c r="CK93" s="564"/>
      <c r="CL93" s="564"/>
      <c r="CM93" s="564"/>
      <c r="CN93" s="564"/>
      <c r="CO93" s="564"/>
      <c r="CP93" s="564"/>
      <c r="CQ93" s="564"/>
      <c r="CR93" s="564"/>
      <c r="CS93" s="564"/>
      <c r="CT93" s="564"/>
      <c r="CU93" s="564"/>
      <c r="CV93" s="564"/>
      <c r="CW93" s="564"/>
      <c r="CX93" s="564"/>
      <c r="CY93" s="564"/>
      <c r="CZ93" s="564"/>
      <c r="DA93" s="564"/>
      <c r="DB93" s="564"/>
      <c r="DC93" s="564"/>
      <c r="DD93" s="564"/>
      <c r="DE93" s="564"/>
      <c r="DF93" s="564"/>
      <c r="DG93" s="564"/>
      <c r="DH93" s="564"/>
      <c r="DI93" s="564"/>
      <c r="DJ93" s="564"/>
      <c r="DK93" s="564"/>
      <c r="DL93" s="564"/>
      <c r="DM93" s="564"/>
      <c r="DN93" s="564"/>
      <c r="DO93" s="564"/>
      <c r="DP93" s="564"/>
      <c r="DQ93" s="564"/>
      <c r="DR93" s="564"/>
      <c r="DS93" s="564"/>
      <c r="DT93" s="564"/>
      <c r="DU93" s="564"/>
      <c r="DV93" s="564"/>
      <c r="DW93" s="564"/>
      <c r="DX93" s="564"/>
      <c r="DY93" s="564"/>
      <c r="DZ93" s="564"/>
      <c r="EA93" s="564"/>
      <c r="EB93" s="564"/>
      <c r="EC93" s="564"/>
      <c r="ED93" s="564"/>
      <c r="EE93" s="564"/>
      <c r="EF93" s="564"/>
      <c r="EG93" s="564"/>
      <c r="EH93" s="564"/>
      <c r="EI93" s="564"/>
      <c r="EJ93" s="564"/>
      <c r="EK93" s="564"/>
      <c r="EL93" s="564"/>
      <c r="EM93" s="564"/>
      <c r="EN93" s="564"/>
      <c r="EO93" s="564"/>
      <c r="EP93" s="564"/>
      <c r="EQ93" s="564"/>
      <c r="ER93" s="564"/>
      <c r="ES93" s="564"/>
      <c r="ET93" s="564"/>
      <c r="EU93" s="564"/>
      <c r="EV93" s="564"/>
      <c r="EW93" s="564"/>
      <c r="EX93" s="564"/>
      <c r="EY93" s="564"/>
      <c r="EZ93" s="564"/>
      <c r="FA93" s="564"/>
      <c r="FB93" s="564"/>
      <c r="FC93" s="564"/>
      <c r="FD93" s="564"/>
      <c r="FE93" s="564"/>
      <c r="FF93" s="564"/>
      <c r="FG93" s="564"/>
      <c r="FH93" s="564"/>
      <c r="FI93" s="564"/>
      <c r="FJ93" s="564"/>
      <c r="FK93" s="564"/>
      <c r="FL93" s="564"/>
      <c r="FM93" s="564"/>
      <c r="FN93" s="564"/>
      <c r="FO93" s="564"/>
      <c r="FP93" s="564"/>
      <c r="FQ93" s="564"/>
      <c r="FR93" s="564"/>
      <c r="FS93" s="564"/>
      <c r="FT93" s="564"/>
      <c r="FU93" s="564"/>
      <c r="FV93" s="564"/>
      <c r="FW93" s="564"/>
      <c r="FX93" s="564"/>
      <c r="FY93" s="564"/>
      <c r="FZ93" s="564"/>
      <c r="GA93" s="564"/>
      <c r="GB93" s="564"/>
      <c r="GC93" s="564"/>
      <c r="GD93" s="564"/>
      <c r="GE93" s="564"/>
      <c r="GF93" s="564"/>
      <c r="GG93" s="564"/>
      <c r="GH93" s="564"/>
      <c r="GI93" s="564"/>
      <c r="GJ93" s="564"/>
      <c r="GK93" s="564"/>
      <c r="GL93" s="564"/>
      <c r="GM93" s="564"/>
      <c r="GN93" s="564"/>
      <c r="GO93" s="564"/>
      <c r="GP93" s="564"/>
      <c r="GQ93" s="564"/>
      <c r="GR93" s="564"/>
      <c r="GS93" s="564"/>
      <c r="GT93" s="564"/>
      <c r="GU93" s="564"/>
      <c r="GV93" s="564"/>
      <c r="GW93" s="564"/>
      <c r="GX93" s="564"/>
      <c r="GY93" s="564"/>
      <c r="GZ93" s="564"/>
      <c r="HA93" s="564"/>
      <c r="HB93" s="564"/>
      <c r="HC93" s="564"/>
      <c r="HD93" s="564"/>
      <c r="HE93" s="564"/>
      <c r="HF93" s="564"/>
      <c r="HG93" s="564"/>
      <c r="HH93" s="564"/>
      <c r="HI93" s="564"/>
      <c r="HJ93" s="564"/>
      <c r="HK93" s="564"/>
      <c r="HL93" s="564"/>
      <c r="HM93" s="564"/>
      <c r="HN93" s="564"/>
      <c r="HO93" s="564"/>
      <c r="HP93" s="564"/>
      <c r="HQ93" s="564"/>
      <c r="HR93" s="564"/>
      <c r="HS93" s="564"/>
      <c r="HT93" s="564"/>
      <c r="HU93" s="564"/>
      <c r="HV93" s="564"/>
      <c r="HW93" s="564"/>
      <c r="HX93" s="564"/>
      <c r="HY93" s="564"/>
      <c r="HZ93" s="564"/>
      <c r="IA93" s="564"/>
      <c r="IB93" s="564"/>
      <c r="IC93" s="564"/>
      <c r="ID93" s="564"/>
      <c r="IE93" s="564"/>
      <c r="IF93" s="564"/>
      <c r="IG93" s="564"/>
      <c r="IH93" s="564"/>
      <c r="II93" s="564"/>
      <c r="IJ93" s="564"/>
      <c r="IK93" s="564"/>
      <c r="IL93" s="564"/>
      <c r="IM93" s="564"/>
      <c r="IN93" s="564"/>
      <c r="IO93" s="564"/>
      <c r="IP93" s="564"/>
      <c r="IQ93" s="564"/>
      <c r="IR93" s="564"/>
      <c r="IS93" s="564"/>
      <c r="IT93" s="564"/>
      <c r="IU93" s="564"/>
      <c r="IV93" s="564"/>
      <c r="IW93" s="564"/>
      <c r="IX93" s="564"/>
      <c r="IY93" s="564"/>
      <c r="IZ93" s="564"/>
      <c r="JA93" s="564"/>
      <c r="JB93" s="564"/>
      <c r="JC93" s="564"/>
      <c r="JD93" s="564"/>
      <c r="JE93" s="564"/>
      <c r="JF93" s="564"/>
      <c r="JG93" s="564"/>
      <c r="JH93" s="564"/>
      <c r="JI93" s="564"/>
      <c r="JJ93" s="564"/>
      <c r="JK93" s="564"/>
      <c r="JL93" s="564"/>
      <c r="JM93" s="564"/>
      <c r="JN93" s="564"/>
      <c r="JO93" s="564"/>
      <c r="JP93" s="564"/>
      <c r="JQ93" s="564"/>
      <c r="JR93" s="564"/>
      <c r="JS93" s="564"/>
      <c r="JT93" s="564"/>
      <c r="JU93" s="564"/>
      <c r="JV93" s="564"/>
    </row>
    <row r="94" spans="1:282" s="18" customFormat="1" ht="50.1" customHeight="1" x14ac:dyDescent="0.2">
      <c r="A94" s="6"/>
      <c r="B94" s="29" t="s">
        <v>1174</v>
      </c>
      <c r="C94" s="29"/>
      <c r="D94" s="29"/>
      <c r="E94" s="30" t="s">
        <v>962</v>
      </c>
      <c r="F94" s="196" t="s">
        <v>963</v>
      </c>
      <c r="G94" s="30" t="s">
        <v>589</v>
      </c>
      <c r="H94" s="29" t="s">
        <v>590</v>
      </c>
      <c r="I94" s="29"/>
      <c r="J94" s="69" t="s">
        <v>2401</v>
      </c>
      <c r="K94" s="29" t="s">
        <v>1393</v>
      </c>
      <c r="L94" s="29" t="s">
        <v>12</v>
      </c>
      <c r="M94" s="29" t="s">
        <v>1528</v>
      </c>
      <c r="N94" s="74">
        <v>39885</v>
      </c>
      <c r="O94" s="69" t="s">
        <v>964</v>
      </c>
      <c r="P94" s="69"/>
      <c r="Q94" s="69"/>
      <c r="R94" s="69"/>
      <c r="S94" s="69"/>
      <c r="T94" s="170"/>
      <c r="U94" s="170"/>
      <c r="V94" s="170"/>
      <c r="W94" s="170"/>
      <c r="X94" s="170"/>
      <c r="Y94" s="170"/>
      <c r="Z94" s="170"/>
      <c r="AA94" s="170"/>
      <c r="AB94" s="170"/>
      <c r="AC94" s="170"/>
      <c r="AD94" s="170"/>
      <c r="AE94" s="170"/>
      <c r="AF94" s="170"/>
      <c r="AG94" s="170"/>
      <c r="AH94" s="170"/>
      <c r="AI94" s="170"/>
      <c r="AJ94" s="724">
        <v>40665</v>
      </c>
      <c r="AK94" s="720">
        <f t="shared" si="2"/>
        <v>780</v>
      </c>
      <c r="AL94" s="170"/>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c r="CV94" s="22"/>
      <c r="CW94" s="22"/>
      <c r="CX94" s="22"/>
      <c r="CY94" s="22"/>
      <c r="CZ94" s="22"/>
      <c r="DA94" s="22"/>
      <c r="DB94" s="22"/>
      <c r="DC94" s="22"/>
      <c r="DD94" s="22"/>
      <c r="DE94" s="22"/>
      <c r="DF94" s="22"/>
      <c r="DG94" s="22"/>
      <c r="DH94" s="22"/>
      <c r="DI94" s="22"/>
      <c r="DJ94" s="22"/>
      <c r="DK94" s="22"/>
      <c r="DL94" s="22"/>
      <c r="DM94" s="22"/>
      <c r="DN94" s="22"/>
      <c r="DO94" s="22"/>
      <c r="DP94" s="22"/>
      <c r="DQ94" s="22"/>
      <c r="DR94" s="22"/>
      <c r="DS94" s="22"/>
      <c r="DT94" s="22"/>
      <c r="DU94" s="22"/>
      <c r="DV94" s="22"/>
      <c r="DW94" s="22"/>
      <c r="DX94" s="22"/>
      <c r="DY94" s="22"/>
      <c r="DZ94" s="22"/>
      <c r="EA94" s="22"/>
      <c r="EB94" s="22"/>
      <c r="EC94" s="22"/>
      <c r="ED94" s="22"/>
      <c r="EE94" s="22"/>
      <c r="EF94" s="22"/>
      <c r="EG94" s="22"/>
      <c r="EH94" s="22"/>
      <c r="EI94" s="22"/>
      <c r="EJ94" s="22"/>
      <c r="EK94" s="22"/>
      <c r="EL94" s="22"/>
      <c r="EM94" s="22"/>
      <c r="EN94" s="22"/>
      <c r="EO94" s="22"/>
      <c r="EP94" s="22"/>
      <c r="EQ94" s="22"/>
      <c r="ER94" s="22"/>
      <c r="ES94" s="22"/>
      <c r="ET94" s="22"/>
      <c r="EU94" s="22"/>
      <c r="EV94" s="22"/>
      <c r="EW94" s="22"/>
      <c r="EX94" s="22"/>
      <c r="EY94" s="22"/>
      <c r="EZ94" s="22"/>
      <c r="FA94" s="22"/>
      <c r="FB94" s="22"/>
      <c r="FC94" s="22"/>
      <c r="FD94" s="22"/>
      <c r="FE94" s="22"/>
      <c r="FF94" s="22"/>
      <c r="FG94" s="22"/>
      <c r="FH94" s="22"/>
      <c r="FI94" s="22"/>
      <c r="FJ94" s="22"/>
      <c r="FK94" s="22"/>
      <c r="FL94" s="22"/>
      <c r="FM94" s="22"/>
      <c r="FN94" s="22"/>
      <c r="FO94" s="22"/>
      <c r="FP94" s="22"/>
      <c r="FQ94" s="22"/>
      <c r="FR94" s="22"/>
      <c r="FS94" s="22"/>
      <c r="FT94" s="22"/>
      <c r="FU94" s="22"/>
      <c r="FV94" s="22"/>
      <c r="FW94" s="22"/>
      <c r="FX94" s="22"/>
      <c r="FY94" s="22"/>
      <c r="FZ94" s="22"/>
      <c r="GA94" s="22"/>
      <c r="GB94" s="22"/>
      <c r="GC94" s="22"/>
      <c r="GD94" s="22"/>
      <c r="GE94" s="22"/>
      <c r="GF94" s="22"/>
      <c r="GG94" s="22"/>
      <c r="GH94" s="22"/>
      <c r="GI94" s="22"/>
      <c r="GJ94" s="22"/>
      <c r="GK94" s="22"/>
      <c r="GL94" s="22"/>
      <c r="GM94" s="22"/>
      <c r="GN94" s="22"/>
      <c r="GO94" s="22"/>
      <c r="GP94" s="22"/>
      <c r="GQ94" s="22"/>
      <c r="GR94" s="22"/>
      <c r="GS94" s="22"/>
      <c r="GT94" s="22"/>
      <c r="GU94" s="22"/>
      <c r="GV94" s="22"/>
      <c r="GW94" s="22"/>
      <c r="GX94" s="22"/>
      <c r="GY94" s="22"/>
      <c r="GZ94" s="22"/>
      <c r="HA94" s="22"/>
      <c r="HB94" s="22"/>
      <c r="HC94" s="22"/>
      <c r="HD94" s="22"/>
      <c r="HE94" s="22"/>
      <c r="HF94" s="22"/>
      <c r="HG94" s="22"/>
      <c r="HH94" s="22"/>
      <c r="HI94" s="22"/>
      <c r="HJ94" s="22"/>
      <c r="HK94" s="22"/>
      <c r="HL94" s="22"/>
      <c r="HM94" s="22"/>
      <c r="HN94" s="22"/>
      <c r="HO94" s="22"/>
      <c r="HP94" s="22"/>
      <c r="HQ94" s="22"/>
      <c r="HR94" s="22"/>
      <c r="HS94" s="22"/>
      <c r="HT94" s="22"/>
      <c r="HU94" s="22"/>
      <c r="HV94" s="22"/>
      <c r="HW94" s="22"/>
      <c r="HX94" s="22"/>
      <c r="HY94" s="22"/>
      <c r="HZ94" s="22"/>
      <c r="IA94" s="22"/>
      <c r="IB94" s="22"/>
      <c r="IC94" s="22"/>
      <c r="ID94" s="22"/>
      <c r="IE94" s="22"/>
      <c r="IF94" s="22"/>
      <c r="IG94" s="22"/>
      <c r="IH94" s="22"/>
      <c r="II94" s="22"/>
      <c r="IJ94" s="22"/>
      <c r="IK94" s="22"/>
      <c r="IL94" s="22"/>
      <c r="IM94" s="22"/>
      <c r="IN94" s="22"/>
      <c r="IO94" s="22"/>
      <c r="IP94" s="22"/>
      <c r="IQ94" s="22"/>
      <c r="IR94" s="22"/>
      <c r="IS94" s="22"/>
      <c r="IT94" s="22"/>
      <c r="IU94" s="22"/>
      <c r="IV94" s="22"/>
      <c r="IW94" s="22"/>
      <c r="IX94" s="22"/>
      <c r="IY94" s="22"/>
      <c r="IZ94" s="22"/>
      <c r="JA94" s="22"/>
      <c r="JB94" s="22"/>
      <c r="JC94" s="22"/>
      <c r="JD94" s="22"/>
      <c r="JE94" s="22"/>
      <c r="JF94" s="22"/>
      <c r="JG94" s="22"/>
      <c r="JH94" s="22"/>
      <c r="JI94" s="22"/>
      <c r="JJ94" s="22"/>
      <c r="JK94" s="22"/>
      <c r="JL94" s="22"/>
      <c r="JM94" s="22"/>
      <c r="JN94" s="22"/>
      <c r="JO94" s="22"/>
      <c r="JP94" s="22"/>
      <c r="JQ94" s="22"/>
      <c r="JR94" s="22"/>
      <c r="JS94" s="22"/>
      <c r="JT94" s="22"/>
      <c r="JU94" s="22"/>
      <c r="JV94" s="22"/>
    </row>
    <row r="95" spans="1:282" s="19" customFormat="1" ht="50.1" customHeight="1" x14ac:dyDescent="0.2">
      <c r="A95" s="701"/>
      <c r="B95" s="29" t="s">
        <v>1174</v>
      </c>
      <c r="C95" s="29"/>
      <c r="D95" s="29"/>
      <c r="E95" s="29" t="s">
        <v>967</v>
      </c>
      <c r="F95" s="104" t="s">
        <v>968</v>
      </c>
      <c r="G95" s="29" t="s">
        <v>968</v>
      </c>
      <c r="H95" s="29" t="s">
        <v>969</v>
      </c>
      <c r="I95" s="29"/>
      <c r="J95" s="69" t="s">
        <v>50</v>
      </c>
      <c r="K95" s="30" t="s">
        <v>1394</v>
      </c>
      <c r="L95" s="30" t="s">
        <v>1923</v>
      </c>
      <c r="M95" s="29" t="s">
        <v>1528</v>
      </c>
      <c r="N95" s="74">
        <v>40394</v>
      </c>
      <c r="O95" s="69" t="s">
        <v>970</v>
      </c>
      <c r="P95" s="69"/>
      <c r="Q95" s="69"/>
      <c r="R95" s="69"/>
      <c r="S95" s="69"/>
      <c r="T95" s="170"/>
      <c r="U95" s="170"/>
      <c r="V95" s="170"/>
      <c r="W95" s="170"/>
      <c r="X95" s="170"/>
      <c r="Y95" s="170"/>
      <c r="Z95" s="170"/>
      <c r="AA95" s="170"/>
      <c r="AB95" s="170"/>
      <c r="AC95" s="170"/>
      <c r="AD95" s="170"/>
      <c r="AE95" s="170"/>
      <c r="AF95" s="170"/>
      <c r="AG95" s="170"/>
      <c r="AH95" s="170"/>
      <c r="AI95" s="170"/>
      <c r="AJ95" s="724">
        <v>40672</v>
      </c>
      <c r="AK95" s="720">
        <f t="shared" si="2"/>
        <v>278</v>
      </c>
      <c r="AL95" s="170"/>
      <c r="AM95" s="596"/>
      <c r="AN95" s="596"/>
      <c r="AO95" s="596"/>
      <c r="AP95" s="596"/>
      <c r="AQ95" s="596"/>
      <c r="AR95" s="596"/>
      <c r="AS95" s="596"/>
      <c r="AT95" s="596"/>
      <c r="AU95" s="596"/>
      <c r="AV95" s="596"/>
      <c r="AW95" s="596"/>
      <c r="AX95" s="596"/>
      <c r="AY95" s="596"/>
      <c r="AZ95" s="596"/>
      <c r="BA95" s="596"/>
      <c r="BB95" s="596"/>
      <c r="BC95" s="596"/>
      <c r="BD95" s="596"/>
      <c r="BE95" s="596"/>
      <c r="BF95" s="596"/>
      <c r="BG95" s="596"/>
      <c r="BH95" s="596"/>
      <c r="BI95" s="596"/>
      <c r="BJ95" s="596"/>
      <c r="BK95" s="596"/>
      <c r="BL95" s="596"/>
      <c r="BM95" s="596"/>
      <c r="BN95" s="596"/>
      <c r="BO95" s="596"/>
      <c r="BP95" s="596"/>
      <c r="BQ95" s="596"/>
      <c r="BR95" s="596"/>
      <c r="BS95" s="596"/>
      <c r="BT95" s="596"/>
      <c r="BU95" s="596"/>
      <c r="BV95" s="596"/>
      <c r="BW95" s="596"/>
      <c r="BX95" s="596"/>
      <c r="BY95" s="596"/>
      <c r="BZ95" s="596"/>
      <c r="CA95" s="596"/>
      <c r="CB95" s="596"/>
      <c r="CC95" s="596"/>
      <c r="CD95" s="596"/>
      <c r="CE95" s="596"/>
      <c r="CF95" s="596"/>
      <c r="CG95" s="596"/>
      <c r="CH95" s="596"/>
      <c r="CI95" s="596"/>
      <c r="CJ95" s="596"/>
      <c r="CK95" s="596"/>
      <c r="CL95" s="596"/>
      <c r="CM95" s="596"/>
      <c r="CN95" s="596"/>
      <c r="CO95" s="596"/>
      <c r="CP95" s="596"/>
      <c r="CQ95" s="596"/>
      <c r="CR95" s="596"/>
      <c r="CS95" s="596"/>
      <c r="CT95" s="596"/>
      <c r="CU95" s="596"/>
      <c r="CV95" s="596"/>
      <c r="CW95" s="596"/>
      <c r="CX95" s="596"/>
      <c r="CY95" s="596"/>
      <c r="CZ95" s="596"/>
      <c r="DA95" s="596"/>
      <c r="DB95" s="596"/>
      <c r="DC95" s="596"/>
      <c r="DD95" s="596"/>
      <c r="DE95" s="596"/>
      <c r="DF95" s="596"/>
      <c r="DG95" s="596"/>
      <c r="DH95" s="596"/>
      <c r="DI95" s="596"/>
      <c r="DJ95" s="596"/>
      <c r="DK95" s="596"/>
      <c r="DL95" s="596"/>
      <c r="DM95" s="596"/>
      <c r="DN95" s="596"/>
      <c r="DO95" s="596"/>
      <c r="DP95" s="596"/>
      <c r="DQ95" s="596"/>
      <c r="DR95" s="596"/>
      <c r="DS95" s="596"/>
      <c r="DT95" s="596"/>
      <c r="DU95" s="596"/>
      <c r="DV95" s="596"/>
      <c r="DW95" s="596"/>
      <c r="DX95" s="596"/>
      <c r="DY95" s="596"/>
      <c r="DZ95" s="596"/>
      <c r="EA95" s="596"/>
      <c r="EB95" s="596"/>
      <c r="EC95" s="596"/>
      <c r="ED95" s="596"/>
      <c r="EE95" s="596"/>
      <c r="EF95" s="596"/>
      <c r="EG95" s="596"/>
      <c r="EH95" s="596"/>
      <c r="EI95" s="596"/>
      <c r="EJ95" s="596"/>
      <c r="EK95" s="596"/>
      <c r="EL95" s="596"/>
      <c r="EM95" s="596"/>
      <c r="EN95" s="596"/>
      <c r="EO95" s="596"/>
      <c r="EP95" s="596"/>
      <c r="EQ95" s="596"/>
      <c r="ER95" s="596"/>
      <c r="ES95" s="596"/>
      <c r="ET95" s="596"/>
      <c r="EU95" s="596"/>
      <c r="EV95" s="596"/>
      <c r="EW95" s="596"/>
      <c r="EX95" s="596"/>
      <c r="EY95" s="596"/>
      <c r="EZ95" s="596"/>
      <c r="FA95" s="596"/>
      <c r="FB95" s="596"/>
      <c r="FC95" s="596"/>
      <c r="FD95" s="596"/>
      <c r="FE95" s="596"/>
      <c r="FF95" s="596"/>
      <c r="FG95" s="596"/>
      <c r="FH95" s="596"/>
      <c r="FI95" s="596"/>
      <c r="FJ95" s="596"/>
      <c r="FK95" s="596"/>
      <c r="FL95" s="596"/>
      <c r="FM95" s="596"/>
      <c r="FN95" s="596"/>
      <c r="FO95" s="596"/>
      <c r="FP95" s="596"/>
      <c r="FQ95" s="596"/>
      <c r="FR95" s="596"/>
      <c r="FS95" s="596"/>
      <c r="FT95" s="596"/>
      <c r="FU95" s="596"/>
      <c r="FV95" s="596"/>
      <c r="FW95" s="596"/>
      <c r="FX95" s="596"/>
      <c r="FY95" s="596"/>
      <c r="FZ95" s="596"/>
      <c r="GA95" s="596"/>
      <c r="GB95" s="596"/>
      <c r="GC95" s="596"/>
      <c r="GD95" s="596"/>
      <c r="GE95" s="596"/>
      <c r="GF95" s="596"/>
      <c r="GG95" s="596"/>
      <c r="GH95" s="596"/>
      <c r="GI95" s="596"/>
      <c r="GJ95" s="596"/>
      <c r="GK95" s="596"/>
      <c r="GL95" s="596"/>
      <c r="GM95" s="596"/>
      <c r="GN95" s="596"/>
      <c r="GO95" s="596"/>
      <c r="GP95" s="596"/>
      <c r="GQ95" s="596"/>
      <c r="GR95" s="596"/>
      <c r="GS95" s="596"/>
      <c r="GT95" s="596"/>
      <c r="GU95" s="596"/>
      <c r="GV95" s="596"/>
      <c r="GW95" s="596"/>
      <c r="GX95" s="596"/>
      <c r="GY95" s="596"/>
      <c r="GZ95" s="596"/>
      <c r="HA95" s="596"/>
      <c r="HB95" s="596"/>
      <c r="HC95" s="596"/>
      <c r="HD95" s="596"/>
      <c r="HE95" s="596"/>
      <c r="HF95" s="596"/>
      <c r="HG95" s="596"/>
      <c r="HH95" s="596"/>
      <c r="HI95" s="596"/>
      <c r="HJ95" s="596"/>
      <c r="HK95" s="596"/>
      <c r="HL95" s="596"/>
      <c r="HM95" s="596"/>
      <c r="HN95" s="596"/>
      <c r="HO95" s="596"/>
      <c r="HP95" s="596"/>
      <c r="HQ95" s="596"/>
      <c r="HR95" s="596"/>
      <c r="HS95" s="596"/>
      <c r="HT95" s="596"/>
      <c r="HU95" s="596"/>
      <c r="HV95" s="596"/>
      <c r="HW95" s="596"/>
      <c r="HX95" s="596"/>
      <c r="HY95" s="596"/>
      <c r="HZ95" s="596"/>
      <c r="IA95" s="596"/>
      <c r="IB95" s="596"/>
      <c r="IC95" s="596"/>
      <c r="ID95" s="596"/>
      <c r="IE95" s="596"/>
      <c r="IF95" s="596"/>
      <c r="IG95" s="596"/>
      <c r="IH95" s="596"/>
      <c r="II95" s="596"/>
      <c r="IJ95" s="596"/>
      <c r="IK95" s="596"/>
      <c r="IL95" s="596"/>
      <c r="IM95" s="596"/>
      <c r="IN95" s="596"/>
      <c r="IO95" s="596"/>
      <c r="IP95" s="596"/>
      <c r="IQ95" s="596"/>
      <c r="IR95" s="596"/>
      <c r="IS95" s="596"/>
      <c r="IT95" s="596"/>
      <c r="IU95" s="596"/>
      <c r="IV95" s="596"/>
      <c r="IW95" s="596"/>
      <c r="IX95" s="596"/>
      <c r="IY95" s="596"/>
      <c r="IZ95" s="596"/>
      <c r="JA95" s="596"/>
      <c r="JB95" s="596"/>
      <c r="JC95" s="596"/>
      <c r="JD95" s="596"/>
      <c r="JE95" s="596"/>
      <c r="JF95" s="596"/>
      <c r="JG95" s="596"/>
      <c r="JH95" s="596"/>
      <c r="JI95" s="596"/>
      <c r="JJ95" s="596"/>
      <c r="JK95" s="596"/>
      <c r="JL95" s="596"/>
      <c r="JM95" s="596"/>
      <c r="JN95" s="596"/>
      <c r="JO95" s="596"/>
      <c r="JP95" s="596"/>
      <c r="JQ95" s="596"/>
      <c r="JR95" s="596"/>
      <c r="JS95" s="596"/>
      <c r="JT95" s="596"/>
      <c r="JU95" s="596"/>
      <c r="JV95" s="596"/>
    </row>
    <row r="96" spans="1:282" s="19" customFormat="1" ht="50.1" customHeight="1" x14ac:dyDescent="0.2">
      <c r="A96" s="701"/>
      <c r="B96" s="29" t="s">
        <v>1174</v>
      </c>
      <c r="C96" s="29"/>
      <c r="D96" s="29"/>
      <c r="E96" s="29" t="s">
        <v>971</v>
      </c>
      <c r="F96" s="104" t="s">
        <v>1098</v>
      </c>
      <c r="G96" s="29" t="s">
        <v>27</v>
      </c>
      <c r="H96" s="29" t="s">
        <v>87</v>
      </c>
      <c r="I96" s="29"/>
      <c r="J96" s="29" t="s">
        <v>735</v>
      </c>
      <c r="K96" s="30" t="s">
        <v>1394</v>
      </c>
      <c r="L96" s="29" t="s">
        <v>12</v>
      </c>
      <c r="M96" s="29" t="s">
        <v>1528</v>
      </c>
      <c r="N96" s="74">
        <v>39994</v>
      </c>
      <c r="O96" s="29" t="s">
        <v>972</v>
      </c>
      <c r="P96" s="29"/>
      <c r="Q96" s="29"/>
      <c r="R96" s="29"/>
      <c r="S96" s="29"/>
      <c r="T96" s="171" t="s">
        <v>1074</v>
      </c>
      <c r="U96" s="171"/>
      <c r="V96" s="171"/>
      <c r="W96" s="171"/>
      <c r="X96" s="171"/>
      <c r="Y96" s="171"/>
      <c r="Z96" s="171"/>
      <c r="AA96" s="171"/>
      <c r="AB96" s="171"/>
      <c r="AC96" s="171"/>
      <c r="AD96" s="171"/>
      <c r="AE96" s="171"/>
      <c r="AF96" s="171"/>
      <c r="AG96" s="171"/>
      <c r="AH96" s="171"/>
      <c r="AI96" s="171"/>
      <c r="AJ96" s="724">
        <v>40679</v>
      </c>
      <c r="AK96" s="720">
        <f t="shared" si="2"/>
        <v>685</v>
      </c>
      <c r="AL96" s="171"/>
      <c r="AM96" s="596"/>
      <c r="AN96" s="596"/>
      <c r="AO96" s="596"/>
      <c r="AP96" s="596"/>
      <c r="AQ96" s="596"/>
      <c r="AR96" s="596"/>
      <c r="AS96" s="596"/>
      <c r="AT96" s="596"/>
      <c r="AU96" s="596"/>
      <c r="AV96" s="596"/>
      <c r="AW96" s="596"/>
      <c r="AX96" s="596"/>
      <c r="AY96" s="596"/>
      <c r="AZ96" s="596"/>
      <c r="BA96" s="596"/>
      <c r="BB96" s="596"/>
      <c r="BC96" s="596"/>
      <c r="BD96" s="596"/>
      <c r="BE96" s="596"/>
      <c r="BF96" s="596"/>
      <c r="BG96" s="596"/>
      <c r="BH96" s="596"/>
      <c r="BI96" s="596"/>
      <c r="BJ96" s="596"/>
      <c r="BK96" s="596"/>
      <c r="BL96" s="596"/>
      <c r="BM96" s="596"/>
      <c r="BN96" s="596"/>
      <c r="BO96" s="596"/>
      <c r="BP96" s="596"/>
      <c r="BQ96" s="596"/>
      <c r="BR96" s="596"/>
      <c r="BS96" s="596"/>
      <c r="BT96" s="596"/>
      <c r="BU96" s="596"/>
      <c r="BV96" s="596"/>
      <c r="BW96" s="596"/>
      <c r="BX96" s="596"/>
      <c r="BY96" s="596"/>
      <c r="BZ96" s="596"/>
      <c r="CA96" s="596"/>
      <c r="CB96" s="596"/>
      <c r="CC96" s="596"/>
      <c r="CD96" s="596"/>
      <c r="CE96" s="596"/>
      <c r="CF96" s="596"/>
      <c r="CG96" s="596"/>
      <c r="CH96" s="596"/>
      <c r="CI96" s="596"/>
      <c r="CJ96" s="596"/>
      <c r="CK96" s="596"/>
      <c r="CL96" s="596"/>
      <c r="CM96" s="596"/>
      <c r="CN96" s="596"/>
      <c r="CO96" s="596"/>
      <c r="CP96" s="596"/>
      <c r="CQ96" s="596"/>
      <c r="CR96" s="596"/>
      <c r="CS96" s="596"/>
      <c r="CT96" s="596"/>
      <c r="CU96" s="596"/>
      <c r="CV96" s="596"/>
      <c r="CW96" s="596"/>
      <c r="CX96" s="596"/>
      <c r="CY96" s="596"/>
      <c r="CZ96" s="596"/>
      <c r="DA96" s="596"/>
      <c r="DB96" s="596"/>
      <c r="DC96" s="596"/>
      <c r="DD96" s="596"/>
      <c r="DE96" s="596"/>
      <c r="DF96" s="596"/>
      <c r="DG96" s="596"/>
      <c r="DH96" s="596"/>
      <c r="DI96" s="596"/>
      <c r="DJ96" s="596"/>
      <c r="DK96" s="596"/>
      <c r="DL96" s="596"/>
      <c r="DM96" s="596"/>
      <c r="DN96" s="596"/>
      <c r="DO96" s="596"/>
      <c r="DP96" s="596"/>
      <c r="DQ96" s="596"/>
      <c r="DR96" s="596"/>
      <c r="DS96" s="596"/>
      <c r="DT96" s="596"/>
      <c r="DU96" s="596"/>
      <c r="DV96" s="596"/>
      <c r="DW96" s="596"/>
      <c r="DX96" s="596"/>
      <c r="DY96" s="596"/>
      <c r="DZ96" s="596"/>
      <c r="EA96" s="596"/>
      <c r="EB96" s="596"/>
      <c r="EC96" s="596"/>
      <c r="ED96" s="596"/>
      <c r="EE96" s="596"/>
      <c r="EF96" s="596"/>
      <c r="EG96" s="596"/>
      <c r="EH96" s="596"/>
      <c r="EI96" s="596"/>
      <c r="EJ96" s="596"/>
      <c r="EK96" s="596"/>
      <c r="EL96" s="596"/>
      <c r="EM96" s="596"/>
      <c r="EN96" s="596"/>
      <c r="EO96" s="596"/>
      <c r="EP96" s="596"/>
      <c r="EQ96" s="596"/>
      <c r="ER96" s="596"/>
      <c r="ES96" s="596"/>
      <c r="ET96" s="596"/>
      <c r="EU96" s="596"/>
      <c r="EV96" s="596"/>
      <c r="EW96" s="596"/>
      <c r="EX96" s="596"/>
      <c r="EY96" s="596"/>
      <c r="EZ96" s="596"/>
      <c r="FA96" s="596"/>
      <c r="FB96" s="596"/>
      <c r="FC96" s="596"/>
      <c r="FD96" s="596"/>
      <c r="FE96" s="596"/>
      <c r="FF96" s="596"/>
      <c r="FG96" s="596"/>
      <c r="FH96" s="596"/>
      <c r="FI96" s="596"/>
      <c r="FJ96" s="596"/>
      <c r="FK96" s="596"/>
      <c r="FL96" s="596"/>
      <c r="FM96" s="596"/>
      <c r="FN96" s="596"/>
      <c r="FO96" s="596"/>
      <c r="FP96" s="596"/>
      <c r="FQ96" s="596"/>
      <c r="FR96" s="596"/>
      <c r="FS96" s="596"/>
      <c r="FT96" s="596"/>
      <c r="FU96" s="596"/>
      <c r="FV96" s="596"/>
      <c r="FW96" s="596"/>
      <c r="FX96" s="596"/>
      <c r="FY96" s="596"/>
      <c r="FZ96" s="596"/>
      <c r="GA96" s="596"/>
      <c r="GB96" s="596"/>
      <c r="GC96" s="596"/>
      <c r="GD96" s="596"/>
      <c r="GE96" s="596"/>
      <c r="GF96" s="596"/>
      <c r="GG96" s="596"/>
      <c r="GH96" s="596"/>
      <c r="GI96" s="596"/>
      <c r="GJ96" s="596"/>
      <c r="GK96" s="596"/>
      <c r="GL96" s="596"/>
      <c r="GM96" s="596"/>
      <c r="GN96" s="596"/>
      <c r="GO96" s="596"/>
      <c r="GP96" s="596"/>
      <c r="GQ96" s="596"/>
      <c r="GR96" s="596"/>
      <c r="GS96" s="596"/>
      <c r="GT96" s="596"/>
      <c r="GU96" s="596"/>
      <c r="GV96" s="596"/>
      <c r="GW96" s="596"/>
      <c r="GX96" s="596"/>
      <c r="GY96" s="596"/>
      <c r="GZ96" s="596"/>
      <c r="HA96" s="596"/>
      <c r="HB96" s="596"/>
      <c r="HC96" s="596"/>
      <c r="HD96" s="596"/>
      <c r="HE96" s="596"/>
      <c r="HF96" s="596"/>
      <c r="HG96" s="596"/>
      <c r="HH96" s="596"/>
      <c r="HI96" s="596"/>
      <c r="HJ96" s="596"/>
      <c r="HK96" s="596"/>
      <c r="HL96" s="596"/>
      <c r="HM96" s="596"/>
      <c r="HN96" s="596"/>
      <c r="HO96" s="596"/>
      <c r="HP96" s="596"/>
      <c r="HQ96" s="596"/>
      <c r="HR96" s="596"/>
      <c r="HS96" s="596"/>
      <c r="HT96" s="596"/>
      <c r="HU96" s="596"/>
      <c r="HV96" s="596"/>
      <c r="HW96" s="596"/>
      <c r="HX96" s="596"/>
      <c r="HY96" s="596"/>
      <c r="HZ96" s="596"/>
      <c r="IA96" s="596"/>
      <c r="IB96" s="596"/>
      <c r="IC96" s="596"/>
      <c r="ID96" s="596"/>
      <c r="IE96" s="596"/>
      <c r="IF96" s="596"/>
      <c r="IG96" s="596"/>
      <c r="IH96" s="596"/>
      <c r="II96" s="596"/>
      <c r="IJ96" s="596"/>
      <c r="IK96" s="596"/>
      <c r="IL96" s="596"/>
      <c r="IM96" s="596"/>
      <c r="IN96" s="596"/>
      <c r="IO96" s="596"/>
      <c r="IP96" s="596"/>
      <c r="IQ96" s="596"/>
      <c r="IR96" s="596"/>
      <c r="IS96" s="596"/>
      <c r="IT96" s="596"/>
      <c r="IU96" s="596"/>
      <c r="IV96" s="596"/>
      <c r="IW96" s="596"/>
      <c r="IX96" s="596"/>
      <c r="IY96" s="596"/>
      <c r="IZ96" s="596"/>
      <c r="JA96" s="596"/>
      <c r="JB96" s="596"/>
      <c r="JC96" s="596"/>
      <c r="JD96" s="596"/>
      <c r="JE96" s="596"/>
      <c r="JF96" s="596"/>
      <c r="JG96" s="596"/>
      <c r="JH96" s="596"/>
      <c r="JI96" s="596"/>
      <c r="JJ96" s="596"/>
      <c r="JK96" s="596"/>
      <c r="JL96" s="596"/>
      <c r="JM96" s="596"/>
      <c r="JN96" s="596"/>
      <c r="JO96" s="596"/>
      <c r="JP96" s="596"/>
      <c r="JQ96" s="596"/>
      <c r="JR96" s="596"/>
      <c r="JS96" s="596"/>
      <c r="JT96" s="596"/>
      <c r="JU96" s="596"/>
      <c r="JV96" s="596"/>
    </row>
    <row r="97" spans="1:282" s="20" customFormat="1" ht="50.1" customHeight="1" x14ac:dyDescent="0.2">
      <c r="A97" s="699"/>
      <c r="B97" s="29" t="s">
        <v>1174</v>
      </c>
      <c r="C97" s="29"/>
      <c r="D97" s="29"/>
      <c r="E97" s="29" t="s">
        <v>973</v>
      </c>
      <c r="F97" s="104" t="s">
        <v>974</v>
      </c>
      <c r="G97" s="29" t="s">
        <v>974</v>
      </c>
      <c r="H97" s="29" t="s">
        <v>975</v>
      </c>
      <c r="I97" s="29"/>
      <c r="J97" s="69" t="s">
        <v>976</v>
      </c>
      <c r="K97" s="30" t="s">
        <v>1394</v>
      </c>
      <c r="L97" s="29" t="s">
        <v>12</v>
      </c>
      <c r="M97" s="29" t="s">
        <v>1528</v>
      </c>
      <c r="N97" s="74">
        <v>40233</v>
      </c>
      <c r="O97" s="29">
        <v>148597101</v>
      </c>
      <c r="P97" s="29"/>
      <c r="Q97" s="29"/>
      <c r="R97" s="29"/>
      <c r="S97" s="29"/>
      <c r="T97" s="155">
        <v>10</v>
      </c>
      <c r="U97" s="155"/>
      <c r="V97" s="155"/>
      <c r="W97" s="155"/>
      <c r="X97" s="155"/>
      <c r="Y97" s="155"/>
      <c r="Z97" s="155"/>
      <c r="AA97" s="155"/>
      <c r="AB97" s="155"/>
      <c r="AC97" s="155"/>
      <c r="AD97" s="155"/>
      <c r="AE97" s="155"/>
      <c r="AF97" s="155"/>
      <c r="AG97" s="155"/>
      <c r="AH97" s="155"/>
      <c r="AI97" s="155"/>
      <c r="AJ97" s="724">
        <v>40693</v>
      </c>
      <c r="AK97" s="720">
        <f t="shared" si="2"/>
        <v>460</v>
      </c>
      <c r="AL97" s="155"/>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row>
    <row r="98" spans="1:282" s="20" customFormat="1" ht="50.1" customHeight="1" x14ac:dyDescent="0.2">
      <c r="A98" s="699"/>
      <c r="B98" s="29" t="s">
        <v>1174</v>
      </c>
      <c r="C98" s="29"/>
      <c r="D98" s="29"/>
      <c r="E98" s="29" t="s">
        <v>977</v>
      </c>
      <c r="F98" s="104" t="s">
        <v>460</v>
      </c>
      <c r="G98" s="29" t="s">
        <v>460</v>
      </c>
      <c r="H98" s="29" t="s">
        <v>978</v>
      </c>
      <c r="I98" s="29"/>
      <c r="J98" s="69" t="s">
        <v>769</v>
      </c>
      <c r="K98" s="30" t="s">
        <v>1394</v>
      </c>
      <c r="L98" s="29" t="s">
        <v>18</v>
      </c>
      <c r="M98" s="29" t="s">
        <v>1528</v>
      </c>
      <c r="N98" s="74">
        <v>40394</v>
      </c>
      <c r="O98" s="29">
        <v>726296105</v>
      </c>
      <c r="P98" s="29"/>
      <c r="Q98" s="29"/>
      <c r="R98" s="29"/>
      <c r="S98" s="29"/>
      <c r="T98" s="172">
        <v>0</v>
      </c>
      <c r="U98" s="172"/>
      <c r="V98" s="172"/>
      <c r="W98" s="172"/>
      <c r="X98" s="172"/>
      <c r="Y98" s="172"/>
      <c r="Z98" s="172"/>
      <c r="AA98" s="172"/>
      <c r="AB98" s="172"/>
      <c r="AC98" s="172"/>
      <c r="AD98" s="172"/>
      <c r="AE98" s="172"/>
      <c r="AF98" s="172"/>
      <c r="AG98" s="172"/>
      <c r="AH98" s="172"/>
      <c r="AI98" s="172"/>
      <c r="AJ98" s="724">
        <v>40693</v>
      </c>
      <c r="AK98" s="720">
        <f t="shared" ref="AK98:AK117" si="3">AJ98-N98</f>
        <v>299</v>
      </c>
      <c r="AL98" s="172"/>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c r="FF98" s="4"/>
      <c r="FG98" s="4"/>
      <c r="FH98" s="4"/>
      <c r="FI98" s="4"/>
      <c r="FJ98" s="4"/>
      <c r="FK98" s="4"/>
      <c r="FL98" s="4"/>
      <c r="FM98" s="4"/>
      <c r="FN98" s="4"/>
      <c r="FO98" s="4"/>
      <c r="FP98" s="4"/>
      <c r="FQ98" s="4"/>
      <c r="FR98" s="4"/>
      <c r="FS98" s="4"/>
      <c r="FT98" s="4"/>
      <c r="FU98" s="4"/>
      <c r="FV98" s="4"/>
      <c r="FW98" s="4"/>
      <c r="FX98" s="4"/>
      <c r="FY98" s="4"/>
      <c r="FZ98" s="4"/>
      <c r="GA98" s="4"/>
      <c r="GB98" s="4"/>
      <c r="GC98" s="4"/>
      <c r="GD98" s="4"/>
      <c r="GE98" s="4"/>
      <c r="GF98" s="4"/>
      <c r="GG98" s="4"/>
      <c r="GH98" s="4"/>
      <c r="GI98" s="4"/>
      <c r="GJ98" s="4"/>
      <c r="GK98" s="4"/>
      <c r="GL98" s="4"/>
      <c r="GM98" s="4"/>
      <c r="GN98" s="4"/>
      <c r="GO98" s="4"/>
      <c r="GP98" s="4"/>
      <c r="GQ98" s="4"/>
      <c r="GR98" s="4"/>
      <c r="GS98" s="4"/>
      <c r="GT98" s="4"/>
      <c r="GU98" s="4"/>
      <c r="GV98" s="4"/>
      <c r="GW98" s="4"/>
      <c r="GX98" s="4"/>
      <c r="GY98" s="4"/>
      <c r="GZ98" s="4"/>
      <c r="HA98" s="4"/>
      <c r="HB98" s="4"/>
      <c r="HC98" s="4"/>
      <c r="HD98" s="4"/>
      <c r="HE98" s="4"/>
      <c r="HF98" s="4"/>
      <c r="HG98" s="4"/>
      <c r="HH98" s="4"/>
      <c r="HI98" s="4"/>
      <c r="HJ98" s="4"/>
      <c r="HK98" s="4"/>
      <c r="HL98" s="4"/>
      <c r="HM98" s="4"/>
      <c r="HN98" s="4"/>
      <c r="HO98" s="4"/>
      <c r="HP98" s="4"/>
      <c r="HQ98" s="4"/>
      <c r="HR98" s="4"/>
      <c r="HS98" s="4"/>
      <c r="HT98" s="4"/>
      <c r="HU98" s="4"/>
      <c r="HV98" s="4"/>
      <c r="HW98" s="4"/>
      <c r="HX98" s="4"/>
      <c r="HY98" s="4"/>
      <c r="HZ98" s="4"/>
      <c r="IA98" s="4"/>
      <c r="IB98" s="4"/>
      <c r="IC98" s="4"/>
      <c r="ID98" s="4"/>
      <c r="IE98" s="4"/>
      <c r="IF98" s="4"/>
      <c r="IG98" s="4"/>
      <c r="IH98" s="4"/>
      <c r="II98" s="4"/>
      <c r="IJ98" s="4"/>
      <c r="IK98" s="4"/>
      <c r="IL98" s="4"/>
      <c r="IM98" s="4"/>
      <c r="IN98" s="4"/>
      <c r="IO98" s="4"/>
      <c r="IP98" s="4"/>
      <c r="IQ98" s="4"/>
      <c r="IR98" s="4"/>
      <c r="IS98" s="4"/>
      <c r="IT98" s="4"/>
      <c r="IU98" s="4"/>
      <c r="IV98" s="4"/>
      <c r="IW98" s="4"/>
      <c r="IX98" s="4"/>
      <c r="IY98" s="4"/>
      <c r="IZ98" s="4"/>
      <c r="JA98" s="4"/>
      <c r="JB98" s="4"/>
      <c r="JC98" s="4"/>
      <c r="JD98" s="4"/>
      <c r="JE98" s="4"/>
      <c r="JF98" s="4"/>
      <c r="JG98" s="4"/>
      <c r="JH98" s="4"/>
      <c r="JI98" s="4"/>
      <c r="JJ98" s="4"/>
      <c r="JK98" s="4"/>
      <c r="JL98" s="4"/>
      <c r="JM98" s="4"/>
      <c r="JN98" s="4"/>
      <c r="JO98" s="4"/>
      <c r="JP98" s="4"/>
      <c r="JQ98" s="4"/>
      <c r="JR98" s="4"/>
      <c r="JS98" s="4"/>
      <c r="JT98" s="4"/>
      <c r="JU98" s="4"/>
      <c r="JV98" s="4"/>
    </row>
    <row r="99" spans="1:282" s="20" customFormat="1" ht="50.1" customHeight="1" x14ac:dyDescent="0.2">
      <c r="A99" s="699"/>
      <c r="B99" s="29" t="s">
        <v>1174</v>
      </c>
      <c r="C99" s="29"/>
      <c r="D99" s="29"/>
      <c r="E99" s="29" t="s">
        <v>979</v>
      </c>
      <c r="F99" s="104" t="s">
        <v>548</v>
      </c>
      <c r="G99" s="29" t="s">
        <v>548</v>
      </c>
      <c r="H99" s="29" t="s">
        <v>980</v>
      </c>
      <c r="I99" s="29"/>
      <c r="J99" s="69" t="s">
        <v>981</v>
      </c>
      <c r="K99" s="30" t="s">
        <v>1394</v>
      </c>
      <c r="L99" s="29" t="s">
        <v>685</v>
      </c>
      <c r="M99" s="29" t="s">
        <v>1528</v>
      </c>
      <c r="N99" s="74">
        <v>40394</v>
      </c>
      <c r="O99" s="29">
        <v>726487109</v>
      </c>
      <c r="P99" s="29"/>
      <c r="Q99" s="29"/>
      <c r="R99" s="29"/>
      <c r="S99" s="29"/>
      <c r="T99" s="155">
        <v>27</v>
      </c>
      <c r="U99" s="155"/>
      <c r="V99" s="155"/>
      <c r="W99" s="155"/>
      <c r="X99" s="155"/>
      <c r="Y99" s="155"/>
      <c r="Z99" s="155"/>
      <c r="AA99" s="155"/>
      <c r="AB99" s="155"/>
      <c r="AC99" s="155"/>
      <c r="AD99" s="155"/>
      <c r="AE99" s="155"/>
      <c r="AF99" s="155"/>
      <c r="AG99" s="155"/>
      <c r="AH99" s="155"/>
      <c r="AI99" s="155"/>
      <c r="AJ99" s="724">
        <v>40693</v>
      </c>
      <c r="AK99" s="720">
        <f t="shared" si="3"/>
        <v>299</v>
      </c>
      <c r="AL99" s="155"/>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c r="FF99" s="4"/>
      <c r="FG99" s="4"/>
      <c r="FH99" s="4"/>
      <c r="FI99" s="4"/>
      <c r="FJ99" s="4"/>
      <c r="FK99" s="4"/>
      <c r="FL99" s="4"/>
      <c r="FM99" s="4"/>
      <c r="FN99" s="4"/>
      <c r="FO99" s="4"/>
      <c r="FP99" s="4"/>
      <c r="FQ99" s="4"/>
      <c r="FR99" s="4"/>
      <c r="FS99" s="4"/>
      <c r="FT99" s="4"/>
      <c r="FU99" s="4"/>
      <c r="FV99" s="4"/>
      <c r="FW99" s="4"/>
      <c r="FX99" s="4"/>
      <c r="FY99" s="4"/>
      <c r="FZ99" s="4"/>
      <c r="GA99" s="4"/>
      <c r="GB99" s="4"/>
      <c r="GC99" s="4"/>
      <c r="GD99" s="4"/>
      <c r="GE99" s="4"/>
      <c r="GF99" s="4"/>
      <c r="GG99" s="4"/>
      <c r="GH99" s="4"/>
      <c r="GI99" s="4"/>
      <c r="GJ99" s="4"/>
      <c r="GK99" s="4"/>
      <c r="GL99" s="4"/>
      <c r="GM99" s="4"/>
      <c r="GN99" s="4"/>
      <c r="GO99" s="4"/>
      <c r="GP99" s="4"/>
      <c r="GQ99" s="4"/>
      <c r="GR99" s="4"/>
      <c r="GS99" s="4"/>
      <c r="GT99" s="4"/>
      <c r="GU99" s="4"/>
      <c r="GV99" s="4"/>
      <c r="GW99" s="4"/>
      <c r="GX99" s="4"/>
      <c r="GY99" s="4"/>
      <c r="GZ99" s="4"/>
      <c r="HA99" s="4"/>
      <c r="HB99" s="4"/>
      <c r="HC99" s="4"/>
      <c r="HD99" s="4"/>
      <c r="HE99" s="4"/>
      <c r="HF99" s="4"/>
      <c r="HG99" s="4"/>
      <c r="HH99" s="4"/>
      <c r="HI99" s="4"/>
      <c r="HJ99" s="4"/>
      <c r="HK99" s="4"/>
      <c r="HL99" s="4"/>
      <c r="HM99" s="4"/>
      <c r="HN99" s="4"/>
      <c r="HO99" s="4"/>
      <c r="HP99" s="4"/>
      <c r="HQ99" s="4"/>
      <c r="HR99" s="4"/>
      <c r="HS99" s="4"/>
      <c r="HT99" s="4"/>
      <c r="HU99" s="4"/>
      <c r="HV99" s="4"/>
      <c r="HW99" s="4"/>
      <c r="HX99" s="4"/>
      <c r="HY99" s="4"/>
      <c r="HZ99" s="4"/>
      <c r="IA99" s="4"/>
      <c r="IB99" s="4"/>
      <c r="IC99" s="4"/>
      <c r="ID99" s="4"/>
      <c r="IE99" s="4"/>
      <c r="IF99" s="4"/>
      <c r="IG99" s="4"/>
      <c r="IH99" s="4"/>
      <c r="II99" s="4"/>
      <c r="IJ99" s="4"/>
      <c r="IK99" s="4"/>
      <c r="IL99" s="4"/>
      <c r="IM99" s="4"/>
      <c r="IN99" s="4"/>
      <c r="IO99" s="4"/>
      <c r="IP99" s="4"/>
      <c r="IQ99" s="4"/>
      <c r="IR99" s="4"/>
      <c r="IS99" s="4"/>
      <c r="IT99" s="4"/>
      <c r="IU99" s="4"/>
      <c r="IV99" s="4"/>
      <c r="IW99" s="4"/>
      <c r="IX99" s="4"/>
      <c r="IY99" s="4"/>
      <c r="IZ99" s="4"/>
      <c r="JA99" s="4"/>
      <c r="JB99" s="4"/>
      <c r="JC99" s="4"/>
      <c r="JD99" s="4"/>
      <c r="JE99" s="4"/>
      <c r="JF99" s="4"/>
      <c r="JG99" s="4"/>
      <c r="JH99" s="4"/>
      <c r="JI99" s="4"/>
      <c r="JJ99" s="4"/>
      <c r="JK99" s="4"/>
      <c r="JL99" s="4"/>
      <c r="JM99" s="4"/>
      <c r="JN99" s="4"/>
      <c r="JO99" s="4"/>
      <c r="JP99" s="4"/>
      <c r="JQ99" s="4"/>
      <c r="JR99" s="4"/>
      <c r="JS99" s="4"/>
      <c r="JT99" s="4"/>
      <c r="JU99" s="4"/>
      <c r="JV99" s="4"/>
    </row>
    <row r="100" spans="1:282" s="17" customFormat="1" ht="50.1" customHeight="1" x14ac:dyDescent="0.2">
      <c r="A100" s="698"/>
      <c r="B100" s="29" t="s">
        <v>1174</v>
      </c>
      <c r="C100" s="29"/>
      <c r="D100" s="29"/>
      <c r="E100" s="29" t="s">
        <v>982</v>
      </c>
      <c r="F100" s="104" t="s">
        <v>497</v>
      </c>
      <c r="G100" s="29" t="s">
        <v>497</v>
      </c>
      <c r="H100" s="29" t="s">
        <v>983</v>
      </c>
      <c r="I100" s="29"/>
      <c r="J100" s="69" t="s">
        <v>511</v>
      </c>
      <c r="K100" s="30" t="s">
        <v>1394</v>
      </c>
      <c r="L100" s="29" t="s">
        <v>18</v>
      </c>
      <c r="M100" s="29" t="s">
        <v>1528</v>
      </c>
      <c r="N100" s="74">
        <v>40394</v>
      </c>
      <c r="O100" s="29">
        <v>726517104</v>
      </c>
      <c r="P100" s="29"/>
      <c r="Q100" s="29"/>
      <c r="R100" s="29"/>
      <c r="S100" s="29"/>
      <c r="T100" s="155">
        <v>26</v>
      </c>
      <c r="U100" s="155"/>
      <c r="V100" s="155"/>
      <c r="W100" s="155"/>
      <c r="X100" s="155"/>
      <c r="Y100" s="155"/>
      <c r="Z100" s="155"/>
      <c r="AA100" s="155"/>
      <c r="AB100" s="155"/>
      <c r="AC100" s="155"/>
      <c r="AD100" s="155"/>
      <c r="AE100" s="155"/>
      <c r="AF100" s="155"/>
      <c r="AG100" s="155"/>
      <c r="AH100" s="155"/>
      <c r="AI100" s="155"/>
      <c r="AJ100" s="724">
        <v>40693</v>
      </c>
      <c r="AK100" s="720">
        <f t="shared" si="3"/>
        <v>299</v>
      </c>
      <c r="AL100" s="155"/>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CQ100" s="7"/>
      <c r="CR100" s="7"/>
      <c r="CS100" s="7"/>
      <c r="CT100" s="7"/>
      <c r="CU100" s="7"/>
      <c r="CV100" s="7"/>
      <c r="CW100" s="7"/>
      <c r="CX100" s="7"/>
      <c r="CY100" s="7"/>
      <c r="CZ100" s="7"/>
      <c r="DA100" s="7"/>
      <c r="DB100" s="7"/>
      <c r="DC100" s="7"/>
      <c r="DD100" s="7"/>
      <c r="DE100" s="7"/>
      <c r="DF100" s="7"/>
      <c r="DG100" s="7"/>
      <c r="DH100" s="7"/>
      <c r="DI100" s="7"/>
      <c r="DJ100" s="7"/>
      <c r="DK100" s="7"/>
      <c r="DL100" s="7"/>
      <c r="DM100" s="7"/>
      <c r="DN100" s="7"/>
      <c r="DO100" s="7"/>
      <c r="DP100" s="7"/>
      <c r="DQ100" s="7"/>
      <c r="DR100" s="7"/>
      <c r="DS100" s="7"/>
      <c r="DT100" s="7"/>
      <c r="DU100" s="7"/>
      <c r="DV100" s="7"/>
      <c r="DW100" s="7"/>
      <c r="DX100" s="7"/>
      <c r="DY100" s="7"/>
      <c r="DZ100" s="7"/>
      <c r="EA100" s="7"/>
      <c r="EB100" s="7"/>
      <c r="EC100" s="7"/>
      <c r="ED100" s="7"/>
      <c r="EE100" s="7"/>
      <c r="EF100" s="7"/>
      <c r="EG100" s="7"/>
      <c r="EH100" s="7"/>
      <c r="EI100" s="7"/>
      <c r="EJ100" s="7"/>
      <c r="EK100" s="7"/>
      <c r="EL100" s="7"/>
      <c r="EM100" s="7"/>
      <c r="EN100" s="7"/>
      <c r="EO100" s="7"/>
      <c r="EP100" s="7"/>
      <c r="EQ100" s="7"/>
      <c r="ER100" s="7"/>
      <c r="ES100" s="7"/>
      <c r="ET100" s="7"/>
      <c r="EU100" s="7"/>
      <c r="EV100" s="7"/>
      <c r="EW100" s="7"/>
      <c r="EX100" s="7"/>
      <c r="EY100" s="7"/>
      <c r="EZ100" s="7"/>
      <c r="FA100" s="7"/>
      <c r="FB100" s="7"/>
      <c r="FC100" s="7"/>
      <c r="FD100" s="7"/>
      <c r="FE100" s="7"/>
      <c r="FF100" s="7"/>
      <c r="FG100" s="7"/>
      <c r="FH100" s="7"/>
      <c r="FI100" s="7"/>
      <c r="FJ100" s="7"/>
      <c r="FK100" s="7"/>
      <c r="FL100" s="7"/>
      <c r="FM100" s="7"/>
      <c r="FN100" s="7"/>
      <c r="FO100" s="7"/>
      <c r="FP100" s="7"/>
      <c r="FQ100" s="7"/>
      <c r="FR100" s="7"/>
      <c r="FS100" s="7"/>
      <c r="FT100" s="7"/>
      <c r="FU100" s="7"/>
      <c r="FV100" s="7"/>
      <c r="FW100" s="7"/>
      <c r="FX100" s="7"/>
      <c r="FY100" s="7"/>
      <c r="FZ100" s="7"/>
      <c r="GA100" s="7"/>
      <c r="GB100" s="7"/>
      <c r="GC100" s="7"/>
      <c r="GD100" s="7"/>
      <c r="GE100" s="7"/>
      <c r="GF100" s="7"/>
      <c r="GG100" s="7"/>
      <c r="GH100" s="7"/>
      <c r="GI100" s="7"/>
      <c r="GJ100" s="7"/>
      <c r="GK100" s="7"/>
      <c r="GL100" s="7"/>
      <c r="GM100" s="7"/>
      <c r="GN100" s="7"/>
      <c r="GO100" s="7"/>
      <c r="GP100" s="7"/>
      <c r="GQ100" s="7"/>
      <c r="GR100" s="7"/>
      <c r="GS100" s="7"/>
      <c r="GT100" s="7"/>
      <c r="GU100" s="7"/>
      <c r="GV100" s="7"/>
      <c r="GW100" s="7"/>
      <c r="GX100" s="7"/>
      <c r="GY100" s="7"/>
      <c r="GZ100" s="7"/>
      <c r="HA100" s="7"/>
      <c r="HB100" s="7"/>
      <c r="HC100" s="7"/>
      <c r="HD100" s="7"/>
      <c r="HE100" s="7"/>
      <c r="HF100" s="7"/>
      <c r="HG100" s="7"/>
      <c r="HH100" s="7"/>
      <c r="HI100" s="7"/>
      <c r="HJ100" s="7"/>
      <c r="HK100" s="7"/>
      <c r="HL100" s="7"/>
      <c r="HM100" s="7"/>
      <c r="HN100" s="7"/>
      <c r="HO100" s="7"/>
      <c r="HP100" s="7"/>
      <c r="HQ100" s="7"/>
      <c r="HR100" s="7"/>
      <c r="HS100" s="7"/>
      <c r="HT100" s="7"/>
      <c r="HU100" s="7"/>
      <c r="HV100" s="7"/>
      <c r="HW100" s="7"/>
      <c r="HX100" s="7"/>
      <c r="HY100" s="7"/>
      <c r="HZ100" s="7"/>
      <c r="IA100" s="7"/>
      <c r="IB100" s="7"/>
      <c r="IC100" s="7"/>
      <c r="ID100" s="7"/>
      <c r="IE100" s="7"/>
      <c r="IF100" s="7"/>
      <c r="IG100" s="7"/>
      <c r="IH100" s="7"/>
      <c r="II100" s="7"/>
      <c r="IJ100" s="7"/>
      <c r="IK100" s="7"/>
      <c r="IL100" s="7"/>
      <c r="IM100" s="7"/>
      <c r="IN100" s="7"/>
      <c r="IO100" s="7"/>
      <c r="IP100" s="7"/>
      <c r="IQ100" s="7"/>
      <c r="IR100" s="7"/>
      <c r="IS100" s="7"/>
      <c r="IT100" s="7"/>
      <c r="IU100" s="7"/>
      <c r="IV100" s="7"/>
      <c r="IW100" s="7"/>
      <c r="IX100" s="7"/>
      <c r="IY100" s="7"/>
      <c r="IZ100" s="7"/>
      <c r="JA100" s="7"/>
      <c r="JB100" s="7"/>
      <c r="JC100" s="7"/>
      <c r="JD100" s="7"/>
      <c r="JE100" s="7"/>
      <c r="JF100" s="7"/>
      <c r="JG100" s="7"/>
      <c r="JH100" s="7"/>
      <c r="JI100" s="7"/>
      <c r="JJ100" s="7"/>
      <c r="JK100" s="7"/>
      <c r="JL100" s="7"/>
      <c r="JM100" s="7"/>
      <c r="JN100" s="7"/>
      <c r="JO100" s="7"/>
      <c r="JP100" s="7"/>
      <c r="JQ100" s="7"/>
      <c r="JR100" s="7"/>
      <c r="JS100" s="7"/>
      <c r="JT100" s="7"/>
      <c r="JU100" s="7"/>
      <c r="JV100" s="7"/>
    </row>
    <row r="101" spans="1:282" s="20" customFormat="1" ht="50.1" customHeight="1" x14ac:dyDescent="0.2">
      <c r="A101" s="699"/>
      <c r="B101" s="29" t="s">
        <v>1174</v>
      </c>
      <c r="C101" s="29"/>
      <c r="D101" s="29"/>
      <c r="E101" s="29" t="s">
        <v>984</v>
      </c>
      <c r="F101" s="104" t="s">
        <v>765</v>
      </c>
      <c r="G101" s="29" t="s">
        <v>517</v>
      </c>
      <c r="H101" s="29" t="s">
        <v>985</v>
      </c>
      <c r="I101" s="29"/>
      <c r="J101" s="69" t="s">
        <v>518</v>
      </c>
      <c r="K101" s="29" t="s">
        <v>1393</v>
      </c>
      <c r="L101" s="29" t="s">
        <v>18</v>
      </c>
      <c r="M101" s="29" t="s">
        <v>1528</v>
      </c>
      <c r="N101" s="74">
        <v>40394</v>
      </c>
      <c r="O101" s="29">
        <v>727115108</v>
      </c>
      <c r="P101" s="29"/>
      <c r="Q101" s="29"/>
      <c r="R101" s="29"/>
      <c r="S101" s="29"/>
      <c r="T101" s="155">
        <v>26</v>
      </c>
      <c r="U101" s="155"/>
      <c r="V101" s="155"/>
      <c r="W101" s="155"/>
      <c r="X101" s="155"/>
      <c r="Y101" s="155"/>
      <c r="Z101" s="155"/>
      <c r="AA101" s="155"/>
      <c r="AB101" s="155"/>
      <c r="AC101" s="155"/>
      <c r="AD101" s="155"/>
      <c r="AE101" s="155"/>
      <c r="AF101" s="155"/>
      <c r="AG101" s="155"/>
      <c r="AH101" s="155"/>
      <c r="AI101" s="155"/>
      <c r="AJ101" s="724">
        <v>40693</v>
      </c>
      <c r="AK101" s="720">
        <f t="shared" si="3"/>
        <v>299</v>
      </c>
      <c r="AL101" s="155"/>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c r="FF101" s="4"/>
      <c r="FG101" s="4"/>
      <c r="FH101" s="4"/>
      <c r="FI101" s="4"/>
      <c r="FJ101" s="4"/>
      <c r="FK101" s="4"/>
      <c r="FL101" s="4"/>
      <c r="FM101" s="4"/>
      <c r="FN101" s="4"/>
      <c r="FO101" s="4"/>
      <c r="FP101" s="4"/>
      <c r="FQ101" s="4"/>
      <c r="FR101" s="4"/>
      <c r="FS101" s="4"/>
      <c r="FT101" s="4"/>
      <c r="FU101" s="4"/>
      <c r="FV101" s="4"/>
      <c r="FW101" s="4"/>
      <c r="FX101" s="4"/>
      <c r="FY101" s="4"/>
      <c r="FZ101" s="4"/>
      <c r="GA101" s="4"/>
      <c r="GB101" s="4"/>
      <c r="GC101" s="4"/>
      <c r="GD101" s="4"/>
      <c r="GE101" s="4"/>
      <c r="GF101" s="4"/>
      <c r="GG101" s="4"/>
      <c r="GH101" s="4"/>
      <c r="GI101" s="4"/>
      <c r="GJ101" s="4"/>
      <c r="GK101" s="4"/>
      <c r="GL101" s="4"/>
      <c r="GM101" s="4"/>
      <c r="GN101" s="4"/>
      <c r="GO101" s="4"/>
      <c r="GP101" s="4"/>
      <c r="GQ101" s="4"/>
      <c r="GR101" s="4"/>
      <c r="GS101" s="4"/>
      <c r="GT101" s="4"/>
      <c r="GU101" s="4"/>
      <c r="GV101" s="4"/>
      <c r="GW101" s="4"/>
      <c r="GX101" s="4"/>
      <c r="GY101" s="4"/>
      <c r="GZ101" s="4"/>
      <c r="HA101" s="4"/>
      <c r="HB101" s="4"/>
      <c r="HC101" s="4"/>
      <c r="HD101" s="4"/>
      <c r="HE101" s="4"/>
      <c r="HF101" s="4"/>
      <c r="HG101" s="4"/>
      <c r="HH101" s="4"/>
      <c r="HI101" s="4"/>
      <c r="HJ101" s="4"/>
      <c r="HK101" s="4"/>
      <c r="HL101" s="4"/>
      <c r="HM101" s="4"/>
      <c r="HN101" s="4"/>
      <c r="HO101" s="4"/>
      <c r="HP101" s="4"/>
      <c r="HQ101" s="4"/>
      <c r="HR101" s="4"/>
      <c r="HS101" s="4"/>
      <c r="HT101" s="4"/>
      <c r="HU101" s="4"/>
      <c r="HV101" s="4"/>
      <c r="HW101" s="4"/>
      <c r="HX101" s="4"/>
      <c r="HY101" s="4"/>
      <c r="HZ101" s="4"/>
      <c r="IA101" s="4"/>
      <c r="IB101" s="4"/>
      <c r="IC101" s="4"/>
      <c r="ID101" s="4"/>
      <c r="IE101" s="4"/>
      <c r="IF101" s="4"/>
      <c r="IG101" s="4"/>
      <c r="IH101" s="4"/>
      <c r="II101" s="4"/>
      <c r="IJ101" s="4"/>
      <c r="IK101" s="4"/>
      <c r="IL101" s="4"/>
      <c r="IM101" s="4"/>
      <c r="IN101" s="4"/>
      <c r="IO101" s="4"/>
      <c r="IP101" s="4"/>
      <c r="IQ101" s="4"/>
      <c r="IR101" s="4"/>
      <c r="IS101" s="4"/>
      <c r="IT101" s="4"/>
      <c r="IU101" s="4"/>
      <c r="IV101" s="4"/>
      <c r="IW101" s="4"/>
      <c r="IX101" s="4"/>
      <c r="IY101" s="4"/>
      <c r="IZ101" s="4"/>
      <c r="JA101" s="4"/>
      <c r="JB101" s="4"/>
      <c r="JC101" s="4"/>
      <c r="JD101" s="4"/>
      <c r="JE101" s="4"/>
      <c r="JF101" s="4"/>
      <c r="JG101" s="4"/>
      <c r="JH101" s="4"/>
      <c r="JI101" s="4"/>
      <c r="JJ101" s="4"/>
      <c r="JK101" s="4"/>
      <c r="JL101" s="4"/>
      <c r="JM101" s="4"/>
      <c r="JN101" s="4"/>
      <c r="JO101" s="4"/>
      <c r="JP101" s="4"/>
      <c r="JQ101" s="4"/>
      <c r="JR101" s="4"/>
      <c r="JS101" s="4"/>
      <c r="JT101" s="4"/>
      <c r="JU101" s="4"/>
      <c r="JV101" s="4"/>
    </row>
    <row r="102" spans="1:282" s="20" customFormat="1" ht="50.1" customHeight="1" x14ac:dyDescent="0.2">
      <c r="A102" s="699"/>
      <c r="B102" s="30" t="s">
        <v>2365</v>
      </c>
      <c r="C102" s="30"/>
      <c r="D102" s="30"/>
      <c r="E102" s="29" t="s">
        <v>637</v>
      </c>
      <c r="F102" s="104" t="s">
        <v>638</v>
      </c>
      <c r="G102" s="29" t="s">
        <v>639</v>
      </c>
      <c r="H102" s="29" t="s">
        <v>995</v>
      </c>
      <c r="I102" s="29"/>
      <c r="J102" s="69" t="s">
        <v>2412</v>
      </c>
      <c r="K102" s="29" t="s">
        <v>1393</v>
      </c>
      <c r="L102" s="30" t="s">
        <v>2413</v>
      </c>
      <c r="M102" s="29" t="s">
        <v>2445</v>
      </c>
      <c r="N102" s="74">
        <v>39338</v>
      </c>
      <c r="O102" s="69" t="s">
        <v>996</v>
      </c>
      <c r="P102" s="69"/>
      <c r="Q102" s="69"/>
      <c r="R102" s="69"/>
      <c r="S102" s="69"/>
      <c r="T102" s="155">
        <v>11</v>
      </c>
      <c r="U102" s="155"/>
      <c r="V102" s="155"/>
      <c r="W102" s="155"/>
      <c r="X102" s="155"/>
      <c r="Y102" s="155"/>
      <c r="Z102" s="155"/>
      <c r="AA102" s="155"/>
      <c r="AB102" s="155"/>
      <c r="AC102" s="155"/>
      <c r="AD102" s="155"/>
      <c r="AE102" s="155"/>
      <c r="AF102" s="155"/>
      <c r="AG102" s="155"/>
      <c r="AH102" s="155"/>
      <c r="AI102" s="155"/>
      <c r="AJ102" s="74">
        <v>40714</v>
      </c>
      <c r="AK102" s="720">
        <f t="shared" si="3"/>
        <v>1376</v>
      </c>
      <c r="AL102" s="155"/>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c r="FF102" s="4"/>
      <c r="FG102" s="4"/>
      <c r="FH102" s="4"/>
      <c r="FI102" s="4"/>
      <c r="FJ102" s="4"/>
      <c r="FK102" s="4"/>
      <c r="FL102" s="4"/>
      <c r="FM102" s="4"/>
      <c r="FN102" s="4"/>
      <c r="FO102" s="4"/>
      <c r="FP102" s="4"/>
      <c r="FQ102" s="4"/>
      <c r="FR102" s="4"/>
      <c r="FS102" s="4"/>
      <c r="FT102" s="4"/>
      <c r="FU102" s="4"/>
      <c r="FV102" s="4"/>
      <c r="FW102" s="4"/>
      <c r="FX102" s="4"/>
      <c r="FY102" s="4"/>
      <c r="FZ102" s="4"/>
      <c r="GA102" s="4"/>
      <c r="GB102" s="4"/>
      <c r="GC102" s="4"/>
      <c r="GD102" s="4"/>
      <c r="GE102" s="4"/>
      <c r="GF102" s="4"/>
      <c r="GG102" s="4"/>
      <c r="GH102" s="4"/>
      <c r="GI102" s="4"/>
      <c r="GJ102" s="4"/>
      <c r="GK102" s="4"/>
      <c r="GL102" s="4"/>
      <c r="GM102" s="4"/>
      <c r="GN102" s="4"/>
      <c r="GO102" s="4"/>
      <c r="GP102" s="4"/>
      <c r="GQ102" s="4"/>
      <c r="GR102" s="4"/>
      <c r="GS102" s="4"/>
      <c r="GT102" s="4"/>
      <c r="GU102" s="4"/>
      <c r="GV102" s="4"/>
      <c r="GW102" s="4"/>
      <c r="GX102" s="4"/>
      <c r="GY102" s="4"/>
      <c r="GZ102" s="4"/>
      <c r="HA102" s="4"/>
      <c r="HB102" s="4"/>
      <c r="HC102" s="4"/>
      <c r="HD102" s="4"/>
      <c r="HE102" s="4"/>
      <c r="HF102" s="4"/>
      <c r="HG102" s="4"/>
      <c r="HH102" s="4"/>
      <c r="HI102" s="4"/>
      <c r="HJ102" s="4"/>
      <c r="HK102" s="4"/>
      <c r="HL102" s="4"/>
      <c r="HM102" s="4"/>
      <c r="HN102" s="4"/>
      <c r="HO102" s="4"/>
      <c r="HP102" s="4"/>
      <c r="HQ102" s="4"/>
      <c r="HR102" s="4"/>
      <c r="HS102" s="4"/>
      <c r="HT102" s="4"/>
      <c r="HU102" s="4"/>
      <c r="HV102" s="4"/>
      <c r="HW102" s="4"/>
      <c r="HX102" s="4"/>
      <c r="HY102" s="4"/>
      <c r="HZ102" s="4"/>
      <c r="IA102" s="4"/>
      <c r="IB102" s="4"/>
      <c r="IC102" s="4"/>
      <c r="ID102" s="4"/>
      <c r="IE102" s="4"/>
      <c r="IF102" s="4"/>
      <c r="IG102" s="4"/>
      <c r="IH102" s="4"/>
      <c r="II102" s="4"/>
      <c r="IJ102" s="4"/>
      <c r="IK102" s="4"/>
      <c r="IL102" s="4"/>
      <c r="IM102" s="4"/>
      <c r="IN102" s="4"/>
      <c r="IO102" s="4"/>
      <c r="IP102" s="4"/>
      <c r="IQ102" s="4"/>
      <c r="IR102" s="4"/>
      <c r="IS102" s="4"/>
      <c r="IT102" s="4"/>
      <c r="IU102" s="4"/>
      <c r="IV102" s="4"/>
      <c r="IW102" s="4"/>
      <c r="IX102" s="4"/>
      <c r="IY102" s="4"/>
      <c r="IZ102" s="4"/>
      <c r="JA102" s="4"/>
      <c r="JB102" s="4"/>
      <c r="JC102" s="4"/>
      <c r="JD102" s="4"/>
      <c r="JE102" s="4"/>
      <c r="JF102" s="4"/>
      <c r="JG102" s="4"/>
      <c r="JH102" s="4"/>
      <c r="JI102" s="4"/>
      <c r="JJ102" s="4"/>
      <c r="JK102" s="4"/>
      <c r="JL102" s="4"/>
      <c r="JM102" s="4"/>
      <c r="JN102" s="4"/>
      <c r="JO102" s="4"/>
      <c r="JP102" s="4"/>
      <c r="JQ102" s="4"/>
      <c r="JR102" s="4"/>
      <c r="JS102" s="4"/>
      <c r="JT102" s="4"/>
      <c r="JU102" s="4"/>
      <c r="JV102" s="4"/>
    </row>
    <row r="103" spans="1:282" s="21" customFormat="1" ht="50.1" customHeight="1" x14ac:dyDescent="0.2">
      <c r="A103" s="702"/>
      <c r="B103" s="30" t="s">
        <v>2365</v>
      </c>
      <c r="C103" s="30"/>
      <c r="D103" s="30"/>
      <c r="E103" s="721" t="s">
        <v>987</v>
      </c>
      <c r="F103" s="104" t="s">
        <v>988</v>
      </c>
      <c r="G103" s="29" t="s">
        <v>989</v>
      </c>
      <c r="H103" s="29" t="s">
        <v>990</v>
      </c>
      <c r="I103" s="29"/>
      <c r="J103" s="29" t="s">
        <v>991</v>
      </c>
      <c r="K103" s="29" t="s">
        <v>1393</v>
      </c>
      <c r="L103" s="29" t="s">
        <v>992</v>
      </c>
      <c r="M103" s="29" t="s">
        <v>2445</v>
      </c>
      <c r="N103" s="74">
        <v>39933</v>
      </c>
      <c r="O103" s="29" t="s">
        <v>993</v>
      </c>
      <c r="P103" s="29"/>
      <c r="Q103" s="29"/>
      <c r="R103" s="29"/>
      <c r="S103" s="29"/>
      <c r="T103" s="174">
        <v>25</v>
      </c>
      <c r="U103" s="174"/>
      <c r="V103" s="174"/>
      <c r="W103" s="174"/>
      <c r="X103" s="174"/>
      <c r="Y103" s="174"/>
      <c r="Z103" s="174"/>
      <c r="AA103" s="174"/>
      <c r="AB103" s="174"/>
      <c r="AC103" s="174"/>
      <c r="AD103" s="174"/>
      <c r="AE103" s="174"/>
      <c r="AF103" s="174"/>
      <c r="AG103" s="174"/>
      <c r="AH103" s="174"/>
      <c r="AI103" s="174"/>
      <c r="AJ103" s="724">
        <v>40714</v>
      </c>
      <c r="AK103" s="720">
        <f t="shared" si="3"/>
        <v>781</v>
      </c>
      <c r="AL103" s="174"/>
      <c r="AM103" s="598"/>
      <c r="AN103" s="598"/>
      <c r="AO103" s="598"/>
      <c r="AP103" s="598"/>
      <c r="AQ103" s="598"/>
      <c r="AR103" s="598"/>
      <c r="AS103" s="598"/>
      <c r="AT103" s="598"/>
      <c r="AU103" s="598"/>
      <c r="AV103" s="598"/>
      <c r="AW103" s="598"/>
      <c r="AX103" s="598"/>
      <c r="AY103" s="598"/>
      <c r="AZ103" s="598"/>
      <c r="BA103" s="598"/>
      <c r="BB103" s="598"/>
      <c r="BC103" s="598"/>
      <c r="BD103" s="598"/>
      <c r="BE103" s="598"/>
      <c r="BF103" s="598"/>
      <c r="BG103" s="598"/>
      <c r="BH103" s="598"/>
      <c r="BI103" s="598"/>
      <c r="BJ103" s="598"/>
      <c r="BK103" s="598"/>
      <c r="BL103" s="598"/>
      <c r="BM103" s="598"/>
      <c r="BN103" s="598"/>
      <c r="BO103" s="598"/>
      <c r="BP103" s="598"/>
      <c r="BQ103" s="598"/>
      <c r="BR103" s="598"/>
      <c r="BS103" s="598"/>
      <c r="BT103" s="598"/>
      <c r="BU103" s="598"/>
      <c r="BV103" s="598"/>
      <c r="BW103" s="598"/>
      <c r="BX103" s="598"/>
      <c r="BY103" s="598"/>
      <c r="BZ103" s="598"/>
      <c r="CA103" s="598"/>
      <c r="CB103" s="598"/>
      <c r="CC103" s="598"/>
      <c r="CD103" s="598"/>
      <c r="CE103" s="598"/>
      <c r="CF103" s="598"/>
      <c r="CG103" s="598"/>
      <c r="CH103" s="598"/>
      <c r="CI103" s="598"/>
      <c r="CJ103" s="598"/>
      <c r="CK103" s="598"/>
      <c r="CL103" s="598"/>
      <c r="CM103" s="598"/>
      <c r="CN103" s="598"/>
      <c r="CO103" s="598"/>
      <c r="CP103" s="598"/>
      <c r="CQ103" s="598"/>
      <c r="CR103" s="598"/>
      <c r="CS103" s="598"/>
      <c r="CT103" s="598"/>
      <c r="CU103" s="598"/>
      <c r="CV103" s="598"/>
      <c r="CW103" s="598"/>
      <c r="CX103" s="598"/>
      <c r="CY103" s="598"/>
      <c r="CZ103" s="598"/>
      <c r="DA103" s="598"/>
      <c r="DB103" s="598"/>
      <c r="DC103" s="598"/>
      <c r="DD103" s="598"/>
      <c r="DE103" s="598"/>
      <c r="DF103" s="598"/>
      <c r="DG103" s="598"/>
      <c r="DH103" s="598"/>
      <c r="DI103" s="598"/>
      <c r="DJ103" s="598"/>
      <c r="DK103" s="598"/>
      <c r="DL103" s="598"/>
      <c r="DM103" s="598"/>
      <c r="DN103" s="598"/>
      <c r="DO103" s="598"/>
      <c r="DP103" s="598"/>
      <c r="DQ103" s="598"/>
      <c r="DR103" s="598"/>
      <c r="DS103" s="598"/>
      <c r="DT103" s="598"/>
      <c r="DU103" s="598"/>
      <c r="DV103" s="598"/>
      <c r="DW103" s="598"/>
      <c r="DX103" s="598"/>
      <c r="DY103" s="598"/>
      <c r="DZ103" s="598"/>
      <c r="EA103" s="598"/>
      <c r="EB103" s="598"/>
      <c r="EC103" s="598"/>
      <c r="ED103" s="598"/>
      <c r="EE103" s="598"/>
      <c r="EF103" s="598"/>
      <c r="EG103" s="598"/>
      <c r="EH103" s="598"/>
      <c r="EI103" s="598"/>
      <c r="EJ103" s="598"/>
      <c r="EK103" s="598"/>
      <c r="EL103" s="598"/>
      <c r="EM103" s="598"/>
      <c r="EN103" s="598"/>
      <c r="EO103" s="598"/>
      <c r="EP103" s="598"/>
      <c r="EQ103" s="598"/>
      <c r="ER103" s="598"/>
      <c r="ES103" s="598"/>
      <c r="ET103" s="598"/>
      <c r="EU103" s="598"/>
      <c r="EV103" s="598"/>
      <c r="EW103" s="598"/>
      <c r="EX103" s="598"/>
      <c r="EY103" s="598"/>
      <c r="EZ103" s="598"/>
      <c r="FA103" s="598"/>
      <c r="FB103" s="598"/>
      <c r="FC103" s="598"/>
      <c r="FD103" s="598"/>
      <c r="FE103" s="598"/>
      <c r="FF103" s="598"/>
      <c r="FG103" s="598"/>
      <c r="FH103" s="598"/>
      <c r="FI103" s="598"/>
      <c r="FJ103" s="598"/>
      <c r="FK103" s="598"/>
      <c r="FL103" s="598"/>
      <c r="FM103" s="598"/>
      <c r="FN103" s="598"/>
      <c r="FO103" s="598"/>
      <c r="FP103" s="598"/>
      <c r="FQ103" s="598"/>
      <c r="FR103" s="598"/>
      <c r="FS103" s="598"/>
      <c r="FT103" s="598"/>
      <c r="FU103" s="598"/>
      <c r="FV103" s="598"/>
      <c r="FW103" s="598"/>
      <c r="FX103" s="598"/>
      <c r="FY103" s="598"/>
      <c r="FZ103" s="598"/>
      <c r="GA103" s="598"/>
      <c r="GB103" s="598"/>
      <c r="GC103" s="598"/>
      <c r="GD103" s="598"/>
      <c r="GE103" s="598"/>
      <c r="GF103" s="598"/>
      <c r="GG103" s="598"/>
      <c r="GH103" s="598"/>
      <c r="GI103" s="598"/>
      <c r="GJ103" s="598"/>
      <c r="GK103" s="598"/>
      <c r="GL103" s="598"/>
      <c r="GM103" s="598"/>
      <c r="GN103" s="598"/>
      <c r="GO103" s="598"/>
      <c r="GP103" s="598"/>
      <c r="GQ103" s="598"/>
      <c r="GR103" s="598"/>
      <c r="GS103" s="598"/>
      <c r="GT103" s="598"/>
      <c r="GU103" s="598"/>
      <c r="GV103" s="598"/>
      <c r="GW103" s="598"/>
      <c r="GX103" s="598"/>
      <c r="GY103" s="598"/>
      <c r="GZ103" s="598"/>
      <c r="HA103" s="598"/>
      <c r="HB103" s="598"/>
      <c r="HC103" s="598"/>
      <c r="HD103" s="598"/>
      <c r="HE103" s="598"/>
      <c r="HF103" s="598"/>
      <c r="HG103" s="598"/>
      <c r="HH103" s="598"/>
      <c r="HI103" s="598"/>
      <c r="HJ103" s="598"/>
      <c r="HK103" s="598"/>
      <c r="HL103" s="598"/>
      <c r="HM103" s="598"/>
      <c r="HN103" s="598"/>
      <c r="HO103" s="598"/>
      <c r="HP103" s="598"/>
      <c r="HQ103" s="598"/>
      <c r="HR103" s="598"/>
      <c r="HS103" s="598"/>
      <c r="HT103" s="598"/>
      <c r="HU103" s="598"/>
      <c r="HV103" s="598"/>
      <c r="HW103" s="598"/>
      <c r="HX103" s="598"/>
      <c r="HY103" s="598"/>
      <c r="HZ103" s="598"/>
      <c r="IA103" s="598"/>
      <c r="IB103" s="598"/>
      <c r="IC103" s="598"/>
      <c r="ID103" s="598"/>
      <c r="IE103" s="598"/>
      <c r="IF103" s="598"/>
      <c r="IG103" s="598"/>
      <c r="IH103" s="598"/>
      <c r="II103" s="598"/>
      <c r="IJ103" s="598"/>
      <c r="IK103" s="598"/>
      <c r="IL103" s="598"/>
      <c r="IM103" s="598"/>
      <c r="IN103" s="598"/>
      <c r="IO103" s="598"/>
      <c r="IP103" s="598"/>
      <c r="IQ103" s="598"/>
      <c r="IR103" s="598"/>
      <c r="IS103" s="598"/>
      <c r="IT103" s="598"/>
      <c r="IU103" s="598"/>
      <c r="IV103" s="598"/>
      <c r="IW103" s="598"/>
      <c r="IX103" s="598"/>
      <c r="IY103" s="598"/>
      <c r="IZ103" s="598"/>
      <c r="JA103" s="598"/>
      <c r="JB103" s="598"/>
      <c r="JC103" s="598"/>
      <c r="JD103" s="598"/>
      <c r="JE103" s="598"/>
      <c r="JF103" s="598"/>
      <c r="JG103" s="598"/>
      <c r="JH103" s="598"/>
      <c r="JI103" s="598"/>
      <c r="JJ103" s="598"/>
      <c r="JK103" s="598"/>
      <c r="JL103" s="598"/>
      <c r="JM103" s="598"/>
      <c r="JN103" s="598"/>
      <c r="JO103" s="598"/>
      <c r="JP103" s="598"/>
      <c r="JQ103" s="598"/>
      <c r="JR103" s="598"/>
      <c r="JS103" s="598"/>
      <c r="JT103" s="598"/>
      <c r="JU103" s="598"/>
      <c r="JV103" s="598"/>
    </row>
    <row r="104" spans="1:282" s="18" customFormat="1" ht="50.1" customHeight="1" x14ac:dyDescent="0.2">
      <c r="A104" s="6"/>
      <c r="B104" s="29" t="s">
        <v>1174</v>
      </c>
      <c r="C104" s="29"/>
      <c r="D104" s="29"/>
      <c r="E104" s="725" t="s">
        <v>986</v>
      </c>
      <c r="F104" s="104" t="s">
        <v>974</v>
      </c>
      <c r="G104" s="29" t="s">
        <v>974</v>
      </c>
      <c r="H104" s="29" t="s">
        <v>975</v>
      </c>
      <c r="I104" s="29"/>
      <c r="J104" s="69" t="s">
        <v>51</v>
      </c>
      <c r="K104" s="30" t="s">
        <v>1394</v>
      </c>
      <c r="L104" s="29" t="s">
        <v>12</v>
      </c>
      <c r="M104" s="29" t="s">
        <v>1528</v>
      </c>
      <c r="N104" s="74">
        <v>40512</v>
      </c>
      <c r="O104" s="29">
        <v>962161100</v>
      </c>
      <c r="P104" s="29"/>
      <c r="Q104" s="29"/>
      <c r="R104" s="29"/>
      <c r="S104" s="29"/>
      <c r="T104" s="174">
        <v>25</v>
      </c>
      <c r="U104" s="174"/>
      <c r="V104" s="174"/>
      <c r="W104" s="174"/>
      <c r="X104" s="174"/>
      <c r="Y104" s="174"/>
      <c r="Z104" s="174"/>
      <c r="AA104" s="174"/>
      <c r="AB104" s="174"/>
      <c r="AC104" s="174"/>
      <c r="AD104" s="174"/>
      <c r="AE104" s="174"/>
      <c r="AF104" s="174"/>
      <c r="AG104" s="174"/>
      <c r="AH104" s="174"/>
      <c r="AI104" s="174"/>
      <c r="AJ104" s="724">
        <v>40714</v>
      </c>
      <c r="AK104" s="720">
        <f t="shared" si="3"/>
        <v>202</v>
      </c>
      <c r="AL104" s="174"/>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c r="CV104" s="22"/>
      <c r="CW104" s="22"/>
      <c r="CX104" s="22"/>
      <c r="CY104" s="22"/>
      <c r="CZ104" s="22"/>
      <c r="DA104" s="22"/>
      <c r="DB104" s="22"/>
      <c r="DC104" s="22"/>
      <c r="DD104" s="22"/>
      <c r="DE104" s="22"/>
      <c r="DF104" s="22"/>
      <c r="DG104" s="22"/>
      <c r="DH104" s="22"/>
      <c r="DI104" s="22"/>
      <c r="DJ104" s="22"/>
      <c r="DK104" s="22"/>
      <c r="DL104" s="22"/>
      <c r="DM104" s="22"/>
      <c r="DN104" s="22"/>
      <c r="DO104" s="22"/>
      <c r="DP104" s="22"/>
      <c r="DQ104" s="22"/>
      <c r="DR104" s="22"/>
      <c r="DS104" s="22"/>
      <c r="DT104" s="22"/>
      <c r="DU104" s="22"/>
      <c r="DV104" s="22"/>
      <c r="DW104" s="22"/>
      <c r="DX104" s="22"/>
      <c r="DY104" s="22"/>
      <c r="DZ104" s="22"/>
      <c r="EA104" s="22"/>
      <c r="EB104" s="22"/>
      <c r="EC104" s="22"/>
      <c r="ED104" s="22"/>
      <c r="EE104" s="22"/>
      <c r="EF104" s="22"/>
      <c r="EG104" s="22"/>
      <c r="EH104" s="22"/>
      <c r="EI104" s="22"/>
      <c r="EJ104" s="22"/>
      <c r="EK104" s="22"/>
      <c r="EL104" s="22"/>
      <c r="EM104" s="22"/>
      <c r="EN104" s="22"/>
      <c r="EO104" s="22"/>
      <c r="EP104" s="22"/>
      <c r="EQ104" s="22"/>
      <c r="ER104" s="22"/>
      <c r="ES104" s="22"/>
      <c r="ET104" s="22"/>
      <c r="EU104" s="22"/>
      <c r="EV104" s="22"/>
      <c r="EW104" s="22"/>
      <c r="EX104" s="22"/>
      <c r="EY104" s="22"/>
      <c r="EZ104" s="22"/>
      <c r="FA104" s="22"/>
      <c r="FB104" s="22"/>
      <c r="FC104" s="22"/>
      <c r="FD104" s="22"/>
      <c r="FE104" s="22"/>
      <c r="FF104" s="22"/>
      <c r="FG104" s="22"/>
      <c r="FH104" s="22"/>
      <c r="FI104" s="22"/>
      <c r="FJ104" s="22"/>
      <c r="FK104" s="22"/>
      <c r="FL104" s="22"/>
      <c r="FM104" s="22"/>
      <c r="FN104" s="22"/>
      <c r="FO104" s="22"/>
      <c r="FP104" s="22"/>
      <c r="FQ104" s="22"/>
      <c r="FR104" s="22"/>
      <c r="FS104" s="22"/>
      <c r="FT104" s="22"/>
      <c r="FU104" s="22"/>
      <c r="FV104" s="22"/>
      <c r="FW104" s="22"/>
      <c r="FX104" s="22"/>
      <c r="FY104" s="22"/>
      <c r="FZ104" s="22"/>
      <c r="GA104" s="22"/>
      <c r="GB104" s="22"/>
      <c r="GC104" s="22"/>
      <c r="GD104" s="22"/>
      <c r="GE104" s="22"/>
      <c r="GF104" s="22"/>
      <c r="GG104" s="22"/>
      <c r="GH104" s="22"/>
      <c r="GI104" s="22"/>
      <c r="GJ104" s="22"/>
      <c r="GK104" s="22"/>
      <c r="GL104" s="22"/>
      <c r="GM104" s="22"/>
      <c r="GN104" s="22"/>
      <c r="GO104" s="22"/>
      <c r="GP104" s="22"/>
      <c r="GQ104" s="22"/>
      <c r="GR104" s="22"/>
      <c r="GS104" s="22"/>
      <c r="GT104" s="22"/>
      <c r="GU104" s="22"/>
      <c r="GV104" s="22"/>
      <c r="GW104" s="22"/>
      <c r="GX104" s="22"/>
      <c r="GY104" s="22"/>
      <c r="GZ104" s="22"/>
      <c r="HA104" s="22"/>
      <c r="HB104" s="22"/>
      <c r="HC104" s="22"/>
      <c r="HD104" s="22"/>
      <c r="HE104" s="22"/>
      <c r="HF104" s="22"/>
      <c r="HG104" s="22"/>
      <c r="HH104" s="22"/>
      <c r="HI104" s="22"/>
      <c r="HJ104" s="22"/>
      <c r="HK104" s="22"/>
      <c r="HL104" s="22"/>
      <c r="HM104" s="22"/>
      <c r="HN104" s="22"/>
      <c r="HO104" s="22"/>
      <c r="HP104" s="22"/>
      <c r="HQ104" s="22"/>
      <c r="HR104" s="22"/>
      <c r="HS104" s="22"/>
      <c r="HT104" s="22"/>
      <c r="HU104" s="22"/>
      <c r="HV104" s="22"/>
      <c r="HW104" s="22"/>
      <c r="HX104" s="22"/>
      <c r="HY104" s="22"/>
      <c r="HZ104" s="22"/>
      <c r="IA104" s="22"/>
      <c r="IB104" s="22"/>
      <c r="IC104" s="22"/>
      <c r="ID104" s="22"/>
      <c r="IE104" s="22"/>
      <c r="IF104" s="22"/>
      <c r="IG104" s="22"/>
      <c r="IH104" s="22"/>
      <c r="II104" s="22"/>
      <c r="IJ104" s="22"/>
      <c r="IK104" s="22"/>
      <c r="IL104" s="22"/>
      <c r="IM104" s="22"/>
      <c r="IN104" s="22"/>
      <c r="IO104" s="22"/>
      <c r="IP104" s="22"/>
      <c r="IQ104" s="22"/>
      <c r="IR104" s="22"/>
      <c r="IS104" s="22"/>
      <c r="IT104" s="22"/>
      <c r="IU104" s="22"/>
      <c r="IV104" s="22"/>
      <c r="IW104" s="22"/>
      <c r="IX104" s="22"/>
      <c r="IY104" s="22"/>
      <c r="IZ104" s="22"/>
      <c r="JA104" s="22"/>
      <c r="JB104" s="22"/>
      <c r="JC104" s="22"/>
      <c r="JD104" s="22"/>
      <c r="JE104" s="22"/>
      <c r="JF104" s="22"/>
      <c r="JG104" s="22"/>
      <c r="JH104" s="22"/>
      <c r="JI104" s="22"/>
      <c r="JJ104" s="22"/>
      <c r="JK104" s="22"/>
      <c r="JL104" s="22"/>
      <c r="JM104" s="22"/>
      <c r="JN104" s="22"/>
      <c r="JO104" s="22"/>
      <c r="JP104" s="22"/>
      <c r="JQ104" s="22"/>
      <c r="JR104" s="22"/>
      <c r="JS104" s="22"/>
      <c r="JT104" s="22"/>
      <c r="JU104" s="22"/>
      <c r="JV104" s="22"/>
    </row>
    <row r="105" spans="1:282" s="21" customFormat="1" ht="50.1" customHeight="1" x14ac:dyDescent="0.2">
      <c r="A105" s="702"/>
      <c r="B105" s="29" t="s">
        <v>1174</v>
      </c>
      <c r="C105" s="29"/>
      <c r="D105" s="29"/>
      <c r="E105" s="29" t="s">
        <v>919</v>
      </c>
      <c r="F105" s="104" t="s">
        <v>920</v>
      </c>
      <c r="G105" s="29" t="s">
        <v>146</v>
      </c>
      <c r="H105" s="29" t="s">
        <v>147</v>
      </c>
      <c r="I105" s="29"/>
      <c r="J105" s="29" t="s">
        <v>79</v>
      </c>
      <c r="K105" s="29" t="s">
        <v>1393</v>
      </c>
      <c r="L105" s="29" t="s">
        <v>879</v>
      </c>
      <c r="M105" s="29" t="s">
        <v>2445</v>
      </c>
      <c r="N105" s="74">
        <v>40539</v>
      </c>
      <c r="O105" s="29">
        <v>3719112</v>
      </c>
      <c r="P105" s="29"/>
      <c r="Q105" s="29"/>
      <c r="R105" s="29"/>
      <c r="S105" s="29"/>
      <c r="T105" s="174"/>
      <c r="U105" s="174"/>
      <c r="V105" s="174"/>
      <c r="W105" s="174"/>
      <c r="X105" s="174"/>
      <c r="Y105" s="174"/>
      <c r="Z105" s="174"/>
      <c r="AA105" s="174"/>
      <c r="AB105" s="174"/>
      <c r="AC105" s="174"/>
      <c r="AD105" s="174"/>
      <c r="AE105" s="174"/>
      <c r="AF105" s="174"/>
      <c r="AG105" s="174"/>
      <c r="AH105" s="174"/>
      <c r="AI105" s="174"/>
      <c r="AJ105" s="724">
        <v>40721</v>
      </c>
      <c r="AK105" s="720">
        <f t="shared" si="3"/>
        <v>182</v>
      </c>
      <c r="AL105" s="174"/>
      <c r="AM105" s="598"/>
      <c r="AN105" s="598"/>
      <c r="AO105" s="598"/>
      <c r="AP105" s="598"/>
      <c r="AQ105" s="598"/>
      <c r="AR105" s="598"/>
      <c r="AS105" s="598"/>
      <c r="AT105" s="598"/>
      <c r="AU105" s="598"/>
      <c r="AV105" s="598"/>
      <c r="AW105" s="598"/>
      <c r="AX105" s="598"/>
      <c r="AY105" s="598"/>
      <c r="AZ105" s="598"/>
      <c r="BA105" s="598"/>
      <c r="BB105" s="598"/>
      <c r="BC105" s="598"/>
      <c r="BD105" s="598"/>
      <c r="BE105" s="598"/>
      <c r="BF105" s="598"/>
      <c r="BG105" s="598"/>
      <c r="BH105" s="598"/>
      <c r="BI105" s="598"/>
      <c r="BJ105" s="598"/>
      <c r="BK105" s="598"/>
      <c r="BL105" s="598"/>
      <c r="BM105" s="598"/>
      <c r="BN105" s="598"/>
      <c r="BO105" s="598"/>
      <c r="BP105" s="598"/>
      <c r="BQ105" s="598"/>
      <c r="BR105" s="598"/>
      <c r="BS105" s="598"/>
      <c r="BT105" s="598"/>
      <c r="BU105" s="598"/>
      <c r="BV105" s="598"/>
      <c r="BW105" s="598"/>
      <c r="BX105" s="598"/>
      <c r="BY105" s="598"/>
      <c r="BZ105" s="598"/>
      <c r="CA105" s="598"/>
      <c r="CB105" s="598"/>
      <c r="CC105" s="598"/>
      <c r="CD105" s="598"/>
      <c r="CE105" s="598"/>
      <c r="CF105" s="598"/>
      <c r="CG105" s="598"/>
      <c r="CH105" s="598"/>
      <c r="CI105" s="598"/>
      <c r="CJ105" s="598"/>
      <c r="CK105" s="598"/>
      <c r="CL105" s="598"/>
      <c r="CM105" s="598"/>
      <c r="CN105" s="598"/>
      <c r="CO105" s="598"/>
      <c r="CP105" s="598"/>
      <c r="CQ105" s="598"/>
      <c r="CR105" s="598"/>
      <c r="CS105" s="598"/>
      <c r="CT105" s="598"/>
      <c r="CU105" s="598"/>
      <c r="CV105" s="598"/>
      <c r="CW105" s="598"/>
      <c r="CX105" s="598"/>
      <c r="CY105" s="598"/>
      <c r="CZ105" s="598"/>
      <c r="DA105" s="598"/>
      <c r="DB105" s="598"/>
      <c r="DC105" s="598"/>
      <c r="DD105" s="598"/>
      <c r="DE105" s="598"/>
      <c r="DF105" s="598"/>
      <c r="DG105" s="598"/>
      <c r="DH105" s="598"/>
      <c r="DI105" s="598"/>
      <c r="DJ105" s="598"/>
      <c r="DK105" s="598"/>
      <c r="DL105" s="598"/>
      <c r="DM105" s="598"/>
      <c r="DN105" s="598"/>
      <c r="DO105" s="598"/>
      <c r="DP105" s="598"/>
      <c r="DQ105" s="598"/>
      <c r="DR105" s="598"/>
      <c r="DS105" s="598"/>
      <c r="DT105" s="598"/>
      <c r="DU105" s="598"/>
      <c r="DV105" s="598"/>
      <c r="DW105" s="598"/>
      <c r="DX105" s="598"/>
      <c r="DY105" s="598"/>
      <c r="DZ105" s="598"/>
      <c r="EA105" s="598"/>
      <c r="EB105" s="598"/>
      <c r="EC105" s="598"/>
      <c r="ED105" s="598"/>
      <c r="EE105" s="598"/>
      <c r="EF105" s="598"/>
      <c r="EG105" s="598"/>
      <c r="EH105" s="598"/>
      <c r="EI105" s="598"/>
      <c r="EJ105" s="598"/>
      <c r="EK105" s="598"/>
      <c r="EL105" s="598"/>
      <c r="EM105" s="598"/>
      <c r="EN105" s="598"/>
      <c r="EO105" s="598"/>
      <c r="EP105" s="598"/>
      <c r="EQ105" s="598"/>
      <c r="ER105" s="598"/>
      <c r="ES105" s="598"/>
      <c r="ET105" s="598"/>
      <c r="EU105" s="598"/>
      <c r="EV105" s="598"/>
      <c r="EW105" s="598"/>
      <c r="EX105" s="598"/>
      <c r="EY105" s="598"/>
      <c r="EZ105" s="598"/>
      <c r="FA105" s="598"/>
      <c r="FB105" s="598"/>
      <c r="FC105" s="598"/>
      <c r="FD105" s="598"/>
      <c r="FE105" s="598"/>
      <c r="FF105" s="598"/>
      <c r="FG105" s="598"/>
      <c r="FH105" s="598"/>
      <c r="FI105" s="598"/>
      <c r="FJ105" s="598"/>
      <c r="FK105" s="598"/>
      <c r="FL105" s="598"/>
      <c r="FM105" s="598"/>
      <c r="FN105" s="598"/>
      <c r="FO105" s="598"/>
      <c r="FP105" s="598"/>
      <c r="FQ105" s="598"/>
      <c r="FR105" s="598"/>
      <c r="FS105" s="598"/>
      <c r="FT105" s="598"/>
      <c r="FU105" s="598"/>
      <c r="FV105" s="598"/>
      <c r="FW105" s="598"/>
      <c r="FX105" s="598"/>
      <c r="FY105" s="598"/>
      <c r="FZ105" s="598"/>
      <c r="GA105" s="598"/>
      <c r="GB105" s="598"/>
      <c r="GC105" s="598"/>
      <c r="GD105" s="598"/>
      <c r="GE105" s="598"/>
      <c r="GF105" s="598"/>
      <c r="GG105" s="598"/>
      <c r="GH105" s="598"/>
      <c r="GI105" s="598"/>
      <c r="GJ105" s="598"/>
      <c r="GK105" s="598"/>
      <c r="GL105" s="598"/>
      <c r="GM105" s="598"/>
      <c r="GN105" s="598"/>
      <c r="GO105" s="598"/>
      <c r="GP105" s="598"/>
      <c r="GQ105" s="598"/>
      <c r="GR105" s="598"/>
      <c r="GS105" s="598"/>
      <c r="GT105" s="598"/>
      <c r="GU105" s="598"/>
      <c r="GV105" s="598"/>
      <c r="GW105" s="598"/>
      <c r="GX105" s="598"/>
      <c r="GY105" s="598"/>
      <c r="GZ105" s="598"/>
      <c r="HA105" s="598"/>
      <c r="HB105" s="598"/>
      <c r="HC105" s="598"/>
      <c r="HD105" s="598"/>
      <c r="HE105" s="598"/>
      <c r="HF105" s="598"/>
      <c r="HG105" s="598"/>
      <c r="HH105" s="598"/>
      <c r="HI105" s="598"/>
      <c r="HJ105" s="598"/>
      <c r="HK105" s="598"/>
      <c r="HL105" s="598"/>
      <c r="HM105" s="598"/>
      <c r="HN105" s="598"/>
      <c r="HO105" s="598"/>
      <c r="HP105" s="598"/>
      <c r="HQ105" s="598"/>
      <c r="HR105" s="598"/>
      <c r="HS105" s="598"/>
      <c r="HT105" s="598"/>
      <c r="HU105" s="598"/>
      <c r="HV105" s="598"/>
      <c r="HW105" s="598"/>
      <c r="HX105" s="598"/>
      <c r="HY105" s="598"/>
      <c r="HZ105" s="598"/>
      <c r="IA105" s="598"/>
      <c r="IB105" s="598"/>
      <c r="IC105" s="598"/>
      <c r="ID105" s="598"/>
      <c r="IE105" s="598"/>
      <c r="IF105" s="598"/>
      <c r="IG105" s="598"/>
      <c r="IH105" s="598"/>
      <c r="II105" s="598"/>
      <c r="IJ105" s="598"/>
      <c r="IK105" s="598"/>
      <c r="IL105" s="598"/>
      <c r="IM105" s="598"/>
      <c r="IN105" s="598"/>
      <c r="IO105" s="598"/>
      <c r="IP105" s="598"/>
      <c r="IQ105" s="598"/>
      <c r="IR105" s="598"/>
      <c r="IS105" s="598"/>
      <c r="IT105" s="598"/>
      <c r="IU105" s="598"/>
      <c r="IV105" s="598"/>
      <c r="IW105" s="598"/>
      <c r="IX105" s="598"/>
      <c r="IY105" s="598"/>
      <c r="IZ105" s="598"/>
      <c r="JA105" s="598"/>
      <c r="JB105" s="598"/>
      <c r="JC105" s="598"/>
      <c r="JD105" s="598"/>
      <c r="JE105" s="598"/>
      <c r="JF105" s="598"/>
      <c r="JG105" s="598"/>
      <c r="JH105" s="598"/>
      <c r="JI105" s="598"/>
      <c r="JJ105" s="598"/>
      <c r="JK105" s="598"/>
      <c r="JL105" s="598"/>
      <c r="JM105" s="598"/>
      <c r="JN105" s="598"/>
      <c r="JO105" s="598"/>
      <c r="JP105" s="598"/>
      <c r="JQ105" s="598"/>
      <c r="JR105" s="598"/>
      <c r="JS105" s="598"/>
      <c r="JT105" s="598"/>
      <c r="JU105" s="598"/>
      <c r="JV105" s="598"/>
    </row>
    <row r="106" spans="1:282" s="22" customFormat="1" ht="50.1" customHeight="1" x14ac:dyDescent="0.2">
      <c r="A106" s="6"/>
      <c r="B106" s="30" t="s">
        <v>2365</v>
      </c>
      <c r="C106" s="30"/>
      <c r="D106" s="30"/>
      <c r="E106" s="29" t="s">
        <v>1002</v>
      </c>
      <c r="F106" s="104" t="s">
        <v>1003</v>
      </c>
      <c r="G106" s="29" t="s">
        <v>23</v>
      </c>
      <c r="H106" s="29" t="s">
        <v>990</v>
      </c>
      <c r="I106" s="29"/>
      <c r="J106" s="69" t="s">
        <v>697</v>
      </c>
      <c r="K106" s="29" t="s">
        <v>1393</v>
      </c>
      <c r="L106" s="29" t="s">
        <v>1004</v>
      </c>
      <c r="M106" s="29" t="s">
        <v>2445</v>
      </c>
      <c r="N106" s="74">
        <v>39430</v>
      </c>
      <c r="O106" s="69" t="s">
        <v>1005</v>
      </c>
      <c r="P106" s="69"/>
      <c r="Q106" s="69"/>
      <c r="R106" s="69"/>
      <c r="S106" s="69"/>
      <c r="T106" s="174">
        <v>12</v>
      </c>
      <c r="U106" s="174"/>
      <c r="V106" s="174"/>
      <c r="W106" s="174"/>
      <c r="X106" s="174"/>
      <c r="Y106" s="174"/>
      <c r="Z106" s="174"/>
      <c r="AA106" s="174"/>
      <c r="AB106" s="174"/>
      <c r="AC106" s="174"/>
      <c r="AD106" s="174"/>
      <c r="AE106" s="174"/>
      <c r="AF106" s="174"/>
      <c r="AG106" s="174"/>
      <c r="AH106" s="174"/>
      <c r="AI106" s="174"/>
      <c r="AJ106" s="724">
        <v>40735</v>
      </c>
      <c r="AK106" s="720">
        <f t="shared" si="3"/>
        <v>1305</v>
      </c>
      <c r="AL106" s="174"/>
    </row>
    <row r="107" spans="1:282" s="21" customFormat="1" ht="50.1" customHeight="1" x14ac:dyDescent="0.2">
      <c r="A107" s="702"/>
      <c r="B107" s="30" t="s">
        <v>2365</v>
      </c>
      <c r="C107" s="30"/>
      <c r="D107" s="30"/>
      <c r="E107" s="255" t="s">
        <v>58</v>
      </c>
      <c r="F107" s="726" t="s">
        <v>59</v>
      </c>
      <c r="G107" s="255" t="s">
        <v>52</v>
      </c>
      <c r="H107" s="255" t="s">
        <v>95</v>
      </c>
      <c r="I107" s="255"/>
      <c r="J107" s="255" t="s">
        <v>520</v>
      </c>
      <c r="K107" s="29" t="s">
        <v>1393</v>
      </c>
      <c r="L107" s="29" t="s">
        <v>18</v>
      </c>
      <c r="M107" s="29" t="s">
        <v>2445</v>
      </c>
      <c r="N107" s="727">
        <v>39507</v>
      </c>
      <c r="O107" s="728" t="s">
        <v>1006</v>
      </c>
      <c r="P107" s="728"/>
      <c r="Q107" s="728"/>
      <c r="R107" s="728"/>
      <c r="S107" s="728"/>
      <c r="T107" s="176">
        <v>0</v>
      </c>
      <c r="U107" s="176"/>
      <c r="V107" s="176"/>
      <c r="W107" s="176"/>
      <c r="X107" s="176"/>
      <c r="Y107" s="176"/>
      <c r="Z107" s="176"/>
      <c r="AA107" s="176"/>
      <c r="AB107" s="176"/>
      <c r="AC107" s="176"/>
      <c r="AD107" s="176"/>
      <c r="AE107" s="176"/>
      <c r="AF107" s="176"/>
      <c r="AG107" s="176"/>
      <c r="AH107" s="176"/>
      <c r="AI107" s="176"/>
      <c r="AJ107" s="724">
        <v>40735</v>
      </c>
      <c r="AK107" s="720">
        <f t="shared" si="3"/>
        <v>1228</v>
      </c>
      <c r="AL107" s="176"/>
      <c r="AM107" s="598"/>
      <c r="AN107" s="598"/>
      <c r="AO107" s="598"/>
      <c r="AP107" s="598"/>
      <c r="AQ107" s="598"/>
      <c r="AR107" s="598"/>
      <c r="AS107" s="598"/>
      <c r="AT107" s="598"/>
      <c r="AU107" s="598"/>
      <c r="AV107" s="598"/>
      <c r="AW107" s="598"/>
      <c r="AX107" s="598"/>
      <c r="AY107" s="598"/>
      <c r="AZ107" s="598"/>
      <c r="BA107" s="598"/>
      <c r="BB107" s="598"/>
      <c r="BC107" s="598"/>
      <c r="BD107" s="598"/>
      <c r="BE107" s="598"/>
      <c r="BF107" s="598"/>
      <c r="BG107" s="598"/>
      <c r="BH107" s="598"/>
      <c r="BI107" s="598"/>
      <c r="BJ107" s="598"/>
      <c r="BK107" s="598"/>
      <c r="BL107" s="598"/>
      <c r="BM107" s="598"/>
      <c r="BN107" s="598"/>
      <c r="BO107" s="598"/>
      <c r="BP107" s="598"/>
      <c r="BQ107" s="598"/>
      <c r="BR107" s="598"/>
      <c r="BS107" s="598"/>
      <c r="BT107" s="598"/>
      <c r="BU107" s="598"/>
      <c r="BV107" s="598"/>
      <c r="BW107" s="598"/>
      <c r="BX107" s="598"/>
      <c r="BY107" s="598"/>
      <c r="BZ107" s="598"/>
      <c r="CA107" s="598"/>
      <c r="CB107" s="598"/>
      <c r="CC107" s="598"/>
      <c r="CD107" s="598"/>
      <c r="CE107" s="598"/>
      <c r="CF107" s="598"/>
      <c r="CG107" s="598"/>
      <c r="CH107" s="598"/>
      <c r="CI107" s="598"/>
      <c r="CJ107" s="598"/>
      <c r="CK107" s="598"/>
      <c r="CL107" s="598"/>
      <c r="CM107" s="598"/>
      <c r="CN107" s="598"/>
      <c r="CO107" s="598"/>
      <c r="CP107" s="598"/>
      <c r="CQ107" s="598"/>
      <c r="CR107" s="598"/>
      <c r="CS107" s="598"/>
      <c r="CT107" s="598"/>
      <c r="CU107" s="598"/>
      <c r="CV107" s="598"/>
      <c r="CW107" s="598"/>
      <c r="CX107" s="598"/>
      <c r="CY107" s="598"/>
      <c r="CZ107" s="598"/>
      <c r="DA107" s="598"/>
      <c r="DB107" s="598"/>
      <c r="DC107" s="598"/>
      <c r="DD107" s="598"/>
      <c r="DE107" s="598"/>
      <c r="DF107" s="598"/>
      <c r="DG107" s="598"/>
      <c r="DH107" s="598"/>
      <c r="DI107" s="598"/>
      <c r="DJ107" s="598"/>
      <c r="DK107" s="598"/>
      <c r="DL107" s="598"/>
      <c r="DM107" s="598"/>
      <c r="DN107" s="598"/>
      <c r="DO107" s="598"/>
      <c r="DP107" s="598"/>
      <c r="DQ107" s="598"/>
      <c r="DR107" s="598"/>
      <c r="DS107" s="598"/>
      <c r="DT107" s="598"/>
      <c r="DU107" s="598"/>
      <c r="DV107" s="598"/>
      <c r="DW107" s="598"/>
      <c r="DX107" s="598"/>
      <c r="DY107" s="598"/>
      <c r="DZ107" s="598"/>
      <c r="EA107" s="598"/>
      <c r="EB107" s="598"/>
      <c r="EC107" s="598"/>
      <c r="ED107" s="598"/>
      <c r="EE107" s="598"/>
      <c r="EF107" s="598"/>
      <c r="EG107" s="598"/>
      <c r="EH107" s="598"/>
      <c r="EI107" s="598"/>
      <c r="EJ107" s="598"/>
      <c r="EK107" s="598"/>
      <c r="EL107" s="598"/>
      <c r="EM107" s="598"/>
      <c r="EN107" s="598"/>
      <c r="EO107" s="598"/>
      <c r="EP107" s="598"/>
      <c r="EQ107" s="598"/>
      <c r="ER107" s="598"/>
      <c r="ES107" s="598"/>
      <c r="ET107" s="598"/>
      <c r="EU107" s="598"/>
      <c r="EV107" s="598"/>
      <c r="EW107" s="598"/>
      <c r="EX107" s="598"/>
      <c r="EY107" s="598"/>
      <c r="EZ107" s="598"/>
      <c r="FA107" s="598"/>
      <c r="FB107" s="598"/>
      <c r="FC107" s="598"/>
      <c r="FD107" s="598"/>
      <c r="FE107" s="598"/>
      <c r="FF107" s="598"/>
      <c r="FG107" s="598"/>
      <c r="FH107" s="598"/>
      <c r="FI107" s="598"/>
      <c r="FJ107" s="598"/>
      <c r="FK107" s="598"/>
      <c r="FL107" s="598"/>
      <c r="FM107" s="598"/>
      <c r="FN107" s="598"/>
      <c r="FO107" s="598"/>
      <c r="FP107" s="598"/>
      <c r="FQ107" s="598"/>
      <c r="FR107" s="598"/>
      <c r="FS107" s="598"/>
      <c r="FT107" s="598"/>
      <c r="FU107" s="598"/>
      <c r="FV107" s="598"/>
      <c r="FW107" s="598"/>
      <c r="FX107" s="598"/>
      <c r="FY107" s="598"/>
      <c r="FZ107" s="598"/>
      <c r="GA107" s="598"/>
      <c r="GB107" s="598"/>
      <c r="GC107" s="598"/>
      <c r="GD107" s="598"/>
      <c r="GE107" s="598"/>
      <c r="GF107" s="598"/>
      <c r="GG107" s="598"/>
      <c r="GH107" s="598"/>
      <c r="GI107" s="598"/>
      <c r="GJ107" s="598"/>
      <c r="GK107" s="598"/>
      <c r="GL107" s="598"/>
      <c r="GM107" s="598"/>
      <c r="GN107" s="598"/>
      <c r="GO107" s="598"/>
      <c r="GP107" s="598"/>
      <c r="GQ107" s="598"/>
      <c r="GR107" s="598"/>
      <c r="GS107" s="598"/>
      <c r="GT107" s="598"/>
      <c r="GU107" s="598"/>
      <c r="GV107" s="598"/>
      <c r="GW107" s="598"/>
      <c r="GX107" s="598"/>
      <c r="GY107" s="598"/>
      <c r="GZ107" s="598"/>
      <c r="HA107" s="598"/>
      <c r="HB107" s="598"/>
      <c r="HC107" s="598"/>
      <c r="HD107" s="598"/>
      <c r="HE107" s="598"/>
      <c r="HF107" s="598"/>
      <c r="HG107" s="598"/>
      <c r="HH107" s="598"/>
      <c r="HI107" s="598"/>
      <c r="HJ107" s="598"/>
      <c r="HK107" s="598"/>
      <c r="HL107" s="598"/>
      <c r="HM107" s="598"/>
      <c r="HN107" s="598"/>
      <c r="HO107" s="598"/>
      <c r="HP107" s="598"/>
      <c r="HQ107" s="598"/>
      <c r="HR107" s="598"/>
      <c r="HS107" s="598"/>
      <c r="HT107" s="598"/>
      <c r="HU107" s="598"/>
      <c r="HV107" s="598"/>
      <c r="HW107" s="598"/>
      <c r="HX107" s="598"/>
      <c r="HY107" s="598"/>
      <c r="HZ107" s="598"/>
      <c r="IA107" s="598"/>
      <c r="IB107" s="598"/>
      <c r="IC107" s="598"/>
      <c r="ID107" s="598"/>
      <c r="IE107" s="598"/>
      <c r="IF107" s="598"/>
      <c r="IG107" s="598"/>
      <c r="IH107" s="598"/>
      <c r="II107" s="598"/>
      <c r="IJ107" s="598"/>
      <c r="IK107" s="598"/>
      <c r="IL107" s="598"/>
      <c r="IM107" s="598"/>
      <c r="IN107" s="598"/>
      <c r="IO107" s="598"/>
      <c r="IP107" s="598"/>
      <c r="IQ107" s="598"/>
      <c r="IR107" s="598"/>
      <c r="IS107" s="598"/>
      <c r="IT107" s="598"/>
      <c r="IU107" s="598"/>
      <c r="IV107" s="598"/>
      <c r="IW107" s="598"/>
      <c r="IX107" s="598"/>
      <c r="IY107" s="598"/>
      <c r="IZ107" s="598"/>
      <c r="JA107" s="598"/>
      <c r="JB107" s="598"/>
      <c r="JC107" s="598"/>
      <c r="JD107" s="598"/>
      <c r="JE107" s="598"/>
      <c r="JF107" s="598"/>
      <c r="JG107" s="598"/>
      <c r="JH107" s="598"/>
      <c r="JI107" s="598"/>
      <c r="JJ107" s="598"/>
      <c r="JK107" s="598"/>
      <c r="JL107" s="598"/>
      <c r="JM107" s="598"/>
      <c r="JN107" s="598"/>
      <c r="JO107" s="598"/>
      <c r="JP107" s="598"/>
      <c r="JQ107" s="598"/>
      <c r="JR107" s="598"/>
      <c r="JS107" s="598"/>
      <c r="JT107" s="598"/>
      <c r="JU107" s="598"/>
      <c r="JV107" s="598"/>
    </row>
    <row r="108" spans="1:282" s="1" customFormat="1" ht="50.1" customHeight="1" x14ac:dyDescent="0.2">
      <c r="A108" s="693"/>
      <c r="B108" s="29" t="s">
        <v>1174</v>
      </c>
      <c r="C108" s="29"/>
      <c r="D108" s="29"/>
      <c r="E108" s="29" t="s">
        <v>999</v>
      </c>
      <c r="F108" s="104" t="s">
        <v>1000</v>
      </c>
      <c r="G108" s="29" t="s">
        <v>974</v>
      </c>
      <c r="H108" s="29" t="s">
        <v>975</v>
      </c>
      <c r="I108" s="29"/>
      <c r="J108" s="69" t="s">
        <v>2414</v>
      </c>
      <c r="K108" s="29" t="s">
        <v>1393</v>
      </c>
      <c r="L108" s="29" t="s">
        <v>12</v>
      </c>
      <c r="M108" s="29" t="s">
        <v>1528</v>
      </c>
      <c r="N108" s="74">
        <v>40233</v>
      </c>
      <c r="O108" s="29">
        <v>148202105</v>
      </c>
      <c r="P108" s="29"/>
      <c r="Q108" s="29"/>
      <c r="R108" s="29"/>
      <c r="S108" s="29"/>
      <c r="T108" s="155"/>
      <c r="U108" s="155"/>
      <c r="V108" s="155"/>
      <c r="W108" s="155"/>
      <c r="X108" s="155"/>
      <c r="Y108" s="155"/>
      <c r="Z108" s="155"/>
      <c r="AA108" s="155"/>
      <c r="AB108" s="155"/>
      <c r="AC108" s="155"/>
      <c r="AD108" s="155"/>
      <c r="AE108" s="155"/>
      <c r="AF108" s="155"/>
      <c r="AG108" s="155"/>
      <c r="AH108" s="155"/>
      <c r="AI108" s="155"/>
      <c r="AJ108" s="724">
        <v>40735</v>
      </c>
      <c r="AK108" s="720">
        <f t="shared" si="3"/>
        <v>502</v>
      </c>
      <c r="AL108" s="155"/>
      <c r="AM108" s="587"/>
      <c r="AN108" s="587"/>
      <c r="AO108" s="587"/>
      <c r="AP108" s="587"/>
      <c r="AQ108" s="587"/>
      <c r="AR108" s="587"/>
      <c r="AS108" s="587"/>
      <c r="AT108" s="587"/>
      <c r="AU108" s="587"/>
      <c r="AV108" s="587"/>
      <c r="AW108" s="587"/>
      <c r="AX108" s="587"/>
      <c r="AY108" s="587"/>
      <c r="AZ108" s="587"/>
      <c r="BA108" s="587"/>
      <c r="BB108" s="587"/>
      <c r="BC108" s="587"/>
      <c r="BD108" s="587"/>
      <c r="BE108" s="587"/>
      <c r="BF108" s="587"/>
      <c r="BG108" s="587"/>
      <c r="BH108" s="587"/>
      <c r="BI108" s="587"/>
      <c r="BJ108" s="587"/>
      <c r="BK108" s="587"/>
      <c r="BL108" s="587"/>
      <c r="BM108" s="587"/>
      <c r="BN108" s="587"/>
      <c r="BO108" s="587"/>
      <c r="BP108" s="587"/>
      <c r="BQ108" s="587"/>
      <c r="BR108" s="587"/>
      <c r="BS108" s="587"/>
      <c r="BT108" s="587"/>
      <c r="BU108" s="587"/>
      <c r="BV108" s="587"/>
      <c r="BW108" s="587"/>
      <c r="BX108" s="587"/>
      <c r="BY108" s="587"/>
      <c r="BZ108" s="587"/>
      <c r="CA108" s="587"/>
      <c r="CB108" s="587"/>
      <c r="CC108" s="587"/>
      <c r="CD108" s="587"/>
      <c r="CE108" s="587"/>
      <c r="CF108" s="587"/>
      <c r="CG108" s="587"/>
      <c r="CH108" s="587"/>
      <c r="CI108" s="587"/>
      <c r="CJ108" s="587"/>
      <c r="CK108" s="587"/>
      <c r="CL108" s="587"/>
      <c r="CM108" s="587"/>
      <c r="CN108" s="587"/>
      <c r="CO108" s="587"/>
      <c r="CP108" s="587"/>
      <c r="CQ108" s="587"/>
      <c r="CR108" s="587"/>
      <c r="CS108" s="587"/>
      <c r="CT108" s="587"/>
      <c r="CU108" s="587"/>
      <c r="CV108" s="587"/>
      <c r="CW108" s="587"/>
      <c r="CX108" s="587"/>
      <c r="CY108" s="587"/>
      <c r="CZ108" s="587"/>
      <c r="DA108" s="587"/>
      <c r="DB108" s="587"/>
      <c r="DC108" s="587"/>
      <c r="DD108" s="587"/>
      <c r="DE108" s="587"/>
      <c r="DF108" s="587"/>
      <c r="DG108" s="587"/>
      <c r="DH108" s="587"/>
      <c r="DI108" s="587"/>
      <c r="DJ108" s="587"/>
      <c r="DK108" s="587"/>
      <c r="DL108" s="587"/>
      <c r="DM108" s="587"/>
      <c r="DN108" s="587"/>
      <c r="DO108" s="587"/>
      <c r="DP108" s="587"/>
      <c r="DQ108" s="587"/>
      <c r="DR108" s="587"/>
      <c r="DS108" s="587"/>
      <c r="DT108" s="587"/>
      <c r="DU108" s="587"/>
      <c r="DV108" s="587"/>
      <c r="DW108" s="587"/>
      <c r="DX108" s="587"/>
      <c r="DY108" s="587"/>
      <c r="DZ108" s="587"/>
      <c r="EA108" s="587"/>
      <c r="EB108" s="587"/>
      <c r="EC108" s="587"/>
      <c r="ED108" s="587"/>
      <c r="EE108" s="587"/>
      <c r="EF108" s="587"/>
      <c r="EG108" s="587"/>
      <c r="EH108" s="587"/>
      <c r="EI108" s="587"/>
      <c r="EJ108" s="587"/>
      <c r="EK108" s="587"/>
      <c r="EL108" s="587"/>
      <c r="EM108" s="587"/>
      <c r="EN108" s="587"/>
      <c r="EO108" s="587"/>
      <c r="EP108" s="587"/>
      <c r="EQ108" s="587"/>
      <c r="ER108" s="587"/>
      <c r="ES108" s="587"/>
      <c r="ET108" s="587"/>
      <c r="EU108" s="587"/>
      <c r="EV108" s="587"/>
      <c r="EW108" s="587"/>
      <c r="EX108" s="587"/>
      <c r="EY108" s="587"/>
      <c r="EZ108" s="587"/>
      <c r="FA108" s="587"/>
      <c r="FB108" s="587"/>
      <c r="FC108" s="587"/>
      <c r="FD108" s="587"/>
      <c r="FE108" s="587"/>
      <c r="FF108" s="587"/>
      <c r="FG108" s="587"/>
      <c r="FH108" s="587"/>
      <c r="FI108" s="587"/>
      <c r="FJ108" s="587"/>
      <c r="FK108" s="587"/>
      <c r="FL108" s="587"/>
      <c r="FM108" s="587"/>
      <c r="FN108" s="587"/>
      <c r="FO108" s="587"/>
      <c r="FP108" s="587"/>
      <c r="FQ108" s="587"/>
      <c r="FR108" s="587"/>
      <c r="FS108" s="587"/>
      <c r="FT108" s="587"/>
      <c r="FU108" s="587"/>
      <c r="FV108" s="587"/>
      <c r="FW108" s="587"/>
      <c r="FX108" s="587"/>
      <c r="FY108" s="587"/>
      <c r="FZ108" s="587"/>
      <c r="GA108" s="587"/>
      <c r="GB108" s="587"/>
      <c r="GC108" s="587"/>
      <c r="GD108" s="587"/>
      <c r="GE108" s="587"/>
      <c r="GF108" s="587"/>
      <c r="GG108" s="587"/>
      <c r="GH108" s="587"/>
      <c r="GI108" s="587"/>
      <c r="GJ108" s="587"/>
      <c r="GK108" s="587"/>
      <c r="GL108" s="587"/>
      <c r="GM108" s="587"/>
      <c r="GN108" s="587"/>
      <c r="GO108" s="587"/>
      <c r="GP108" s="587"/>
      <c r="GQ108" s="587"/>
      <c r="GR108" s="587"/>
      <c r="GS108" s="587"/>
      <c r="GT108" s="587"/>
      <c r="GU108" s="587"/>
      <c r="GV108" s="587"/>
      <c r="GW108" s="587"/>
      <c r="GX108" s="587"/>
      <c r="GY108" s="587"/>
      <c r="GZ108" s="587"/>
      <c r="HA108" s="587"/>
      <c r="HB108" s="587"/>
      <c r="HC108" s="587"/>
      <c r="HD108" s="587"/>
      <c r="HE108" s="587"/>
      <c r="HF108" s="587"/>
      <c r="HG108" s="587"/>
      <c r="HH108" s="587"/>
      <c r="HI108" s="587"/>
      <c r="HJ108" s="587"/>
      <c r="HK108" s="587"/>
      <c r="HL108" s="587"/>
      <c r="HM108" s="587"/>
      <c r="HN108" s="587"/>
      <c r="HO108" s="587"/>
      <c r="HP108" s="587"/>
      <c r="HQ108" s="587"/>
      <c r="HR108" s="587"/>
      <c r="HS108" s="587"/>
      <c r="HT108" s="587"/>
      <c r="HU108" s="587"/>
      <c r="HV108" s="587"/>
      <c r="HW108" s="587"/>
      <c r="HX108" s="587"/>
      <c r="HY108" s="587"/>
      <c r="HZ108" s="587"/>
      <c r="IA108" s="587"/>
      <c r="IB108" s="587"/>
      <c r="IC108" s="587"/>
      <c r="ID108" s="587"/>
      <c r="IE108" s="587"/>
      <c r="IF108" s="587"/>
      <c r="IG108" s="587"/>
      <c r="IH108" s="587"/>
      <c r="II108" s="587"/>
      <c r="IJ108" s="587"/>
      <c r="IK108" s="587"/>
      <c r="IL108" s="587"/>
      <c r="IM108" s="587"/>
      <c r="IN108" s="587"/>
      <c r="IO108" s="587"/>
      <c r="IP108" s="587"/>
      <c r="IQ108" s="587"/>
      <c r="IR108" s="587"/>
      <c r="IS108" s="587"/>
      <c r="IT108" s="587"/>
      <c r="IU108" s="587"/>
      <c r="IV108" s="587"/>
      <c r="IW108" s="587"/>
      <c r="IX108" s="587"/>
      <c r="IY108" s="587"/>
      <c r="IZ108" s="587"/>
      <c r="JA108" s="587"/>
      <c r="JB108" s="587"/>
      <c r="JC108" s="587"/>
      <c r="JD108" s="587"/>
      <c r="JE108" s="587"/>
      <c r="JF108" s="587"/>
      <c r="JG108" s="587"/>
      <c r="JH108" s="587"/>
      <c r="JI108" s="587"/>
      <c r="JJ108" s="587"/>
      <c r="JK108" s="587"/>
      <c r="JL108" s="587"/>
      <c r="JM108" s="587"/>
      <c r="JN108" s="587"/>
      <c r="JO108" s="587"/>
      <c r="JP108" s="587"/>
      <c r="JQ108" s="587"/>
      <c r="JR108" s="587"/>
      <c r="JS108" s="587"/>
      <c r="JT108" s="587"/>
      <c r="JU108" s="587"/>
      <c r="JV108" s="587"/>
    </row>
    <row r="109" spans="1:282" s="21" customFormat="1" ht="50.1" customHeight="1" x14ac:dyDescent="0.2">
      <c r="A109" s="702"/>
      <c r="B109" s="29" t="s">
        <v>1174</v>
      </c>
      <c r="C109" s="29"/>
      <c r="D109" s="29"/>
      <c r="E109" s="29" t="s">
        <v>1007</v>
      </c>
      <c r="F109" s="104" t="s">
        <v>888</v>
      </c>
      <c r="G109" s="29" t="s">
        <v>2501</v>
      </c>
      <c r="H109" s="29" t="s">
        <v>1008</v>
      </c>
      <c r="I109" s="29"/>
      <c r="J109" s="29" t="s">
        <v>758</v>
      </c>
      <c r="K109" s="30" t="s">
        <v>2603</v>
      </c>
      <c r="L109" s="29" t="s">
        <v>758</v>
      </c>
      <c r="M109" s="29" t="s">
        <v>2441</v>
      </c>
      <c r="N109" s="74">
        <v>40324</v>
      </c>
      <c r="O109" s="29">
        <v>433983105</v>
      </c>
      <c r="P109" s="29"/>
      <c r="Q109" s="29"/>
      <c r="R109" s="29"/>
      <c r="S109" s="29"/>
      <c r="T109" s="174">
        <v>26</v>
      </c>
      <c r="U109" s="174"/>
      <c r="V109" s="174"/>
      <c r="W109" s="174"/>
      <c r="X109" s="174"/>
      <c r="Y109" s="174"/>
      <c r="Z109" s="174"/>
      <c r="AA109" s="174"/>
      <c r="AB109" s="174"/>
      <c r="AC109" s="174"/>
      <c r="AD109" s="174"/>
      <c r="AE109" s="174"/>
      <c r="AF109" s="174"/>
      <c r="AG109" s="174"/>
      <c r="AH109" s="174"/>
      <c r="AI109" s="174"/>
      <c r="AJ109" s="724">
        <v>40735</v>
      </c>
      <c r="AK109" s="720">
        <f t="shared" si="3"/>
        <v>411</v>
      </c>
      <c r="AL109" s="174"/>
      <c r="AM109" s="598"/>
      <c r="AN109" s="598"/>
      <c r="AO109" s="598"/>
      <c r="AP109" s="598"/>
      <c r="AQ109" s="598"/>
      <c r="AR109" s="598"/>
      <c r="AS109" s="598"/>
      <c r="AT109" s="598"/>
      <c r="AU109" s="598"/>
      <c r="AV109" s="598"/>
      <c r="AW109" s="598"/>
      <c r="AX109" s="598"/>
      <c r="AY109" s="598"/>
      <c r="AZ109" s="598"/>
      <c r="BA109" s="598"/>
      <c r="BB109" s="598"/>
      <c r="BC109" s="598"/>
      <c r="BD109" s="598"/>
      <c r="BE109" s="598"/>
      <c r="BF109" s="598"/>
      <c r="BG109" s="598"/>
      <c r="BH109" s="598"/>
      <c r="BI109" s="598"/>
      <c r="BJ109" s="598"/>
      <c r="BK109" s="598"/>
      <c r="BL109" s="598"/>
      <c r="BM109" s="598"/>
      <c r="BN109" s="598"/>
      <c r="BO109" s="598"/>
      <c r="BP109" s="598"/>
      <c r="BQ109" s="598"/>
      <c r="BR109" s="598"/>
      <c r="BS109" s="598"/>
      <c r="BT109" s="598"/>
      <c r="BU109" s="598"/>
      <c r="BV109" s="598"/>
      <c r="BW109" s="598"/>
      <c r="BX109" s="598"/>
      <c r="BY109" s="598"/>
      <c r="BZ109" s="598"/>
      <c r="CA109" s="598"/>
      <c r="CB109" s="598"/>
      <c r="CC109" s="598"/>
      <c r="CD109" s="598"/>
      <c r="CE109" s="598"/>
      <c r="CF109" s="598"/>
      <c r="CG109" s="598"/>
      <c r="CH109" s="598"/>
      <c r="CI109" s="598"/>
      <c r="CJ109" s="598"/>
      <c r="CK109" s="598"/>
      <c r="CL109" s="598"/>
      <c r="CM109" s="598"/>
      <c r="CN109" s="598"/>
      <c r="CO109" s="598"/>
      <c r="CP109" s="598"/>
      <c r="CQ109" s="598"/>
      <c r="CR109" s="598"/>
      <c r="CS109" s="598"/>
      <c r="CT109" s="598"/>
      <c r="CU109" s="598"/>
      <c r="CV109" s="598"/>
      <c r="CW109" s="598"/>
      <c r="CX109" s="598"/>
      <c r="CY109" s="598"/>
      <c r="CZ109" s="598"/>
      <c r="DA109" s="598"/>
      <c r="DB109" s="598"/>
      <c r="DC109" s="598"/>
      <c r="DD109" s="598"/>
      <c r="DE109" s="598"/>
      <c r="DF109" s="598"/>
      <c r="DG109" s="598"/>
      <c r="DH109" s="598"/>
      <c r="DI109" s="598"/>
      <c r="DJ109" s="598"/>
      <c r="DK109" s="598"/>
      <c r="DL109" s="598"/>
      <c r="DM109" s="598"/>
      <c r="DN109" s="598"/>
      <c r="DO109" s="598"/>
      <c r="DP109" s="598"/>
      <c r="DQ109" s="598"/>
      <c r="DR109" s="598"/>
      <c r="DS109" s="598"/>
      <c r="DT109" s="598"/>
      <c r="DU109" s="598"/>
      <c r="DV109" s="598"/>
      <c r="DW109" s="598"/>
      <c r="DX109" s="598"/>
      <c r="DY109" s="598"/>
      <c r="DZ109" s="598"/>
      <c r="EA109" s="598"/>
      <c r="EB109" s="598"/>
      <c r="EC109" s="598"/>
      <c r="ED109" s="598"/>
      <c r="EE109" s="598"/>
      <c r="EF109" s="598"/>
      <c r="EG109" s="598"/>
      <c r="EH109" s="598"/>
      <c r="EI109" s="598"/>
      <c r="EJ109" s="598"/>
      <c r="EK109" s="598"/>
      <c r="EL109" s="598"/>
      <c r="EM109" s="598"/>
      <c r="EN109" s="598"/>
      <c r="EO109" s="598"/>
      <c r="EP109" s="598"/>
      <c r="EQ109" s="598"/>
      <c r="ER109" s="598"/>
      <c r="ES109" s="598"/>
      <c r="ET109" s="598"/>
      <c r="EU109" s="598"/>
      <c r="EV109" s="598"/>
      <c r="EW109" s="598"/>
      <c r="EX109" s="598"/>
      <c r="EY109" s="598"/>
      <c r="EZ109" s="598"/>
      <c r="FA109" s="598"/>
      <c r="FB109" s="598"/>
      <c r="FC109" s="598"/>
      <c r="FD109" s="598"/>
      <c r="FE109" s="598"/>
      <c r="FF109" s="598"/>
      <c r="FG109" s="598"/>
      <c r="FH109" s="598"/>
      <c r="FI109" s="598"/>
      <c r="FJ109" s="598"/>
      <c r="FK109" s="598"/>
      <c r="FL109" s="598"/>
      <c r="FM109" s="598"/>
      <c r="FN109" s="598"/>
      <c r="FO109" s="598"/>
      <c r="FP109" s="598"/>
      <c r="FQ109" s="598"/>
      <c r="FR109" s="598"/>
      <c r="FS109" s="598"/>
      <c r="FT109" s="598"/>
      <c r="FU109" s="598"/>
      <c r="FV109" s="598"/>
      <c r="FW109" s="598"/>
      <c r="FX109" s="598"/>
      <c r="FY109" s="598"/>
      <c r="FZ109" s="598"/>
      <c r="GA109" s="598"/>
      <c r="GB109" s="598"/>
      <c r="GC109" s="598"/>
      <c r="GD109" s="598"/>
      <c r="GE109" s="598"/>
      <c r="GF109" s="598"/>
      <c r="GG109" s="598"/>
      <c r="GH109" s="598"/>
      <c r="GI109" s="598"/>
      <c r="GJ109" s="598"/>
      <c r="GK109" s="598"/>
      <c r="GL109" s="598"/>
      <c r="GM109" s="598"/>
      <c r="GN109" s="598"/>
      <c r="GO109" s="598"/>
      <c r="GP109" s="598"/>
      <c r="GQ109" s="598"/>
      <c r="GR109" s="598"/>
      <c r="GS109" s="598"/>
      <c r="GT109" s="598"/>
      <c r="GU109" s="598"/>
      <c r="GV109" s="598"/>
      <c r="GW109" s="598"/>
      <c r="GX109" s="598"/>
      <c r="GY109" s="598"/>
      <c r="GZ109" s="598"/>
      <c r="HA109" s="598"/>
      <c r="HB109" s="598"/>
      <c r="HC109" s="598"/>
      <c r="HD109" s="598"/>
      <c r="HE109" s="598"/>
      <c r="HF109" s="598"/>
      <c r="HG109" s="598"/>
      <c r="HH109" s="598"/>
      <c r="HI109" s="598"/>
      <c r="HJ109" s="598"/>
      <c r="HK109" s="598"/>
      <c r="HL109" s="598"/>
      <c r="HM109" s="598"/>
      <c r="HN109" s="598"/>
      <c r="HO109" s="598"/>
      <c r="HP109" s="598"/>
      <c r="HQ109" s="598"/>
      <c r="HR109" s="598"/>
      <c r="HS109" s="598"/>
      <c r="HT109" s="598"/>
      <c r="HU109" s="598"/>
      <c r="HV109" s="598"/>
      <c r="HW109" s="598"/>
      <c r="HX109" s="598"/>
      <c r="HY109" s="598"/>
      <c r="HZ109" s="598"/>
      <c r="IA109" s="598"/>
      <c r="IB109" s="598"/>
      <c r="IC109" s="598"/>
      <c r="ID109" s="598"/>
      <c r="IE109" s="598"/>
      <c r="IF109" s="598"/>
      <c r="IG109" s="598"/>
      <c r="IH109" s="598"/>
      <c r="II109" s="598"/>
      <c r="IJ109" s="598"/>
      <c r="IK109" s="598"/>
      <c r="IL109" s="598"/>
      <c r="IM109" s="598"/>
      <c r="IN109" s="598"/>
      <c r="IO109" s="598"/>
      <c r="IP109" s="598"/>
      <c r="IQ109" s="598"/>
      <c r="IR109" s="598"/>
      <c r="IS109" s="598"/>
      <c r="IT109" s="598"/>
      <c r="IU109" s="598"/>
      <c r="IV109" s="598"/>
      <c r="IW109" s="598"/>
      <c r="IX109" s="598"/>
      <c r="IY109" s="598"/>
      <c r="IZ109" s="598"/>
      <c r="JA109" s="598"/>
      <c r="JB109" s="598"/>
      <c r="JC109" s="598"/>
      <c r="JD109" s="598"/>
      <c r="JE109" s="598"/>
      <c r="JF109" s="598"/>
      <c r="JG109" s="598"/>
      <c r="JH109" s="598"/>
      <c r="JI109" s="598"/>
      <c r="JJ109" s="598"/>
      <c r="JK109" s="598"/>
      <c r="JL109" s="598"/>
      <c r="JM109" s="598"/>
      <c r="JN109" s="598"/>
      <c r="JO109" s="598"/>
      <c r="JP109" s="598"/>
      <c r="JQ109" s="598"/>
      <c r="JR109" s="598"/>
      <c r="JS109" s="598"/>
      <c r="JT109" s="598"/>
      <c r="JU109" s="598"/>
      <c r="JV109" s="598"/>
    </row>
    <row r="110" spans="1:282" s="21" customFormat="1" ht="50.1" customHeight="1" x14ac:dyDescent="0.2">
      <c r="A110" s="702"/>
      <c r="B110" s="29" t="s">
        <v>1174</v>
      </c>
      <c r="C110" s="29"/>
      <c r="D110" s="29"/>
      <c r="E110" s="29" t="s">
        <v>1009</v>
      </c>
      <c r="F110" s="104" t="s">
        <v>1010</v>
      </c>
      <c r="G110" s="29" t="s">
        <v>779</v>
      </c>
      <c r="H110" s="29" t="s">
        <v>1011</v>
      </c>
      <c r="I110" s="29"/>
      <c r="J110" s="29" t="s">
        <v>758</v>
      </c>
      <c r="K110" s="30" t="s">
        <v>2603</v>
      </c>
      <c r="L110" s="29" t="s">
        <v>758</v>
      </c>
      <c r="M110" s="29" t="s">
        <v>2441</v>
      </c>
      <c r="N110" s="74">
        <v>40324</v>
      </c>
      <c r="O110" s="29">
        <v>431071103</v>
      </c>
      <c r="P110" s="29"/>
      <c r="Q110" s="29"/>
      <c r="R110" s="29"/>
      <c r="S110" s="29"/>
      <c r="T110" s="174">
        <v>10</v>
      </c>
      <c r="U110" s="174"/>
      <c r="V110" s="174"/>
      <c r="W110" s="174"/>
      <c r="X110" s="174"/>
      <c r="Y110" s="174"/>
      <c r="Z110" s="174"/>
      <c r="AA110" s="174"/>
      <c r="AB110" s="174"/>
      <c r="AC110" s="174"/>
      <c r="AD110" s="174"/>
      <c r="AE110" s="174"/>
      <c r="AF110" s="174"/>
      <c r="AG110" s="174"/>
      <c r="AH110" s="174"/>
      <c r="AI110" s="174"/>
      <c r="AJ110" s="724">
        <v>40735</v>
      </c>
      <c r="AK110" s="720">
        <f t="shared" si="3"/>
        <v>411</v>
      </c>
      <c r="AL110" s="174"/>
      <c r="AM110" s="598"/>
      <c r="AN110" s="598"/>
      <c r="AO110" s="598"/>
      <c r="AP110" s="598"/>
      <c r="AQ110" s="598"/>
      <c r="AR110" s="598"/>
      <c r="AS110" s="598"/>
      <c r="AT110" s="598"/>
      <c r="AU110" s="598"/>
      <c r="AV110" s="598"/>
      <c r="AW110" s="598"/>
      <c r="AX110" s="598"/>
      <c r="AY110" s="598"/>
      <c r="AZ110" s="598"/>
      <c r="BA110" s="598"/>
      <c r="BB110" s="598"/>
      <c r="BC110" s="598"/>
      <c r="BD110" s="598"/>
      <c r="BE110" s="598"/>
      <c r="BF110" s="598"/>
      <c r="BG110" s="598"/>
      <c r="BH110" s="598"/>
      <c r="BI110" s="598"/>
      <c r="BJ110" s="598"/>
      <c r="BK110" s="598"/>
      <c r="BL110" s="598"/>
      <c r="BM110" s="598"/>
      <c r="BN110" s="598"/>
      <c r="BO110" s="598"/>
      <c r="BP110" s="598"/>
      <c r="BQ110" s="598"/>
      <c r="BR110" s="598"/>
      <c r="BS110" s="598"/>
      <c r="BT110" s="598"/>
      <c r="BU110" s="598"/>
      <c r="BV110" s="598"/>
      <c r="BW110" s="598"/>
      <c r="BX110" s="598"/>
      <c r="BY110" s="598"/>
      <c r="BZ110" s="598"/>
      <c r="CA110" s="598"/>
      <c r="CB110" s="598"/>
      <c r="CC110" s="598"/>
      <c r="CD110" s="598"/>
      <c r="CE110" s="598"/>
      <c r="CF110" s="598"/>
      <c r="CG110" s="598"/>
      <c r="CH110" s="598"/>
      <c r="CI110" s="598"/>
      <c r="CJ110" s="598"/>
      <c r="CK110" s="598"/>
      <c r="CL110" s="598"/>
      <c r="CM110" s="598"/>
      <c r="CN110" s="598"/>
      <c r="CO110" s="598"/>
      <c r="CP110" s="598"/>
      <c r="CQ110" s="598"/>
      <c r="CR110" s="598"/>
      <c r="CS110" s="598"/>
      <c r="CT110" s="598"/>
      <c r="CU110" s="598"/>
      <c r="CV110" s="598"/>
      <c r="CW110" s="598"/>
      <c r="CX110" s="598"/>
      <c r="CY110" s="598"/>
      <c r="CZ110" s="598"/>
      <c r="DA110" s="598"/>
      <c r="DB110" s="598"/>
      <c r="DC110" s="598"/>
      <c r="DD110" s="598"/>
      <c r="DE110" s="598"/>
      <c r="DF110" s="598"/>
      <c r="DG110" s="598"/>
      <c r="DH110" s="598"/>
      <c r="DI110" s="598"/>
      <c r="DJ110" s="598"/>
      <c r="DK110" s="598"/>
      <c r="DL110" s="598"/>
      <c r="DM110" s="598"/>
      <c r="DN110" s="598"/>
      <c r="DO110" s="598"/>
      <c r="DP110" s="598"/>
      <c r="DQ110" s="598"/>
      <c r="DR110" s="598"/>
      <c r="DS110" s="598"/>
      <c r="DT110" s="598"/>
      <c r="DU110" s="598"/>
      <c r="DV110" s="598"/>
      <c r="DW110" s="598"/>
      <c r="DX110" s="598"/>
      <c r="DY110" s="598"/>
      <c r="DZ110" s="598"/>
      <c r="EA110" s="598"/>
      <c r="EB110" s="598"/>
      <c r="EC110" s="598"/>
      <c r="ED110" s="598"/>
      <c r="EE110" s="598"/>
      <c r="EF110" s="598"/>
      <c r="EG110" s="598"/>
      <c r="EH110" s="598"/>
      <c r="EI110" s="598"/>
      <c r="EJ110" s="598"/>
      <c r="EK110" s="598"/>
      <c r="EL110" s="598"/>
      <c r="EM110" s="598"/>
      <c r="EN110" s="598"/>
      <c r="EO110" s="598"/>
      <c r="EP110" s="598"/>
      <c r="EQ110" s="598"/>
      <c r="ER110" s="598"/>
      <c r="ES110" s="598"/>
      <c r="ET110" s="598"/>
      <c r="EU110" s="598"/>
      <c r="EV110" s="598"/>
      <c r="EW110" s="598"/>
      <c r="EX110" s="598"/>
      <c r="EY110" s="598"/>
      <c r="EZ110" s="598"/>
      <c r="FA110" s="598"/>
      <c r="FB110" s="598"/>
      <c r="FC110" s="598"/>
      <c r="FD110" s="598"/>
      <c r="FE110" s="598"/>
      <c r="FF110" s="598"/>
      <c r="FG110" s="598"/>
      <c r="FH110" s="598"/>
      <c r="FI110" s="598"/>
      <c r="FJ110" s="598"/>
      <c r="FK110" s="598"/>
      <c r="FL110" s="598"/>
      <c r="FM110" s="598"/>
      <c r="FN110" s="598"/>
      <c r="FO110" s="598"/>
      <c r="FP110" s="598"/>
      <c r="FQ110" s="598"/>
      <c r="FR110" s="598"/>
      <c r="FS110" s="598"/>
      <c r="FT110" s="598"/>
      <c r="FU110" s="598"/>
      <c r="FV110" s="598"/>
      <c r="FW110" s="598"/>
      <c r="FX110" s="598"/>
      <c r="FY110" s="598"/>
      <c r="FZ110" s="598"/>
      <c r="GA110" s="598"/>
      <c r="GB110" s="598"/>
      <c r="GC110" s="598"/>
      <c r="GD110" s="598"/>
      <c r="GE110" s="598"/>
      <c r="GF110" s="598"/>
      <c r="GG110" s="598"/>
      <c r="GH110" s="598"/>
      <c r="GI110" s="598"/>
      <c r="GJ110" s="598"/>
      <c r="GK110" s="598"/>
      <c r="GL110" s="598"/>
      <c r="GM110" s="598"/>
      <c r="GN110" s="598"/>
      <c r="GO110" s="598"/>
      <c r="GP110" s="598"/>
      <c r="GQ110" s="598"/>
      <c r="GR110" s="598"/>
      <c r="GS110" s="598"/>
      <c r="GT110" s="598"/>
      <c r="GU110" s="598"/>
      <c r="GV110" s="598"/>
      <c r="GW110" s="598"/>
      <c r="GX110" s="598"/>
      <c r="GY110" s="598"/>
      <c r="GZ110" s="598"/>
      <c r="HA110" s="598"/>
      <c r="HB110" s="598"/>
      <c r="HC110" s="598"/>
      <c r="HD110" s="598"/>
      <c r="HE110" s="598"/>
      <c r="HF110" s="598"/>
      <c r="HG110" s="598"/>
      <c r="HH110" s="598"/>
      <c r="HI110" s="598"/>
      <c r="HJ110" s="598"/>
      <c r="HK110" s="598"/>
      <c r="HL110" s="598"/>
      <c r="HM110" s="598"/>
      <c r="HN110" s="598"/>
      <c r="HO110" s="598"/>
      <c r="HP110" s="598"/>
      <c r="HQ110" s="598"/>
      <c r="HR110" s="598"/>
      <c r="HS110" s="598"/>
      <c r="HT110" s="598"/>
      <c r="HU110" s="598"/>
      <c r="HV110" s="598"/>
      <c r="HW110" s="598"/>
      <c r="HX110" s="598"/>
      <c r="HY110" s="598"/>
      <c r="HZ110" s="598"/>
      <c r="IA110" s="598"/>
      <c r="IB110" s="598"/>
      <c r="IC110" s="598"/>
      <c r="ID110" s="598"/>
      <c r="IE110" s="598"/>
      <c r="IF110" s="598"/>
      <c r="IG110" s="598"/>
      <c r="IH110" s="598"/>
      <c r="II110" s="598"/>
      <c r="IJ110" s="598"/>
      <c r="IK110" s="598"/>
      <c r="IL110" s="598"/>
      <c r="IM110" s="598"/>
      <c r="IN110" s="598"/>
      <c r="IO110" s="598"/>
      <c r="IP110" s="598"/>
      <c r="IQ110" s="598"/>
      <c r="IR110" s="598"/>
      <c r="IS110" s="598"/>
      <c r="IT110" s="598"/>
      <c r="IU110" s="598"/>
      <c r="IV110" s="598"/>
      <c r="IW110" s="598"/>
      <c r="IX110" s="598"/>
      <c r="IY110" s="598"/>
      <c r="IZ110" s="598"/>
      <c r="JA110" s="598"/>
      <c r="JB110" s="598"/>
      <c r="JC110" s="598"/>
      <c r="JD110" s="598"/>
      <c r="JE110" s="598"/>
      <c r="JF110" s="598"/>
      <c r="JG110" s="598"/>
      <c r="JH110" s="598"/>
      <c r="JI110" s="598"/>
      <c r="JJ110" s="598"/>
      <c r="JK110" s="598"/>
      <c r="JL110" s="598"/>
      <c r="JM110" s="598"/>
      <c r="JN110" s="598"/>
      <c r="JO110" s="598"/>
      <c r="JP110" s="598"/>
      <c r="JQ110" s="598"/>
      <c r="JR110" s="598"/>
      <c r="JS110" s="598"/>
      <c r="JT110" s="598"/>
      <c r="JU110" s="598"/>
      <c r="JV110" s="598"/>
    </row>
    <row r="111" spans="1:282" s="13" customFormat="1" ht="50.1" customHeight="1" x14ac:dyDescent="0.2">
      <c r="A111" s="695"/>
      <c r="B111" s="30" t="s">
        <v>2365</v>
      </c>
      <c r="C111" s="30"/>
      <c r="D111" s="30"/>
      <c r="E111" s="29" t="s">
        <v>60</v>
      </c>
      <c r="F111" s="104" t="s">
        <v>61</v>
      </c>
      <c r="G111" s="29" t="s">
        <v>62</v>
      </c>
      <c r="H111" s="29" t="s">
        <v>96</v>
      </c>
      <c r="I111" s="29"/>
      <c r="J111" s="69" t="s">
        <v>55</v>
      </c>
      <c r="K111" s="29" t="s">
        <v>1393</v>
      </c>
      <c r="L111" s="29" t="s">
        <v>685</v>
      </c>
      <c r="M111" s="29" t="s">
        <v>2444</v>
      </c>
      <c r="N111" s="74">
        <v>39745</v>
      </c>
      <c r="O111" s="69" t="s">
        <v>1015</v>
      </c>
      <c r="P111" s="69"/>
      <c r="Q111" s="69"/>
      <c r="R111" s="69"/>
      <c r="S111" s="69"/>
      <c r="T111" s="172"/>
      <c r="U111" s="172"/>
      <c r="V111" s="172"/>
      <c r="W111" s="172"/>
      <c r="X111" s="172"/>
      <c r="Y111" s="172"/>
      <c r="Z111" s="172"/>
      <c r="AA111" s="172"/>
      <c r="AB111" s="172"/>
      <c r="AC111" s="172"/>
      <c r="AD111" s="172"/>
      <c r="AE111" s="172"/>
      <c r="AF111" s="172"/>
      <c r="AG111" s="172"/>
      <c r="AH111" s="172"/>
      <c r="AI111" s="172"/>
      <c r="AJ111" s="724">
        <v>40770</v>
      </c>
      <c r="AK111" s="720">
        <f t="shared" si="3"/>
        <v>1025</v>
      </c>
      <c r="AL111" s="172"/>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15"/>
      <c r="CB111" s="15"/>
      <c r="CC111" s="15"/>
      <c r="CD111" s="15"/>
      <c r="CE111" s="15"/>
      <c r="CF111" s="15"/>
      <c r="CG111" s="15"/>
      <c r="CH111" s="15"/>
      <c r="CI111" s="15"/>
      <c r="CJ111" s="15"/>
      <c r="CK111" s="15"/>
      <c r="CL111" s="15"/>
      <c r="CM111" s="15"/>
      <c r="CN111" s="15"/>
      <c r="CO111" s="15"/>
      <c r="CP111" s="15"/>
      <c r="CQ111" s="15"/>
      <c r="CR111" s="15"/>
      <c r="CS111" s="15"/>
      <c r="CT111" s="15"/>
      <c r="CU111" s="15"/>
      <c r="CV111" s="15"/>
      <c r="CW111" s="15"/>
      <c r="CX111" s="15"/>
      <c r="CY111" s="15"/>
      <c r="CZ111" s="15"/>
      <c r="DA111" s="15"/>
      <c r="DB111" s="15"/>
      <c r="DC111" s="15"/>
      <c r="DD111" s="15"/>
      <c r="DE111" s="15"/>
      <c r="DF111" s="15"/>
      <c r="DG111" s="15"/>
      <c r="DH111" s="15"/>
      <c r="DI111" s="15"/>
      <c r="DJ111" s="15"/>
      <c r="DK111" s="15"/>
      <c r="DL111" s="15"/>
      <c r="DM111" s="15"/>
      <c r="DN111" s="15"/>
      <c r="DO111" s="15"/>
      <c r="DP111" s="15"/>
      <c r="DQ111" s="15"/>
      <c r="DR111" s="15"/>
      <c r="DS111" s="15"/>
      <c r="DT111" s="15"/>
      <c r="DU111" s="15"/>
      <c r="DV111" s="15"/>
      <c r="DW111" s="15"/>
      <c r="DX111" s="15"/>
      <c r="DY111" s="15"/>
      <c r="DZ111" s="15"/>
      <c r="EA111" s="15"/>
      <c r="EB111" s="15"/>
      <c r="EC111" s="15"/>
      <c r="ED111" s="15"/>
      <c r="EE111" s="15"/>
      <c r="EF111" s="15"/>
      <c r="EG111" s="15"/>
      <c r="EH111" s="15"/>
      <c r="EI111" s="15"/>
      <c r="EJ111" s="15"/>
      <c r="EK111" s="15"/>
      <c r="EL111" s="15"/>
      <c r="EM111" s="15"/>
      <c r="EN111" s="15"/>
      <c r="EO111" s="15"/>
      <c r="EP111" s="15"/>
      <c r="EQ111" s="15"/>
      <c r="ER111" s="15"/>
      <c r="ES111" s="15"/>
      <c r="ET111" s="15"/>
      <c r="EU111" s="15"/>
      <c r="EV111" s="15"/>
      <c r="EW111" s="15"/>
      <c r="EX111" s="15"/>
      <c r="EY111" s="15"/>
      <c r="EZ111" s="15"/>
      <c r="FA111" s="15"/>
      <c r="FB111" s="15"/>
      <c r="FC111" s="15"/>
      <c r="FD111" s="15"/>
      <c r="FE111" s="15"/>
      <c r="FF111" s="15"/>
      <c r="FG111" s="15"/>
      <c r="FH111" s="15"/>
      <c r="FI111" s="15"/>
      <c r="FJ111" s="15"/>
      <c r="FK111" s="15"/>
      <c r="FL111" s="15"/>
      <c r="FM111" s="15"/>
      <c r="FN111" s="15"/>
      <c r="FO111" s="15"/>
      <c r="FP111" s="15"/>
      <c r="FQ111" s="15"/>
      <c r="FR111" s="15"/>
      <c r="FS111" s="15"/>
      <c r="FT111" s="15"/>
      <c r="FU111" s="15"/>
      <c r="FV111" s="15"/>
      <c r="FW111" s="15"/>
      <c r="FX111" s="15"/>
      <c r="FY111" s="15"/>
      <c r="FZ111" s="15"/>
      <c r="GA111" s="15"/>
      <c r="GB111" s="15"/>
      <c r="GC111" s="15"/>
      <c r="GD111" s="15"/>
      <c r="GE111" s="15"/>
      <c r="GF111" s="15"/>
      <c r="GG111" s="15"/>
      <c r="GH111" s="15"/>
      <c r="GI111" s="15"/>
      <c r="GJ111" s="15"/>
      <c r="GK111" s="15"/>
      <c r="GL111" s="15"/>
      <c r="GM111" s="15"/>
      <c r="GN111" s="15"/>
      <c r="GO111" s="15"/>
      <c r="GP111" s="15"/>
      <c r="GQ111" s="15"/>
      <c r="GR111" s="15"/>
      <c r="GS111" s="15"/>
      <c r="GT111" s="15"/>
      <c r="GU111" s="15"/>
      <c r="GV111" s="15"/>
      <c r="GW111" s="15"/>
      <c r="GX111" s="15"/>
      <c r="GY111" s="15"/>
      <c r="GZ111" s="15"/>
      <c r="HA111" s="15"/>
      <c r="HB111" s="15"/>
      <c r="HC111" s="15"/>
      <c r="HD111" s="15"/>
      <c r="HE111" s="15"/>
      <c r="HF111" s="15"/>
      <c r="HG111" s="15"/>
      <c r="HH111" s="15"/>
      <c r="HI111" s="15"/>
      <c r="HJ111" s="15"/>
      <c r="HK111" s="15"/>
      <c r="HL111" s="15"/>
      <c r="HM111" s="15"/>
      <c r="HN111" s="15"/>
      <c r="HO111" s="15"/>
      <c r="HP111" s="15"/>
      <c r="HQ111" s="15"/>
      <c r="HR111" s="15"/>
      <c r="HS111" s="15"/>
      <c r="HT111" s="15"/>
      <c r="HU111" s="15"/>
      <c r="HV111" s="15"/>
      <c r="HW111" s="15"/>
      <c r="HX111" s="15"/>
      <c r="HY111" s="15"/>
      <c r="HZ111" s="15"/>
      <c r="IA111" s="15"/>
      <c r="IB111" s="15"/>
      <c r="IC111" s="15"/>
      <c r="ID111" s="15"/>
      <c r="IE111" s="15"/>
      <c r="IF111" s="15"/>
      <c r="IG111" s="15"/>
      <c r="IH111" s="15"/>
      <c r="II111" s="15"/>
      <c r="IJ111" s="15"/>
      <c r="IK111" s="15"/>
      <c r="IL111" s="15"/>
      <c r="IM111" s="15"/>
      <c r="IN111" s="15"/>
      <c r="IO111" s="15"/>
      <c r="IP111" s="15"/>
      <c r="IQ111" s="15"/>
      <c r="IR111" s="15"/>
      <c r="IS111" s="15"/>
      <c r="IT111" s="15"/>
      <c r="IU111" s="15"/>
      <c r="IV111" s="15"/>
      <c r="IW111" s="15"/>
      <c r="IX111" s="15"/>
      <c r="IY111" s="15"/>
      <c r="IZ111" s="15"/>
      <c r="JA111" s="15"/>
      <c r="JB111" s="15"/>
      <c r="JC111" s="15"/>
      <c r="JD111" s="15"/>
      <c r="JE111" s="15"/>
      <c r="JF111" s="15"/>
      <c r="JG111" s="15"/>
      <c r="JH111" s="15"/>
      <c r="JI111" s="15"/>
      <c r="JJ111" s="15"/>
      <c r="JK111" s="15"/>
      <c r="JL111" s="15"/>
      <c r="JM111" s="15"/>
      <c r="JN111" s="15"/>
      <c r="JO111" s="15"/>
      <c r="JP111" s="15"/>
      <c r="JQ111" s="15"/>
      <c r="JR111" s="15"/>
      <c r="JS111" s="15"/>
      <c r="JT111" s="15"/>
      <c r="JU111" s="15"/>
      <c r="JV111" s="15"/>
    </row>
    <row r="112" spans="1:282" s="13" customFormat="1" ht="50.1" customHeight="1" x14ac:dyDescent="0.2">
      <c r="A112" s="695"/>
      <c r="B112" s="29" t="s">
        <v>1174</v>
      </c>
      <c r="C112" s="29"/>
      <c r="D112" s="29"/>
      <c r="E112" s="29" t="s">
        <v>1012</v>
      </c>
      <c r="F112" s="104" t="s">
        <v>1013</v>
      </c>
      <c r="G112" s="29" t="s">
        <v>151</v>
      </c>
      <c r="H112" s="29" t="s">
        <v>193</v>
      </c>
      <c r="I112" s="29"/>
      <c r="J112" s="29" t="s">
        <v>1014</v>
      </c>
      <c r="K112" s="29" t="s">
        <v>1393</v>
      </c>
      <c r="L112" s="29" t="s">
        <v>685</v>
      </c>
      <c r="M112" s="29" t="s">
        <v>2444</v>
      </c>
      <c r="N112" s="74">
        <v>40542</v>
      </c>
      <c r="O112" s="29">
        <v>14624112</v>
      </c>
      <c r="P112" s="29"/>
      <c r="Q112" s="29"/>
      <c r="R112" s="29"/>
      <c r="S112" s="29"/>
      <c r="T112" s="172"/>
      <c r="U112" s="172"/>
      <c r="V112" s="172"/>
      <c r="W112" s="172"/>
      <c r="X112" s="172"/>
      <c r="Y112" s="172"/>
      <c r="Z112" s="172"/>
      <c r="AA112" s="172"/>
      <c r="AB112" s="172"/>
      <c r="AC112" s="172"/>
      <c r="AD112" s="172"/>
      <c r="AE112" s="172"/>
      <c r="AF112" s="172"/>
      <c r="AG112" s="172"/>
      <c r="AH112" s="172"/>
      <c r="AI112" s="172"/>
      <c r="AJ112" s="724">
        <v>40777</v>
      </c>
      <c r="AK112" s="720">
        <f t="shared" si="3"/>
        <v>235</v>
      </c>
      <c r="AL112" s="172"/>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15"/>
      <c r="CB112" s="15"/>
      <c r="CC112" s="15"/>
      <c r="CD112" s="15"/>
      <c r="CE112" s="15"/>
      <c r="CF112" s="15"/>
      <c r="CG112" s="15"/>
      <c r="CH112" s="15"/>
      <c r="CI112" s="15"/>
      <c r="CJ112" s="15"/>
      <c r="CK112" s="15"/>
      <c r="CL112" s="15"/>
      <c r="CM112" s="15"/>
      <c r="CN112" s="15"/>
      <c r="CO112" s="15"/>
      <c r="CP112" s="15"/>
      <c r="CQ112" s="15"/>
      <c r="CR112" s="15"/>
      <c r="CS112" s="15"/>
      <c r="CT112" s="15"/>
      <c r="CU112" s="15"/>
      <c r="CV112" s="15"/>
      <c r="CW112" s="15"/>
      <c r="CX112" s="15"/>
      <c r="CY112" s="15"/>
      <c r="CZ112" s="15"/>
      <c r="DA112" s="15"/>
      <c r="DB112" s="15"/>
      <c r="DC112" s="15"/>
      <c r="DD112" s="15"/>
      <c r="DE112" s="15"/>
      <c r="DF112" s="15"/>
      <c r="DG112" s="15"/>
      <c r="DH112" s="15"/>
      <c r="DI112" s="15"/>
      <c r="DJ112" s="15"/>
      <c r="DK112" s="15"/>
      <c r="DL112" s="15"/>
      <c r="DM112" s="15"/>
      <c r="DN112" s="15"/>
      <c r="DO112" s="15"/>
      <c r="DP112" s="15"/>
      <c r="DQ112" s="15"/>
      <c r="DR112" s="15"/>
      <c r="DS112" s="15"/>
      <c r="DT112" s="15"/>
      <c r="DU112" s="15"/>
      <c r="DV112" s="15"/>
      <c r="DW112" s="15"/>
      <c r="DX112" s="15"/>
      <c r="DY112" s="15"/>
      <c r="DZ112" s="15"/>
      <c r="EA112" s="15"/>
      <c r="EB112" s="15"/>
      <c r="EC112" s="15"/>
      <c r="ED112" s="15"/>
      <c r="EE112" s="15"/>
      <c r="EF112" s="15"/>
      <c r="EG112" s="15"/>
      <c r="EH112" s="15"/>
      <c r="EI112" s="15"/>
      <c r="EJ112" s="15"/>
      <c r="EK112" s="15"/>
      <c r="EL112" s="15"/>
      <c r="EM112" s="15"/>
      <c r="EN112" s="15"/>
      <c r="EO112" s="15"/>
      <c r="EP112" s="15"/>
      <c r="EQ112" s="15"/>
      <c r="ER112" s="15"/>
      <c r="ES112" s="15"/>
      <c r="ET112" s="15"/>
      <c r="EU112" s="15"/>
      <c r="EV112" s="15"/>
      <c r="EW112" s="15"/>
      <c r="EX112" s="15"/>
      <c r="EY112" s="15"/>
      <c r="EZ112" s="15"/>
      <c r="FA112" s="15"/>
      <c r="FB112" s="15"/>
      <c r="FC112" s="15"/>
      <c r="FD112" s="15"/>
      <c r="FE112" s="15"/>
      <c r="FF112" s="15"/>
      <c r="FG112" s="15"/>
      <c r="FH112" s="15"/>
      <c r="FI112" s="15"/>
      <c r="FJ112" s="15"/>
      <c r="FK112" s="15"/>
      <c r="FL112" s="15"/>
      <c r="FM112" s="15"/>
      <c r="FN112" s="15"/>
      <c r="FO112" s="15"/>
      <c r="FP112" s="15"/>
      <c r="FQ112" s="15"/>
      <c r="FR112" s="15"/>
      <c r="FS112" s="15"/>
      <c r="FT112" s="15"/>
      <c r="FU112" s="15"/>
      <c r="FV112" s="15"/>
      <c r="FW112" s="15"/>
      <c r="FX112" s="15"/>
      <c r="FY112" s="15"/>
      <c r="FZ112" s="15"/>
      <c r="GA112" s="15"/>
      <c r="GB112" s="15"/>
      <c r="GC112" s="15"/>
      <c r="GD112" s="15"/>
      <c r="GE112" s="15"/>
      <c r="GF112" s="15"/>
      <c r="GG112" s="15"/>
      <c r="GH112" s="15"/>
      <c r="GI112" s="15"/>
      <c r="GJ112" s="15"/>
      <c r="GK112" s="15"/>
      <c r="GL112" s="15"/>
      <c r="GM112" s="15"/>
      <c r="GN112" s="15"/>
      <c r="GO112" s="15"/>
      <c r="GP112" s="15"/>
      <c r="GQ112" s="15"/>
      <c r="GR112" s="15"/>
      <c r="GS112" s="15"/>
      <c r="GT112" s="15"/>
      <c r="GU112" s="15"/>
      <c r="GV112" s="15"/>
      <c r="GW112" s="15"/>
      <c r="GX112" s="15"/>
      <c r="GY112" s="15"/>
      <c r="GZ112" s="15"/>
      <c r="HA112" s="15"/>
      <c r="HB112" s="15"/>
      <c r="HC112" s="15"/>
      <c r="HD112" s="15"/>
      <c r="HE112" s="15"/>
      <c r="HF112" s="15"/>
      <c r="HG112" s="15"/>
      <c r="HH112" s="15"/>
      <c r="HI112" s="15"/>
      <c r="HJ112" s="15"/>
      <c r="HK112" s="15"/>
      <c r="HL112" s="15"/>
      <c r="HM112" s="15"/>
      <c r="HN112" s="15"/>
      <c r="HO112" s="15"/>
      <c r="HP112" s="15"/>
      <c r="HQ112" s="15"/>
      <c r="HR112" s="15"/>
      <c r="HS112" s="15"/>
      <c r="HT112" s="15"/>
      <c r="HU112" s="15"/>
      <c r="HV112" s="15"/>
      <c r="HW112" s="15"/>
      <c r="HX112" s="15"/>
      <c r="HY112" s="15"/>
      <c r="HZ112" s="15"/>
      <c r="IA112" s="15"/>
      <c r="IB112" s="15"/>
      <c r="IC112" s="15"/>
      <c r="ID112" s="15"/>
      <c r="IE112" s="15"/>
      <c r="IF112" s="15"/>
      <c r="IG112" s="15"/>
      <c r="IH112" s="15"/>
      <c r="II112" s="15"/>
      <c r="IJ112" s="15"/>
      <c r="IK112" s="15"/>
      <c r="IL112" s="15"/>
      <c r="IM112" s="15"/>
      <c r="IN112" s="15"/>
      <c r="IO112" s="15"/>
      <c r="IP112" s="15"/>
      <c r="IQ112" s="15"/>
      <c r="IR112" s="15"/>
      <c r="IS112" s="15"/>
      <c r="IT112" s="15"/>
      <c r="IU112" s="15"/>
      <c r="IV112" s="15"/>
      <c r="IW112" s="15"/>
      <c r="IX112" s="15"/>
      <c r="IY112" s="15"/>
      <c r="IZ112" s="15"/>
      <c r="JA112" s="15"/>
      <c r="JB112" s="15"/>
      <c r="JC112" s="15"/>
      <c r="JD112" s="15"/>
      <c r="JE112" s="15"/>
      <c r="JF112" s="15"/>
      <c r="JG112" s="15"/>
      <c r="JH112" s="15"/>
      <c r="JI112" s="15"/>
      <c r="JJ112" s="15"/>
      <c r="JK112" s="15"/>
      <c r="JL112" s="15"/>
      <c r="JM112" s="15"/>
      <c r="JN112" s="15"/>
      <c r="JO112" s="15"/>
      <c r="JP112" s="15"/>
      <c r="JQ112" s="15"/>
      <c r="JR112" s="15"/>
      <c r="JS112" s="15"/>
      <c r="JT112" s="15"/>
      <c r="JU112" s="15"/>
      <c r="JV112" s="15"/>
    </row>
    <row r="113" spans="1:282" s="13" customFormat="1" ht="50.1" customHeight="1" x14ac:dyDescent="0.2">
      <c r="A113" s="695"/>
      <c r="B113" s="29" t="s">
        <v>1174</v>
      </c>
      <c r="C113" s="29"/>
      <c r="D113" s="29"/>
      <c r="E113" s="29" t="s">
        <v>1016</v>
      </c>
      <c r="F113" s="104" t="s">
        <v>1017</v>
      </c>
      <c r="G113" s="29" t="s">
        <v>1017</v>
      </c>
      <c r="H113" s="29" t="s">
        <v>1018</v>
      </c>
      <c r="I113" s="29"/>
      <c r="J113" s="69" t="s">
        <v>51</v>
      </c>
      <c r="K113" s="30" t="s">
        <v>1394</v>
      </c>
      <c r="L113" s="29" t="s">
        <v>1286</v>
      </c>
      <c r="M113" s="29" t="s">
        <v>1528</v>
      </c>
      <c r="N113" s="74">
        <v>40221</v>
      </c>
      <c r="O113" s="29">
        <v>122156106</v>
      </c>
      <c r="P113" s="29"/>
      <c r="Q113" s="29"/>
      <c r="R113" s="29"/>
      <c r="S113" s="29"/>
      <c r="T113" s="155">
        <v>24</v>
      </c>
      <c r="U113" s="155"/>
      <c r="V113" s="155"/>
      <c r="W113" s="155"/>
      <c r="X113" s="155"/>
      <c r="Y113" s="155"/>
      <c r="Z113" s="155"/>
      <c r="AA113" s="155"/>
      <c r="AB113" s="155"/>
      <c r="AC113" s="155"/>
      <c r="AD113" s="155"/>
      <c r="AE113" s="155"/>
      <c r="AF113" s="155"/>
      <c r="AG113" s="155"/>
      <c r="AH113" s="155"/>
      <c r="AI113" s="155"/>
      <c r="AJ113" s="724">
        <v>40791</v>
      </c>
      <c r="AK113" s="720">
        <f t="shared" si="3"/>
        <v>570</v>
      </c>
      <c r="AL113" s="15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15"/>
      <c r="CB113" s="15"/>
      <c r="CC113" s="15"/>
      <c r="CD113" s="15"/>
      <c r="CE113" s="15"/>
      <c r="CF113" s="15"/>
      <c r="CG113" s="15"/>
      <c r="CH113" s="15"/>
      <c r="CI113" s="15"/>
      <c r="CJ113" s="15"/>
      <c r="CK113" s="15"/>
      <c r="CL113" s="15"/>
      <c r="CM113" s="15"/>
      <c r="CN113" s="15"/>
      <c r="CO113" s="15"/>
      <c r="CP113" s="15"/>
      <c r="CQ113" s="15"/>
      <c r="CR113" s="15"/>
      <c r="CS113" s="15"/>
      <c r="CT113" s="15"/>
      <c r="CU113" s="15"/>
      <c r="CV113" s="15"/>
      <c r="CW113" s="15"/>
      <c r="CX113" s="15"/>
      <c r="CY113" s="15"/>
      <c r="CZ113" s="15"/>
      <c r="DA113" s="15"/>
      <c r="DB113" s="15"/>
      <c r="DC113" s="15"/>
      <c r="DD113" s="15"/>
      <c r="DE113" s="15"/>
      <c r="DF113" s="15"/>
      <c r="DG113" s="15"/>
      <c r="DH113" s="15"/>
      <c r="DI113" s="15"/>
      <c r="DJ113" s="15"/>
      <c r="DK113" s="15"/>
      <c r="DL113" s="15"/>
      <c r="DM113" s="15"/>
      <c r="DN113" s="15"/>
      <c r="DO113" s="15"/>
      <c r="DP113" s="15"/>
      <c r="DQ113" s="15"/>
      <c r="DR113" s="15"/>
      <c r="DS113" s="15"/>
      <c r="DT113" s="15"/>
      <c r="DU113" s="15"/>
      <c r="DV113" s="15"/>
      <c r="DW113" s="15"/>
      <c r="DX113" s="15"/>
      <c r="DY113" s="15"/>
      <c r="DZ113" s="15"/>
      <c r="EA113" s="15"/>
      <c r="EB113" s="15"/>
      <c r="EC113" s="15"/>
      <c r="ED113" s="15"/>
      <c r="EE113" s="15"/>
      <c r="EF113" s="15"/>
      <c r="EG113" s="15"/>
      <c r="EH113" s="15"/>
      <c r="EI113" s="15"/>
      <c r="EJ113" s="15"/>
      <c r="EK113" s="15"/>
      <c r="EL113" s="15"/>
      <c r="EM113" s="15"/>
      <c r="EN113" s="15"/>
      <c r="EO113" s="15"/>
      <c r="EP113" s="15"/>
      <c r="EQ113" s="15"/>
      <c r="ER113" s="15"/>
      <c r="ES113" s="15"/>
      <c r="ET113" s="15"/>
      <c r="EU113" s="15"/>
      <c r="EV113" s="15"/>
      <c r="EW113" s="15"/>
      <c r="EX113" s="15"/>
      <c r="EY113" s="15"/>
      <c r="EZ113" s="15"/>
      <c r="FA113" s="15"/>
      <c r="FB113" s="15"/>
      <c r="FC113" s="15"/>
      <c r="FD113" s="15"/>
      <c r="FE113" s="15"/>
      <c r="FF113" s="15"/>
      <c r="FG113" s="15"/>
      <c r="FH113" s="15"/>
      <c r="FI113" s="15"/>
      <c r="FJ113" s="15"/>
      <c r="FK113" s="15"/>
      <c r="FL113" s="15"/>
      <c r="FM113" s="15"/>
      <c r="FN113" s="15"/>
      <c r="FO113" s="15"/>
      <c r="FP113" s="15"/>
      <c r="FQ113" s="15"/>
      <c r="FR113" s="15"/>
      <c r="FS113" s="15"/>
      <c r="FT113" s="15"/>
      <c r="FU113" s="15"/>
      <c r="FV113" s="15"/>
      <c r="FW113" s="15"/>
      <c r="FX113" s="15"/>
      <c r="FY113" s="15"/>
      <c r="FZ113" s="15"/>
      <c r="GA113" s="15"/>
      <c r="GB113" s="15"/>
      <c r="GC113" s="15"/>
      <c r="GD113" s="15"/>
      <c r="GE113" s="15"/>
      <c r="GF113" s="15"/>
      <c r="GG113" s="15"/>
      <c r="GH113" s="15"/>
      <c r="GI113" s="15"/>
      <c r="GJ113" s="15"/>
      <c r="GK113" s="15"/>
      <c r="GL113" s="15"/>
      <c r="GM113" s="15"/>
      <c r="GN113" s="15"/>
      <c r="GO113" s="15"/>
      <c r="GP113" s="15"/>
      <c r="GQ113" s="15"/>
      <c r="GR113" s="15"/>
      <c r="GS113" s="15"/>
      <c r="GT113" s="15"/>
      <c r="GU113" s="15"/>
      <c r="GV113" s="15"/>
      <c r="GW113" s="15"/>
      <c r="GX113" s="15"/>
      <c r="GY113" s="15"/>
      <c r="GZ113" s="15"/>
      <c r="HA113" s="15"/>
      <c r="HB113" s="15"/>
      <c r="HC113" s="15"/>
      <c r="HD113" s="15"/>
      <c r="HE113" s="15"/>
      <c r="HF113" s="15"/>
      <c r="HG113" s="15"/>
      <c r="HH113" s="15"/>
      <c r="HI113" s="15"/>
      <c r="HJ113" s="15"/>
      <c r="HK113" s="15"/>
      <c r="HL113" s="15"/>
      <c r="HM113" s="15"/>
      <c r="HN113" s="15"/>
      <c r="HO113" s="15"/>
      <c r="HP113" s="15"/>
      <c r="HQ113" s="15"/>
      <c r="HR113" s="15"/>
      <c r="HS113" s="15"/>
      <c r="HT113" s="15"/>
      <c r="HU113" s="15"/>
      <c r="HV113" s="15"/>
      <c r="HW113" s="15"/>
      <c r="HX113" s="15"/>
      <c r="HY113" s="15"/>
      <c r="HZ113" s="15"/>
      <c r="IA113" s="15"/>
      <c r="IB113" s="15"/>
      <c r="IC113" s="15"/>
      <c r="ID113" s="15"/>
      <c r="IE113" s="15"/>
      <c r="IF113" s="15"/>
      <c r="IG113" s="15"/>
      <c r="IH113" s="15"/>
      <c r="II113" s="15"/>
      <c r="IJ113" s="15"/>
      <c r="IK113" s="15"/>
      <c r="IL113" s="15"/>
      <c r="IM113" s="15"/>
      <c r="IN113" s="15"/>
      <c r="IO113" s="15"/>
      <c r="IP113" s="15"/>
      <c r="IQ113" s="15"/>
      <c r="IR113" s="15"/>
      <c r="IS113" s="15"/>
      <c r="IT113" s="15"/>
      <c r="IU113" s="15"/>
      <c r="IV113" s="15"/>
      <c r="IW113" s="15"/>
      <c r="IX113" s="15"/>
      <c r="IY113" s="15"/>
      <c r="IZ113" s="15"/>
      <c r="JA113" s="15"/>
      <c r="JB113" s="15"/>
      <c r="JC113" s="15"/>
      <c r="JD113" s="15"/>
      <c r="JE113" s="15"/>
      <c r="JF113" s="15"/>
      <c r="JG113" s="15"/>
      <c r="JH113" s="15"/>
      <c r="JI113" s="15"/>
      <c r="JJ113" s="15"/>
      <c r="JK113" s="15"/>
      <c r="JL113" s="15"/>
      <c r="JM113" s="15"/>
      <c r="JN113" s="15"/>
      <c r="JO113" s="15"/>
      <c r="JP113" s="15"/>
      <c r="JQ113" s="15"/>
      <c r="JR113" s="15"/>
      <c r="JS113" s="15"/>
      <c r="JT113" s="15"/>
      <c r="JU113" s="15"/>
      <c r="JV113" s="15"/>
    </row>
    <row r="114" spans="1:282" s="13" customFormat="1" ht="50.1" customHeight="1" x14ac:dyDescent="0.2">
      <c r="A114" s="695"/>
      <c r="B114" s="29" t="s">
        <v>1174</v>
      </c>
      <c r="C114" s="29"/>
      <c r="D114" s="29"/>
      <c r="E114" s="74" t="s">
        <v>2273</v>
      </c>
      <c r="F114" s="104" t="s">
        <v>115</v>
      </c>
      <c r="G114" s="29" t="s">
        <v>113</v>
      </c>
      <c r="H114" s="29" t="s">
        <v>116</v>
      </c>
      <c r="I114" s="29"/>
      <c r="J114" s="29" t="s">
        <v>318</v>
      </c>
      <c r="K114" s="29" t="s">
        <v>1393</v>
      </c>
      <c r="L114" s="29" t="s">
        <v>1286</v>
      </c>
      <c r="M114" s="29" t="s">
        <v>2444</v>
      </c>
      <c r="N114" s="74">
        <v>40452</v>
      </c>
      <c r="O114" s="29">
        <v>841002100</v>
      </c>
      <c r="P114" s="29"/>
      <c r="Q114" s="29"/>
      <c r="R114" s="29"/>
      <c r="S114" s="29"/>
      <c r="T114" s="155">
        <v>24</v>
      </c>
      <c r="U114" s="155"/>
      <c r="V114" s="155"/>
      <c r="W114" s="155"/>
      <c r="X114" s="155"/>
      <c r="Y114" s="155"/>
      <c r="Z114" s="155"/>
      <c r="AA114" s="155"/>
      <c r="AB114" s="155"/>
      <c r="AC114" s="155"/>
      <c r="AD114" s="155"/>
      <c r="AE114" s="155"/>
      <c r="AF114" s="155"/>
      <c r="AG114" s="155"/>
      <c r="AH114" s="155"/>
      <c r="AI114" s="155"/>
      <c r="AJ114" s="724">
        <v>40791</v>
      </c>
      <c r="AK114" s="720">
        <f t="shared" si="3"/>
        <v>339</v>
      </c>
      <c r="AL114" s="15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15"/>
      <c r="CB114" s="15"/>
      <c r="CC114" s="15"/>
      <c r="CD114" s="15"/>
      <c r="CE114" s="15"/>
      <c r="CF114" s="15"/>
      <c r="CG114" s="15"/>
      <c r="CH114" s="15"/>
      <c r="CI114" s="15"/>
      <c r="CJ114" s="15"/>
      <c r="CK114" s="15"/>
      <c r="CL114" s="15"/>
      <c r="CM114" s="15"/>
      <c r="CN114" s="15"/>
      <c r="CO114" s="15"/>
      <c r="CP114" s="15"/>
      <c r="CQ114" s="15"/>
      <c r="CR114" s="15"/>
      <c r="CS114" s="15"/>
      <c r="CT114" s="15"/>
      <c r="CU114" s="15"/>
      <c r="CV114" s="15"/>
      <c r="CW114" s="15"/>
      <c r="CX114" s="15"/>
      <c r="CY114" s="15"/>
      <c r="CZ114" s="15"/>
      <c r="DA114" s="15"/>
      <c r="DB114" s="15"/>
      <c r="DC114" s="15"/>
      <c r="DD114" s="15"/>
      <c r="DE114" s="15"/>
      <c r="DF114" s="15"/>
      <c r="DG114" s="15"/>
      <c r="DH114" s="15"/>
      <c r="DI114" s="15"/>
      <c r="DJ114" s="15"/>
      <c r="DK114" s="15"/>
      <c r="DL114" s="15"/>
      <c r="DM114" s="15"/>
      <c r="DN114" s="15"/>
      <c r="DO114" s="15"/>
      <c r="DP114" s="15"/>
      <c r="DQ114" s="15"/>
      <c r="DR114" s="15"/>
      <c r="DS114" s="15"/>
      <c r="DT114" s="15"/>
      <c r="DU114" s="15"/>
      <c r="DV114" s="15"/>
      <c r="DW114" s="15"/>
      <c r="DX114" s="15"/>
      <c r="DY114" s="15"/>
      <c r="DZ114" s="15"/>
      <c r="EA114" s="15"/>
      <c r="EB114" s="15"/>
      <c r="EC114" s="15"/>
      <c r="ED114" s="15"/>
      <c r="EE114" s="15"/>
      <c r="EF114" s="15"/>
      <c r="EG114" s="15"/>
      <c r="EH114" s="15"/>
      <c r="EI114" s="15"/>
      <c r="EJ114" s="15"/>
      <c r="EK114" s="15"/>
      <c r="EL114" s="15"/>
      <c r="EM114" s="15"/>
      <c r="EN114" s="15"/>
      <c r="EO114" s="15"/>
      <c r="EP114" s="15"/>
      <c r="EQ114" s="15"/>
      <c r="ER114" s="15"/>
      <c r="ES114" s="15"/>
      <c r="ET114" s="15"/>
      <c r="EU114" s="15"/>
      <c r="EV114" s="15"/>
      <c r="EW114" s="15"/>
      <c r="EX114" s="15"/>
      <c r="EY114" s="15"/>
      <c r="EZ114" s="15"/>
      <c r="FA114" s="15"/>
      <c r="FB114" s="15"/>
      <c r="FC114" s="15"/>
      <c r="FD114" s="15"/>
      <c r="FE114" s="15"/>
      <c r="FF114" s="15"/>
      <c r="FG114" s="15"/>
      <c r="FH114" s="15"/>
      <c r="FI114" s="15"/>
      <c r="FJ114" s="15"/>
      <c r="FK114" s="15"/>
      <c r="FL114" s="15"/>
      <c r="FM114" s="15"/>
      <c r="FN114" s="15"/>
      <c r="FO114" s="15"/>
      <c r="FP114" s="15"/>
      <c r="FQ114" s="15"/>
      <c r="FR114" s="15"/>
      <c r="FS114" s="15"/>
      <c r="FT114" s="15"/>
      <c r="FU114" s="15"/>
      <c r="FV114" s="15"/>
      <c r="FW114" s="15"/>
      <c r="FX114" s="15"/>
      <c r="FY114" s="15"/>
      <c r="FZ114" s="15"/>
      <c r="GA114" s="15"/>
      <c r="GB114" s="15"/>
      <c r="GC114" s="15"/>
      <c r="GD114" s="15"/>
      <c r="GE114" s="15"/>
      <c r="GF114" s="15"/>
      <c r="GG114" s="15"/>
      <c r="GH114" s="15"/>
      <c r="GI114" s="15"/>
      <c r="GJ114" s="15"/>
      <c r="GK114" s="15"/>
      <c r="GL114" s="15"/>
      <c r="GM114" s="15"/>
      <c r="GN114" s="15"/>
      <c r="GO114" s="15"/>
      <c r="GP114" s="15"/>
      <c r="GQ114" s="15"/>
      <c r="GR114" s="15"/>
      <c r="GS114" s="15"/>
      <c r="GT114" s="15"/>
      <c r="GU114" s="15"/>
      <c r="GV114" s="15"/>
      <c r="GW114" s="15"/>
      <c r="GX114" s="15"/>
      <c r="GY114" s="15"/>
      <c r="GZ114" s="15"/>
      <c r="HA114" s="15"/>
      <c r="HB114" s="15"/>
      <c r="HC114" s="15"/>
      <c r="HD114" s="15"/>
      <c r="HE114" s="15"/>
      <c r="HF114" s="15"/>
      <c r="HG114" s="15"/>
      <c r="HH114" s="15"/>
      <c r="HI114" s="15"/>
      <c r="HJ114" s="15"/>
      <c r="HK114" s="15"/>
      <c r="HL114" s="15"/>
      <c r="HM114" s="15"/>
      <c r="HN114" s="15"/>
      <c r="HO114" s="15"/>
      <c r="HP114" s="15"/>
      <c r="HQ114" s="15"/>
      <c r="HR114" s="15"/>
      <c r="HS114" s="15"/>
      <c r="HT114" s="15"/>
      <c r="HU114" s="15"/>
      <c r="HV114" s="15"/>
      <c r="HW114" s="15"/>
      <c r="HX114" s="15"/>
      <c r="HY114" s="15"/>
      <c r="HZ114" s="15"/>
      <c r="IA114" s="15"/>
      <c r="IB114" s="15"/>
      <c r="IC114" s="15"/>
      <c r="ID114" s="15"/>
      <c r="IE114" s="15"/>
      <c r="IF114" s="15"/>
      <c r="IG114" s="15"/>
      <c r="IH114" s="15"/>
      <c r="II114" s="15"/>
      <c r="IJ114" s="15"/>
      <c r="IK114" s="15"/>
      <c r="IL114" s="15"/>
      <c r="IM114" s="15"/>
      <c r="IN114" s="15"/>
      <c r="IO114" s="15"/>
      <c r="IP114" s="15"/>
      <c r="IQ114" s="15"/>
      <c r="IR114" s="15"/>
      <c r="IS114" s="15"/>
      <c r="IT114" s="15"/>
      <c r="IU114" s="15"/>
      <c r="IV114" s="15"/>
      <c r="IW114" s="15"/>
      <c r="IX114" s="15"/>
      <c r="IY114" s="15"/>
      <c r="IZ114" s="15"/>
      <c r="JA114" s="15"/>
      <c r="JB114" s="15"/>
      <c r="JC114" s="15"/>
      <c r="JD114" s="15"/>
      <c r="JE114" s="15"/>
      <c r="JF114" s="15"/>
      <c r="JG114" s="15"/>
      <c r="JH114" s="15"/>
      <c r="JI114" s="15"/>
      <c r="JJ114" s="15"/>
      <c r="JK114" s="15"/>
      <c r="JL114" s="15"/>
      <c r="JM114" s="15"/>
      <c r="JN114" s="15"/>
      <c r="JO114" s="15"/>
      <c r="JP114" s="15"/>
      <c r="JQ114" s="15"/>
      <c r="JR114" s="15"/>
      <c r="JS114" s="15"/>
      <c r="JT114" s="15"/>
      <c r="JU114" s="15"/>
      <c r="JV114" s="15"/>
    </row>
    <row r="115" spans="1:282" s="13" customFormat="1" ht="50.1" customHeight="1" x14ac:dyDescent="0.2">
      <c r="A115" s="695"/>
      <c r="B115" s="29" t="s">
        <v>1174</v>
      </c>
      <c r="C115" s="29"/>
      <c r="D115" s="29"/>
      <c r="E115" s="29" t="s">
        <v>1019</v>
      </c>
      <c r="F115" s="104" t="s">
        <v>1020</v>
      </c>
      <c r="G115" s="29" t="s">
        <v>135</v>
      </c>
      <c r="H115" s="29" t="s">
        <v>136</v>
      </c>
      <c r="I115" s="29"/>
      <c r="J115" s="29" t="s">
        <v>2402</v>
      </c>
      <c r="K115" s="29" t="s">
        <v>1393</v>
      </c>
      <c r="L115" s="29" t="s">
        <v>879</v>
      </c>
      <c r="M115" s="29" t="s">
        <v>2445</v>
      </c>
      <c r="N115" s="74">
        <v>40525</v>
      </c>
      <c r="O115" s="38">
        <v>948301102</v>
      </c>
      <c r="P115" s="38"/>
      <c r="Q115" s="38"/>
      <c r="R115" s="38"/>
      <c r="S115" s="38"/>
      <c r="T115" s="155">
        <v>2</v>
      </c>
      <c r="U115" s="155"/>
      <c r="V115" s="155"/>
      <c r="W115" s="155"/>
      <c r="X115" s="155"/>
      <c r="Y115" s="155"/>
      <c r="Z115" s="155"/>
      <c r="AA115" s="155"/>
      <c r="AB115" s="155"/>
      <c r="AC115" s="155"/>
      <c r="AD115" s="155"/>
      <c r="AE115" s="155"/>
      <c r="AF115" s="155"/>
      <c r="AG115" s="155"/>
      <c r="AH115" s="155"/>
      <c r="AI115" s="155"/>
      <c r="AJ115" s="724">
        <v>40847</v>
      </c>
      <c r="AK115" s="720">
        <f t="shared" si="3"/>
        <v>322</v>
      </c>
      <c r="AL115" s="15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15"/>
      <c r="CB115" s="15"/>
      <c r="CC115" s="15"/>
      <c r="CD115" s="15"/>
      <c r="CE115" s="15"/>
      <c r="CF115" s="15"/>
      <c r="CG115" s="15"/>
      <c r="CH115" s="15"/>
      <c r="CI115" s="15"/>
      <c r="CJ115" s="15"/>
      <c r="CK115" s="15"/>
      <c r="CL115" s="15"/>
      <c r="CM115" s="15"/>
      <c r="CN115" s="15"/>
      <c r="CO115" s="15"/>
      <c r="CP115" s="15"/>
      <c r="CQ115" s="15"/>
      <c r="CR115" s="15"/>
      <c r="CS115" s="15"/>
      <c r="CT115" s="15"/>
      <c r="CU115" s="15"/>
      <c r="CV115" s="15"/>
      <c r="CW115" s="15"/>
      <c r="CX115" s="15"/>
      <c r="CY115" s="15"/>
      <c r="CZ115" s="15"/>
      <c r="DA115" s="15"/>
      <c r="DB115" s="15"/>
      <c r="DC115" s="15"/>
      <c r="DD115" s="15"/>
      <c r="DE115" s="15"/>
      <c r="DF115" s="15"/>
      <c r="DG115" s="15"/>
      <c r="DH115" s="15"/>
      <c r="DI115" s="15"/>
      <c r="DJ115" s="15"/>
      <c r="DK115" s="15"/>
      <c r="DL115" s="15"/>
      <c r="DM115" s="15"/>
      <c r="DN115" s="15"/>
      <c r="DO115" s="15"/>
      <c r="DP115" s="15"/>
      <c r="DQ115" s="15"/>
      <c r="DR115" s="15"/>
      <c r="DS115" s="15"/>
      <c r="DT115" s="15"/>
      <c r="DU115" s="15"/>
      <c r="DV115" s="15"/>
      <c r="DW115" s="15"/>
      <c r="DX115" s="15"/>
      <c r="DY115" s="15"/>
      <c r="DZ115" s="15"/>
      <c r="EA115" s="15"/>
      <c r="EB115" s="15"/>
      <c r="EC115" s="15"/>
      <c r="ED115" s="15"/>
      <c r="EE115" s="15"/>
      <c r="EF115" s="15"/>
      <c r="EG115" s="15"/>
      <c r="EH115" s="15"/>
      <c r="EI115" s="15"/>
      <c r="EJ115" s="15"/>
      <c r="EK115" s="15"/>
      <c r="EL115" s="15"/>
      <c r="EM115" s="15"/>
      <c r="EN115" s="15"/>
      <c r="EO115" s="15"/>
      <c r="EP115" s="15"/>
      <c r="EQ115" s="15"/>
      <c r="ER115" s="15"/>
      <c r="ES115" s="15"/>
      <c r="ET115" s="15"/>
      <c r="EU115" s="15"/>
      <c r="EV115" s="15"/>
      <c r="EW115" s="15"/>
      <c r="EX115" s="15"/>
      <c r="EY115" s="15"/>
      <c r="EZ115" s="15"/>
      <c r="FA115" s="15"/>
      <c r="FB115" s="15"/>
      <c r="FC115" s="15"/>
      <c r="FD115" s="15"/>
      <c r="FE115" s="15"/>
      <c r="FF115" s="15"/>
      <c r="FG115" s="15"/>
      <c r="FH115" s="15"/>
      <c r="FI115" s="15"/>
      <c r="FJ115" s="15"/>
      <c r="FK115" s="15"/>
      <c r="FL115" s="15"/>
      <c r="FM115" s="15"/>
      <c r="FN115" s="15"/>
      <c r="FO115" s="15"/>
      <c r="FP115" s="15"/>
      <c r="FQ115" s="15"/>
      <c r="FR115" s="15"/>
      <c r="FS115" s="15"/>
      <c r="FT115" s="15"/>
      <c r="FU115" s="15"/>
      <c r="FV115" s="15"/>
      <c r="FW115" s="15"/>
      <c r="FX115" s="15"/>
      <c r="FY115" s="15"/>
      <c r="FZ115" s="15"/>
      <c r="GA115" s="15"/>
      <c r="GB115" s="15"/>
      <c r="GC115" s="15"/>
      <c r="GD115" s="15"/>
      <c r="GE115" s="15"/>
      <c r="GF115" s="15"/>
      <c r="GG115" s="15"/>
      <c r="GH115" s="15"/>
      <c r="GI115" s="15"/>
      <c r="GJ115" s="15"/>
      <c r="GK115" s="15"/>
      <c r="GL115" s="15"/>
      <c r="GM115" s="15"/>
      <c r="GN115" s="15"/>
      <c r="GO115" s="15"/>
      <c r="GP115" s="15"/>
      <c r="GQ115" s="15"/>
      <c r="GR115" s="15"/>
      <c r="GS115" s="15"/>
      <c r="GT115" s="15"/>
      <c r="GU115" s="15"/>
      <c r="GV115" s="15"/>
      <c r="GW115" s="15"/>
      <c r="GX115" s="15"/>
      <c r="GY115" s="15"/>
      <c r="GZ115" s="15"/>
      <c r="HA115" s="15"/>
      <c r="HB115" s="15"/>
      <c r="HC115" s="15"/>
      <c r="HD115" s="15"/>
      <c r="HE115" s="15"/>
      <c r="HF115" s="15"/>
      <c r="HG115" s="15"/>
      <c r="HH115" s="15"/>
      <c r="HI115" s="15"/>
      <c r="HJ115" s="15"/>
      <c r="HK115" s="15"/>
      <c r="HL115" s="15"/>
      <c r="HM115" s="15"/>
      <c r="HN115" s="15"/>
      <c r="HO115" s="15"/>
      <c r="HP115" s="15"/>
      <c r="HQ115" s="15"/>
      <c r="HR115" s="15"/>
      <c r="HS115" s="15"/>
      <c r="HT115" s="15"/>
      <c r="HU115" s="15"/>
      <c r="HV115" s="15"/>
      <c r="HW115" s="15"/>
      <c r="HX115" s="15"/>
      <c r="HY115" s="15"/>
      <c r="HZ115" s="15"/>
      <c r="IA115" s="15"/>
      <c r="IB115" s="15"/>
      <c r="IC115" s="15"/>
      <c r="ID115" s="15"/>
      <c r="IE115" s="15"/>
      <c r="IF115" s="15"/>
      <c r="IG115" s="15"/>
      <c r="IH115" s="15"/>
      <c r="II115" s="15"/>
      <c r="IJ115" s="15"/>
      <c r="IK115" s="15"/>
      <c r="IL115" s="15"/>
      <c r="IM115" s="15"/>
      <c r="IN115" s="15"/>
      <c r="IO115" s="15"/>
      <c r="IP115" s="15"/>
      <c r="IQ115" s="15"/>
      <c r="IR115" s="15"/>
      <c r="IS115" s="15"/>
      <c r="IT115" s="15"/>
      <c r="IU115" s="15"/>
      <c r="IV115" s="15"/>
      <c r="IW115" s="15"/>
      <c r="IX115" s="15"/>
      <c r="IY115" s="15"/>
      <c r="IZ115" s="15"/>
      <c r="JA115" s="15"/>
      <c r="JB115" s="15"/>
      <c r="JC115" s="15"/>
      <c r="JD115" s="15"/>
      <c r="JE115" s="15"/>
      <c r="JF115" s="15"/>
      <c r="JG115" s="15"/>
      <c r="JH115" s="15"/>
      <c r="JI115" s="15"/>
      <c r="JJ115" s="15"/>
      <c r="JK115" s="15"/>
      <c r="JL115" s="15"/>
      <c r="JM115" s="15"/>
      <c r="JN115" s="15"/>
      <c r="JO115" s="15"/>
      <c r="JP115" s="15"/>
      <c r="JQ115" s="15"/>
      <c r="JR115" s="15"/>
      <c r="JS115" s="15"/>
      <c r="JT115" s="15"/>
      <c r="JU115" s="15"/>
      <c r="JV115" s="15"/>
    </row>
    <row r="116" spans="1:282" s="13" customFormat="1" ht="50.1" customHeight="1" x14ac:dyDescent="0.2">
      <c r="A116" s="695"/>
      <c r="B116" s="69" t="s">
        <v>1137</v>
      </c>
      <c r="C116" s="69"/>
      <c r="D116" s="69"/>
      <c r="E116" s="29" t="s">
        <v>1021</v>
      </c>
      <c r="F116" s="104" t="s">
        <v>1022</v>
      </c>
      <c r="G116" s="29" t="s">
        <v>1022</v>
      </c>
      <c r="H116" s="29"/>
      <c r="I116" s="29"/>
      <c r="J116" s="29" t="s">
        <v>411</v>
      </c>
      <c r="K116" s="30" t="s">
        <v>1394</v>
      </c>
      <c r="L116" s="29" t="s">
        <v>12</v>
      </c>
      <c r="M116" s="29" t="s">
        <v>1528</v>
      </c>
      <c r="N116" s="74">
        <v>40415</v>
      </c>
      <c r="O116" s="38">
        <v>727107107</v>
      </c>
      <c r="P116" s="38"/>
      <c r="Q116" s="38"/>
      <c r="R116" s="38"/>
      <c r="S116" s="38"/>
      <c r="T116" s="155"/>
      <c r="U116" s="155"/>
      <c r="V116" s="155"/>
      <c r="W116" s="155"/>
      <c r="X116" s="155"/>
      <c r="Y116" s="155"/>
      <c r="Z116" s="155"/>
      <c r="AA116" s="155"/>
      <c r="AB116" s="155"/>
      <c r="AC116" s="155"/>
      <c r="AD116" s="155"/>
      <c r="AE116" s="155"/>
      <c r="AF116" s="155"/>
      <c r="AG116" s="155"/>
      <c r="AH116" s="155"/>
      <c r="AI116" s="155"/>
      <c r="AJ116" s="724">
        <v>40903</v>
      </c>
      <c r="AK116" s="720">
        <f t="shared" si="3"/>
        <v>488</v>
      </c>
      <c r="AL116" s="15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15"/>
      <c r="CB116" s="15"/>
      <c r="CC116" s="15"/>
      <c r="CD116" s="15"/>
      <c r="CE116" s="15"/>
      <c r="CF116" s="15"/>
      <c r="CG116" s="15"/>
      <c r="CH116" s="15"/>
      <c r="CI116" s="15"/>
      <c r="CJ116" s="15"/>
      <c r="CK116" s="15"/>
      <c r="CL116" s="15"/>
      <c r="CM116" s="15"/>
      <c r="CN116" s="15"/>
      <c r="CO116" s="15"/>
      <c r="CP116" s="15"/>
      <c r="CQ116" s="15"/>
      <c r="CR116" s="15"/>
      <c r="CS116" s="15"/>
      <c r="CT116" s="15"/>
      <c r="CU116" s="15"/>
      <c r="CV116" s="15"/>
      <c r="CW116" s="15"/>
      <c r="CX116" s="15"/>
      <c r="CY116" s="15"/>
      <c r="CZ116" s="15"/>
      <c r="DA116" s="15"/>
      <c r="DB116" s="15"/>
      <c r="DC116" s="15"/>
      <c r="DD116" s="15"/>
      <c r="DE116" s="15"/>
      <c r="DF116" s="15"/>
      <c r="DG116" s="15"/>
      <c r="DH116" s="15"/>
      <c r="DI116" s="15"/>
      <c r="DJ116" s="15"/>
      <c r="DK116" s="15"/>
      <c r="DL116" s="15"/>
      <c r="DM116" s="15"/>
      <c r="DN116" s="15"/>
      <c r="DO116" s="15"/>
      <c r="DP116" s="15"/>
      <c r="DQ116" s="15"/>
      <c r="DR116" s="15"/>
      <c r="DS116" s="15"/>
      <c r="DT116" s="15"/>
      <c r="DU116" s="15"/>
      <c r="DV116" s="15"/>
      <c r="DW116" s="15"/>
      <c r="DX116" s="15"/>
      <c r="DY116" s="15"/>
      <c r="DZ116" s="15"/>
      <c r="EA116" s="15"/>
      <c r="EB116" s="15"/>
      <c r="EC116" s="15"/>
      <c r="ED116" s="15"/>
      <c r="EE116" s="15"/>
      <c r="EF116" s="15"/>
      <c r="EG116" s="15"/>
      <c r="EH116" s="15"/>
      <c r="EI116" s="15"/>
      <c r="EJ116" s="15"/>
      <c r="EK116" s="15"/>
      <c r="EL116" s="15"/>
      <c r="EM116" s="15"/>
      <c r="EN116" s="15"/>
      <c r="EO116" s="15"/>
      <c r="EP116" s="15"/>
      <c r="EQ116" s="15"/>
      <c r="ER116" s="15"/>
      <c r="ES116" s="15"/>
      <c r="ET116" s="15"/>
      <c r="EU116" s="15"/>
      <c r="EV116" s="15"/>
      <c r="EW116" s="15"/>
      <c r="EX116" s="15"/>
      <c r="EY116" s="15"/>
      <c r="EZ116" s="15"/>
      <c r="FA116" s="15"/>
      <c r="FB116" s="15"/>
      <c r="FC116" s="15"/>
      <c r="FD116" s="15"/>
      <c r="FE116" s="15"/>
      <c r="FF116" s="15"/>
      <c r="FG116" s="15"/>
      <c r="FH116" s="15"/>
      <c r="FI116" s="15"/>
      <c r="FJ116" s="15"/>
      <c r="FK116" s="15"/>
      <c r="FL116" s="15"/>
      <c r="FM116" s="15"/>
      <c r="FN116" s="15"/>
      <c r="FO116" s="15"/>
      <c r="FP116" s="15"/>
      <c r="FQ116" s="15"/>
      <c r="FR116" s="15"/>
      <c r="FS116" s="15"/>
      <c r="FT116" s="15"/>
      <c r="FU116" s="15"/>
      <c r="FV116" s="15"/>
      <c r="FW116" s="15"/>
      <c r="FX116" s="15"/>
      <c r="FY116" s="15"/>
      <c r="FZ116" s="15"/>
      <c r="GA116" s="15"/>
      <c r="GB116" s="15"/>
      <c r="GC116" s="15"/>
      <c r="GD116" s="15"/>
      <c r="GE116" s="15"/>
      <c r="GF116" s="15"/>
      <c r="GG116" s="15"/>
      <c r="GH116" s="15"/>
      <c r="GI116" s="15"/>
      <c r="GJ116" s="15"/>
      <c r="GK116" s="15"/>
      <c r="GL116" s="15"/>
      <c r="GM116" s="15"/>
      <c r="GN116" s="15"/>
      <c r="GO116" s="15"/>
      <c r="GP116" s="15"/>
      <c r="GQ116" s="15"/>
      <c r="GR116" s="15"/>
      <c r="GS116" s="15"/>
      <c r="GT116" s="15"/>
      <c r="GU116" s="15"/>
      <c r="GV116" s="15"/>
      <c r="GW116" s="15"/>
      <c r="GX116" s="15"/>
      <c r="GY116" s="15"/>
      <c r="GZ116" s="15"/>
      <c r="HA116" s="15"/>
      <c r="HB116" s="15"/>
      <c r="HC116" s="15"/>
      <c r="HD116" s="15"/>
      <c r="HE116" s="15"/>
      <c r="HF116" s="15"/>
      <c r="HG116" s="15"/>
      <c r="HH116" s="15"/>
      <c r="HI116" s="15"/>
      <c r="HJ116" s="15"/>
      <c r="HK116" s="15"/>
      <c r="HL116" s="15"/>
      <c r="HM116" s="15"/>
      <c r="HN116" s="15"/>
      <c r="HO116" s="15"/>
      <c r="HP116" s="15"/>
      <c r="HQ116" s="15"/>
      <c r="HR116" s="15"/>
      <c r="HS116" s="15"/>
      <c r="HT116" s="15"/>
      <c r="HU116" s="15"/>
      <c r="HV116" s="15"/>
      <c r="HW116" s="15"/>
      <c r="HX116" s="15"/>
      <c r="HY116" s="15"/>
      <c r="HZ116" s="15"/>
      <c r="IA116" s="15"/>
      <c r="IB116" s="15"/>
      <c r="IC116" s="15"/>
      <c r="ID116" s="15"/>
      <c r="IE116" s="15"/>
      <c r="IF116" s="15"/>
      <c r="IG116" s="15"/>
      <c r="IH116" s="15"/>
      <c r="II116" s="15"/>
      <c r="IJ116" s="15"/>
      <c r="IK116" s="15"/>
      <c r="IL116" s="15"/>
      <c r="IM116" s="15"/>
      <c r="IN116" s="15"/>
      <c r="IO116" s="15"/>
      <c r="IP116" s="15"/>
      <c r="IQ116" s="15"/>
      <c r="IR116" s="15"/>
      <c r="IS116" s="15"/>
      <c r="IT116" s="15"/>
      <c r="IU116" s="15"/>
      <c r="IV116" s="15"/>
      <c r="IW116" s="15"/>
      <c r="IX116" s="15"/>
      <c r="IY116" s="15"/>
      <c r="IZ116" s="15"/>
      <c r="JA116" s="15"/>
      <c r="JB116" s="15"/>
      <c r="JC116" s="15"/>
      <c r="JD116" s="15"/>
      <c r="JE116" s="15"/>
      <c r="JF116" s="15"/>
      <c r="JG116" s="15"/>
      <c r="JH116" s="15"/>
      <c r="JI116" s="15"/>
      <c r="JJ116" s="15"/>
      <c r="JK116" s="15"/>
      <c r="JL116" s="15"/>
      <c r="JM116" s="15"/>
      <c r="JN116" s="15"/>
      <c r="JO116" s="15"/>
      <c r="JP116" s="15"/>
      <c r="JQ116" s="15"/>
      <c r="JR116" s="15"/>
      <c r="JS116" s="15"/>
      <c r="JT116" s="15"/>
      <c r="JU116" s="15"/>
      <c r="JV116" s="15"/>
    </row>
    <row r="117" spans="1:282" s="13" customFormat="1" ht="50.1" customHeight="1" x14ac:dyDescent="0.2">
      <c r="A117" s="695"/>
      <c r="B117" s="69" t="s">
        <v>1137</v>
      </c>
      <c r="C117" s="69"/>
      <c r="D117" s="69"/>
      <c r="E117" s="74" t="s">
        <v>1024</v>
      </c>
      <c r="F117" s="104" t="s">
        <v>2397</v>
      </c>
      <c r="G117" s="29" t="s">
        <v>103</v>
      </c>
      <c r="H117" s="29" t="s">
        <v>1025</v>
      </c>
      <c r="I117" s="29"/>
      <c r="J117" s="69" t="s">
        <v>1026</v>
      </c>
      <c r="K117" s="30" t="s">
        <v>1394</v>
      </c>
      <c r="L117" s="29" t="s">
        <v>2504</v>
      </c>
      <c r="M117" s="29" t="s">
        <v>1528</v>
      </c>
      <c r="N117" s="74">
        <v>39568</v>
      </c>
      <c r="O117" s="29" t="s">
        <v>1027</v>
      </c>
      <c r="P117" s="29"/>
      <c r="Q117" s="29"/>
      <c r="R117" s="29"/>
      <c r="S117" s="29"/>
      <c r="T117" s="172"/>
      <c r="U117" s="172"/>
      <c r="V117" s="172"/>
      <c r="W117" s="172"/>
      <c r="X117" s="172"/>
      <c r="Y117" s="172"/>
      <c r="Z117" s="172"/>
      <c r="AA117" s="172"/>
      <c r="AB117" s="172"/>
      <c r="AC117" s="172"/>
      <c r="AD117" s="172"/>
      <c r="AE117" s="172"/>
      <c r="AF117" s="172"/>
      <c r="AG117" s="172"/>
      <c r="AH117" s="172"/>
      <c r="AI117" s="172"/>
      <c r="AJ117" s="724">
        <v>41043</v>
      </c>
      <c r="AK117" s="720">
        <f t="shared" si="3"/>
        <v>1475</v>
      </c>
      <c r="AL117" s="172"/>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15"/>
      <c r="CB117" s="15"/>
      <c r="CC117" s="15"/>
      <c r="CD117" s="15"/>
      <c r="CE117" s="15"/>
      <c r="CF117" s="15"/>
      <c r="CG117" s="15"/>
      <c r="CH117" s="15"/>
      <c r="CI117" s="15"/>
      <c r="CJ117" s="15"/>
      <c r="CK117" s="15"/>
      <c r="CL117" s="15"/>
      <c r="CM117" s="15"/>
      <c r="CN117" s="15"/>
      <c r="CO117" s="15"/>
      <c r="CP117" s="15"/>
      <c r="CQ117" s="15"/>
      <c r="CR117" s="15"/>
      <c r="CS117" s="15"/>
      <c r="CT117" s="15"/>
      <c r="CU117" s="15"/>
      <c r="CV117" s="15"/>
      <c r="CW117" s="15"/>
      <c r="CX117" s="15"/>
      <c r="CY117" s="15"/>
      <c r="CZ117" s="15"/>
      <c r="DA117" s="15"/>
      <c r="DB117" s="15"/>
      <c r="DC117" s="15"/>
      <c r="DD117" s="15"/>
      <c r="DE117" s="15"/>
      <c r="DF117" s="15"/>
      <c r="DG117" s="15"/>
      <c r="DH117" s="15"/>
      <c r="DI117" s="15"/>
      <c r="DJ117" s="15"/>
      <c r="DK117" s="15"/>
      <c r="DL117" s="15"/>
      <c r="DM117" s="15"/>
      <c r="DN117" s="15"/>
      <c r="DO117" s="15"/>
      <c r="DP117" s="15"/>
      <c r="DQ117" s="15"/>
      <c r="DR117" s="15"/>
      <c r="DS117" s="15"/>
      <c r="DT117" s="15"/>
      <c r="DU117" s="15"/>
      <c r="DV117" s="15"/>
      <c r="DW117" s="15"/>
      <c r="DX117" s="15"/>
      <c r="DY117" s="15"/>
      <c r="DZ117" s="15"/>
      <c r="EA117" s="15"/>
      <c r="EB117" s="15"/>
      <c r="EC117" s="15"/>
      <c r="ED117" s="15"/>
      <c r="EE117" s="15"/>
      <c r="EF117" s="15"/>
      <c r="EG117" s="15"/>
      <c r="EH117" s="15"/>
      <c r="EI117" s="15"/>
      <c r="EJ117" s="15"/>
      <c r="EK117" s="15"/>
      <c r="EL117" s="15"/>
      <c r="EM117" s="15"/>
      <c r="EN117" s="15"/>
      <c r="EO117" s="15"/>
      <c r="EP117" s="15"/>
      <c r="EQ117" s="15"/>
      <c r="ER117" s="15"/>
      <c r="ES117" s="15"/>
      <c r="ET117" s="15"/>
      <c r="EU117" s="15"/>
      <c r="EV117" s="15"/>
      <c r="EW117" s="15"/>
      <c r="EX117" s="15"/>
      <c r="EY117" s="15"/>
      <c r="EZ117" s="15"/>
      <c r="FA117" s="15"/>
      <c r="FB117" s="15"/>
      <c r="FC117" s="15"/>
      <c r="FD117" s="15"/>
      <c r="FE117" s="15"/>
      <c r="FF117" s="15"/>
      <c r="FG117" s="15"/>
      <c r="FH117" s="15"/>
      <c r="FI117" s="15"/>
      <c r="FJ117" s="15"/>
      <c r="FK117" s="15"/>
      <c r="FL117" s="15"/>
      <c r="FM117" s="15"/>
      <c r="FN117" s="15"/>
      <c r="FO117" s="15"/>
      <c r="FP117" s="15"/>
      <c r="FQ117" s="15"/>
      <c r="FR117" s="15"/>
      <c r="FS117" s="15"/>
      <c r="FT117" s="15"/>
      <c r="FU117" s="15"/>
      <c r="FV117" s="15"/>
      <c r="FW117" s="15"/>
      <c r="FX117" s="15"/>
      <c r="FY117" s="15"/>
      <c r="FZ117" s="15"/>
      <c r="GA117" s="15"/>
      <c r="GB117" s="15"/>
      <c r="GC117" s="15"/>
      <c r="GD117" s="15"/>
      <c r="GE117" s="15"/>
      <c r="GF117" s="15"/>
      <c r="GG117" s="15"/>
      <c r="GH117" s="15"/>
      <c r="GI117" s="15"/>
      <c r="GJ117" s="15"/>
      <c r="GK117" s="15"/>
      <c r="GL117" s="15"/>
      <c r="GM117" s="15"/>
      <c r="GN117" s="15"/>
      <c r="GO117" s="15"/>
      <c r="GP117" s="15"/>
      <c r="GQ117" s="15"/>
      <c r="GR117" s="15"/>
      <c r="GS117" s="15"/>
      <c r="GT117" s="15"/>
      <c r="GU117" s="15"/>
      <c r="GV117" s="15"/>
      <c r="GW117" s="15"/>
      <c r="GX117" s="15"/>
      <c r="GY117" s="15"/>
      <c r="GZ117" s="15"/>
      <c r="HA117" s="15"/>
      <c r="HB117" s="15"/>
      <c r="HC117" s="15"/>
      <c r="HD117" s="15"/>
      <c r="HE117" s="15"/>
      <c r="HF117" s="15"/>
      <c r="HG117" s="15"/>
      <c r="HH117" s="15"/>
      <c r="HI117" s="15"/>
      <c r="HJ117" s="15"/>
      <c r="HK117" s="15"/>
      <c r="HL117" s="15"/>
      <c r="HM117" s="15"/>
      <c r="HN117" s="15"/>
      <c r="HO117" s="15"/>
      <c r="HP117" s="15"/>
      <c r="HQ117" s="15"/>
      <c r="HR117" s="15"/>
      <c r="HS117" s="15"/>
      <c r="HT117" s="15"/>
      <c r="HU117" s="15"/>
      <c r="HV117" s="15"/>
      <c r="HW117" s="15"/>
      <c r="HX117" s="15"/>
      <c r="HY117" s="15"/>
      <c r="HZ117" s="15"/>
      <c r="IA117" s="15"/>
      <c r="IB117" s="15"/>
      <c r="IC117" s="15"/>
      <c r="ID117" s="15"/>
      <c r="IE117" s="15"/>
      <c r="IF117" s="15"/>
      <c r="IG117" s="15"/>
      <c r="IH117" s="15"/>
      <c r="II117" s="15"/>
      <c r="IJ117" s="15"/>
      <c r="IK117" s="15"/>
      <c r="IL117" s="15"/>
      <c r="IM117" s="15"/>
      <c r="IN117" s="15"/>
      <c r="IO117" s="15"/>
      <c r="IP117" s="15"/>
      <c r="IQ117" s="15"/>
      <c r="IR117" s="15"/>
      <c r="IS117" s="15"/>
      <c r="IT117" s="15"/>
      <c r="IU117" s="15"/>
      <c r="IV117" s="15"/>
      <c r="IW117" s="15"/>
      <c r="IX117" s="15"/>
      <c r="IY117" s="15"/>
      <c r="IZ117" s="15"/>
      <c r="JA117" s="15"/>
      <c r="JB117" s="15"/>
      <c r="JC117" s="15"/>
      <c r="JD117" s="15"/>
      <c r="JE117" s="15"/>
      <c r="JF117" s="15"/>
      <c r="JG117" s="15"/>
      <c r="JH117" s="15"/>
      <c r="JI117" s="15"/>
      <c r="JJ117" s="15"/>
      <c r="JK117" s="15"/>
      <c r="JL117" s="15"/>
      <c r="JM117" s="15"/>
      <c r="JN117" s="15"/>
      <c r="JO117" s="15"/>
      <c r="JP117" s="15"/>
      <c r="JQ117" s="15"/>
      <c r="JR117" s="15"/>
      <c r="JS117" s="15"/>
      <c r="JT117" s="15"/>
      <c r="JU117" s="15"/>
      <c r="JV117" s="15"/>
    </row>
    <row r="118" spans="1:282" s="13" customFormat="1" ht="50.1" customHeight="1" x14ac:dyDescent="0.2">
      <c r="A118" s="695"/>
      <c r="B118" s="703" t="s">
        <v>1137</v>
      </c>
      <c r="C118" s="703"/>
      <c r="D118" s="703"/>
      <c r="E118" s="165" t="s">
        <v>1028</v>
      </c>
      <c r="F118" s="722" t="s">
        <v>1029</v>
      </c>
      <c r="G118" s="165" t="s">
        <v>1029</v>
      </c>
      <c r="H118" s="165" t="s">
        <v>86</v>
      </c>
      <c r="I118" s="165"/>
      <c r="J118" s="165" t="s">
        <v>40</v>
      </c>
      <c r="K118" s="729" t="s">
        <v>1394</v>
      </c>
      <c r="L118" s="165" t="s">
        <v>685</v>
      </c>
      <c r="M118" s="165" t="s">
        <v>1528</v>
      </c>
      <c r="N118" s="723">
        <v>39933</v>
      </c>
      <c r="O118" s="165" t="s">
        <v>1030</v>
      </c>
      <c r="P118" s="165"/>
      <c r="Q118" s="165"/>
      <c r="R118" s="165"/>
      <c r="S118" s="165"/>
      <c r="T118" s="599" t="s">
        <v>2685</v>
      </c>
      <c r="U118" s="599"/>
      <c r="V118" s="599"/>
      <c r="W118" s="599"/>
      <c r="X118" s="599"/>
      <c r="Y118" s="599"/>
      <c r="Z118" s="599"/>
      <c r="AA118" s="599"/>
      <c r="AB118" s="599"/>
      <c r="AC118" s="599"/>
      <c r="AD118" s="599"/>
      <c r="AE118" s="599"/>
      <c r="AF118" s="599"/>
      <c r="AG118" s="599"/>
      <c r="AH118" s="599"/>
      <c r="AI118" s="599"/>
      <c r="AJ118" s="730">
        <v>41043</v>
      </c>
      <c r="AK118" s="720">
        <v>21</v>
      </c>
      <c r="AL118" s="15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15"/>
      <c r="CB118" s="15"/>
      <c r="CC118" s="15"/>
      <c r="CD118" s="15"/>
      <c r="CE118" s="15"/>
      <c r="CF118" s="15"/>
      <c r="CG118" s="15"/>
      <c r="CH118" s="15"/>
      <c r="CI118" s="15"/>
      <c r="CJ118" s="15"/>
      <c r="CK118" s="15"/>
      <c r="CL118" s="15"/>
      <c r="CM118" s="15"/>
      <c r="CN118" s="15"/>
      <c r="CO118" s="15"/>
      <c r="CP118" s="15"/>
      <c r="CQ118" s="15"/>
      <c r="CR118" s="15"/>
      <c r="CS118" s="15"/>
      <c r="CT118" s="15"/>
      <c r="CU118" s="15"/>
      <c r="CV118" s="15"/>
      <c r="CW118" s="15"/>
      <c r="CX118" s="15"/>
      <c r="CY118" s="15"/>
      <c r="CZ118" s="15"/>
      <c r="DA118" s="15"/>
      <c r="DB118" s="15"/>
      <c r="DC118" s="15"/>
      <c r="DD118" s="15"/>
      <c r="DE118" s="15"/>
      <c r="DF118" s="15"/>
      <c r="DG118" s="15"/>
      <c r="DH118" s="15"/>
      <c r="DI118" s="15"/>
      <c r="DJ118" s="15"/>
      <c r="DK118" s="15"/>
      <c r="DL118" s="15"/>
      <c r="DM118" s="15"/>
      <c r="DN118" s="15"/>
      <c r="DO118" s="15"/>
      <c r="DP118" s="15"/>
      <c r="DQ118" s="15"/>
      <c r="DR118" s="15"/>
      <c r="DS118" s="15"/>
      <c r="DT118" s="15"/>
      <c r="DU118" s="15"/>
      <c r="DV118" s="15"/>
      <c r="DW118" s="15"/>
      <c r="DX118" s="15"/>
      <c r="DY118" s="15"/>
      <c r="DZ118" s="15"/>
      <c r="EA118" s="15"/>
      <c r="EB118" s="15"/>
      <c r="EC118" s="15"/>
      <c r="ED118" s="15"/>
      <c r="EE118" s="15"/>
      <c r="EF118" s="15"/>
      <c r="EG118" s="15"/>
      <c r="EH118" s="15"/>
      <c r="EI118" s="15"/>
      <c r="EJ118" s="15"/>
      <c r="EK118" s="15"/>
      <c r="EL118" s="15"/>
      <c r="EM118" s="15"/>
      <c r="EN118" s="15"/>
      <c r="EO118" s="15"/>
      <c r="EP118" s="15"/>
      <c r="EQ118" s="15"/>
      <c r="ER118" s="15"/>
      <c r="ES118" s="15"/>
      <c r="ET118" s="15"/>
      <c r="EU118" s="15"/>
      <c r="EV118" s="15"/>
      <c r="EW118" s="15"/>
      <c r="EX118" s="15"/>
      <c r="EY118" s="15"/>
      <c r="EZ118" s="15"/>
      <c r="FA118" s="15"/>
      <c r="FB118" s="15"/>
      <c r="FC118" s="15"/>
      <c r="FD118" s="15"/>
      <c r="FE118" s="15"/>
      <c r="FF118" s="15"/>
      <c r="FG118" s="15"/>
      <c r="FH118" s="15"/>
      <c r="FI118" s="15"/>
      <c r="FJ118" s="15"/>
      <c r="FK118" s="15"/>
      <c r="FL118" s="15"/>
      <c r="FM118" s="15"/>
      <c r="FN118" s="15"/>
      <c r="FO118" s="15"/>
      <c r="FP118" s="15"/>
      <c r="FQ118" s="15"/>
      <c r="FR118" s="15"/>
      <c r="FS118" s="15"/>
      <c r="FT118" s="15"/>
      <c r="FU118" s="15"/>
      <c r="FV118" s="15"/>
      <c r="FW118" s="15"/>
      <c r="FX118" s="15"/>
      <c r="FY118" s="15"/>
      <c r="FZ118" s="15"/>
      <c r="GA118" s="15"/>
      <c r="GB118" s="15"/>
      <c r="GC118" s="15"/>
      <c r="GD118" s="15"/>
      <c r="GE118" s="15"/>
      <c r="GF118" s="15"/>
      <c r="GG118" s="15"/>
      <c r="GH118" s="15"/>
      <c r="GI118" s="15"/>
      <c r="GJ118" s="15"/>
      <c r="GK118" s="15"/>
      <c r="GL118" s="15"/>
      <c r="GM118" s="15"/>
      <c r="GN118" s="15"/>
      <c r="GO118" s="15"/>
      <c r="GP118" s="15"/>
      <c r="GQ118" s="15"/>
      <c r="GR118" s="15"/>
      <c r="GS118" s="15"/>
      <c r="GT118" s="15"/>
      <c r="GU118" s="15"/>
      <c r="GV118" s="15"/>
      <c r="GW118" s="15"/>
      <c r="GX118" s="15"/>
      <c r="GY118" s="15"/>
      <c r="GZ118" s="15"/>
      <c r="HA118" s="15"/>
      <c r="HB118" s="15"/>
      <c r="HC118" s="15"/>
      <c r="HD118" s="15"/>
      <c r="HE118" s="15"/>
      <c r="HF118" s="15"/>
      <c r="HG118" s="15"/>
      <c r="HH118" s="15"/>
      <c r="HI118" s="15"/>
      <c r="HJ118" s="15"/>
      <c r="HK118" s="15"/>
      <c r="HL118" s="15"/>
      <c r="HM118" s="15"/>
      <c r="HN118" s="15"/>
      <c r="HO118" s="15"/>
      <c r="HP118" s="15"/>
      <c r="HQ118" s="15"/>
      <c r="HR118" s="15"/>
      <c r="HS118" s="15"/>
      <c r="HT118" s="15"/>
      <c r="HU118" s="15"/>
      <c r="HV118" s="15"/>
      <c r="HW118" s="15"/>
      <c r="HX118" s="15"/>
      <c r="HY118" s="15"/>
      <c r="HZ118" s="15"/>
      <c r="IA118" s="15"/>
      <c r="IB118" s="15"/>
      <c r="IC118" s="15"/>
      <c r="ID118" s="15"/>
      <c r="IE118" s="15"/>
      <c r="IF118" s="15"/>
      <c r="IG118" s="15"/>
      <c r="IH118" s="15"/>
      <c r="II118" s="15"/>
      <c r="IJ118" s="15"/>
      <c r="IK118" s="15"/>
      <c r="IL118" s="15"/>
      <c r="IM118" s="15"/>
      <c r="IN118" s="15"/>
      <c r="IO118" s="15"/>
      <c r="IP118" s="15"/>
      <c r="IQ118" s="15"/>
      <c r="IR118" s="15"/>
      <c r="IS118" s="15"/>
      <c r="IT118" s="15"/>
      <c r="IU118" s="15"/>
      <c r="IV118" s="15"/>
      <c r="IW118" s="15"/>
      <c r="IX118" s="15"/>
      <c r="IY118" s="15"/>
      <c r="IZ118" s="15"/>
      <c r="JA118" s="15"/>
      <c r="JB118" s="15"/>
      <c r="JC118" s="15"/>
      <c r="JD118" s="15"/>
      <c r="JE118" s="15"/>
      <c r="JF118" s="15"/>
      <c r="JG118" s="15"/>
      <c r="JH118" s="15"/>
      <c r="JI118" s="15"/>
      <c r="JJ118" s="15"/>
      <c r="JK118" s="15"/>
      <c r="JL118" s="15"/>
      <c r="JM118" s="15"/>
      <c r="JN118" s="15"/>
      <c r="JO118" s="15"/>
      <c r="JP118" s="15"/>
      <c r="JQ118" s="15"/>
      <c r="JR118" s="15"/>
      <c r="JS118" s="15"/>
      <c r="JT118" s="15"/>
      <c r="JU118" s="15"/>
      <c r="JV118" s="15"/>
    </row>
    <row r="119" spans="1:282" s="13" customFormat="1" ht="50.1" customHeight="1" x14ac:dyDescent="0.2">
      <c r="A119" s="695"/>
      <c r="B119" s="703" t="s">
        <v>1137</v>
      </c>
      <c r="C119" s="703"/>
      <c r="D119" s="703"/>
      <c r="E119" s="165" t="s">
        <v>1031</v>
      </c>
      <c r="F119" s="722" t="s">
        <v>1032</v>
      </c>
      <c r="G119" s="165" t="s">
        <v>1029</v>
      </c>
      <c r="H119" s="165" t="s">
        <v>86</v>
      </c>
      <c r="I119" s="165"/>
      <c r="J119" s="165" t="s">
        <v>40</v>
      </c>
      <c r="K119" s="165" t="s">
        <v>1393</v>
      </c>
      <c r="L119" s="165" t="s">
        <v>685</v>
      </c>
      <c r="M119" s="165" t="s">
        <v>1528</v>
      </c>
      <c r="N119" s="723">
        <v>39933</v>
      </c>
      <c r="O119" s="165" t="s">
        <v>1033</v>
      </c>
      <c r="P119" s="165"/>
      <c r="Q119" s="165"/>
      <c r="R119" s="165"/>
      <c r="S119" s="165"/>
      <c r="T119" s="599" t="s">
        <v>2684</v>
      </c>
      <c r="U119" s="599"/>
      <c r="V119" s="599"/>
      <c r="W119" s="599"/>
      <c r="X119" s="599"/>
      <c r="Y119" s="599"/>
      <c r="Z119" s="599"/>
      <c r="AA119" s="599"/>
      <c r="AB119" s="599"/>
      <c r="AC119" s="599"/>
      <c r="AD119" s="599"/>
      <c r="AE119" s="599"/>
      <c r="AF119" s="599"/>
      <c r="AG119" s="599"/>
      <c r="AH119" s="599"/>
      <c r="AI119" s="599"/>
      <c r="AJ119" s="730">
        <v>41043</v>
      </c>
      <c r="AK119" s="720">
        <v>22</v>
      </c>
      <c r="AL119" s="15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15"/>
      <c r="CB119" s="15"/>
      <c r="CC119" s="15"/>
      <c r="CD119" s="15"/>
      <c r="CE119" s="15"/>
      <c r="CF119" s="15"/>
      <c r="CG119" s="15"/>
      <c r="CH119" s="15"/>
      <c r="CI119" s="15"/>
      <c r="CJ119" s="15"/>
      <c r="CK119" s="15"/>
      <c r="CL119" s="15"/>
      <c r="CM119" s="15"/>
      <c r="CN119" s="15"/>
      <c r="CO119" s="15"/>
      <c r="CP119" s="15"/>
      <c r="CQ119" s="15"/>
      <c r="CR119" s="15"/>
      <c r="CS119" s="15"/>
      <c r="CT119" s="15"/>
      <c r="CU119" s="15"/>
      <c r="CV119" s="15"/>
      <c r="CW119" s="15"/>
      <c r="CX119" s="15"/>
      <c r="CY119" s="15"/>
      <c r="CZ119" s="15"/>
      <c r="DA119" s="15"/>
      <c r="DB119" s="15"/>
      <c r="DC119" s="15"/>
      <c r="DD119" s="15"/>
      <c r="DE119" s="15"/>
      <c r="DF119" s="15"/>
      <c r="DG119" s="15"/>
      <c r="DH119" s="15"/>
      <c r="DI119" s="15"/>
      <c r="DJ119" s="15"/>
      <c r="DK119" s="15"/>
      <c r="DL119" s="15"/>
      <c r="DM119" s="15"/>
      <c r="DN119" s="15"/>
      <c r="DO119" s="15"/>
      <c r="DP119" s="15"/>
      <c r="DQ119" s="15"/>
      <c r="DR119" s="15"/>
      <c r="DS119" s="15"/>
      <c r="DT119" s="15"/>
      <c r="DU119" s="15"/>
      <c r="DV119" s="15"/>
      <c r="DW119" s="15"/>
      <c r="DX119" s="15"/>
      <c r="DY119" s="15"/>
      <c r="DZ119" s="15"/>
      <c r="EA119" s="15"/>
      <c r="EB119" s="15"/>
      <c r="EC119" s="15"/>
      <c r="ED119" s="15"/>
      <c r="EE119" s="15"/>
      <c r="EF119" s="15"/>
      <c r="EG119" s="15"/>
      <c r="EH119" s="15"/>
      <c r="EI119" s="15"/>
      <c r="EJ119" s="15"/>
      <c r="EK119" s="15"/>
      <c r="EL119" s="15"/>
      <c r="EM119" s="15"/>
      <c r="EN119" s="15"/>
      <c r="EO119" s="15"/>
      <c r="EP119" s="15"/>
      <c r="EQ119" s="15"/>
      <c r="ER119" s="15"/>
      <c r="ES119" s="15"/>
      <c r="ET119" s="15"/>
      <c r="EU119" s="15"/>
      <c r="EV119" s="15"/>
      <c r="EW119" s="15"/>
      <c r="EX119" s="15"/>
      <c r="EY119" s="15"/>
      <c r="EZ119" s="15"/>
      <c r="FA119" s="15"/>
      <c r="FB119" s="15"/>
      <c r="FC119" s="15"/>
      <c r="FD119" s="15"/>
      <c r="FE119" s="15"/>
      <c r="FF119" s="15"/>
      <c r="FG119" s="15"/>
      <c r="FH119" s="15"/>
      <c r="FI119" s="15"/>
      <c r="FJ119" s="15"/>
      <c r="FK119" s="15"/>
      <c r="FL119" s="15"/>
      <c r="FM119" s="15"/>
      <c r="FN119" s="15"/>
      <c r="FO119" s="15"/>
      <c r="FP119" s="15"/>
      <c r="FQ119" s="15"/>
      <c r="FR119" s="15"/>
      <c r="FS119" s="15"/>
      <c r="FT119" s="15"/>
      <c r="FU119" s="15"/>
      <c r="FV119" s="15"/>
      <c r="FW119" s="15"/>
      <c r="FX119" s="15"/>
      <c r="FY119" s="15"/>
      <c r="FZ119" s="15"/>
      <c r="GA119" s="15"/>
      <c r="GB119" s="15"/>
      <c r="GC119" s="15"/>
      <c r="GD119" s="15"/>
      <c r="GE119" s="15"/>
      <c r="GF119" s="15"/>
      <c r="GG119" s="15"/>
      <c r="GH119" s="15"/>
      <c r="GI119" s="15"/>
      <c r="GJ119" s="15"/>
      <c r="GK119" s="15"/>
      <c r="GL119" s="15"/>
      <c r="GM119" s="15"/>
      <c r="GN119" s="15"/>
      <c r="GO119" s="15"/>
      <c r="GP119" s="15"/>
      <c r="GQ119" s="15"/>
      <c r="GR119" s="15"/>
      <c r="GS119" s="15"/>
      <c r="GT119" s="15"/>
      <c r="GU119" s="15"/>
      <c r="GV119" s="15"/>
      <c r="GW119" s="15"/>
      <c r="GX119" s="15"/>
      <c r="GY119" s="15"/>
      <c r="GZ119" s="15"/>
      <c r="HA119" s="15"/>
      <c r="HB119" s="15"/>
      <c r="HC119" s="15"/>
      <c r="HD119" s="15"/>
      <c r="HE119" s="15"/>
      <c r="HF119" s="15"/>
      <c r="HG119" s="15"/>
      <c r="HH119" s="15"/>
      <c r="HI119" s="15"/>
      <c r="HJ119" s="15"/>
      <c r="HK119" s="15"/>
      <c r="HL119" s="15"/>
      <c r="HM119" s="15"/>
      <c r="HN119" s="15"/>
      <c r="HO119" s="15"/>
      <c r="HP119" s="15"/>
      <c r="HQ119" s="15"/>
      <c r="HR119" s="15"/>
      <c r="HS119" s="15"/>
      <c r="HT119" s="15"/>
      <c r="HU119" s="15"/>
      <c r="HV119" s="15"/>
      <c r="HW119" s="15"/>
      <c r="HX119" s="15"/>
      <c r="HY119" s="15"/>
      <c r="HZ119" s="15"/>
      <c r="IA119" s="15"/>
      <c r="IB119" s="15"/>
      <c r="IC119" s="15"/>
      <c r="ID119" s="15"/>
      <c r="IE119" s="15"/>
      <c r="IF119" s="15"/>
      <c r="IG119" s="15"/>
      <c r="IH119" s="15"/>
      <c r="II119" s="15"/>
      <c r="IJ119" s="15"/>
      <c r="IK119" s="15"/>
      <c r="IL119" s="15"/>
      <c r="IM119" s="15"/>
      <c r="IN119" s="15"/>
      <c r="IO119" s="15"/>
      <c r="IP119" s="15"/>
      <c r="IQ119" s="15"/>
      <c r="IR119" s="15"/>
      <c r="IS119" s="15"/>
      <c r="IT119" s="15"/>
      <c r="IU119" s="15"/>
      <c r="IV119" s="15"/>
      <c r="IW119" s="15"/>
      <c r="IX119" s="15"/>
      <c r="IY119" s="15"/>
      <c r="IZ119" s="15"/>
      <c r="JA119" s="15"/>
      <c r="JB119" s="15"/>
      <c r="JC119" s="15"/>
      <c r="JD119" s="15"/>
      <c r="JE119" s="15"/>
      <c r="JF119" s="15"/>
      <c r="JG119" s="15"/>
      <c r="JH119" s="15"/>
      <c r="JI119" s="15"/>
      <c r="JJ119" s="15"/>
      <c r="JK119" s="15"/>
      <c r="JL119" s="15"/>
      <c r="JM119" s="15"/>
      <c r="JN119" s="15"/>
      <c r="JO119" s="15"/>
      <c r="JP119" s="15"/>
      <c r="JQ119" s="15"/>
      <c r="JR119" s="15"/>
      <c r="JS119" s="15"/>
      <c r="JT119" s="15"/>
      <c r="JU119" s="15"/>
      <c r="JV119" s="15"/>
    </row>
    <row r="120" spans="1:282" s="13" customFormat="1" ht="50.1" customHeight="1" x14ac:dyDescent="0.2">
      <c r="A120" s="695"/>
      <c r="B120" s="69" t="s">
        <v>1137</v>
      </c>
      <c r="C120" s="69"/>
      <c r="D120" s="69"/>
      <c r="E120" s="74" t="s">
        <v>1034</v>
      </c>
      <c r="F120" s="104" t="s">
        <v>1035</v>
      </c>
      <c r="G120" s="29" t="s">
        <v>1035</v>
      </c>
      <c r="H120" s="29" t="s">
        <v>90</v>
      </c>
      <c r="I120" s="29"/>
      <c r="J120" s="69" t="s">
        <v>605</v>
      </c>
      <c r="K120" s="30" t="s">
        <v>1394</v>
      </c>
      <c r="L120" s="29" t="s">
        <v>1286</v>
      </c>
      <c r="M120" s="29" t="s">
        <v>1528</v>
      </c>
      <c r="N120" s="74">
        <v>40058</v>
      </c>
      <c r="O120" s="74" t="s">
        <v>1036</v>
      </c>
      <c r="P120" s="74"/>
      <c r="Q120" s="74"/>
      <c r="R120" s="74"/>
      <c r="S120" s="74"/>
      <c r="T120" s="155" t="s">
        <v>994</v>
      </c>
      <c r="U120" s="155"/>
      <c r="V120" s="155"/>
      <c r="W120" s="155"/>
      <c r="X120" s="155"/>
      <c r="Y120" s="155"/>
      <c r="Z120" s="155"/>
      <c r="AA120" s="155"/>
      <c r="AB120" s="155"/>
      <c r="AC120" s="155"/>
      <c r="AD120" s="155"/>
      <c r="AE120" s="155"/>
      <c r="AF120" s="155"/>
      <c r="AG120" s="155"/>
      <c r="AH120" s="155"/>
      <c r="AI120" s="155"/>
      <c r="AJ120" s="724">
        <v>41043</v>
      </c>
      <c r="AK120" s="731"/>
      <c r="AL120" s="15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15"/>
      <c r="CB120" s="15"/>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c r="HZ120" s="15"/>
      <c r="IA120" s="15"/>
      <c r="IB120" s="15"/>
      <c r="IC120" s="15"/>
      <c r="ID120" s="15"/>
      <c r="IE120" s="15"/>
      <c r="IF120" s="15"/>
      <c r="IG120" s="15"/>
      <c r="IH120" s="15"/>
      <c r="II120" s="15"/>
      <c r="IJ120" s="15"/>
      <c r="IK120" s="15"/>
      <c r="IL120" s="15"/>
      <c r="IM120" s="15"/>
      <c r="IN120" s="15"/>
      <c r="IO120" s="15"/>
      <c r="IP120" s="15"/>
      <c r="IQ120" s="15"/>
      <c r="IR120" s="15"/>
      <c r="IS120" s="15"/>
      <c r="IT120" s="15"/>
      <c r="IU120" s="15"/>
      <c r="IV120" s="15"/>
      <c r="IW120" s="15"/>
      <c r="IX120" s="15"/>
      <c r="IY120" s="15"/>
      <c r="IZ120" s="15"/>
      <c r="JA120" s="15"/>
      <c r="JB120" s="15"/>
      <c r="JC120" s="15"/>
      <c r="JD120" s="15"/>
      <c r="JE120" s="15"/>
      <c r="JF120" s="15"/>
      <c r="JG120" s="15"/>
      <c r="JH120" s="15"/>
      <c r="JI120" s="15"/>
      <c r="JJ120" s="15"/>
      <c r="JK120" s="15"/>
      <c r="JL120" s="15"/>
      <c r="JM120" s="15"/>
      <c r="JN120" s="15"/>
      <c r="JO120" s="15"/>
      <c r="JP120" s="15"/>
      <c r="JQ120" s="15"/>
      <c r="JR120" s="15"/>
      <c r="JS120" s="15"/>
      <c r="JT120" s="15"/>
      <c r="JU120" s="15"/>
      <c r="JV120" s="15"/>
    </row>
    <row r="121" spans="1:282" s="21" customFormat="1" ht="50.1" customHeight="1" x14ac:dyDescent="0.2">
      <c r="A121" s="702"/>
      <c r="B121" s="69" t="s">
        <v>1137</v>
      </c>
      <c r="C121" s="69"/>
      <c r="D121" s="69"/>
      <c r="E121" s="69" t="s">
        <v>1037</v>
      </c>
      <c r="F121" s="104" t="s">
        <v>1038</v>
      </c>
      <c r="G121" s="29" t="s">
        <v>17</v>
      </c>
      <c r="H121" s="29" t="s">
        <v>92</v>
      </c>
      <c r="I121" s="29"/>
      <c r="J121" s="69" t="s">
        <v>19</v>
      </c>
      <c r="K121" s="29" t="s">
        <v>1393</v>
      </c>
      <c r="L121" s="29" t="s">
        <v>18</v>
      </c>
      <c r="M121" s="29" t="s">
        <v>1528</v>
      </c>
      <c r="N121" s="74">
        <v>40092</v>
      </c>
      <c r="O121" s="74" t="s">
        <v>1039</v>
      </c>
      <c r="P121" s="74"/>
      <c r="Q121" s="74"/>
      <c r="R121" s="74"/>
      <c r="S121" s="74"/>
      <c r="T121" s="597"/>
      <c r="U121" s="597"/>
      <c r="V121" s="597"/>
      <c r="W121" s="597"/>
      <c r="X121" s="597"/>
      <c r="Y121" s="597"/>
      <c r="Z121" s="597"/>
      <c r="AA121" s="597"/>
      <c r="AB121" s="597"/>
      <c r="AC121" s="597"/>
      <c r="AD121" s="597"/>
      <c r="AE121" s="597"/>
      <c r="AF121" s="597"/>
      <c r="AG121" s="597"/>
      <c r="AH121" s="597"/>
      <c r="AI121" s="597"/>
      <c r="AJ121" s="724">
        <v>41043</v>
      </c>
      <c r="AK121" s="732"/>
      <c r="AL121" s="593"/>
      <c r="AM121" s="598"/>
      <c r="AN121" s="598"/>
      <c r="AO121" s="598"/>
      <c r="AP121" s="598"/>
      <c r="AQ121" s="598"/>
      <c r="AR121" s="598"/>
      <c r="AS121" s="598"/>
      <c r="AT121" s="598"/>
      <c r="AU121" s="598"/>
      <c r="AV121" s="598"/>
      <c r="AW121" s="598"/>
      <c r="AX121" s="598"/>
      <c r="AY121" s="598"/>
      <c r="AZ121" s="598"/>
      <c r="BA121" s="598"/>
      <c r="BB121" s="598"/>
      <c r="BC121" s="598"/>
      <c r="BD121" s="598"/>
      <c r="BE121" s="598"/>
      <c r="BF121" s="598"/>
      <c r="BG121" s="598"/>
      <c r="BH121" s="598"/>
      <c r="BI121" s="598"/>
      <c r="BJ121" s="598"/>
      <c r="BK121" s="598"/>
      <c r="BL121" s="598"/>
      <c r="BM121" s="598"/>
      <c r="BN121" s="598"/>
      <c r="BO121" s="598"/>
      <c r="BP121" s="598"/>
      <c r="BQ121" s="598"/>
      <c r="BR121" s="598"/>
      <c r="BS121" s="598"/>
      <c r="BT121" s="598"/>
      <c r="BU121" s="598"/>
      <c r="BV121" s="598"/>
      <c r="BW121" s="598"/>
      <c r="BX121" s="598"/>
      <c r="BY121" s="598"/>
      <c r="BZ121" s="598"/>
      <c r="CA121" s="598"/>
      <c r="CB121" s="598"/>
      <c r="CC121" s="598"/>
      <c r="CD121" s="598"/>
      <c r="CE121" s="598"/>
      <c r="CF121" s="598"/>
      <c r="CG121" s="598"/>
      <c r="CH121" s="598"/>
      <c r="CI121" s="598"/>
      <c r="CJ121" s="598"/>
      <c r="CK121" s="598"/>
      <c r="CL121" s="598"/>
      <c r="CM121" s="598"/>
      <c r="CN121" s="598"/>
      <c r="CO121" s="598"/>
      <c r="CP121" s="598"/>
      <c r="CQ121" s="598"/>
      <c r="CR121" s="598"/>
      <c r="CS121" s="598"/>
      <c r="CT121" s="598"/>
      <c r="CU121" s="598"/>
      <c r="CV121" s="598"/>
      <c r="CW121" s="598"/>
      <c r="CX121" s="598"/>
      <c r="CY121" s="598"/>
      <c r="CZ121" s="598"/>
      <c r="DA121" s="598"/>
      <c r="DB121" s="598"/>
      <c r="DC121" s="598"/>
      <c r="DD121" s="598"/>
      <c r="DE121" s="598"/>
      <c r="DF121" s="598"/>
      <c r="DG121" s="598"/>
      <c r="DH121" s="598"/>
      <c r="DI121" s="598"/>
      <c r="DJ121" s="598"/>
      <c r="DK121" s="598"/>
      <c r="DL121" s="598"/>
      <c r="DM121" s="598"/>
      <c r="DN121" s="598"/>
      <c r="DO121" s="598"/>
      <c r="DP121" s="598"/>
      <c r="DQ121" s="598"/>
      <c r="DR121" s="598"/>
      <c r="DS121" s="598"/>
      <c r="DT121" s="598"/>
      <c r="DU121" s="598"/>
      <c r="DV121" s="598"/>
      <c r="DW121" s="598"/>
      <c r="DX121" s="598"/>
      <c r="DY121" s="598"/>
      <c r="DZ121" s="598"/>
      <c r="EA121" s="598"/>
      <c r="EB121" s="598"/>
      <c r="EC121" s="598"/>
      <c r="ED121" s="598"/>
      <c r="EE121" s="598"/>
      <c r="EF121" s="598"/>
      <c r="EG121" s="598"/>
      <c r="EH121" s="598"/>
      <c r="EI121" s="598"/>
      <c r="EJ121" s="598"/>
      <c r="EK121" s="598"/>
      <c r="EL121" s="598"/>
      <c r="EM121" s="598"/>
      <c r="EN121" s="598"/>
      <c r="EO121" s="598"/>
      <c r="EP121" s="598"/>
      <c r="EQ121" s="598"/>
      <c r="ER121" s="598"/>
      <c r="ES121" s="598"/>
      <c r="ET121" s="598"/>
      <c r="EU121" s="598"/>
      <c r="EV121" s="598"/>
      <c r="EW121" s="598"/>
      <c r="EX121" s="598"/>
      <c r="EY121" s="598"/>
      <c r="EZ121" s="598"/>
      <c r="FA121" s="598"/>
      <c r="FB121" s="598"/>
      <c r="FC121" s="598"/>
      <c r="FD121" s="598"/>
      <c r="FE121" s="598"/>
      <c r="FF121" s="598"/>
      <c r="FG121" s="598"/>
      <c r="FH121" s="598"/>
      <c r="FI121" s="598"/>
      <c r="FJ121" s="598"/>
      <c r="FK121" s="598"/>
      <c r="FL121" s="598"/>
      <c r="FM121" s="598"/>
      <c r="FN121" s="598"/>
      <c r="FO121" s="598"/>
      <c r="FP121" s="598"/>
      <c r="FQ121" s="598"/>
      <c r="FR121" s="598"/>
      <c r="FS121" s="598"/>
      <c r="FT121" s="598"/>
      <c r="FU121" s="598"/>
      <c r="FV121" s="598"/>
      <c r="FW121" s="598"/>
      <c r="FX121" s="598"/>
      <c r="FY121" s="598"/>
      <c r="FZ121" s="598"/>
      <c r="GA121" s="598"/>
      <c r="GB121" s="598"/>
      <c r="GC121" s="598"/>
      <c r="GD121" s="598"/>
      <c r="GE121" s="598"/>
      <c r="GF121" s="598"/>
      <c r="GG121" s="598"/>
      <c r="GH121" s="598"/>
      <c r="GI121" s="598"/>
      <c r="GJ121" s="598"/>
      <c r="GK121" s="598"/>
      <c r="GL121" s="598"/>
      <c r="GM121" s="598"/>
      <c r="GN121" s="598"/>
      <c r="GO121" s="598"/>
      <c r="GP121" s="598"/>
      <c r="GQ121" s="598"/>
      <c r="GR121" s="598"/>
      <c r="GS121" s="598"/>
      <c r="GT121" s="598"/>
      <c r="GU121" s="598"/>
      <c r="GV121" s="598"/>
      <c r="GW121" s="598"/>
      <c r="GX121" s="598"/>
      <c r="GY121" s="598"/>
      <c r="GZ121" s="598"/>
      <c r="HA121" s="598"/>
      <c r="HB121" s="598"/>
      <c r="HC121" s="598"/>
      <c r="HD121" s="598"/>
      <c r="HE121" s="598"/>
      <c r="HF121" s="598"/>
      <c r="HG121" s="598"/>
      <c r="HH121" s="598"/>
      <c r="HI121" s="598"/>
      <c r="HJ121" s="598"/>
      <c r="HK121" s="598"/>
      <c r="HL121" s="598"/>
      <c r="HM121" s="598"/>
      <c r="HN121" s="598"/>
      <c r="HO121" s="598"/>
      <c r="HP121" s="598"/>
      <c r="HQ121" s="598"/>
      <c r="HR121" s="598"/>
      <c r="HS121" s="598"/>
      <c r="HT121" s="598"/>
      <c r="HU121" s="598"/>
      <c r="HV121" s="598"/>
      <c r="HW121" s="598"/>
      <c r="HX121" s="598"/>
      <c r="HY121" s="598"/>
      <c r="HZ121" s="598"/>
      <c r="IA121" s="598"/>
      <c r="IB121" s="598"/>
      <c r="IC121" s="598"/>
      <c r="ID121" s="598"/>
      <c r="IE121" s="598"/>
      <c r="IF121" s="598"/>
      <c r="IG121" s="598"/>
      <c r="IH121" s="598"/>
      <c r="II121" s="598"/>
      <c r="IJ121" s="598"/>
      <c r="IK121" s="598"/>
      <c r="IL121" s="598"/>
      <c r="IM121" s="598"/>
      <c r="IN121" s="598"/>
      <c r="IO121" s="598"/>
      <c r="IP121" s="598"/>
      <c r="IQ121" s="598"/>
      <c r="IR121" s="598"/>
      <c r="IS121" s="598"/>
      <c r="IT121" s="598"/>
      <c r="IU121" s="598"/>
      <c r="IV121" s="598"/>
      <c r="IW121" s="598"/>
      <c r="IX121" s="598"/>
      <c r="IY121" s="598"/>
      <c r="IZ121" s="598"/>
      <c r="JA121" s="598"/>
      <c r="JB121" s="598"/>
      <c r="JC121" s="598"/>
      <c r="JD121" s="598"/>
      <c r="JE121" s="598"/>
      <c r="JF121" s="598"/>
      <c r="JG121" s="598"/>
      <c r="JH121" s="598"/>
      <c r="JI121" s="598"/>
      <c r="JJ121" s="598"/>
      <c r="JK121" s="598"/>
      <c r="JL121" s="598"/>
      <c r="JM121" s="598"/>
      <c r="JN121" s="598"/>
      <c r="JO121" s="598"/>
      <c r="JP121" s="598"/>
      <c r="JQ121" s="598"/>
      <c r="JR121" s="598"/>
      <c r="JS121" s="598"/>
      <c r="JT121" s="598"/>
      <c r="JU121" s="598"/>
      <c r="JV121" s="598"/>
    </row>
    <row r="122" spans="1:282" s="21" customFormat="1" ht="50.1" customHeight="1" x14ac:dyDescent="0.2">
      <c r="A122" s="702"/>
      <c r="B122" s="703" t="s">
        <v>1137</v>
      </c>
      <c r="C122" s="703"/>
      <c r="D122" s="703"/>
      <c r="E122" s="165" t="s">
        <v>1040</v>
      </c>
      <c r="F122" s="722" t="s">
        <v>1041</v>
      </c>
      <c r="G122" s="165" t="s">
        <v>1017</v>
      </c>
      <c r="H122" s="197" t="s">
        <v>914</v>
      </c>
      <c r="I122" s="197"/>
      <c r="J122" s="703" t="s">
        <v>1659</v>
      </c>
      <c r="K122" s="165" t="s">
        <v>1393</v>
      </c>
      <c r="L122" s="165" t="s">
        <v>1286</v>
      </c>
      <c r="M122" s="165" t="s">
        <v>1528</v>
      </c>
      <c r="N122" s="723">
        <v>40226</v>
      </c>
      <c r="O122" s="165">
        <v>122769106</v>
      </c>
      <c r="P122" s="165"/>
      <c r="Q122" s="165"/>
      <c r="R122" s="165"/>
      <c r="S122" s="165"/>
      <c r="T122" s="599" t="s">
        <v>2686</v>
      </c>
      <c r="U122" s="599"/>
      <c r="V122" s="599"/>
      <c r="W122" s="599"/>
      <c r="X122" s="599"/>
      <c r="Y122" s="599"/>
      <c r="Z122" s="599"/>
      <c r="AA122" s="599"/>
      <c r="AB122" s="599"/>
      <c r="AC122" s="599"/>
      <c r="AD122" s="599"/>
      <c r="AE122" s="599"/>
      <c r="AF122" s="599"/>
      <c r="AG122" s="599"/>
      <c r="AH122" s="599"/>
      <c r="AI122" s="599"/>
      <c r="AJ122" s="730">
        <v>41043</v>
      </c>
      <c r="AK122" s="732"/>
      <c r="AL122" s="593"/>
      <c r="AM122" s="598"/>
      <c r="AN122" s="598"/>
      <c r="AO122" s="598"/>
      <c r="AP122" s="598"/>
      <c r="AQ122" s="598"/>
      <c r="AR122" s="598"/>
      <c r="AS122" s="598"/>
      <c r="AT122" s="598"/>
      <c r="AU122" s="598"/>
      <c r="AV122" s="598"/>
      <c r="AW122" s="598"/>
      <c r="AX122" s="598"/>
      <c r="AY122" s="598"/>
      <c r="AZ122" s="598"/>
      <c r="BA122" s="598"/>
      <c r="BB122" s="598"/>
      <c r="BC122" s="598"/>
      <c r="BD122" s="598"/>
      <c r="BE122" s="598"/>
      <c r="BF122" s="598"/>
      <c r="BG122" s="598"/>
      <c r="BH122" s="598"/>
      <c r="BI122" s="598"/>
      <c r="BJ122" s="598"/>
      <c r="BK122" s="598"/>
      <c r="BL122" s="598"/>
      <c r="BM122" s="598"/>
      <c r="BN122" s="598"/>
      <c r="BO122" s="598"/>
      <c r="BP122" s="598"/>
      <c r="BQ122" s="598"/>
      <c r="BR122" s="598"/>
      <c r="BS122" s="598"/>
      <c r="BT122" s="598"/>
      <c r="BU122" s="598"/>
      <c r="BV122" s="598"/>
      <c r="BW122" s="598"/>
      <c r="BX122" s="598"/>
      <c r="BY122" s="598"/>
      <c r="BZ122" s="598"/>
      <c r="CA122" s="598"/>
      <c r="CB122" s="598"/>
      <c r="CC122" s="598"/>
      <c r="CD122" s="598"/>
      <c r="CE122" s="598"/>
      <c r="CF122" s="598"/>
      <c r="CG122" s="598"/>
      <c r="CH122" s="598"/>
      <c r="CI122" s="598"/>
      <c r="CJ122" s="598"/>
      <c r="CK122" s="598"/>
      <c r="CL122" s="598"/>
      <c r="CM122" s="598"/>
      <c r="CN122" s="598"/>
      <c r="CO122" s="598"/>
      <c r="CP122" s="598"/>
      <c r="CQ122" s="598"/>
      <c r="CR122" s="598"/>
      <c r="CS122" s="598"/>
      <c r="CT122" s="598"/>
      <c r="CU122" s="598"/>
      <c r="CV122" s="598"/>
      <c r="CW122" s="598"/>
      <c r="CX122" s="598"/>
      <c r="CY122" s="598"/>
      <c r="CZ122" s="598"/>
      <c r="DA122" s="598"/>
      <c r="DB122" s="598"/>
      <c r="DC122" s="598"/>
      <c r="DD122" s="598"/>
      <c r="DE122" s="598"/>
      <c r="DF122" s="598"/>
      <c r="DG122" s="598"/>
      <c r="DH122" s="598"/>
      <c r="DI122" s="598"/>
      <c r="DJ122" s="598"/>
      <c r="DK122" s="598"/>
      <c r="DL122" s="598"/>
      <c r="DM122" s="598"/>
      <c r="DN122" s="598"/>
      <c r="DO122" s="598"/>
      <c r="DP122" s="598"/>
      <c r="DQ122" s="598"/>
      <c r="DR122" s="598"/>
      <c r="DS122" s="598"/>
      <c r="DT122" s="598"/>
      <c r="DU122" s="598"/>
      <c r="DV122" s="598"/>
      <c r="DW122" s="598"/>
      <c r="DX122" s="598"/>
      <c r="DY122" s="598"/>
      <c r="DZ122" s="598"/>
      <c r="EA122" s="598"/>
      <c r="EB122" s="598"/>
      <c r="EC122" s="598"/>
      <c r="ED122" s="598"/>
      <c r="EE122" s="598"/>
      <c r="EF122" s="598"/>
      <c r="EG122" s="598"/>
      <c r="EH122" s="598"/>
      <c r="EI122" s="598"/>
      <c r="EJ122" s="598"/>
      <c r="EK122" s="598"/>
      <c r="EL122" s="598"/>
      <c r="EM122" s="598"/>
      <c r="EN122" s="598"/>
      <c r="EO122" s="598"/>
      <c r="EP122" s="598"/>
      <c r="EQ122" s="598"/>
      <c r="ER122" s="598"/>
      <c r="ES122" s="598"/>
      <c r="ET122" s="598"/>
      <c r="EU122" s="598"/>
      <c r="EV122" s="598"/>
      <c r="EW122" s="598"/>
      <c r="EX122" s="598"/>
      <c r="EY122" s="598"/>
      <c r="EZ122" s="598"/>
      <c r="FA122" s="598"/>
      <c r="FB122" s="598"/>
      <c r="FC122" s="598"/>
      <c r="FD122" s="598"/>
      <c r="FE122" s="598"/>
      <c r="FF122" s="598"/>
      <c r="FG122" s="598"/>
      <c r="FH122" s="598"/>
      <c r="FI122" s="598"/>
      <c r="FJ122" s="598"/>
      <c r="FK122" s="598"/>
      <c r="FL122" s="598"/>
      <c r="FM122" s="598"/>
      <c r="FN122" s="598"/>
      <c r="FO122" s="598"/>
      <c r="FP122" s="598"/>
      <c r="FQ122" s="598"/>
      <c r="FR122" s="598"/>
      <c r="FS122" s="598"/>
      <c r="FT122" s="598"/>
      <c r="FU122" s="598"/>
      <c r="FV122" s="598"/>
      <c r="FW122" s="598"/>
      <c r="FX122" s="598"/>
      <c r="FY122" s="598"/>
      <c r="FZ122" s="598"/>
      <c r="GA122" s="598"/>
      <c r="GB122" s="598"/>
      <c r="GC122" s="598"/>
      <c r="GD122" s="598"/>
      <c r="GE122" s="598"/>
      <c r="GF122" s="598"/>
      <c r="GG122" s="598"/>
      <c r="GH122" s="598"/>
      <c r="GI122" s="598"/>
      <c r="GJ122" s="598"/>
      <c r="GK122" s="598"/>
      <c r="GL122" s="598"/>
      <c r="GM122" s="598"/>
      <c r="GN122" s="598"/>
      <c r="GO122" s="598"/>
      <c r="GP122" s="598"/>
      <c r="GQ122" s="598"/>
      <c r="GR122" s="598"/>
      <c r="GS122" s="598"/>
      <c r="GT122" s="598"/>
      <c r="GU122" s="598"/>
      <c r="GV122" s="598"/>
      <c r="GW122" s="598"/>
      <c r="GX122" s="598"/>
      <c r="GY122" s="598"/>
      <c r="GZ122" s="598"/>
      <c r="HA122" s="598"/>
      <c r="HB122" s="598"/>
      <c r="HC122" s="598"/>
      <c r="HD122" s="598"/>
      <c r="HE122" s="598"/>
      <c r="HF122" s="598"/>
      <c r="HG122" s="598"/>
      <c r="HH122" s="598"/>
      <c r="HI122" s="598"/>
      <c r="HJ122" s="598"/>
      <c r="HK122" s="598"/>
      <c r="HL122" s="598"/>
      <c r="HM122" s="598"/>
      <c r="HN122" s="598"/>
      <c r="HO122" s="598"/>
      <c r="HP122" s="598"/>
      <c r="HQ122" s="598"/>
      <c r="HR122" s="598"/>
      <c r="HS122" s="598"/>
      <c r="HT122" s="598"/>
      <c r="HU122" s="598"/>
      <c r="HV122" s="598"/>
      <c r="HW122" s="598"/>
      <c r="HX122" s="598"/>
      <c r="HY122" s="598"/>
      <c r="HZ122" s="598"/>
      <c r="IA122" s="598"/>
      <c r="IB122" s="598"/>
      <c r="IC122" s="598"/>
      <c r="ID122" s="598"/>
      <c r="IE122" s="598"/>
      <c r="IF122" s="598"/>
      <c r="IG122" s="598"/>
      <c r="IH122" s="598"/>
      <c r="II122" s="598"/>
      <c r="IJ122" s="598"/>
      <c r="IK122" s="598"/>
      <c r="IL122" s="598"/>
      <c r="IM122" s="598"/>
      <c r="IN122" s="598"/>
      <c r="IO122" s="598"/>
      <c r="IP122" s="598"/>
      <c r="IQ122" s="598"/>
      <c r="IR122" s="598"/>
      <c r="IS122" s="598"/>
      <c r="IT122" s="598"/>
      <c r="IU122" s="598"/>
      <c r="IV122" s="598"/>
      <c r="IW122" s="598"/>
      <c r="IX122" s="598"/>
      <c r="IY122" s="598"/>
      <c r="IZ122" s="598"/>
      <c r="JA122" s="598"/>
      <c r="JB122" s="598"/>
      <c r="JC122" s="598"/>
      <c r="JD122" s="598"/>
      <c r="JE122" s="598"/>
      <c r="JF122" s="598"/>
      <c r="JG122" s="598"/>
      <c r="JH122" s="598"/>
      <c r="JI122" s="598"/>
      <c r="JJ122" s="598"/>
      <c r="JK122" s="598"/>
      <c r="JL122" s="598"/>
      <c r="JM122" s="598"/>
      <c r="JN122" s="598"/>
      <c r="JO122" s="598"/>
      <c r="JP122" s="598"/>
      <c r="JQ122" s="598"/>
      <c r="JR122" s="598"/>
      <c r="JS122" s="598"/>
      <c r="JT122" s="598"/>
      <c r="JU122" s="598"/>
      <c r="JV122" s="598"/>
    </row>
    <row r="123" spans="1:282" s="21" customFormat="1" ht="50.1" customHeight="1" x14ac:dyDescent="0.2">
      <c r="A123" s="702"/>
      <c r="B123" s="69" t="s">
        <v>1137</v>
      </c>
      <c r="C123" s="69"/>
      <c r="D123" s="69"/>
      <c r="E123" s="74" t="s">
        <v>1043</v>
      </c>
      <c r="F123" s="104" t="s">
        <v>1044</v>
      </c>
      <c r="G123" s="29" t="s">
        <v>1044</v>
      </c>
      <c r="H123" s="72" t="s">
        <v>1045</v>
      </c>
      <c r="I123" s="72"/>
      <c r="J123" s="29" t="s">
        <v>1046</v>
      </c>
      <c r="K123" s="30" t="s">
        <v>1394</v>
      </c>
      <c r="L123" s="30" t="s">
        <v>1923</v>
      </c>
      <c r="M123" s="29" t="s">
        <v>1528</v>
      </c>
      <c r="N123" s="74">
        <v>40249</v>
      </c>
      <c r="O123" s="29">
        <v>199829103</v>
      </c>
      <c r="P123" s="29"/>
      <c r="Q123" s="29"/>
      <c r="R123" s="29"/>
      <c r="S123" s="29"/>
      <c r="T123" s="171" t="s">
        <v>871</v>
      </c>
      <c r="U123" s="171"/>
      <c r="V123" s="171"/>
      <c r="W123" s="171"/>
      <c r="X123" s="171"/>
      <c r="Y123" s="171"/>
      <c r="Z123" s="171"/>
      <c r="AA123" s="171"/>
      <c r="AB123" s="171"/>
      <c r="AC123" s="171"/>
      <c r="AD123" s="171"/>
      <c r="AE123" s="171"/>
      <c r="AF123" s="171"/>
      <c r="AG123" s="171"/>
      <c r="AH123" s="171"/>
      <c r="AI123" s="171"/>
      <c r="AJ123" s="724">
        <v>41043</v>
      </c>
      <c r="AK123" s="733"/>
      <c r="AL123" s="171"/>
      <c r="AM123" s="598"/>
      <c r="AN123" s="598"/>
      <c r="AO123" s="598"/>
      <c r="AP123" s="598"/>
      <c r="AQ123" s="598"/>
      <c r="AR123" s="598"/>
      <c r="AS123" s="598"/>
      <c r="AT123" s="598"/>
      <c r="AU123" s="598"/>
      <c r="AV123" s="598"/>
      <c r="AW123" s="598"/>
      <c r="AX123" s="598"/>
      <c r="AY123" s="598"/>
      <c r="AZ123" s="598"/>
      <c r="BA123" s="598"/>
      <c r="BB123" s="598"/>
      <c r="BC123" s="598"/>
      <c r="BD123" s="598"/>
      <c r="BE123" s="598"/>
      <c r="BF123" s="598"/>
      <c r="BG123" s="598"/>
      <c r="BH123" s="598"/>
      <c r="BI123" s="598"/>
      <c r="BJ123" s="598"/>
      <c r="BK123" s="598"/>
      <c r="BL123" s="598"/>
      <c r="BM123" s="598"/>
      <c r="BN123" s="598"/>
      <c r="BO123" s="598"/>
      <c r="BP123" s="598"/>
      <c r="BQ123" s="598"/>
      <c r="BR123" s="598"/>
      <c r="BS123" s="598"/>
      <c r="BT123" s="598"/>
      <c r="BU123" s="598"/>
      <c r="BV123" s="598"/>
      <c r="BW123" s="598"/>
      <c r="BX123" s="598"/>
      <c r="BY123" s="598"/>
      <c r="BZ123" s="598"/>
      <c r="CA123" s="598"/>
      <c r="CB123" s="598"/>
      <c r="CC123" s="598"/>
      <c r="CD123" s="598"/>
      <c r="CE123" s="598"/>
      <c r="CF123" s="598"/>
      <c r="CG123" s="598"/>
      <c r="CH123" s="598"/>
      <c r="CI123" s="598"/>
      <c r="CJ123" s="598"/>
      <c r="CK123" s="598"/>
      <c r="CL123" s="598"/>
      <c r="CM123" s="598"/>
      <c r="CN123" s="598"/>
      <c r="CO123" s="598"/>
      <c r="CP123" s="598"/>
      <c r="CQ123" s="598"/>
      <c r="CR123" s="598"/>
      <c r="CS123" s="598"/>
      <c r="CT123" s="598"/>
      <c r="CU123" s="598"/>
      <c r="CV123" s="598"/>
      <c r="CW123" s="598"/>
      <c r="CX123" s="598"/>
      <c r="CY123" s="598"/>
      <c r="CZ123" s="598"/>
      <c r="DA123" s="598"/>
      <c r="DB123" s="598"/>
      <c r="DC123" s="598"/>
      <c r="DD123" s="598"/>
      <c r="DE123" s="598"/>
      <c r="DF123" s="598"/>
      <c r="DG123" s="598"/>
      <c r="DH123" s="598"/>
      <c r="DI123" s="598"/>
      <c r="DJ123" s="598"/>
      <c r="DK123" s="598"/>
      <c r="DL123" s="598"/>
      <c r="DM123" s="598"/>
      <c r="DN123" s="598"/>
      <c r="DO123" s="598"/>
      <c r="DP123" s="598"/>
      <c r="DQ123" s="598"/>
      <c r="DR123" s="598"/>
      <c r="DS123" s="598"/>
      <c r="DT123" s="598"/>
      <c r="DU123" s="598"/>
      <c r="DV123" s="598"/>
      <c r="DW123" s="598"/>
      <c r="DX123" s="598"/>
      <c r="DY123" s="598"/>
      <c r="DZ123" s="598"/>
      <c r="EA123" s="598"/>
      <c r="EB123" s="598"/>
      <c r="EC123" s="598"/>
      <c r="ED123" s="598"/>
      <c r="EE123" s="598"/>
      <c r="EF123" s="598"/>
      <c r="EG123" s="598"/>
      <c r="EH123" s="598"/>
      <c r="EI123" s="598"/>
      <c r="EJ123" s="598"/>
      <c r="EK123" s="598"/>
      <c r="EL123" s="598"/>
      <c r="EM123" s="598"/>
      <c r="EN123" s="598"/>
      <c r="EO123" s="598"/>
      <c r="EP123" s="598"/>
      <c r="EQ123" s="598"/>
      <c r="ER123" s="598"/>
      <c r="ES123" s="598"/>
      <c r="ET123" s="598"/>
      <c r="EU123" s="598"/>
      <c r="EV123" s="598"/>
      <c r="EW123" s="598"/>
      <c r="EX123" s="598"/>
      <c r="EY123" s="598"/>
      <c r="EZ123" s="598"/>
      <c r="FA123" s="598"/>
      <c r="FB123" s="598"/>
      <c r="FC123" s="598"/>
      <c r="FD123" s="598"/>
      <c r="FE123" s="598"/>
      <c r="FF123" s="598"/>
      <c r="FG123" s="598"/>
      <c r="FH123" s="598"/>
      <c r="FI123" s="598"/>
      <c r="FJ123" s="598"/>
      <c r="FK123" s="598"/>
      <c r="FL123" s="598"/>
      <c r="FM123" s="598"/>
      <c r="FN123" s="598"/>
      <c r="FO123" s="598"/>
      <c r="FP123" s="598"/>
      <c r="FQ123" s="598"/>
      <c r="FR123" s="598"/>
      <c r="FS123" s="598"/>
      <c r="FT123" s="598"/>
      <c r="FU123" s="598"/>
      <c r="FV123" s="598"/>
      <c r="FW123" s="598"/>
      <c r="FX123" s="598"/>
      <c r="FY123" s="598"/>
      <c r="FZ123" s="598"/>
      <c r="GA123" s="598"/>
      <c r="GB123" s="598"/>
      <c r="GC123" s="598"/>
      <c r="GD123" s="598"/>
      <c r="GE123" s="598"/>
      <c r="GF123" s="598"/>
      <c r="GG123" s="598"/>
      <c r="GH123" s="598"/>
      <c r="GI123" s="598"/>
      <c r="GJ123" s="598"/>
      <c r="GK123" s="598"/>
      <c r="GL123" s="598"/>
      <c r="GM123" s="598"/>
      <c r="GN123" s="598"/>
      <c r="GO123" s="598"/>
      <c r="GP123" s="598"/>
      <c r="GQ123" s="598"/>
      <c r="GR123" s="598"/>
      <c r="GS123" s="598"/>
      <c r="GT123" s="598"/>
      <c r="GU123" s="598"/>
      <c r="GV123" s="598"/>
      <c r="GW123" s="598"/>
      <c r="GX123" s="598"/>
      <c r="GY123" s="598"/>
      <c r="GZ123" s="598"/>
      <c r="HA123" s="598"/>
      <c r="HB123" s="598"/>
      <c r="HC123" s="598"/>
      <c r="HD123" s="598"/>
      <c r="HE123" s="598"/>
      <c r="HF123" s="598"/>
      <c r="HG123" s="598"/>
      <c r="HH123" s="598"/>
      <c r="HI123" s="598"/>
      <c r="HJ123" s="598"/>
      <c r="HK123" s="598"/>
      <c r="HL123" s="598"/>
      <c r="HM123" s="598"/>
      <c r="HN123" s="598"/>
      <c r="HO123" s="598"/>
      <c r="HP123" s="598"/>
      <c r="HQ123" s="598"/>
      <c r="HR123" s="598"/>
      <c r="HS123" s="598"/>
      <c r="HT123" s="598"/>
      <c r="HU123" s="598"/>
      <c r="HV123" s="598"/>
      <c r="HW123" s="598"/>
      <c r="HX123" s="598"/>
      <c r="HY123" s="598"/>
      <c r="HZ123" s="598"/>
      <c r="IA123" s="598"/>
      <c r="IB123" s="598"/>
      <c r="IC123" s="598"/>
      <c r="ID123" s="598"/>
      <c r="IE123" s="598"/>
      <c r="IF123" s="598"/>
      <c r="IG123" s="598"/>
      <c r="IH123" s="598"/>
      <c r="II123" s="598"/>
      <c r="IJ123" s="598"/>
      <c r="IK123" s="598"/>
      <c r="IL123" s="598"/>
      <c r="IM123" s="598"/>
      <c r="IN123" s="598"/>
      <c r="IO123" s="598"/>
      <c r="IP123" s="598"/>
      <c r="IQ123" s="598"/>
      <c r="IR123" s="598"/>
      <c r="IS123" s="598"/>
      <c r="IT123" s="598"/>
      <c r="IU123" s="598"/>
      <c r="IV123" s="598"/>
      <c r="IW123" s="598"/>
      <c r="IX123" s="598"/>
      <c r="IY123" s="598"/>
      <c r="IZ123" s="598"/>
      <c r="JA123" s="598"/>
      <c r="JB123" s="598"/>
      <c r="JC123" s="598"/>
      <c r="JD123" s="598"/>
      <c r="JE123" s="598"/>
      <c r="JF123" s="598"/>
      <c r="JG123" s="598"/>
      <c r="JH123" s="598"/>
      <c r="JI123" s="598"/>
      <c r="JJ123" s="598"/>
      <c r="JK123" s="598"/>
      <c r="JL123" s="598"/>
      <c r="JM123" s="598"/>
      <c r="JN123" s="598"/>
      <c r="JO123" s="598"/>
      <c r="JP123" s="598"/>
      <c r="JQ123" s="598"/>
      <c r="JR123" s="598"/>
      <c r="JS123" s="598"/>
      <c r="JT123" s="598"/>
      <c r="JU123" s="598"/>
      <c r="JV123" s="598"/>
    </row>
    <row r="124" spans="1:282" s="21" customFormat="1" ht="50.1" customHeight="1" x14ac:dyDescent="0.2">
      <c r="A124" s="702"/>
      <c r="B124" s="69" t="s">
        <v>1137</v>
      </c>
      <c r="C124" s="69"/>
      <c r="D124" s="69"/>
      <c r="E124" s="74" t="s">
        <v>1047</v>
      </c>
      <c r="F124" s="104" t="s">
        <v>1048</v>
      </c>
      <c r="G124" s="29" t="s">
        <v>1044</v>
      </c>
      <c r="H124" s="72" t="s">
        <v>1045</v>
      </c>
      <c r="I124" s="72"/>
      <c r="J124" s="29" t="s">
        <v>1046</v>
      </c>
      <c r="K124" s="29" t="s">
        <v>1393</v>
      </c>
      <c r="L124" s="30" t="s">
        <v>1923</v>
      </c>
      <c r="M124" s="29" t="s">
        <v>1528</v>
      </c>
      <c r="N124" s="74">
        <v>40252</v>
      </c>
      <c r="O124" s="29">
        <v>199867106</v>
      </c>
      <c r="P124" s="29"/>
      <c r="Q124" s="29"/>
      <c r="R124" s="29"/>
      <c r="S124" s="29"/>
      <c r="T124" s="597"/>
      <c r="U124" s="597"/>
      <c r="V124" s="597"/>
      <c r="W124" s="597"/>
      <c r="X124" s="597"/>
      <c r="Y124" s="597"/>
      <c r="Z124" s="597"/>
      <c r="AA124" s="597"/>
      <c r="AB124" s="597"/>
      <c r="AC124" s="597"/>
      <c r="AD124" s="597"/>
      <c r="AE124" s="597"/>
      <c r="AF124" s="597"/>
      <c r="AG124" s="597"/>
      <c r="AH124" s="597"/>
      <c r="AI124" s="597"/>
      <c r="AJ124" s="724">
        <v>41043</v>
      </c>
      <c r="AK124" s="648">
        <v>20</v>
      </c>
      <c r="AL124" s="174"/>
      <c r="AM124" s="598"/>
      <c r="AN124" s="598"/>
      <c r="AO124" s="598"/>
      <c r="AP124" s="598"/>
      <c r="AQ124" s="598"/>
      <c r="AR124" s="598"/>
      <c r="AS124" s="598"/>
      <c r="AT124" s="598"/>
      <c r="AU124" s="598"/>
      <c r="AV124" s="598"/>
      <c r="AW124" s="598"/>
      <c r="AX124" s="598"/>
      <c r="AY124" s="598"/>
      <c r="AZ124" s="598"/>
      <c r="BA124" s="598"/>
      <c r="BB124" s="598"/>
      <c r="BC124" s="598"/>
      <c r="BD124" s="598"/>
      <c r="BE124" s="598"/>
      <c r="BF124" s="598"/>
      <c r="BG124" s="598"/>
      <c r="BH124" s="598"/>
      <c r="BI124" s="598"/>
      <c r="BJ124" s="598"/>
      <c r="BK124" s="598"/>
      <c r="BL124" s="598"/>
      <c r="BM124" s="598"/>
      <c r="BN124" s="598"/>
      <c r="BO124" s="598"/>
      <c r="BP124" s="598"/>
      <c r="BQ124" s="598"/>
      <c r="BR124" s="598"/>
      <c r="BS124" s="598"/>
      <c r="BT124" s="598"/>
      <c r="BU124" s="598"/>
      <c r="BV124" s="598"/>
      <c r="BW124" s="598"/>
      <c r="BX124" s="598"/>
      <c r="BY124" s="598"/>
      <c r="BZ124" s="598"/>
      <c r="CA124" s="598"/>
      <c r="CB124" s="598"/>
      <c r="CC124" s="598"/>
      <c r="CD124" s="598"/>
      <c r="CE124" s="598"/>
      <c r="CF124" s="598"/>
      <c r="CG124" s="598"/>
      <c r="CH124" s="598"/>
      <c r="CI124" s="598"/>
      <c r="CJ124" s="598"/>
      <c r="CK124" s="598"/>
      <c r="CL124" s="598"/>
      <c r="CM124" s="598"/>
      <c r="CN124" s="598"/>
      <c r="CO124" s="598"/>
      <c r="CP124" s="598"/>
      <c r="CQ124" s="598"/>
      <c r="CR124" s="598"/>
      <c r="CS124" s="598"/>
      <c r="CT124" s="598"/>
      <c r="CU124" s="598"/>
      <c r="CV124" s="598"/>
      <c r="CW124" s="598"/>
      <c r="CX124" s="598"/>
      <c r="CY124" s="598"/>
      <c r="CZ124" s="598"/>
      <c r="DA124" s="598"/>
      <c r="DB124" s="598"/>
      <c r="DC124" s="598"/>
      <c r="DD124" s="598"/>
      <c r="DE124" s="598"/>
      <c r="DF124" s="598"/>
      <c r="DG124" s="598"/>
      <c r="DH124" s="598"/>
      <c r="DI124" s="598"/>
      <c r="DJ124" s="598"/>
      <c r="DK124" s="598"/>
      <c r="DL124" s="598"/>
      <c r="DM124" s="598"/>
      <c r="DN124" s="598"/>
      <c r="DO124" s="598"/>
      <c r="DP124" s="598"/>
      <c r="DQ124" s="598"/>
      <c r="DR124" s="598"/>
      <c r="DS124" s="598"/>
      <c r="DT124" s="598"/>
      <c r="DU124" s="598"/>
      <c r="DV124" s="598"/>
      <c r="DW124" s="598"/>
      <c r="DX124" s="598"/>
      <c r="DY124" s="598"/>
      <c r="DZ124" s="598"/>
      <c r="EA124" s="598"/>
      <c r="EB124" s="598"/>
      <c r="EC124" s="598"/>
      <c r="ED124" s="598"/>
      <c r="EE124" s="598"/>
      <c r="EF124" s="598"/>
      <c r="EG124" s="598"/>
      <c r="EH124" s="598"/>
      <c r="EI124" s="598"/>
      <c r="EJ124" s="598"/>
      <c r="EK124" s="598"/>
      <c r="EL124" s="598"/>
      <c r="EM124" s="598"/>
      <c r="EN124" s="598"/>
      <c r="EO124" s="598"/>
      <c r="EP124" s="598"/>
      <c r="EQ124" s="598"/>
      <c r="ER124" s="598"/>
      <c r="ES124" s="598"/>
      <c r="ET124" s="598"/>
      <c r="EU124" s="598"/>
      <c r="EV124" s="598"/>
      <c r="EW124" s="598"/>
      <c r="EX124" s="598"/>
      <c r="EY124" s="598"/>
      <c r="EZ124" s="598"/>
      <c r="FA124" s="598"/>
      <c r="FB124" s="598"/>
      <c r="FC124" s="598"/>
      <c r="FD124" s="598"/>
      <c r="FE124" s="598"/>
      <c r="FF124" s="598"/>
      <c r="FG124" s="598"/>
      <c r="FH124" s="598"/>
      <c r="FI124" s="598"/>
      <c r="FJ124" s="598"/>
      <c r="FK124" s="598"/>
      <c r="FL124" s="598"/>
      <c r="FM124" s="598"/>
      <c r="FN124" s="598"/>
      <c r="FO124" s="598"/>
      <c r="FP124" s="598"/>
      <c r="FQ124" s="598"/>
      <c r="FR124" s="598"/>
      <c r="FS124" s="598"/>
      <c r="FT124" s="598"/>
      <c r="FU124" s="598"/>
      <c r="FV124" s="598"/>
      <c r="FW124" s="598"/>
      <c r="FX124" s="598"/>
      <c r="FY124" s="598"/>
      <c r="FZ124" s="598"/>
      <c r="GA124" s="598"/>
      <c r="GB124" s="598"/>
      <c r="GC124" s="598"/>
      <c r="GD124" s="598"/>
      <c r="GE124" s="598"/>
      <c r="GF124" s="598"/>
      <c r="GG124" s="598"/>
      <c r="GH124" s="598"/>
      <c r="GI124" s="598"/>
      <c r="GJ124" s="598"/>
      <c r="GK124" s="598"/>
      <c r="GL124" s="598"/>
      <c r="GM124" s="598"/>
      <c r="GN124" s="598"/>
      <c r="GO124" s="598"/>
      <c r="GP124" s="598"/>
      <c r="GQ124" s="598"/>
      <c r="GR124" s="598"/>
      <c r="GS124" s="598"/>
      <c r="GT124" s="598"/>
      <c r="GU124" s="598"/>
      <c r="GV124" s="598"/>
      <c r="GW124" s="598"/>
      <c r="GX124" s="598"/>
      <c r="GY124" s="598"/>
      <c r="GZ124" s="598"/>
      <c r="HA124" s="598"/>
      <c r="HB124" s="598"/>
      <c r="HC124" s="598"/>
      <c r="HD124" s="598"/>
      <c r="HE124" s="598"/>
      <c r="HF124" s="598"/>
      <c r="HG124" s="598"/>
      <c r="HH124" s="598"/>
      <c r="HI124" s="598"/>
      <c r="HJ124" s="598"/>
      <c r="HK124" s="598"/>
      <c r="HL124" s="598"/>
      <c r="HM124" s="598"/>
      <c r="HN124" s="598"/>
      <c r="HO124" s="598"/>
      <c r="HP124" s="598"/>
      <c r="HQ124" s="598"/>
      <c r="HR124" s="598"/>
      <c r="HS124" s="598"/>
      <c r="HT124" s="598"/>
      <c r="HU124" s="598"/>
      <c r="HV124" s="598"/>
      <c r="HW124" s="598"/>
      <c r="HX124" s="598"/>
      <c r="HY124" s="598"/>
      <c r="HZ124" s="598"/>
      <c r="IA124" s="598"/>
      <c r="IB124" s="598"/>
      <c r="IC124" s="598"/>
      <c r="ID124" s="598"/>
      <c r="IE124" s="598"/>
      <c r="IF124" s="598"/>
      <c r="IG124" s="598"/>
      <c r="IH124" s="598"/>
      <c r="II124" s="598"/>
      <c r="IJ124" s="598"/>
      <c r="IK124" s="598"/>
      <c r="IL124" s="598"/>
      <c r="IM124" s="598"/>
      <c r="IN124" s="598"/>
      <c r="IO124" s="598"/>
      <c r="IP124" s="598"/>
      <c r="IQ124" s="598"/>
      <c r="IR124" s="598"/>
      <c r="IS124" s="598"/>
      <c r="IT124" s="598"/>
      <c r="IU124" s="598"/>
      <c r="IV124" s="598"/>
      <c r="IW124" s="598"/>
      <c r="IX124" s="598"/>
      <c r="IY124" s="598"/>
      <c r="IZ124" s="598"/>
      <c r="JA124" s="598"/>
      <c r="JB124" s="598"/>
      <c r="JC124" s="598"/>
      <c r="JD124" s="598"/>
      <c r="JE124" s="598"/>
      <c r="JF124" s="598"/>
      <c r="JG124" s="598"/>
      <c r="JH124" s="598"/>
      <c r="JI124" s="598"/>
      <c r="JJ124" s="598"/>
      <c r="JK124" s="598"/>
      <c r="JL124" s="598"/>
      <c r="JM124" s="598"/>
      <c r="JN124" s="598"/>
      <c r="JO124" s="598"/>
      <c r="JP124" s="598"/>
      <c r="JQ124" s="598"/>
      <c r="JR124" s="598"/>
      <c r="JS124" s="598"/>
      <c r="JT124" s="598"/>
      <c r="JU124" s="598"/>
      <c r="JV124" s="598"/>
    </row>
    <row r="125" spans="1:282" s="21" customFormat="1" ht="50.1" customHeight="1" x14ac:dyDescent="0.2">
      <c r="A125" s="702"/>
      <c r="B125" s="703" t="s">
        <v>1137</v>
      </c>
      <c r="C125" s="703"/>
      <c r="D125" s="703"/>
      <c r="E125" s="165" t="s">
        <v>1049</v>
      </c>
      <c r="F125" s="722" t="s">
        <v>1050</v>
      </c>
      <c r="G125" s="165" t="s">
        <v>1051</v>
      </c>
      <c r="H125" s="729" t="s">
        <v>1052</v>
      </c>
      <c r="I125" s="729"/>
      <c r="J125" s="729" t="s">
        <v>411</v>
      </c>
      <c r="K125" s="729" t="s">
        <v>1394</v>
      </c>
      <c r="L125" s="165" t="s">
        <v>685</v>
      </c>
      <c r="M125" s="165" t="s">
        <v>1528</v>
      </c>
      <c r="N125" s="723">
        <v>40627</v>
      </c>
      <c r="O125" s="703" t="s">
        <v>1053</v>
      </c>
      <c r="P125" s="703"/>
      <c r="Q125" s="703"/>
      <c r="R125" s="703"/>
      <c r="S125" s="703"/>
      <c r="T125" s="599" t="s">
        <v>2674</v>
      </c>
      <c r="U125" s="599"/>
      <c r="V125" s="599"/>
      <c r="W125" s="599"/>
      <c r="X125" s="599"/>
      <c r="Y125" s="599"/>
      <c r="Z125" s="599"/>
      <c r="AA125" s="599"/>
      <c r="AB125" s="599"/>
      <c r="AC125" s="599"/>
      <c r="AD125" s="599"/>
      <c r="AE125" s="599"/>
      <c r="AF125" s="599"/>
      <c r="AG125" s="599"/>
      <c r="AH125" s="599"/>
      <c r="AI125" s="599"/>
      <c r="AJ125" s="730">
        <v>41043</v>
      </c>
      <c r="AK125" s="734"/>
      <c r="AL125" s="176"/>
      <c r="AM125" s="598"/>
      <c r="AN125" s="598"/>
      <c r="AO125" s="598"/>
      <c r="AP125" s="598"/>
      <c r="AQ125" s="598"/>
      <c r="AR125" s="598"/>
      <c r="AS125" s="598"/>
      <c r="AT125" s="598"/>
      <c r="AU125" s="598"/>
      <c r="AV125" s="598"/>
      <c r="AW125" s="598"/>
      <c r="AX125" s="598"/>
      <c r="AY125" s="598"/>
      <c r="AZ125" s="598"/>
      <c r="BA125" s="598"/>
      <c r="BB125" s="598"/>
      <c r="BC125" s="598"/>
      <c r="BD125" s="598"/>
      <c r="BE125" s="598"/>
      <c r="BF125" s="598"/>
      <c r="BG125" s="598"/>
      <c r="BH125" s="598"/>
      <c r="BI125" s="598"/>
      <c r="BJ125" s="598"/>
      <c r="BK125" s="598"/>
      <c r="BL125" s="598"/>
      <c r="BM125" s="598"/>
      <c r="BN125" s="598"/>
      <c r="BO125" s="598"/>
      <c r="BP125" s="598"/>
      <c r="BQ125" s="598"/>
      <c r="BR125" s="598"/>
      <c r="BS125" s="598"/>
      <c r="BT125" s="598"/>
      <c r="BU125" s="598"/>
      <c r="BV125" s="598"/>
      <c r="BW125" s="598"/>
      <c r="BX125" s="598"/>
      <c r="BY125" s="598"/>
      <c r="BZ125" s="598"/>
      <c r="CA125" s="598"/>
      <c r="CB125" s="598"/>
      <c r="CC125" s="598"/>
      <c r="CD125" s="598"/>
      <c r="CE125" s="598"/>
      <c r="CF125" s="598"/>
      <c r="CG125" s="598"/>
      <c r="CH125" s="598"/>
      <c r="CI125" s="598"/>
      <c r="CJ125" s="598"/>
      <c r="CK125" s="598"/>
      <c r="CL125" s="598"/>
      <c r="CM125" s="598"/>
      <c r="CN125" s="598"/>
      <c r="CO125" s="598"/>
      <c r="CP125" s="598"/>
      <c r="CQ125" s="598"/>
      <c r="CR125" s="598"/>
      <c r="CS125" s="598"/>
      <c r="CT125" s="598"/>
      <c r="CU125" s="598"/>
      <c r="CV125" s="598"/>
      <c r="CW125" s="598"/>
      <c r="CX125" s="598"/>
      <c r="CY125" s="598"/>
      <c r="CZ125" s="598"/>
      <c r="DA125" s="598"/>
      <c r="DB125" s="598"/>
      <c r="DC125" s="598"/>
      <c r="DD125" s="598"/>
      <c r="DE125" s="598"/>
      <c r="DF125" s="598"/>
      <c r="DG125" s="598"/>
      <c r="DH125" s="598"/>
      <c r="DI125" s="598"/>
      <c r="DJ125" s="598"/>
      <c r="DK125" s="598"/>
      <c r="DL125" s="598"/>
      <c r="DM125" s="598"/>
      <c r="DN125" s="598"/>
      <c r="DO125" s="598"/>
      <c r="DP125" s="598"/>
      <c r="DQ125" s="598"/>
      <c r="DR125" s="598"/>
      <c r="DS125" s="598"/>
      <c r="DT125" s="598"/>
      <c r="DU125" s="598"/>
      <c r="DV125" s="598"/>
      <c r="DW125" s="598"/>
      <c r="DX125" s="598"/>
      <c r="DY125" s="598"/>
      <c r="DZ125" s="598"/>
      <c r="EA125" s="598"/>
      <c r="EB125" s="598"/>
      <c r="EC125" s="598"/>
      <c r="ED125" s="598"/>
      <c r="EE125" s="598"/>
      <c r="EF125" s="598"/>
      <c r="EG125" s="598"/>
      <c r="EH125" s="598"/>
      <c r="EI125" s="598"/>
      <c r="EJ125" s="598"/>
      <c r="EK125" s="598"/>
      <c r="EL125" s="598"/>
      <c r="EM125" s="598"/>
      <c r="EN125" s="598"/>
      <c r="EO125" s="598"/>
      <c r="EP125" s="598"/>
      <c r="EQ125" s="598"/>
      <c r="ER125" s="598"/>
      <c r="ES125" s="598"/>
      <c r="ET125" s="598"/>
      <c r="EU125" s="598"/>
      <c r="EV125" s="598"/>
      <c r="EW125" s="598"/>
      <c r="EX125" s="598"/>
      <c r="EY125" s="598"/>
      <c r="EZ125" s="598"/>
      <c r="FA125" s="598"/>
      <c r="FB125" s="598"/>
      <c r="FC125" s="598"/>
      <c r="FD125" s="598"/>
      <c r="FE125" s="598"/>
      <c r="FF125" s="598"/>
      <c r="FG125" s="598"/>
      <c r="FH125" s="598"/>
      <c r="FI125" s="598"/>
      <c r="FJ125" s="598"/>
      <c r="FK125" s="598"/>
      <c r="FL125" s="598"/>
      <c r="FM125" s="598"/>
      <c r="FN125" s="598"/>
      <c r="FO125" s="598"/>
      <c r="FP125" s="598"/>
      <c r="FQ125" s="598"/>
      <c r="FR125" s="598"/>
      <c r="FS125" s="598"/>
      <c r="FT125" s="598"/>
      <c r="FU125" s="598"/>
      <c r="FV125" s="598"/>
      <c r="FW125" s="598"/>
      <c r="FX125" s="598"/>
      <c r="FY125" s="598"/>
      <c r="FZ125" s="598"/>
      <c r="GA125" s="598"/>
      <c r="GB125" s="598"/>
      <c r="GC125" s="598"/>
      <c r="GD125" s="598"/>
      <c r="GE125" s="598"/>
      <c r="GF125" s="598"/>
      <c r="GG125" s="598"/>
      <c r="GH125" s="598"/>
      <c r="GI125" s="598"/>
      <c r="GJ125" s="598"/>
      <c r="GK125" s="598"/>
      <c r="GL125" s="598"/>
      <c r="GM125" s="598"/>
      <c r="GN125" s="598"/>
      <c r="GO125" s="598"/>
      <c r="GP125" s="598"/>
      <c r="GQ125" s="598"/>
      <c r="GR125" s="598"/>
      <c r="GS125" s="598"/>
      <c r="GT125" s="598"/>
      <c r="GU125" s="598"/>
      <c r="GV125" s="598"/>
      <c r="GW125" s="598"/>
      <c r="GX125" s="598"/>
      <c r="GY125" s="598"/>
      <c r="GZ125" s="598"/>
      <c r="HA125" s="598"/>
      <c r="HB125" s="598"/>
      <c r="HC125" s="598"/>
      <c r="HD125" s="598"/>
      <c r="HE125" s="598"/>
      <c r="HF125" s="598"/>
      <c r="HG125" s="598"/>
      <c r="HH125" s="598"/>
      <c r="HI125" s="598"/>
      <c r="HJ125" s="598"/>
      <c r="HK125" s="598"/>
      <c r="HL125" s="598"/>
      <c r="HM125" s="598"/>
      <c r="HN125" s="598"/>
      <c r="HO125" s="598"/>
      <c r="HP125" s="598"/>
      <c r="HQ125" s="598"/>
      <c r="HR125" s="598"/>
      <c r="HS125" s="598"/>
      <c r="HT125" s="598"/>
      <c r="HU125" s="598"/>
      <c r="HV125" s="598"/>
      <c r="HW125" s="598"/>
      <c r="HX125" s="598"/>
      <c r="HY125" s="598"/>
      <c r="HZ125" s="598"/>
      <c r="IA125" s="598"/>
      <c r="IB125" s="598"/>
      <c r="IC125" s="598"/>
      <c r="ID125" s="598"/>
      <c r="IE125" s="598"/>
      <c r="IF125" s="598"/>
      <c r="IG125" s="598"/>
      <c r="IH125" s="598"/>
      <c r="II125" s="598"/>
      <c r="IJ125" s="598"/>
      <c r="IK125" s="598"/>
      <c r="IL125" s="598"/>
      <c r="IM125" s="598"/>
      <c r="IN125" s="598"/>
      <c r="IO125" s="598"/>
      <c r="IP125" s="598"/>
      <c r="IQ125" s="598"/>
      <c r="IR125" s="598"/>
      <c r="IS125" s="598"/>
      <c r="IT125" s="598"/>
      <c r="IU125" s="598"/>
      <c r="IV125" s="598"/>
      <c r="IW125" s="598"/>
      <c r="IX125" s="598"/>
      <c r="IY125" s="598"/>
      <c r="IZ125" s="598"/>
      <c r="JA125" s="598"/>
      <c r="JB125" s="598"/>
      <c r="JC125" s="598"/>
      <c r="JD125" s="598"/>
      <c r="JE125" s="598"/>
      <c r="JF125" s="598"/>
      <c r="JG125" s="598"/>
      <c r="JH125" s="598"/>
      <c r="JI125" s="598"/>
      <c r="JJ125" s="598"/>
      <c r="JK125" s="598"/>
      <c r="JL125" s="598"/>
      <c r="JM125" s="598"/>
      <c r="JN125" s="598"/>
      <c r="JO125" s="598"/>
      <c r="JP125" s="598"/>
      <c r="JQ125" s="598"/>
      <c r="JR125" s="598"/>
      <c r="JS125" s="598"/>
      <c r="JT125" s="598"/>
      <c r="JU125" s="598"/>
      <c r="JV125" s="598"/>
    </row>
    <row r="126" spans="1:282" s="21" customFormat="1" ht="50.1" customHeight="1" x14ac:dyDescent="0.2">
      <c r="A126" s="702"/>
      <c r="B126" s="703" t="s">
        <v>1137</v>
      </c>
      <c r="C126" s="703"/>
      <c r="D126" s="703"/>
      <c r="E126" s="723" t="s">
        <v>1054</v>
      </c>
      <c r="F126" s="722" t="s">
        <v>523</v>
      </c>
      <c r="G126" s="165" t="s">
        <v>523</v>
      </c>
      <c r="H126" s="165" t="s">
        <v>1055</v>
      </c>
      <c r="I126" s="165"/>
      <c r="J126" s="703" t="s">
        <v>1056</v>
      </c>
      <c r="K126" s="729" t="s">
        <v>1394</v>
      </c>
      <c r="L126" s="165" t="s">
        <v>18</v>
      </c>
      <c r="M126" s="165" t="s">
        <v>1528</v>
      </c>
      <c r="N126" s="723">
        <v>40158</v>
      </c>
      <c r="O126" s="165">
        <v>897784094</v>
      </c>
      <c r="P126" s="165"/>
      <c r="Q126" s="165"/>
      <c r="R126" s="165"/>
      <c r="S126" s="165"/>
      <c r="T126" s="599" t="s">
        <v>2686</v>
      </c>
      <c r="U126" s="599"/>
      <c r="V126" s="599"/>
      <c r="W126" s="599"/>
      <c r="X126" s="599"/>
      <c r="Y126" s="599"/>
      <c r="Z126" s="599"/>
      <c r="AA126" s="599"/>
      <c r="AB126" s="599"/>
      <c r="AC126" s="599"/>
      <c r="AD126" s="599"/>
      <c r="AE126" s="599"/>
      <c r="AF126" s="599"/>
      <c r="AG126" s="599"/>
      <c r="AH126" s="599"/>
      <c r="AI126" s="599"/>
      <c r="AJ126" s="730">
        <v>41050</v>
      </c>
      <c r="AK126" s="734"/>
      <c r="AL126" s="176"/>
      <c r="AM126" s="598"/>
      <c r="AN126" s="598"/>
      <c r="AO126" s="598"/>
      <c r="AP126" s="598"/>
      <c r="AQ126" s="598"/>
      <c r="AR126" s="598"/>
      <c r="AS126" s="598"/>
      <c r="AT126" s="598"/>
      <c r="AU126" s="598"/>
      <c r="AV126" s="598"/>
      <c r="AW126" s="598"/>
      <c r="AX126" s="598"/>
      <c r="AY126" s="598"/>
      <c r="AZ126" s="598"/>
      <c r="BA126" s="598"/>
      <c r="BB126" s="598"/>
      <c r="BC126" s="598"/>
      <c r="BD126" s="598"/>
      <c r="BE126" s="598"/>
      <c r="BF126" s="598"/>
      <c r="BG126" s="598"/>
      <c r="BH126" s="598"/>
      <c r="BI126" s="598"/>
      <c r="BJ126" s="598"/>
      <c r="BK126" s="598"/>
      <c r="BL126" s="598"/>
      <c r="BM126" s="598"/>
      <c r="BN126" s="598"/>
      <c r="BO126" s="598"/>
      <c r="BP126" s="598"/>
      <c r="BQ126" s="598"/>
      <c r="BR126" s="598"/>
      <c r="BS126" s="598"/>
      <c r="BT126" s="598"/>
      <c r="BU126" s="598"/>
      <c r="BV126" s="598"/>
      <c r="BW126" s="598"/>
      <c r="BX126" s="598"/>
      <c r="BY126" s="598"/>
      <c r="BZ126" s="598"/>
      <c r="CA126" s="598"/>
      <c r="CB126" s="598"/>
      <c r="CC126" s="598"/>
      <c r="CD126" s="598"/>
      <c r="CE126" s="598"/>
      <c r="CF126" s="598"/>
      <c r="CG126" s="598"/>
      <c r="CH126" s="598"/>
      <c r="CI126" s="598"/>
      <c r="CJ126" s="598"/>
      <c r="CK126" s="598"/>
      <c r="CL126" s="598"/>
      <c r="CM126" s="598"/>
      <c r="CN126" s="598"/>
      <c r="CO126" s="598"/>
      <c r="CP126" s="598"/>
      <c r="CQ126" s="598"/>
      <c r="CR126" s="598"/>
      <c r="CS126" s="598"/>
      <c r="CT126" s="598"/>
      <c r="CU126" s="598"/>
      <c r="CV126" s="598"/>
      <c r="CW126" s="598"/>
      <c r="CX126" s="598"/>
      <c r="CY126" s="598"/>
      <c r="CZ126" s="598"/>
      <c r="DA126" s="598"/>
      <c r="DB126" s="598"/>
      <c r="DC126" s="598"/>
      <c r="DD126" s="598"/>
      <c r="DE126" s="598"/>
      <c r="DF126" s="598"/>
      <c r="DG126" s="598"/>
      <c r="DH126" s="598"/>
      <c r="DI126" s="598"/>
      <c r="DJ126" s="598"/>
      <c r="DK126" s="598"/>
      <c r="DL126" s="598"/>
      <c r="DM126" s="598"/>
      <c r="DN126" s="598"/>
      <c r="DO126" s="598"/>
      <c r="DP126" s="598"/>
      <c r="DQ126" s="598"/>
      <c r="DR126" s="598"/>
      <c r="DS126" s="598"/>
      <c r="DT126" s="598"/>
      <c r="DU126" s="598"/>
      <c r="DV126" s="598"/>
      <c r="DW126" s="598"/>
      <c r="DX126" s="598"/>
      <c r="DY126" s="598"/>
      <c r="DZ126" s="598"/>
      <c r="EA126" s="598"/>
      <c r="EB126" s="598"/>
      <c r="EC126" s="598"/>
      <c r="ED126" s="598"/>
      <c r="EE126" s="598"/>
      <c r="EF126" s="598"/>
      <c r="EG126" s="598"/>
      <c r="EH126" s="598"/>
      <c r="EI126" s="598"/>
      <c r="EJ126" s="598"/>
      <c r="EK126" s="598"/>
      <c r="EL126" s="598"/>
      <c r="EM126" s="598"/>
      <c r="EN126" s="598"/>
      <c r="EO126" s="598"/>
      <c r="EP126" s="598"/>
      <c r="EQ126" s="598"/>
      <c r="ER126" s="598"/>
      <c r="ES126" s="598"/>
      <c r="ET126" s="598"/>
      <c r="EU126" s="598"/>
      <c r="EV126" s="598"/>
      <c r="EW126" s="598"/>
      <c r="EX126" s="598"/>
      <c r="EY126" s="598"/>
      <c r="EZ126" s="598"/>
      <c r="FA126" s="598"/>
      <c r="FB126" s="598"/>
      <c r="FC126" s="598"/>
      <c r="FD126" s="598"/>
      <c r="FE126" s="598"/>
      <c r="FF126" s="598"/>
      <c r="FG126" s="598"/>
      <c r="FH126" s="598"/>
      <c r="FI126" s="598"/>
      <c r="FJ126" s="598"/>
      <c r="FK126" s="598"/>
      <c r="FL126" s="598"/>
      <c r="FM126" s="598"/>
      <c r="FN126" s="598"/>
      <c r="FO126" s="598"/>
      <c r="FP126" s="598"/>
      <c r="FQ126" s="598"/>
      <c r="FR126" s="598"/>
      <c r="FS126" s="598"/>
      <c r="FT126" s="598"/>
      <c r="FU126" s="598"/>
      <c r="FV126" s="598"/>
      <c r="FW126" s="598"/>
      <c r="FX126" s="598"/>
      <c r="FY126" s="598"/>
      <c r="FZ126" s="598"/>
      <c r="GA126" s="598"/>
      <c r="GB126" s="598"/>
      <c r="GC126" s="598"/>
      <c r="GD126" s="598"/>
      <c r="GE126" s="598"/>
      <c r="GF126" s="598"/>
      <c r="GG126" s="598"/>
      <c r="GH126" s="598"/>
      <c r="GI126" s="598"/>
      <c r="GJ126" s="598"/>
      <c r="GK126" s="598"/>
      <c r="GL126" s="598"/>
      <c r="GM126" s="598"/>
      <c r="GN126" s="598"/>
      <c r="GO126" s="598"/>
      <c r="GP126" s="598"/>
      <c r="GQ126" s="598"/>
      <c r="GR126" s="598"/>
      <c r="GS126" s="598"/>
      <c r="GT126" s="598"/>
      <c r="GU126" s="598"/>
      <c r="GV126" s="598"/>
      <c r="GW126" s="598"/>
      <c r="GX126" s="598"/>
      <c r="GY126" s="598"/>
      <c r="GZ126" s="598"/>
      <c r="HA126" s="598"/>
      <c r="HB126" s="598"/>
      <c r="HC126" s="598"/>
      <c r="HD126" s="598"/>
      <c r="HE126" s="598"/>
      <c r="HF126" s="598"/>
      <c r="HG126" s="598"/>
      <c r="HH126" s="598"/>
      <c r="HI126" s="598"/>
      <c r="HJ126" s="598"/>
      <c r="HK126" s="598"/>
      <c r="HL126" s="598"/>
      <c r="HM126" s="598"/>
      <c r="HN126" s="598"/>
      <c r="HO126" s="598"/>
      <c r="HP126" s="598"/>
      <c r="HQ126" s="598"/>
      <c r="HR126" s="598"/>
      <c r="HS126" s="598"/>
      <c r="HT126" s="598"/>
      <c r="HU126" s="598"/>
      <c r="HV126" s="598"/>
      <c r="HW126" s="598"/>
      <c r="HX126" s="598"/>
      <c r="HY126" s="598"/>
      <c r="HZ126" s="598"/>
      <c r="IA126" s="598"/>
      <c r="IB126" s="598"/>
      <c r="IC126" s="598"/>
      <c r="ID126" s="598"/>
      <c r="IE126" s="598"/>
      <c r="IF126" s="598"/>
      <c r="IG126" s="598"/>
      <c r="IH126" s="598"/>
      <c r="II126" s="598"/>
      <c r="IJ126" s="598"/>
      <c r="IK126" s="598"/>
      <c r="IL126" s="598"/>
      <c r="IM126" s="598"/>
      <c r="IN126" s="598"/>
      <c r="IO126" s="598"/>
      <c r="IP126" s="598"/>
      <c r="IQ126" s="598"/>
      <c r="IR126" s="598"/>
      <c r="IS126" s="598"/>
      <c r="IT126" s="598"/>
      <c r="IU126" s="598"/>
      <c r="IV126" s="598"/>
      <c r="IW126" s="598"/>
      <c r="IX126" s="598"/>
      <c r="IY126" s="598"/>
      <c r="IZ126" s="598"/>
      <c r="JA126" s="598"/>
      <c r="JB126" s="598"/>
      <c r="JC126" s="598"/>
      <c r="JD126" s="598"/>
      <c r="JE126" s="598"/>
      <c r="JF126" s="598"/>
      <c r="JG126" s="598"/>
      <c r="JH126" s="598"/>
      <c r="JI126" s="598"/>
      <c r="JJ126" s="598"/>
      <c r="JK126" s="598"/>
      <c r="JL126" s="598"/>
      <c r="JM126" s="598"/>
      <c r="JN126" s="598"/>
      <c r="JO126" s="598"/>
      <c r="JP126" s="598"/>
      <c r="JQ126" s="598"/>
      <c r="JR126" s="598"/>
      <c r="JS126" s="598"/>
      <c r="JT126" s="598"/>
      <c r="JU126" s="598"/>
      <c r="JV126" s="598"/>
    </row>
    <row r="127" spans="1:282" s="21" customFormat="1" ht="50.1" customHeight="1" x14ac:dyDescent="0.2">
      <c r="A127" s="702"/>
      <c r="B127" s="69" t="s">
        <v>1137</v>
      </c>
      <c r="C127" s="69"/>
      <c r="D127" s="69"/>
      <c r="E127" s="74" t="s">
        <v>1057</v>
      </c>
      <c r="F127" s="104" t="s">
        <v>1058</v>
      </c>
      <c r="G127" s="29" t="s">
        <v>1058</v>
      </c>
      <c r="H127" s="29" t="s">
        <v>847</v>
      </c>
      <c r="I127" s="29"/>
      <c r="J127" s="69" t="s">
        <v>1059</v>
      </c>
      <c r="K127" s="30" t="s">
        <v>1394</v>
      </c>
      <c r="L127" s="29" t="s">
        <v>685</v>
      </c>
      <c r="M127" s="29" t="s">
        <v>1528</v>
      </c>
      <c r="N127" s="74">
        <v>40130</v>
      </c>
      <c r="O127" s="29">
        <v>874292098</v>
      </c>
      <c r="P127" s="29"/>
      <c r="Q127" s="29"/>
      <c r="R127" s="29"/>
      <c r="S127" s="29"/>
      <c r="T127" s="597"/>
      <c r="U127" s="597"/>
      <c r="V127" s="597"/>
      <c r="W127" s="597"/>
      <c r="X127" s="597"/>
      <c r="Y127" s="597"/>
      <c r="Z127" s="597"/>
      <c r="AA127" s="597"/>
      <c r="AB127" s="597"/>
      <c r="AC127" s="597"/>
      <c r="AD127" s="597"/>
      <c r="AE127" s="597"/>
      <c r="AF127" s="597"/>
      <c r="AG127" s="597"/>
      <c r="AH127" s="597"/>
      <c r="AI127" s="597"/>
      <c r="AJ127" s="724">
        <v>41078</v>
      </c>
      <c r="AK127" s="648">
        <v>20</v>
      </c>
      <c r="AL127" s="174"/>
      <c r="AM127" s="598"/>
      <c r="AN127" s="598"/>
      <c r="AO127" s="598"/>
      <c r="AP127" s="598"/>
      <c r="AQ127" s="598"/>
      <c r="AR127" s="598"/>
      <c r="AS127" s="598"/>
      <c r="AT127" s="598"/>
      <c r="AU127" s="598"/>
      <c r="AV127" s="598"/>
      <c r="AW127" s="598"/>
      <c r="AX127" s="598"/>
      <c r="AY127" s="598"/>
      <c r="AZ127" s="598"/>
      <c r="BA127" s="598"/>
      <c r="BB127" s="598"/>
      <c r="BC127" s="598"/>
      <c r="BD127" s="598"/>
      <c r="BE127" s="598"/>
      <c r="BF127" s="598"/>
      <c r="BG127" s="598"/>
      <c r="BH127" s="598"/>
      <c r="BI127" s="598"/>
      <c r="BJ127" s="598"/>
      <c r="BK127" s="598"/>
      <c r="BL127" s="598"/>
      <c r="BM127" s="598"/>
      <c r="BN127" s="598"/>
      <c r="BO127" s="598"/>
      <c r="BP127" s="598"/>
      <c r="BQ127" s="598"/>
      <c r="BR127" s="598"/>
      <c r="BS127" s="598"/>
      <c r="BT127" s="598"/>
      <c r="BU127" s="598"/>
      <c r="BV127" s="598"/>
      <c r="BW127" s="598"/>
      <c r="BX127" s="598"/>
      <c r="BY127" s="598"/>
      <c r="BZ127" s="598"/>
      <c r="CA127" s="598"/>
      <c r="CB127" s="598"/>
      <c r="CC127" s="598"/>
      <c r="CD127" s="598"/>
      <c r="CE127" s="598"/>
      <c r="CF127" s="598"/>
      <c r="CG127" s="598"/>
      <c r="CH127" s="598"/>
      <c r="CI127" s="598"/>
      <c r="CJ127" s="598"/>
      <c r="CK127" s="598"/>
      <c r="CL127" s="598"/>
      <c r="CM127" s="598"/>
      <c r="CN127" s="598"/>
      <c r="CO127" s="598"/>
      <c r="CP127" s="598"/>
      <c r="CQ127" s="598"/>
      <c r="CR127" s="598"/>
      <c r="CS127" s="598"/>
      <c r="CT127" s="598"/>
      <c r="CU127" s="598"/>
      <c r="CV127" s="598"/>
      <c r="CW127" s="598"/>
      <c r="CX127" s="598"/>
      <c r="CY127" s="598"/>
      <c r="CZ127" s="598"/>
      <c r="DA127" s="598"/>
      <c r="DB127" s="598"/>
      <c r="DC127" s="598"/>
      <c r="DD127" s="598"/>
      <c r="DE127" s="598"/>
      <c r="DF127" s="598"/>
      <c r="DG127" s="598"/>
      <c r="DH127" s="598"/>
      <c r="DI127" s="598"/>
      <c r="DJ127" s="598"/>
      <c r="DK127" s="598"/>
      <c r="DL127" s="598"/>
      <c r="DM127" s="598"/>
      <c r="DN127" s="598"/>
      <c r="DO127" s="598"/>
      <c r="DP127" s="598"/>
      <c r="DQ127" s="598"/>
      <c r="DR127" s="598"/>
      <c r="DS127" s="598"/>
      <c r="DT127" s="598"/>
      <c r="DU127" s="598"/>
      <c r="DV127" s="598"/>
      <c r="DW127" s="598"/>
      <c r="DX127" s="598"/>
      <c r="DY127" s="598"/>
      <c r="DZ127" s="598"/>
      <c r="EA127" s="598"/>
      <c r="EB127" s="598"/>
      <c r="EC127" s="598"/>
      <c r="ED127" s="598"/>
      <c r="EE127" s="598"/>
      <c r="EF127" s="598"/>
      <c r="EG127" s="598"/>
      <c r="EH127" s="598"/>
      <c r="EI127" s="598"/>
      <c r="EJ127" s="598"/>
      <c r="EK127" s="598"/>
      <c r="EL127" s="598"/>
      <c r="EM127" s="598"/>
      <c r="EN127" s="598"/>
      <c r="EO127" s="598"/>
      <c r="EP127" s="598"/>
      <c r="EQ127" s="598"/>
      <c r="ER127" s="598"/>
      <c r="ES127" s="598"/>
      <c r="ET127" s="598"/>
      <c r="EU127" s="598"/>
      <c r="EV127" s="598"/>
      <c r="EW127" s="598"/>
      <c r="EX127" s="598"/>
      <c r="EY127" s="598"/>
      <c r="EZ127" s="598"/>
      <c r="FA127" s="598"/>
      <c r="FB127" s="598"/>
      <c r="FC127" s="598"/>
      <c r="FD127" s="598"/>
      <c r="FE127" s="598"/>
      <c r="FF127" s="598"/>
      <c r="FG127" s="598"/>
      <c r="FH127" s="598"/>
      <c r="FI127" s="598"/>
      <c r="FJ127" s="598"/>
      <c r="FK127" s="598"/>
      <c r="FL127" s="598"/>
      <c r="FM127" s="598"/>
      <c r="FN127" s="598"/>
      <c r="FO127" s="598"/>
      <c r="FP127" s="598"/>
      <c r="FQ127" s="598"/>
      <c r="FR127" s="598"/>
      <c r="FS127" s="598"/>
      <c r="FT127" s="598"/>
      <c r="FU127" s="598"/>
      <c r="FV127" s="598"/>
      <c r="FW127" s="598"/>
      <c r="FX127" s="598"/>
      <c r="FY127" s="598"/>
      <c r="FZ127" s="598"/>
      <c r="GA127" s="598"/>
      <c r="GB127" s="598"/>
      <c r="GC127" s="598"/>
      <c r="GD127" s="598"/>
      <c r="GE127" s="598"/>
      <c r="GF127" s="598"/>
      <c r="GG127" s="598"/>
      <c r="GH127" s="598"/>
      <c r="GI127" s="598"/>
      <c r="GJ127" s="598"/>
      <c r="GK127" s="598"/>
      <c r="GL127" s="598"/>
      <c r="GM127" s="598"/>
      <c r="GN127" s="598"/>
      <c r="GO127" s="598"/>
      <c r="GP127" s="598"/>
      <c r="GQ127" s="598"/>
      <c r="GR127" s="598"/>
      <c r="GS127" s="598"/>
      <c r="GT127" s="598"/>
      <c r="GU127" s="598"/>
      <c r="GV127" s="598"/>
      <c r="GW127" s="598"/>
      <c r="GX127" s="598"/>
      <c r="GY127" s="598"/>
      <c r="GZ127" s="598"/>
      <c r="HA127" s="598"/>
      <c r="HB127" s="598"/>
      <c r="HC127" s="598"/>
      <c r="HD127" s="598"/>
      <c r="HE127" s="598"/>
      <c r="HF127" s="598"/>
      <c r="HG127" s="598"/>
      <c r="HH127" s="598"/>
      <c r="HI127" s="598"/>
      <c r="HJ127" s="598"/>
      <c r="HK127" s="598"/>
      <c r="HL127" s="598"/>
      <c r="HM127" s="598"/>
      <c r="HN127" s="598"/>
      <c r="HO127" s="598"/>
      <c r="HP127" s="598"/>
      <c r="HQ127" s="598"/>
      <c r="HR127" s="598"/>
      <c r="HS127" s="598"/>
      <c r="HT127" s="598"/>
      <c r="HU127" s="598"/>
      <c r="HV127" s="598"/>
      <c r="HW127" s="598"/>
      <c r="HX127" s="598"/>
      <c r="HY127" s="598"/>
      <c r="HZ127" s="598"/>
      <c r="IA127" s="598"/>
      <c r="IB127" s="598"/>
      <c r="IC127" s="598"/>
      <c r="ID127" s="598"/>
      <c r="IE127" s="598"/>
      <c r="IF127" s="598"/>
      <c r="IG127" s="598"/>
      <c r="IH127" s="598"/>
      <c r="II127" s="598"/>
      <c r="IJ127" s="598"/>
      <c r="IK127" s="598"/>
      <c r="IL127" s="598"/>
      <c r="IM127" s="598"/>
      <c r="IN127" s="598"/>
      <c r="IO127" s="598"/>
      <c r="IP127" s="598"/>
      <c r="IQ127" s="598"/>
      <c r="IR127" s="598"/>
      <c r="IS127" s="598"/>
      <c r="IT127" s="598"/>
      <c r="IU127" s="598"/>
      <c r="IV127" s="598"/>
      <c r="IW127" s="598"/>
      <c r="IX127" s="598"/>
      <c r="IY127" s="598"/>
      <c r="IZ127" s="598"/>
      <c r="JA127" s="598"/>
      <c r="JB127" s="598"/>
      <c r="JC127" s="598"/>
      <c r="JD127" s="598"/>
      <c r="JE127" s="598"/>
      <c r="JF127" s="598"/>
      <c r="JG127" s="598"/>
      <c r="JH127" s="598"/>
      <c r="JI127" s="598"/>
      <c r="JJ127" s="598"/>
      <c r="JK127" s="598"/>
      <c r="JL127" s="598"/>
      <c r="JM127" s="598"/>
      <c r="JN127" s="598"/>
      <c r="JO127" s="598"/>
      <c r="JP127" s="598"/>
      <c r="JQ127" s="598"/>
      <c r="JR127" s="598"/>
      <c r="JS127" s="598"/>
      <c r="JT127" s="598"/>
      <c r="JU127" s="598"/>
      <c r="JV127" s="598"/>
    </row>
    <row r="128" spans="1:282" s="21" customFormat="1" ht="50.1" customHeight="1" x14ac:dyDescent="0.2">
      <c r="A128" s="702"/>
      <c r="B128" s="69" t="s">
        <v>1137</v>
      </c>
      <c r="C128" s="69"/>
      <c r="D128" s="69"/>
      <c r="E128" s="74" t="s">
        <v>1060</v>
      </c>
      <c r="F128" s="104" t="s">
        <v>1061</v>
      </c>
      <c r="G128" s="29" t="s">
        <v>523</v>
      </c>
      <c r="H128" s="29" t="s">
        <v>1055</v>
      </c>
      <c r="I128" s="29"/>
      <c r="J128" s="69" t="s">
        <v>1056</v>
      </c>
      <c r="K128" s="29" t="s">
        <v>1393</v>
      </c>
      <c r="L128" s="29" t="s">
        <v>18</v>
      </c>
      <c r="M128" s="29" t="s">
        <v>1528</v>
      </c>
      <c r="N128" s="74">
        <v>40158</v>
      </c>
      <c r="O128" s="29">
        <v>897661099</v>
      </c>
      <c r="P128" s="29"/>
      <c r="Q128" s="29"/>
      <c r="R128" s="29"/>
      <c r="S128" s="29"/>
      <c r="T128" s="597"/>
      <c r="U128" s="597"/>
      <c r="V128" s="597"/>
      <c r="W128" s="597"/>
      <c r="X128" s="597"/>
      <c r="Y128" s="597"/>
      <c r="Z128" s="597"/>
      <c r="AA128" s="597"/>
      <c r="AB128" s="597"/>
      <c r="AC128" s="597"/>
      <c r="AD128" s="597"/>
      <c r="AE128" s="597"/>
      <c r="AF128" s="597"/>
      <c r="AG128" s="597"/>
      <c r="AH128" s="597"/>
      <c r="AI128" s="597"/>
      <c r="AJ128" s="724">
        <v>41085</v>
      </c>
      <c r="AK128" s="720"/>
      <c r="AL128" s="155"/>
      <c r="AM128" s="598"/>
      <c r="AN128" s="598"/>
      <c r="AO128" s="598"/>
      <c r="AP128" s="598"/>
      <c r="AQ128" s="598"/>
      <c r="AR128" s="598"/>
      <c r="AS128" s="598"/>
      <c r="AT128" s="598"/>
      <c r="AU128" s="598"/>
      <c r="AV128" s="598"/>
      <c r="AW128" s="598"/>
      <c r="AX128" s="598"/>
      <c r="AY128" s="598"/>
      <c r="AZ128" s="598"/>
      <c r="BA128" s="598"/>
      <c r="BB128" s="598"/>
      <c r="BC128" s="598"/>
      <c r="BD128" s="598"/>
      <c r="BE128" s="598"/>
      <c r="BF128" s="598"/>
      <c r="BG128" s="598"/>
      <c r="BH128" s="598"/>
      <c r="BI128" s="598"/>
      <c r="BJ128" s="598"/>
      <c r="BK128" s="598"/>
      <c r="BL128" s="598"/>
      <c r="BM128" s="598"/>
      <c r="BN128" s="598"/>
      <c r="BO128" s="598"/>
      <c r="BP128" s="598"/>
      <c r="BQ128" s="598"/>
      <c r="BR128" s="598"/>
      <c r="BS128" s="598"/>
      <c r="BT128" s="598"/>
      <c r="BU128" s="598"/>
      <c r="BV128" s="598"/>
      <c r="BW128" s="598"/>
      <c r="BX128" s="598"/>
      <c r="BY128" s="598"/>
      <c r="BZ128" s="598"/>
      <c r="CA128" s="598"/>
      <c r="CB128" s="598"/>
      <c r="CC128" s="598"/>
      <c r="CD128" s="598"/>
      <c r="CE128" s="598"/>
      <c r="CF128" s="598"/>
      <c r="CG128" s="598"/>
      <c r="CH128" s="598"/>
      <c r="CI128" s="598"/>
      <c r="CJ128" s="598"/>
      <c r="CK128" s="598"/>
      <c r="CL128" s="598"/>
      <c r="CM128" s="598"/>
      <c r="CN128" s="598"/>
      <c r="CO128" s="598"/>
      <c r="CP128" s="598"/>
      <c r="CQ128" s="598"/>
      <c r="CR128" s="598"/>
      <c r="CS128" s="598"/>
      <c r="CT128" s="598"/>
      <c r="CU128" s="598"/>
      <c r="CV128" s="598"/>
      <c r="CW128" s="598"/>
      <c r="CX128" s="598"/>
      <c r="CY128" s="598"/>
      <c r="CZ128" s="598"/>
      <c r="DA128" s="598"/>
      <c r="DB128" s="598"/>
      <c r="DC128" s="598"/>
      <c r="DD128" s="598"/>
      <c r="DE128" s="598"/>
      <c r="DF128" s="598"/>
      <c r="DG128" s="598"/>
      <c r="DH128" s="598"/>
      <c r="DI128" s="598"/>
      <c r="DJ128" s="598"/>
      <c r="DK128" s="598"/>
      <c r="DL128" s="598"/>
      <c r="DM128" s="598"/>
      <c r="DN128" s="598"/>
      <c r="DO128" s="598"/>
      <c r="DP128" s="598"/>
      <c r="DQ128" s="598"/>
      <c r="DR128" s="598"/>
      <c r="DS128" s="598"/>
      <c r="DT128" s="598"/>
      <c r="DU128" s="598"/>
      <c r="DV128" s="598"/>
      <c r="DW128" s="598"/>
      <c r="DX128" s="598"/>
      <c r="DY128" s="598"/>
      <c r="DZ128" s="598"/>
      <c r="EA128" s="598"/>
      <c r="EB128" s="598"/>
      <c r="EC128" s="598"/>
      <c r="ED128" s="598"/>
      <c r="EE128" s="598"/>
      <c r="EF128" s="598"/>
      <c r="EG128" s="598"/>
      <c r="EH128" s="598"/>
      <c r="EI128" s="598"/>
      <c r="EJ128" s="598"/>
      <c r="EK128" s="598"/>
      <c r="EL128" s="598"/>
      <c r="EM128" s="598"/>
      <c r="EN128" s="598"/>
      <c r="EO128" s="598"/>
      <c r="EP128" s="598"/>
      <c r="EQ128" s="598"/>
      <c r="ER128" s="598"/>
      <c r="ES128" s="598"/>
      <c r="ET128" s="598"/>
      <c r="EU128" s="598"/>
      <c r="EV128" s="598"/>
      <c r="EW128" s="598"/>
      <c r="EX128" s="598"/>
      <c r="EY128" s="598"/>
      <c r="EZ128" s="598"/>
      <c r="FA128" s="598"/>
      <c r="FB128" s="598"/>
      <c r="FC128" s="598"/>
      <c r="FD128" s="598"/>
      <c r="FE128" s="598"/>
      <c r="FF128" s="598"/>
      <c r="FG128" s="598"/>
      <c r="FH128" s="598"/>
      <c r="FI128" s="598"/>
      <c r="FJ128" s="598"/>
      <c r="FK128" s="598"/>
      <c r="FL128" s="598"/>
      <c r="FM128" s="598"/>
      <c r="FN128" s="598"/>
      <c r="FO128" s="598"/>
      <c r="FP128" s="598"/>
      <c r="FQ128" s="598"/>
      <c r="FR128" s="598"/>
      <c r="FS128" s="598"/>
      <c r="FT128" s="598"/>
      <c r="FU128" s="598"/>
      <c r="FV128" s="598"/>
      <c r="FW128" s="598"/>
      <c r="FX128" s="598"/>
      <c r="FY128" s="598"/>
      <c r="FZ128" s="598"/>
      <c r="GA128" s="598"/>
      <c r="GB128" s="598"/>
      <c r="GC128" s="598"/>
      <c r="GD128" s="598"/>
      <c r="GE128" s="598"/>
      <c r="GF128" s="598"/>
      <c r="GG128" s="598"/>
      <c r="GH128" s="598"/>
      <c r="GI128" s="598"/>
      <c r="GJ128" s="598"/>
      <c r="GK128" s="598"/>
      <c r="GL128" s="598"/>
      <c r="GM128" s="598"/>
      <c r="GN128" s="598"/>
      <c r="GO128" s="598"/>
      <c r="GP128" s="598"/>
      <c r="GQ128" s="598"/>
      <c r="GR128" s="598"/>
      <c r="GS128" s="598"/>
      <c r="GT128" s="598"/>
      <c r="GU128" s="598"/>
      <c r="GV128" s="598"/>
      <c r="GW128" s="598"/>
      <c r="GX128" s="598"/>
      <c r="GY128" s="598"/>
      <c r="GZ128" s="598"/>
      <c r="HA128" s="598"/>
      <c r="HB128" s="598"/>
      <c r="HC128" s="598"/>
      <c r="HD128" s="598"/>
      <c r="HE128" s="598"/>
      <c r="HF128" s="598"/>
      <c r="HG128" s="598"/>
      <c r="HH128" s="598"/>
      <c r="HI128" s="598"/>
      <c r="HJ128" s="598"/>
      <c r="HK128" s="598"/>
      <c r="HL128" s="598"/>
      <c r="HM128" s="598"/>
      <c r="HN128" s="598"/>
      <c r="HO128" s="598"/>
      <c r="HP128" s="598"/>
      <c r="HQ128" s="598"/>
      <c r="HR128" s="598"/>
      <c r="HS128" s="598"/>
      <c r="HT128" s="598"/>
      <c r="HU128" s="598"/>
      <c r="HV128" s="598"/>
      <c r="HW128" s="598"/>
      <c r="HX128" s="598"/>
      <c r="HY128" s="598"/>
      <c r="HZ128" s="598"/>
      <c r="IA128" s="598"/>
      <c r="IB128" s="598"/>
      <c r="IC128" s="598"/>
      <c r="ID128" s="598"/>
      <c r="IE128" s="598"/>
      <c r="IF128" s="598"/>
      <c r="IG128" s="598"/>
      <c r="IH128" s="598"/>
      <c r="II128" s="598"/>
      <c r="IJ128" s="598"/>
      <c r="IK128" s="598"/>
      <c r="IL128" s="598"/>
      <c r="IM128" s="598"/>
      <c r="IN128" s="598"/>
      <c r="IO128" s="598"/>
      <c r="IP128" s="598"/>
      <c r="IQ128" s="598"/>
      <c r="IR128" s="598"/>
      <c r="IS128" s="598"/>
      <c r="IT128" s="598"/>
      <c r="IU128" s="598"/>
      <c r="IV128" s="598"/>
      <c r="IW128" s="598"/>
      <c r="IX128" s="598"/>
      <c r="IY128" s="598"/>
      <c r="IZ128" s="598"/>
      <c r="JA128" s="598"/>
      <c r="JB128" s="598"/>
      <c r="JC128" s="598"/>
      <c r="JD128" s="598"/>
      <c r="JE128" s="598"/>
      <c r="JF128" s="598"/>
      <c r="JG128" s="598"/>
      <c r="JH128" s="598"/>
      <c r="JI128" s="598"/>
      <c r="JJ128" s="598"/>
      <c r="JK128" s="598"/>
      <c r="JL128" s="598"/>
      <c r="JM128" s="598"/>
      <c r="JN128" s="598"/>
      <c r="JO128" s="598"/>
      <c r="JP128" s="598"/>
      <c r="JQ128" s="598"/>
      <c r="JR128" s="598"/>
      <c r="JS128" s="598"/>
      <c r="JT128" s="598"/>
      <c r="JU128" s="598"/>
      <c r="JV128" s="598"/>
    </row>
    <row r="129" spans="1:282" s="21" customFormat="1" ht="50.1" customHeight="1" x14ac:dyDescent="0.2">
      <c r="A129" s="702"/>
      <c r="B129" s="703" t="s">
        <v>1137</v>
      </c>
      <c r="C129" s="703"/>
      <c r="D129" s="703"/>
      <c r="E129" s="165" t="s">
        <v>1040</v>
      </c>
      <c r="F129" s="722" t="s">
        <v>1041</v>
      </c>
      <c r="G129" s="165" t="s">
        <v>1017</v>
      </c>
      <c r="H129" s="197" t="s">
        <v>914</v>
      </c>
      <c r="I129" s="197"/>
      <c r="J129" s="703" t="s">
        <v>1062</v>
      </c>
      <c r="K129" s="165" t="s">
        <v>1393</v>
      </c>
      <c r="L129" s="165" t="s">
        <v>12</v>
      </c>
      <c r="M129" s="165" t="s">
        <v>1528</v>
      </c>
      <c r="N129" s="723">
        <v>40226</v>
      </c>
      <c r="O129" s="165">
        <v>122769106</v>
      </c>
      <c r="P129" s="165"/>
      <c r="Q129" s="165"/>
      <c r="R129" s="165"/>
      <c r="S129" s="165"/>
      <c r="T129" s="599" t="s">
        <v>2686</v>
      </c>
      <c r="U129" s="599"/>
      <c r="V129" s="599"/>
      <c r="W129" s="599"/>
      <c r="X129" s="599"/>
      <c r="Y129" s="599"/>
      <c r="Z129" s="599"/>
      <c r="AA129" s="599"/>
      <c r="AB129" s="599"/>
      <c r="AC129" s="599"/>
      <c r="AD129" s="599"/>
      <c r="AE129" s="599"/>
      <c r="AF129" s="599"/>
      <c r="AG129" s="599"/>
      <c r="AH129" s="599"/>
      <c r="AI129" s="599"/>
      <c r="AJ129" s="730">
        <v>41092</v>
      </c>
      <c r="AK129" s="732"/>
      <c r="AL129" s="592"/>
      <c r="AM129" s="598"/>
      <c r="AN129" s="598"/>
      <c r="AO129" s="598"/>
      <c r="AP129" s="598"/>
      <c r="AQ129" s="598"/>
      <c r="AR129" s="598"/>
      <c r="AS129" s="598"/>
      <c r="AT129" s="598"/>
      <c r="AU129" s="598"/>
      <c r="AV129" s="598"/>
      <c r="AW129" s="598"/>
      <c r="AX129" s="598"/>
      <c r="AY129" s="598"/>
      <c r="AZ129" s="598"/>
      <c r="BA129" s="598"/>
      <c r="BB129" s="598"/>
      <c r="BC129" s="598"/>
      <c r="BD129" s="598"/>
      <c r="BE129" s="598"/>
      <c r="BF129" s="598"/>
      <c r="BG129" s="598"/>
      <c r="BH129" s="598"/>
      <c r="BI129" s="598"/>
      <c r="BJ129" s="598"/>
      <c r="BK129" s="598"/>
      <c r="BL129" s="598"/>
      <c r="BM129" s="598"/>
      <c r="BN129" s="598"/>
      <c r="BO129" s="598"/>
      <c r="BP129" s="598"/>
      <c r="BQ129" s="598"/>
      <c r="BR129" s="598"/>
      <c r="BS129" s="598"/>
      <c r="BT129" s="598"/>
      <c r="BU129" s="598"/>
      <c r="BV129" s="598"/>
      <c r="BW129" s="598"/>
      <c r="BX129" s="598"/>
      <c r="BY129" s="598"/>
      <c r="BZ129" s="598"/>
      <c r="CA129" s="598"/>
      <c r="CB129" s="598"/>
      <c r="CC129" s="598"/>
      <c r="CD129" s="598"/>
      <c r="CE129" s="598"/>
      <c r="CF129" s="598"/>
      <c r="CG129" s="598"/>
      <c r="CH129" s="598"/>
      <c r="CI129" s="598"/>
      <c r="CJ129" s="598"/>
      <c r="CK129" s="598"/>
      <c r="CL129" s="598"/>
      <c r="CM129" s="598"/>
      <c r="CN129" s="598"/>
      <c r="CO129" s="598"/>
      <c r="CP129" s="598"/>
      <c r="CQ129" s="598"/>
      <c r="CR129" s="598"/>
      <c r="CS129" s="598"/>
      <c r="CT129" s="598"/>
      <c r="CU129" s="598"/>
      <c r="CV129" s="598"/>
      <c r="CW129" s="598"/>
      <c r="CX129" s="598"/>
      <c r="CY129" s="598"/>
      <c r="CZ129" s="598"/>
      <c r="DA129" s="598"/>
      <c r="DB129" s="598"/>
      <c r="DC129" s="598"/>
      <c r="DD129" s="598"/>
      <c r="DE129" s="598"/>
      <c r="DF129" s="598"/>
      <c r="DG129" s="598"/>
      <c r="DH129" s="598"/>
      <c r="DI129" s="598"/>
      <c r="DJ129" s="598"/>
      <c r="DK129" s="598"/>
      <c r="DL129" s="598"/>
      <c r="DM129" s="598"/>
      <c r="DN129" s="598"/>
      <c r="DO129" s="598"/>
      <c r="DP129" s="598"/>
      <c r="DQ129" s="598"/>
      <c r="DR129" s="598"/>
      <c r="DS129" s="598"/>
      <c r="DT129" s="598"/>
      <c r="DU129" s="598"/>
      <c r="DV129" s="598"/>
      <c r="DW129" s="598"/>
      <c r="DX129" s="598"/>
      <c r="DY129" s="598"/>
      <c r="DZ129" s="598"/>
      <c r="EA129" s="598"/>
      <c r="EB129" s="598"/>
      <c r="EC129" s="598"/>
      <c r="ED129" s="598"/>
      <c r="EE129" s="598"/>
      <c r="EF129" s="598"/>
      <c r="EG129" s="598"/>
      <c r="EH129" s="598"/>
      <c r="EI129" s="598"/>
      <c r="EJ129" s="598"/>
      <c r="EK129" s="598"/>
      <c r="EL129" s="598"/>
      <c r="EM129" s="598"/>
      <c r="EN129" s="598"/>
      <c r="EO129" s="598"/>
      <c r="EP129" s="598"/>
      <c r="EQ129" s="598"/>
      <c r="ER129" s="598"/>
      <c r="ES129" s="598"/>
      <c r="ET129" s="598"/>
      <c r="EU129" s="598"/>
      <c r="EV129" s="598"/>
      <c r="EW129" s="598"/>
      <c r="EX129" s="598"/>
      <c r="EY129" s="598"/>
      <c r="EZ129" s="598"/>
      <c r="FA129" s="598"/>
      <c r="FB129" s="598"/>
      <c r="FC129" s="598"/>
      <c r="FD129" s="598"/>
      <c r="FE129" s="598"/>
      <c r="FF129" s="598"/>
      <c r="FG129" s="598"/>
      <c r="FH129" s="598"/>
      <c r="FI129" s="598"/>
      <c r="FJ129" s="598"/>
      <c r="FK129" s="598"/>
      <c r="FL129" s="598"/>
      <c r="FM129" s="598"/>
      <c r="FN129" s="598"/>
      <c r="FO129" s="598"/>
      <c r="FP129" s="598"/>
      <c r="FQ129" s="598"/>
      <c r="FR129" s="598"/>
      <c r="FS129" s="598"/>
      <c r="FT129" s="598"/>
      <c r="FU129" s="598"/>
      <c r="FV129" s="598"/>
      <c r="FW129" s="598"/>
      <c r="FX129" s="598"/>
      <c r="FY129" s="598"/>
      <c r="FZ129" s="598"/>
      <c r="GA129" s="598"/>
      <c r="GB129" s="598"/>
      <c r="GC129" s="598"/>
      <c r="GD129" s="598"/>
      <c r="GE129" s="598"/>
      <c r="GF129" s="598"/>
      <c r="GG129" s="598"/>
      <c r="GH129" s="598"/>
      <c r="GI129" s="598"/>
      <c r="GJ129" s="598"/>
      <c r="GK129" s="598"/>
      <c r="GL129" s="598"/>
      <c r="GM129" s="598"/>
      <c r="GN129" s="598"/>
      <c r="GO129" s="598"/>
      <c r="GP129" s="598"/>
      <c r="GQ129" s="598"/>
      <c r="GR129" s="598"/>
      <c r="GS129" s="598"/>
      <c r="GT129" s="598"/>
      <c r="GU129" s="598"/>
      <c r="GV129" s="598"/>
      <c r="GW129" s="598"/>
      <c r="GX129" s="598"/>
      <c r="GY129" s="598"/>
      <c r="GZ129" s="598"/>
      <c r="HA129" s="598"/>
      <c r="HB129" s="598"/>
      <c r="HC129" s="598"/>
      <c r="HD129" s="598"/>
      <c r="HE129" s="598"/>
      <c r="HF129" s="598"/>
      <c r="HG129" s="598"/>
      <c r="HH129" s="598"/>
      <c r="HI129" s="598"/>
      <c r="HJ129" s="598"/>
      <c r="HK129" s="598"/>
      <c r="HL129" s="598"/>
      <c r="HM129" s="598"/>
      <c r="HN129" s="598"/>
      <c r="HO129" s="598"/>
      <c r="HP129" s="598"/>
      <c r="HQ129" s="598"/>
      <c r="HR129" s="598"/>
      <c r="HS129" s="598"/>
      <c r="HT129" s="598"/>
      <c r="HU129" s="598"/>
      <c r="HV129" s="598"/>
      <c r="HW129" s="598"/>
      <c r="HX129" s="598"/>
      <c r="HY129" s="598"/>
      <c r="HZ129" s="598"/>
      <c r="IA129" s="598"/>
      <c r="IB129" s="598"/>
      <c r="IC129" s="598"/>
      <c r="ID129" s="598"/>
      <c r="IE129" s="598"/>
      <c r="IF129" s="598"/>
      <c r="IG129" s="598"/>
      <c r="IH129" s="598"/>
      <c r="II129" s="598"/>
      <c r="IJ129" s="598"/>
      <c r="IK129" s="598"/>
      <c r="IL129" s="598"/>
      <c r="IM129" s="598"/>
      <c r="IN129" s="598"/>
      <c r="IO129" s="598"/>
      <c r="IP129" s="598"/>
      <c r="IQ129" s="598"/>
      <c r="IR129" s="598"/>
      <c r="IS129" s="598"/>
      <c r="IT129" s="598"/>
      <c r="IU129" s="598"/>
      <c r="IV129" s="598"/>
      <c r="IW129" s="598"/>
      <c r="IX129" s="598"/>
      <c r="IY129" s="598"/>
      <c r="IZ129" s="598"/>
      <c r="JA129" s="598"/>
      <c r="JB129" s="598"/>
      <c r="JC129" s="598"/>
      <c r="JD129" s="598"/>
      <c r="JE129" s="598"/>
      <c r="JF129" s="598"/>
      <c r="JG129" s="598"/>
      <c r="JH129" s="598"/>
      <c r="JI129" s="598"/>
      <c r="JJ129" s="598"/>
      <c r="JK129" s="598"/>
      <c r="JL129" s="598"/>
      <c r="JM129" s="598"/>
      <c r="JN129" s="598"/>
      <c r="JO129" s="598"/>
      <c r="JP129" s="598"/>
      <c r="JQ129" s="598"/>
      <c r="JR129" s="598"/>
      <c r="JS129" s="598"/>
      <c r="JT129" s="598"/>
      <c r="JU129" s="598"/>
      <c r="JV129" s="598"/>
    </row>
    <row r="130" spans="1:282" s="21" customFormat="1" ht="50.1" customHeight="1" x14ac:dyDescent="0.2">
      <c r="A130" s="702"/>
      <c r="B130" s="69" t="s">
        <v>1137</v>
      </c>
      <c r="C130" s="69"/>
      <c r="D130" s="69"/>
      <c r="E130" s="69" t="s">
        <v>1063</v>
      </c>
      <c r="F130" s="104" t="s">
        <v>1064</v>
      </c>
      <c r="G130" s="29" t="s">
        <v>1064</v>
      </c>
      <c r="H130" s="29" t="s">
        <v>1065</v>
      </c>
      <c r="I130" s="29"/>
      <c r="J130" s="29" t="s">
        <v>1066</v>
      </c>
      <c r="K130" s="30" t="s">
        <v>1394</v>
      </c>
      <c r="L130" s="29" t="s">
        <v>685</v>
      </c>
      <c r="M130" s="29" t="s">
        <v>1528</v>
      </c>
      <c r="N130" s="74">
        <v>40848</v>
      </c>
      <c r="O130" s="69" t="s">
        <v>1067</v>
      </c>
      <c r="P130" s="69"/>
      <c r="Q130" s="69"/>
      <c r="R130" s="69"/>
      <c r="S130" s="69"/>
      <c r="T130" s="597"/>
      <c r="U130" s="597"/>
      <c r="V130" s="597"/>
      <c r="W130" s="597"/>
      <c r="X130" s="597"/>
      <c r="Y130" s="597"/>
      <c r="Z130" s="597"/>
      <c r="AA130" s="597"/>
      <c r="AB130" s="597"/>
      <c r="AC130" s="597"/>
      <c r="AD130" s="597"/>
      <c r="AE130" s="597"/>
      <c r="AF130" s="597"/>
      <c r="AG130" s="597"/>
      <c r="AH130" s="597"/>
      <c r="AI130" s="597"/>
      <c r="AJ130" s="724">
        <v>41148</v>
      </c>
      <c r="AK130" s="648"/>
      <c r="AL130" s="174"/>
      <c r="AM130" s="598"/>
      <c r="AN130" s="598"/>
      <c r="AO130" s="598"/>
      <c r="AP130" s="598"/>
      <c r="AQ130" s="598"/>
      <c r="AR130" s="598"/>
      <c r="AS130" s="598"/>
      <c r="AT130" s="598"/>
      <c r="AU130" s="598"/>
      <c r="AV130" s="598"/>
      <c r="AW130" s="598"/>
      <c r="AX130" s="598"/>
      <c r="AY130" s="598"/>
      <c r="AZ130" s="598"/>
      <c r="BA130" s="598"/>
      <c r="BB130" s="598"/>
      <c r="BC130" s="598"/>
      <c r="BD130" s="598"/>
      <c r="BE130" s="598"/>
      <c r="BF130" s="598"/>
      <c r="BG130" s="598"/>
      <c r="BH130" s="598"/>
      <c r="BI130" s="598"/>
      <c r="BJ130" s="598"/>
      <c r="BK130" s="598"/>
      <c r="BL130" s="598"/>
      <c r="BM130" s="598"/>
      <c r="BN130" s="598"/>
      <c r="BO130" s="598"/>
      <c r="BP130" s="598"/>
      <c r="BQ130" s="598"/>
      <c r="BR130" s="598"/>
      <c r="BS130" s="598"/>
      <c r="BT130" s="598"/>
      <c r="BU130" s="598"/>
      <c r="BV130" s="598"/>
      <c r="BW130" s="598"/>
      <c r="BX130" s="598"/>
      <c r="BY130" s="598"/>
      <c r="BZ130" s="598"/>
      <c r="CA130" s="598"/>
      <c r="CB130" s="598"/>
      <c r="CC130" s="598"/>
      <c r="CD130" s="598"/>
      <c r="CE130" s="598"/>
      <c r="CF130" s="598"/>
      <c r="CG130" s="598"/>
      <c r="CH130" s="598"/>
      <c r="CI130" s="598"/>
      <c r="CJ130" s="598"/>
      <c r="CK130" s="598"/>
      <c r="CL130" s="598"/>
      <c r="CM130" s="598"/>
      <c r="CN130" s="598"/>
      <c r="CO130" s="598"/>
      <c r="CP130" s="598"/>
      <c r="CQ130" s="598"/>
      <c r="CR130" s="598"/>
      <c r="CS130" s="598"/>
      <c r="CT130" s="598"/>
      <c r="CU130" s="598"/>
      <c r="CV130" s="598"/>
      <c r="CW130" s="598"/>
      <c r="CX130" s="598"/>
      <c r="CY130" s="598"/>
      <c r="CZ130" s="598"/>
      <c r="DA130" s="598"/>
      <c r="DB130" s="598"/>
      <c r="DC130" s="598"/>
      <c r="DD130" s="598"/>
      <c r="DE130" s="598"/>
      <c r="DF130" s="598"/>
      <c r="DG130" s="598"/>
      <c r="DH130" s="598"/>
      <c r="DI130" s="598"/>
      <c r="DJ130" s="598"/>
      <c r="DK130" s="598"/>
      <c r="DL130" s="598"/>
      <c r="DM130" s="598"/>
      <c r="DN130" s="598"/>
      <c r="DO130" s="598"/>
      <c r="DP130" s="598"/>
      <c r="DQ130" s="598"/>
      <c r="DR130" s="598"/>
      <c r="DS130" s="598"/>
      <c r="DT130" s="598"/>
      <c r="DU130" s="598"/>
      <c r="DV130" s="598"/>
      <c r="DW130" s="598"/>
      <c r="DX130" s="598"/>
      <c r="DY130" s="598"/>
      <c r="DZ130" s="598"/>
      <c r="EA130" s="598"/>
      <c r="EB130" s="598"/>
      <c r="EC130" s="598"/>
      <c r="ED130" s="598"/>
      <c r="EE130" s="598"/>
      <c r="EF130" s="598"/>
      <c r="EG130" s="598"/>
      <c r="EH130" s="598"/>
      <c r="EI130" s="598"/>
      <c r="EJ130" s="598"/>
      <c r="EK130" s="598"/>
      <c r="EL130" s="598"/>
      <c r="EM130" s="598"/>
      <c r="EN130" s="598"/>
      <c r="EO130" s="598"/>
      <c r="EP130" s="598"/>
      <c r="EQ130" s="598"/>
      <c r="ER130" s="598"/>
      <c r="ES130" s="598"/>
      <c r="ET130" s="598"/>
      <c r="EU130" s="598"/>
      <c r="EV130" s="598"/>
      <c r="EW130" s="598"/>
      <c r="EX130" s="598"/>
      <c r="EY130" s="598"/>
      <c r="EZ130" s="598"/>
      <c r="FA130" s="598"/>
      <c r="FB130" s="598"/>
      <c r="FC130" s="598"/>
      <c r="FD130" s="598"/>
      <c r="FE130" s="598"/>
      <c r="FF130" s="598"/>
      <c r="FG130" s="598"/>
      <c r="FH130" s="598"/>
      <c r="FI130" s="598"/>
      <c r="FJ130" s="598"/>
      <c r="FK130" s="598"/>
      <c r="FL130" s="598"/>
      <c r="FM130" s="598"/>
      <c r="FN130" s="598"/>
      <c r="FO130" s="598"/>
      <c r="FP130" s="598"/>
      <c r="FQ130" s="598"/>
      <c r="FR130" s="598"/>
      <c r="FS130" s="598"/>
      <c r="FT130" s="598"/>
      <c r="FU130" s="598"/>
      <c r="FV130" s="598"/>
      <c r="FW130" s="598"/>
      <c r="FX130" s="598"/>
      <c r="FY130" s="598"/>
      <c r="FZ130" s="598"/>
      <c r="GA130" s="598"/>
      <c r="GB130" s="598"/>
      <c r="GC130" s="598"/>
      <c r="GD130" s="598"/>
      <c r="GE130" s="598"/>
      <c r="GF130" s="598"/>
      <c r="GG130" s="598"/>
      <c r="GH130" s="598"/>
      <c r="GI130" s="598"/>
      <c r="GJ130" s="598"/>
      <c r="GK130" s="598"/>
      <c r="GL130" s="598"/>
      <c r="GM130" s="598"/>
      <c r="GN130" s="598"/>
      <c r="GO130" s="598"/>
      <c r="GP130" s="598"/>
      <c r="GQ130" s="598"/>
      <c r="GR130" s="598"/>
      <c r="GS130" s="598"/>
      <c r="GT130" s="598"/>
      <c r="GU130" s="598"/>
      <c r="GV130" s="598"/>
      <c r="GW130" s="598"/>
      <c r="GX130" s="598"/>
      <c r="GY130" s="598"/>
      <c r="GZ130" s="598"/>
      <c r="HA130" s="598"/>
      <c r="HB130" s="598"/>
      <c r="HC130" s="598"/>
      <c r="HD130" s="598"/>
      <c r="HE130" s="598"/>
      <c r="HF130" s="598"/>
      <c r="HG130" s="598"/>
      <c r="HH130" s="598"/>
      <c r="HI130" s="598"/>
      <c r="HJ130" s="598"/>
      <c r="HK130" s="598"/>
      <c r="HL130" s="598"/>
      <c r="HM130" s="598"/>
      <c r="HN130" s="598"/>
      <c r="HO130" s="598"/>
      <c r="HP130" s="598"/>
      <c r="HQ130" s="598"/>
      <c r="HR130" s="598"/>
      <c r="HS130" s="598"/>
      <c r="HT130" s="598"/>
      <c r="HU130" s="598"/>
      <c r="HV130" s="598"/>
      <c r="HW130" s="598"/>
      <c r="HX130" s="598"/>
      <c r="HY130" s="598"/>
      <c r="HZ130" s="598"/>
      <c r="IA130" s="598"/>
      <c r="IB130" s="598"/>
      <c r="IC130" s="598"/>
      <c r="ID130" s="598"/>
      <c r="IE130" s="598"/>
      <c r="IF130" s="598"/>
      <c r="IG130" s="598"/>
      <c r="IH130" s="598"/>
      <c r="II130" s="598"/>
      <c r="IJ130" s="598"/>
      <c r="IK130" s="598"/>
      <c r="IL130" s="598"/>
      <c r="IM130" s="598"/>
      <c r="IN130" s="598"/>
      <c r="IO130" s="598"/>
      <c r="IP130" s="598"/>
      <c r="IQ130" s="598"/>
      <c r="IR130" s="598"/>
      <c r="IS130" s="598"/>
      <c r="IT130" s="598"/>
      <c r="IU130" s="598"/>
      <c r="IV130" s="598"/>
      <c r="IW130" s="598"/>
      <c r="IX130" s="598"/>
      <c r="IY130" s="598"/>
      <c r="IZ130" s="598"/>
      <c r="JA130" s="598"/>
      <c r="JB130" s="598"/>
      <c r="JC130" s="598"/>
      <c r="JD130" s="598"/>
      <c r="JE130" s="598"/>
      <c r="JF130" s="598"/>
      <c r="JG130" s="598"/>
      <c r="JH130" s="598"/>
      <c r="JI130" s="598"/>
      <c r="JJ130" s="598"/>
      <c r="JK130" s="598"/>
      <c r="JL130" s="598"/>
      <c r="JM130" s="598"/>
      <c r="JN130" s="598"/>
      <c r="JO130" s="598"/>
      <c r="JP130" s="598"/>
      <c r="JQ130" s="598"/>
      <c r="JR130" s="598"/>
      <c r="JS130" s="598"/>
      <c r="JT130" s="598"/>
      <c r="JU130" s="598"/>
      <c r="JV130" s="598"/>
    </row>
    <row r="131" spans="1:282" s="1" customFormat="1" ht="50.1" customHeight="1" x14ac:dyDescent="0.2">
      <c r="A131" s="693"/>
      <c r="B131" s="703" t="s">
        <v>1137</v>
      </c>
      <c r="C131" s="703"/>
      <c r="D131" s="703"/>
      <c r="E131" s="165" t="s">
        <v>1068</v>
      </c>
      <c r="F131" s="722" t="s">
        <v>1069</v>
      </c>
      <c r="G131" s="165" t="s">
        <v>1051</v>
      </c>
      <c r="H131" s="165" t="s">
        <v>1052</v>
      </c>
      <c r="I131" s="165"/>
      <c r="J131" s="165" t="s">
        <v>25</v>
      </c>
      <c r="K131" s="165" t="s">
        <v>1393</v>
      </c>
      <c r="L131" s="165" t="s">
        <v>685</v>
      </c>
      <c r="M131" s="165" t="s">
        <v>1528</v>
      </c>
      <c r="N131" s="723">
        <v>40732</v>
      </c>
      <c r="O131" s="703" t="s">
        <v>1070</v>
      </c>
      <c r="P131" s="703"/>
      <c r="Q131" s="703"/>
      <c r="R131" s="703"/>
      <c r="S131" s="703"/>
      <c r="T131" s="599" t="s">
        <v>2687</v>
      </c>
      <c r="U131" s="599"/>
      <c r="V131" s="599"/>
      <c r="W131" s="599"/>
      <c r="X131" s="599"/>
      <c r="Y131" s="599"/>
      <c r="Z131" s="599"/>
      <c r="AA131" s="599"/>
      <c r="AB131" s="599"/>
      <c r="AC131" s="599"/>
      <c r="AD131" s="599"/>
      <c r="AE131" s="599"/>
      <c r="AF131" s="599"/>
      <c r="AG131" s="599"/>
      <c r="AH131" s="599"/>
      <c r="AI131" s="599"/>
      <c r="AJ131" s="730">
        <v>41162</v>
      </c>
      <c r="AK131" s="720"/>
      <c r="AL131" s="155"/>
      <c r="AM131" s="587"/>
      <c r="AN131" s="587"/>
      <c r="AO131" s="587"/>
      <c r="AP131" s="587"/>
      <c r="AQ131" s="587"/>
      <c r="AR131" s="587"/>
      <c r="AS131" s="587"/>
      <c r="AT131" s="587"/>
      <c r="AU131" s="587"/>
      <c r="AV131" s="587"/>
      <c r="AW131" s="587"/>
      <c r="AX131" s="587"/>
      <c r="AY131" s="587"/>
      <c r="AZ131" s="587"/>
      <c r="BA131" s="587"/>
      <c r="BB131" s="587"/>
      <c r="BC131" s="587"/>
      <c r="BD131" s="587"/>
      <c r="BE131" s="587"/>
      <c r="BF131" s="587"/>
      <c r="BG131" s="587"/>
      <c r="BH131" s="587"/>
      <c r="BI131" s="587"/>
      <c r="BJ131" s="587"/>
      <c r="BK131" s="587"/>
      <c r="BL131" s="587"/>
      <c r="BM131" s="587"/>
      <c r="BN131" s="587"/>
      <c r="BO131" s="587"/>
      <c r="BP131" s="587"/>
      <c r="BQ131" s="587"/>
      <c r="BR131" s="587"/>
      <c r="BS131" s="587"/>
      <c r="BT131" s="587"/>
      <c r="BU131" s="587"/>
      <c r="BV131" s="587"/>
      <c r="BW131" s="587"/>
      <c r="BX131" s="587"/>
      <c r="BY131" s="587"/>
      <c r="BZ131" s="587"/>
      <c r="CA131" s="587"/>
      <c r="CB131" s="587"/>
      <c r="CC131" s="587"/>
      <c r="CD131" s="587"/>
      <c r="CE131" s="587"/>
      <c r="CF131" s="587"/>
      <c r="CG131" s="587"/>
      <c r="CH131" s="587"/>
      <c r="CI131" s="587"/>
      <c r="CJ131" s="587"/>
      <c r="CK131" s="587"/>
      <c r="CL131" s="587"/>
      <c r="CM131" s="587"/>
      <c r="CN131" s="587"/>
      <c r="CO131" s="587"/>
      <c r="CP131" s="587"/>
      <c r="CQ131" s="587"/>
      <c r="CR131" s="587"/>
      <c r="CS131" s="587"/>
      <c r="CT131" s="587"/>
      <c r="CU131" s="587"/>
      <c r="CV131" s="587"/>
      <c r="CW131" s="587"/>
      <c r="CX131" s="587"/>
      <c r="CY131" s="587"/>
      <c r="CZ131" s="587"/>
      <c r="DA131" s="587"/>
      <c r="DB131" s="587"/>
      <c r="DC131" s="587"/>
      <c r="DD131" s="587"/>
      <c r="DE131" s="587"/>
      <c r="DF131" s="587"/>
      <c r="DG131" s="587"/>
      <c r="DH131" s="587"/>
      <c r="DI131" s="587"/>
      <c r="DJ131" s="587"/>
      <c r="DK131" s="587"/>
      <c r="DL131" s="587"/>
      <c r="DM131" s="587"/>
      <c r="DN131" s="587"/>
      <c r="DO131" s="587"/>
      <c r="DP131" s="587"/>
      <c r="DQ131" s="587"/>
      <c r="DR131" s="587"/>
      <c r="DS131" s="587"/>
      <c r="DT131" s="587"/>
      <c r="DU131" s="587"/>
      <c r="DV131" s="587"/>
      <c r="DW131" s="587"/>
      <c r="DX131" s="587"/>
      <c r="DY131" s="587"/>
      <c r="DZ131" s="587"/>
      <c r="EA131" s="587"/>
      <c r="EB131" s="587"/>
      <c r="EC131" s="587"/>
      <c r="ED131" s="587"/>
      <c r="EE131" s="587"/>
      <c r="EF131" s="587"/>
      <c r="EG131" s="587"/>
      <c r="EH131" s="587"/>
      <c r="EI131" s="587"/>
      <c r="EJ131" s="587"/>
      <c r="EK131" s="587"/>
      <c r="EL131" s="587"/>
      <c r="EM131" s="587"/>
      <c r="EN131" s="587"/>
      <c r="EO131" s="587"/>
      <c r="EP131" s="587"/>
      <c r="EQ131" s="587"/>
      <c r="ER131" s="587"/>
      <c r="ES131" s="587"/>
      <c r="ET131" s="587"/>
      <c r="EU131" s="587"/>
      <c r="EV131" s="587"/>
      <c r="EW131" s="587"/>
      <c r="EX131" s="587"/>
      <c r="EY131" s="587"/>
      <c r="EZ131" s="587"/>
      <c r="FA131" s="587"/>
      <c r="FB131" s="587"/>
      <c r="FC131" s="587"/>
      <c r="FD131" s="587"/>
      <c r="FE131" s="587"/>
      <c r="FF131" s="587"/>
      <c r="FG131" s="587"/>
      <c r="FH131" s="587"/>
      <c r="FI131" s="587"/>
      <c r="FJ131" s="587"/>
      <c r="FK131" s="587"/>
      <c r="FL131" s="587"/>
      <c r="FM131" s="587"/>
      <c r="FN131" s="587"/>
      <c r="FO131" s="587"/>
      <c r="FP131" s="587"/>
      <c r="FQ131" s="587"/>
      <c r="FR131" s="587"/>
      <c r="FS131" s="587"/>
      <c r="FT131" s="587"/>
      <c r="FU131" s="587"/>
      <c r="FV131" s="587"/>
      <c r="FW131" s="587"/>
      <c r="FX131" s="587"/>
      <c r="FY131" s="587"/>
      <c r="FZ131" s="587"/>
      <c r="GA131" s="587"/>
      <c r="GB131" s="587"/>
      <c r="GC131" s="587"/>
      <c r="GD131" s="587"/>
      <c r="GE131" s="587"/>
      <c r="GF131" s="587"/>
      <c r="GG131" s="587"/>
      <c r="GH131" s="587"/>
      <c r="GI131" s="587"/>
      <c r="GJ131" s="587"/>
      <c r="GK131" s="587"/>
      <c r="GL131" s="587"/>
      <c r="GM131" s="587"/>
      <c r="GN131" s="587"/>
      <c r="GO131" s="587"/>
      <c r="GP131" s="587"/>
      <c r="GQ131" s="587"/>
      <c r="GR131" s="587"/>
      <c r="GS131" s="587"/>
      <c r="GT131" s="587"/>
      <c r="GU131" s="587"/>
      <c r="GV131" s="587"/>
      <c r="GW131" s="587"/>
      <c r="GX131" s="587"/>
      <c r="GY131" s="587"/>
      <c r="GZ131" s="587"/>
      <c r="HA131" s="587"/>
      <c r="HB131" s="587"/>
      <c r="HC131" s="587"/>
      <c r="HD131" s="587"/>
      <c r="HE131" s="587"/>
      <c r="HF131" s="587"/>
      <c r="HG131" s="587"/>
      <c r="HH131" s="587"/>
      <c r="HI131" s="587"/>
      <c r="HJ131" s="587"/>
      <c r="HK131" s="587"/>
      <c r="HL131" s="587"/>
      <c r="HM131" s="587"/>
      <c r="HN131" s="587"/>
      <c r="HO131" s="587"/>
      <c r="HP131" s="587"/>
      <c r="HQ131" s="587"/>
      <c r="HR131" s="587"/>
      <c r="HS131" s="587"/>
      <c r="HT131" s="587"/>
      <c r="HU131" s="587"/>
      <c r="HV131" s="587"/>
      <c r="HW131" s="587"/>
      <c r="HX131" s="587"/>
      <c r="HY131" s="587"/>
      <c r="HZ131" s="587"/>
      <c r="IA131" s="587"/>
      <c r="IB131" s="587"/>
      <c r="IC131" s="587"/>
      <c r="ID131" s="587"/>
      <c r="IE131" s="587"/>
      <c r="IF131" s="587"/>
      <c r="IG131" s="587"/>
      <c r="IH131" s="587"/>
      <c r="II131" s="587"/>
      <c r="IJ131" s="587"/>
      <c r="IK131" s="587"/>
      <c r="IL131" s="587"/>
      <c r="IM131" s="587"/>
      <c r="IN131" s="587"/>
      <c r="IO131" s="587"/>
      <c r="IP131" s="587"/>
      <c r="IQ131" s="587"/>
      <c r="IR131" s="587"/>
      <c r="IS131" s="587"/>
      <c r="IT131" s="587"/>
      <c r="IU131" s="587"/>
      <c r="IV131" s="587"/>
      <c r="IW131" s="587"/>
      <c r="IX131" s="587"/>
      <c r="IY131" s="587"/>
      <c r="IZ131" s="587"/>
      <c r="JA131" s="587"/>
      <c r="JB131" s="587"/>
      <c r="JC131" s="587"/>
      <c r="JD131" s="587"/>
      <c r="JE131" s="587"/>
      <c r="JF131" s="587"/>
      <c r="JG131" s="587"/>
      <c r="JH131" s="587"/>
      <c r="JI131" s="587"/>
      <c r="JJ131" s="587"/>
      <c r="JK131" s="587"/>
      <c r="JL131" s="587"/>
      <c r="JM131" s="587"/>
      <c r="JN131" s="587"/>
      <c r="JO131" s="587"/>
      <c r="JP131" s="587"/>
      <c r="JQ131" s="587"/>
      <c r="JR131" s="587"/>
      <c r="JS131" s="587"/>
      <c r="JT131" s="587"/>
      <c r="JU131" s="587"/>
      <c r="JV131" s="587"/>
    </row>
    <row r="132" spans="1:282" s="1" customFormat="1" ht="50.1" customHeight="1" x14ac:dyDescent="0.2">
      <c r="A132" s="693"/>
      <c r="B132" s="69" t="s">
        <v>1137</v>
      </c>
      <c r="C132" s="69"/>
      <c r="D132" s="69"/>
      <c r="E132" s="29" t="s">
        <v>1072</v>
      </c>
      <c r="F132" s="104" t="s">
        <v>838</v>
      </c>
      <c r="G132" s="29" t="s">
        <v>838</v>
      </c>
      <c r="H132" s="29" t="s">
        <v>1134</v>
      </c>
      <c r="I132" s="29"/>
      <c r="J132" s="29" t="s">
        <v>414</v>
      </c>
      <c r="K132" s="30" t="s">
        <v>1394</v>
      </c>
      <c r="L132" s="29" t="s">
        <v>685</v>
      </c>
      <c r="M132" s="29" t="s">
        <v>1528</v>
      </c>
      <c r="N132" s="74">
        <v>39783</v>
      </c>
      <c r="O132" s="69" t="s">
        <v>1073</v>
      </c>
      <c r="P132" s="69"/>
      <c r="Q132" s="69"/>
      <c r="R132" s="69"/>
      <c r="S132" s="69"/>
      <c r="T132" s="174"/>
      <c r="U132" s="174"/>
      <c r="V132" s="174"/>
      <c r="W132" s="174"/>
      <c r="X132" s="174"/>
      <c r="Y132" s="174"/>
      <c r="Z132" s="174"/>
      <c r="AA132" s="174"/>
      <c r="AB132" s="174"/>
      <c r="AC132" s="174"/>
      <c r="AD132" s="174"/>
      <c r="AE132" s="174"/>
      <c r="AF132" s="174"/>
      <c r="AG132" s="174"/>
      <c r="AH132" s="174"/>
      <c r="AI132" s="174"/>
      <c r="AJ132" s="724">
        <v>41169</v>
      </c>
      <c r="AK132" s="648"/>
      <c r="AL132" s="174"/>
      <c r="AM132" s="587"/>
      <c r="AN132" s="587"/>
      <c r="AO132" s="587"/>
      <c r="AP132" s="587"/>
      <c r="AQ132" s="587"/>
      <c r="AR132" s="587"/>
      <c r="AS132" s="587"/>
      <c r="AT132" s="587"/>
      <c r="AU132" s="587"/>
      <c r="AV132" s="587"/>
      <c r="AW132" s="587"/>
      <c r="AX132" s="587"/>
      <c r="AY132" s="587"/>
      <c r="AZ132" s="587"/>
      <c r="BA132" s="587"/>
      <c r="BB132" s="587"/>
      <c r="BC132" s="587"/>
      <c r="BD132" s="587"/>
      <c r="BE132" s="587"/>
      <c r="BF132" s="587"/>
      <c r="BG132" s="587"/>
      <c r="BH132" s="587"/>
      <c r="BI132" s="587"/>
      <c r="BJ132" s="587"/>
      <c r="BK132" s="587"/>
      <c r="BL132" s="587"/>
      <c r="BM132" s="587"/>
      <c r="BN132" s="587"/>
      <c r="BO132" s="587"/>
      <c r="BP132" s="587"/>
      <c r="BQ132" s="587"/>
      <c r="BR132" s="587"/>
      <c r="BS132" s="587"/>
      <c r="BT132" s="587"/>
      <c r="BU132" s="587"/>
      <c r="BV132" s="587"/>
      <c r="BW132" s="587"/>
      <c r="BX132" s="587"/>
      <c r="BY132" s="587"/>
      <c r="BZ132" s="587"/>
      <c r="CA132" s="587"/>
      <c r="CB132" s="587"/>
      <c r="CC132" s="587"/>
      <c r="CD132" s="587"/>
      <c r="CE132" s="587"/>
      <c r="CF132" s="587"/>
      <c r="CG132" s="587"/>
      <c r="CH132" s="587"/>
      <c r="CI132" s="587"/>
      <c r="CJ132" s="587"/>
      <c r="CK132" s="587"/>
      <c r="CL132" s="587"/>
      <c r="CM132" s="587"/>
      <c r="CN132" s="587"/>
      <c r="CO132" s="587"/>
      <c r="CP132" s="587"/>
      <c r="CQ132" s="587"/>
      <c r="CR132" s="587"/>
      <c r="CS132" s="587"/>
      <c r="CT132" s="587"/>
      <c r="CU132" s="587"/>
      <c r="CV132" s="587"/>
      <c r="CW132" s="587"/>
      <c r="CX132" s="587"/>
      <c r="CY132" s="587"/>
      <c r="CZ132" s="587"/>
      <c r="DA132" s="587"/>
      <c r="DB132" s="587"/>
      <c r="DC132" s="587"/>
      <c r="DD132" s="587"/>
      <c r="DE132" s="587"/>
      <c r="DF132" s="587"/>
      <c r="DG132" s="587"/>
      <c r="DH132" s="587"/>
      <c r="DI132" s="587"/>
      <c r="DJ132" s="587"/>
      <c r="DK132" s="587"/>
      <c r="DL132" s="587"/>
      <c r="DM132" s="587"/>
      <c r="DN132" s="587"/>
      <c r="DO132" s="587"/>
      <c r="DP132" s="587"/>
      <c r="DQ132" s="587"/>
      <c r="DR132" s="587"/>
      <c r="DS132" s="587"/>
      <c r="DT132" s="587"/>
      <c r="DU132" s="587"/>
      <c r="DV132" s="587"/>
      <c r="DW132" s="587"/>
      <c r="DX132" s="587"/>
      <c r="DY132" s="587"/>
      <c r="DZ132" s="587"/>
      <c r="EA132" s="587"/>
      <c r="EB132" s="587"/>
      <c r="EC132" s="587"/>
      <c r="ED132" s="587"/>
      <c r="EE132" s="587"/>
      <c r="EF132" s="587"/>
      <c r="EG132" s="587"/>
      <c r="EH132" s="587"/>
      <c r="EI132" s="587"/>
      <c r="EJ132" s="587"/>
      <c r="EK132" s="587"/>
      <c r="EL132" s="587"/>
      <c r="EM132" s="587"/>
      <c r="EN132" s="587"/>
      <c r="EO132" s="587"/>
      <c r="EP132" s="587"/>
      <c r="EQ132" s="587"/>
      <c r="ER132" s="587"/>
      <c r="ES132" s="587"/>
      <c r="ET132" s="587"/>
      <c r="EU132" s="587"/>
      <c r="EV132" s="587"/>
      <c r="EW132" s="587"/>
      <c r="EX132" s="587"/>
      <c r="EY132" s="587"/>
      <c r="EZ132" s="587"/>
      <c r="FA132" s="587"/>
      <c r="FB132" s="587"/>
      <c r="FC132" s="587"/>
      <c r="FD132" s="587"/>
      <c r="FE132" s="587"/>
      <c r="FF132" s="587"/>
      <c r="FG132" s="587"/>
      <c r="FH132" s="587"/>
      <c r="FI132" s="587"/>
      <c r="FJ132" s="587"/>
      <c r="FK132" s="587"/>
      <c r="FL132" s="587"/>
      <c r="FM132" s="587"/>
      <c r="FN132" s="587"/>
      <c r="FO132" s="587"/>
      <c r="FP132" s="587"/>
      <c r="FQ132" s="587"/>
      <c r="FR132" s="587"/>
      <c r="FS132" s="587"/>
      <c r="FT132" s="587"/>
      <c r="FU132" s="587"/>
      <c r="FV132" s="587"/>
      <c r="FW132" s="587"/>
      <c r="FX132" s="587"/>
      <c r="FY132" s="587"/>
      <c r="FZ132" s="587"/>
      <c r="GA132" s="587"/>
      <c r="GB132" s="587"/>
      <c r="GC132" s="587"/>
      <c r="GD132" s="587"/>
      <c r="GE132" s="587"/>
      <c r="GF132" s="587"/>
      <c r="GG132" s="587"/>
      <c r="GH132" s="587"/>
      <c r="GI132" s="587"/>
      <c r="GJ132" s="587"/>
      <c r="GK132" s="587"/>
      <c r="GL132" s="587"/>
      <c r="GM132" s="587"/>
      <c r="GN132" s="587"/>
      <c r="GO132" s="587"/>
      <c r="GP132" s="587"/>
      <c r="GQ132" s="587"/>
      <c r="GR132" s="587"/>
      <c r="GS132" s="587"/>
      <c r="GT132" s="587"/>
      <c r="GU132" s="587"/>
      <c r="GV132" s="587"/>
      <c r="GW132" s="587"/>
      <c r="GX132" s="587"/>
      <c r="GY132" s="587"/>
      <c r="GZ132" s="587"/>
      <c r="HA132" s="587"/>
      <c r="HB132" s="587"/>
      <c r="HC132" s="587"/>
      <c r="HD132" s="587"/>
      <c r="HE132" s="587"/>
      <c r="HF132" s="587"/>
      <c r="HG132" s="587"/>
      <c r="HH132" s="587"/>
      <c r="HI132" s="587"/>
      <c r="HJ132" s="587"/>
      <c r="HK132" s="587"/>
      <c r="HL132" s="587"/>
      <c r="HM132" s="587"/>
      <c r="HN132" s="587"/>
      <c r="HO132" s="587"/>
      <c r="HP132" s="587"/>
      <c r="HQ132" s="587"/>
      <c r="HR132" s="587"/>
      <c r="HS132" s="587"/>
      <c r="HT132" s="587"/>
      <c r="HU132" s="587"/>
      <c r="HV132" s="587"/>
      <c r="HW132" s="587"/>
      <c r="HX132" s="587"/>
      <c r="HY132" s="587"/>
      <c r="HZ132" s="587"/>
      <c r="IA132" s="587"/>
      <c r="IB132" s="587"/>
      <c r="IC132" s="587"/>
      <c r="ID132" s="587"/>
      <c r="IE132" s="587"/>
      <c r="IF132" s="587"/>
      <c r="IG132" s="587"/>
      <c r="IH132" s="587"/>
      <c r="II132" s="587"/>
      <c r="IJ132" s="587"/>
      <c r="IK132" s="587"/>
      <c r="IL132" s="587"/>
      <c r="IM132" s="587"/>
      <c r="IN132" s="587"/>
      <c r="IO132" s="587"/>
      <c r="IP132" s="587"/>
      <c r="IQ132" s="587"/>
      <c r="IR132" s="587"/>
      <c r="IS132" s="587"/>
      <c r="IT132" s="587"/>
      <c r="IU132" s="587"/>
      <c r="IV132" s="587"/>
      <c r="IW132" s="587"/>
      <c r="IX132" s="587"/>
      <c r="IY132" s="587"/>
      <c r="IZ132" s="587"/>
      <c r="JA132" s="587"/>
      <c r="JB132" s="587"/>
      <c r="JC132" s="587"/>
      <c r="JD132" s="587"/>
      <c r="JE132" s="587"/>
      <c r="JF132" s="587"/>
      <c r="JG132" s="587"/>
      <c r="JH132" s="587"/>
      <c r="JI132" s="587"/>
      <c r="JJ132" s="587"/>
      <c r="JK132" s="587"/>
      <c r="JL132" s="587"/>
      <c r="JM132" s="587"/>
      <c r="JN132" s="587"/>
      <c r="JO132" s="587"/>
      <c r="JP132" s="587"/>
      <c r="JQ132" s="587"/>
      <c r="JR132" s="587"/>
      <c r="JS132" s="587"/>
      <c r="JT132" s="587"/>
      <c r="JU132" s="587"/>
      <c r="JV132" s="587"/>
    </row>
    <row r="133" spans="1:282" s="1" customFormat="1" ht="50.1" customHeight="1" x14ac:dyDescent="0.2">
      <c r="A133" s="693"/>
      <c r="B133" s="69" t="s">
        <v>1137</v>
      </c>
      <c r="C133" s="69"/>
      <c r="D133" s="69"/>
      <c r="E133" s="29" t="s">
        <v>1075</v>
      </c>
      <c r="F133" s="104" t="s">
        <v>2415</v>
      </c>
      <c r="G133" s="29" t="s">
        <v>1076</v>
      </c>
      <c r="H133" s="29" t="s">
        <v>88</v>
      </c>
      <c r="I133" s="29"/>
      <c r="J133" s="29" t="s">
        <v>801</v>
      </c>
      <c r="K133" s="30" t="s">
        <v>1394</v>
      </c>
      <c r="L133" s="29" t="s">
        <v>800</v>
      </c>
      <c r="M133" s="29" t="s">
        <v>1528</v>
      </c>
      <c r="N133" s="74">
        <v>39994</v>
      </c>
      <c r="O133" s="29">
        <v>485789095</v>
      </c>
      <c r="P133" s="29"/>
      <c r="Q133" s="29"/>
      <c r="R133" s="29"/>
      <c r="S133" s="29"/>
      <c r="T133" s="174"/>
      <c r="U133" s="174"/>
      <c r="V133" s="174"/>
      <c r="W133" s="174"/>
      <c r="X133" s="174"/>
      <c r="Y133" s="174"/>
      <c r="Z133" s="174"/>
      <c r="AA133" s="174"/>
      <c r="AB133" s="174"/>
      <c r="AC133" s="174"/>
      <c r="AD133" s="174"/>
      <c r="AE133" s="174"/>
      <c r="AF133" s="174"/>
      <c r="AG133" s="174"/>
      <c r="AH133" s="174"/>
      <c r="AI133" s="174"/>
      <c r="AJ133" s="735">
        <v>41197</v>
      </c>
      <c r="AK133" s="648"/>
      <c r="AL133" s="174"/>
      <c r="AM133" s="587"/>
      <c r="AN133" s="587"/>
      <c r="AO133" s="587"/>
      <c r="AP133" s="587"/>
      <c r="AQ133" s="587"/>
      <c r="AR133" s="587"/>
      <c r="AS133" s="587"/>
      <c r="AT133" s="587"/>
      <c r="AU133" s="587"/>
      <c r="AV133" s="587"/>
      <c r="AW133" s="587"/>
      <c r="AX133" s="587"/>
      <c r="AY133" s="587"/>
      <c r="AZ133" s="587"/>
      <c r="BA133" s="587"/>
      <c r="BB133" s="587"/>
      <c r="BC133" s="587"/>
      <c r="BD133" s="587"/>
      <c r="BE133" s="587"/>
      <c r="BF133" s="587"/>
      <c r="BG133" s="587"/>
      <c r="BH133" s="587"/>
      <c r="BI133" s="587"/>
      <c r="BJ133" s="587"/>
      <c r="BK133" s="587"/>
      <c r="BL133" s="587"/>
      <c r="BM133" s="587"/>
      <c r="BN133" s="587"/>
      <c r="BO133" s="587"/>
      <c r="BP133" s="587"/>
      <c r="BQ133" s="587"/>
      <c r="BR133" s="587"/>
      <c r="BS133" s="587"/>
      <c r="BT133" s="587"/>
      <c r="BU133" s="587"/>
      <c r="BV133" s="587"/>
      <c r="BW133" s="587"/>
      <c r="BX133" s="587"/>
      <c r="BY133" s="587"/>
      <c r="BZ133" s="587"/>
      <c r="CA133" s="587"/>
      <c r="CB133" s="587"/>
      <c r="CC133" s="587"/>
      <c r="CD133" s="587"/>
      <c r="CE133" s="587"/>
      <c r="CF133" s="587"/>
      <c r="CG133" s="587"/>
      <c r="CH133" s="587"/>
      <c r="CI133" s="587"/>
      <c r="CJ133" s="587"/>
      <c r="CK133" s="587"/>
      <c r="CL133" s="587"/>
      <c r="CM133" s="587"/>
      <c r="CN133" s="587"/>
      <c r="CO133" s="587"/>
      <c r="CP133" s="587"/>
      <c r="CQ133" s="587"/>
      <c r="CR133" s="587"/>
      <c r="CS133" s="587"/>
      <c r="CT133" s="587"/>
      <c r="CU133" s="587"/>
      <c r="CV133" s="587"/>
      <c r="CW133" s="587"/>
      <c r="CX133" s="587"/>
      <c r="CY133" s="587"/>
      <c r="CZ133" s="587"/>
      <c r="DA133" s="587"/>
      <c r="DB133" s="587"/>
      <c r="DC133" s="587"/>
      <c r="DD133" s="587"/>
      <c r="DE133" s="587"/>
      <c r="DF133" s="587"/>
      <c r="DG133" s="587"/>
      <c r="DH133" s="587"/>
      <c r="DI133" s="587"/>
      <c r="DJ133" s="587"/>
      <c r="DK133" s="587"/>
      <c r="DL133" s="587"/>
      <c r="DM133" s="587"/>
      <c r="DN133" s="587"/>
      <c r="DO133" s="587"/>
      <c r="DP133" s="587"/>
      <c r="DQ133" s="587"/>
      <c r="DR133" s="587"/>
      <c r="DS133" s="587"/>
      <c r="DT133" s="587"/>
      <c r="DU133" s="587"/>
      <c r="DV133" s="587"/>
      <c r="DW133" s="587"/>
      <c r="DX133" s="587"/>
      <c r="DY133" s="587"/>
      <c r="DZ133" s="587"/>
      <c r="EA133" s="587"/>
      <c r="EB133" s="587"/>
      <c r="EC133" s="587"/>
      <c r="ED133" s="587"/>
      <c r="EE133" s="587"/>
      <c r="EF133" s="587"/>
      <c r="EG133" s="587"/>
      <c r="EH133" s="587"/>
      <c r="EI133" s="587"/>
      <c r="EJ133" s="587"/>
      <c r="EK133" s="587"/>
      <c r="EL133" s="587"/>
      <c r="EM133" s="587"/>
      <c r="EN133" s="587"/>
      <c r="EO133" s="587"/>
      <c r="EP133" s="587"/>
      <c r="EQ133" s="587"/>
      <c r="ER133" s="587"/>
      <c r="ES133" s="587"/>
      <c r="ET133" s="587"/>
      <c r="EU133" s="587"/>
      <c r="EV133" s="587"/>
      <c r="EW133" s="587"/>
      <c r="EX133" s="587"/>
      <c r="EY133" s="587"/>
      <c r="EZ133" s="587"/>
      <c r="FA133" s="587"/>
      <c r="FB133" s="587"/>
      <c r="FC133" s="587"/>
      <c r="FD133" s="587"/>
      <c r="FE133" s="587"/>
      <c r="FF133" s="587"/>
      <c r="FG133" s="587"/>
      <c r="FH133" s="587"/>
      <c r="FI133" s="587"/>
      <c r="FJ133" s="587"/>
      <c r="FK133" s="587"/>
      <c r="FL133" s="587"/>
      <c r="FM133" s="587"/>
      <c r="FN133" s="587"/>
      <c r="FO133" s="587"/>
      <c r="FP133" s="587"/>
      <c r="FQ133" s="587"/>
      <c r="FR133" s="587"/>
      <c r="FS133" s="587"/>
      <c r="FT133" s="587"/>
      <c r="FU133" s="587"/>
      <c r="FV133" s="587"/>
      <c r="FW133" s="587"/>
      <c r="FX133" s="587"/>
      <c r="FY133" s="587"/>
      <c r="FZ133" s="587"/>
      <c r="GA133" s="587"/>
      <c r="GB133" s="587"/>
      <c r="GC133" s="587"/>
      <c r="GD133" s="587"/>
      <c r="GE133" s="587"/>
      <c r="GF133" s="587"/>
      <c r="GG133" s="587"/>
      <c r="GH133" s="587"/>
      <c r="GI133" s="587"/>
      <c r="GJ133" s="587"/>
      <c r="GK133" s="587"/>
      <c r="GL133" s="587"/>
      <c r="GM133" s="587"/>
      <c r="GN133" s="587"/>
      <c r="GO133" s="587"/>
      <c r="GP133" s="587"/>
      <c r="GQ133" s="587"/>
      <c r="GR133" s="587"/>
      <c r="GS133" s="587"/>
      <c r="GT133" s="587"/>
      <c r="GU133" s="587"/>
      <c r="GV133" s="587"/>
      <c r="GW133" s="587"/>
      <c r="GX133" s="587"/>
      <c r="GY133" s="587"/>
      <c r="GZ133" s="587"/>
      <c r="HA133" s="587"/>
      <c r="HB133" s="587"/>
      <c r="HC133" s="587"/>
      <c r="HD133" s="587"/>
      <c r="HE133" s="587"/>
      <c r="HF133" s="587"/>
      <c r="HG133" s="587"/>
      <c r="HH133" s="587"/>
      <c r="HI133" s="587"/>
      <c r="HJ133" s="587"/>
      <c r="HK133" s="587"/>
      <c r="HL133" s="587"/>
      <c r="HM133" s="587"/>
      <c r="HN133" s="587"/>
      <c r="HO133" s="587"/>
      <c r="HP133" s="587"/>
      <c r="HQ133" s="587"/>
      <c r="HR133" s="587"/>
      <c r="HS133" s="587"/>
      <c r="HT133" s="587"/>
      <c r="HU133" s="587"/>
      <c r="HV133" s="587"/>
      <c r="HW133" s="587"/>
      <c r="HX133" s="587"/>
      <c r="HY133" s="587"/>
      <c r="HZ133" s="587"/>
      <c r="IA133" s="587"/>
      <c r="IB133" s="587"/>
      <c r="IC133" s="587"/>
      <c r="ID133" s="587"/>
      <c r="IE133" s="587"/>
      <c r="IF133" s="587"/>
      <c r="IG133" s="587"/>
      <c r="IH133" s="587"/>
      <c r="II133" s="587"/>
      <c r="IJ133" s="587"/>
      <c r="IK133" s="587"/>
      <c r="IL133" s="587"/>
      <c r="IM133" s="587"/>
      <c r="IN133" s="587"/>
      <c r="IO133" s="587"/>
      <c r="IP133" s="587"/>
      <c r="IQ133" s="587"/>
      <c r="IR133" s="587"/>
      <c r="IS133" s="587"/>
      <c r="IT133" s="587"/>
      <c r="IU133" s="587"/>
      <c r="IV133" s="587"/>
      <c r="IW133" s="587"/>
      <c r="IX133" s="587"/>
      <c r="IY133" s="587"/>
      <c r="IZ133" s="587"/>
      <c r="JA133" s="587"/>
      <c r="JB133" s="587"/>
      <c r="JC133" s="587"/>
      <c r="JD133" s="587"/>
      <c r="JE133" s="587"/>
      <c r="JF133" s="587"/>
      <c r="JG133" s="587"/>
      <c r="JH133" s="587"/>
      <c r="JI133" s="587"/>
      <c r="JJ133" s="587"/>
      <c r="JK133" s="587"/>
      <c r="JL133" s="587"/>
      <c r="JM133" s="587"/>
      <c r="JN133" s="587"/>
      <c r="JO133" s="587"/>
      <c r="JP133" s="587"/>
      <c r="JQ133" s="587"/>
      <c r="JR133" s="587"/>
      <c r="JS133" s="587"/>
      <c r="JT133" s="587"/>
      <c r="JU133" s="587"/>
      <c r="JV133" s="587"/>
    </row>
    <row r="134" spans="1:282" s="1" customFormat="1" ht="50.1" customHeight="1" x14ac:dyDescent="0.2">
      <c r="A134" s="693"/>
      <c r="B134" s="69" t="s">
        <v>1137</v>
      </c>
      <c r="C134" s="69"/>
      <c r="D134" s="69"/>
      <c r="E134" s="29" t="s">
        <v>1079</v>
      </c>
      <c r="F134" s="104" t="s">
        <v>1080</v>
      </c>
      <c r="G134" s="29" t="s">
        <v>1081</v>
      </c>
      <c r="H134" s="29" t="s">
        <v>1082</v>
      </c>
      <c r="I134" s="29"/>
      <c r="J134" s="69" t="s">
        <v>2416</v>
      </c>
      <c r="K134" s="29" t="s">
        <v>1393</v>
      </c>
      <c r="L134" s="29" t="s">
        <v>685</v>
      </c>
      <c r="M134" s="29" t="s">
        <v>2444</v>
      </c>
      <c r="N134" s="74">
        <v>40056</v>
      </c>
      <c r="O134" s="69" t="s">
        <v>1083</v>
      </c>
      <c r="P134" s="69"/>
      <c r="Q134" s="69"/>
      <c r="R134" s="69"/>
      <c r="S134" s="69"/>
      <c r="T134" s="174"/>
      <c r="U134" s="174"/>
      <c r="V134" s="174"/>
      <c r="W134" s="174"/>
      <c r="X134" s="174"/>
      <c r="Y134" s="174"/>
      <c r="Z134" s="174"/>
      <c r="AA134" s="174"/>
      <c r="AB134" s="174"/>
      <c r="AC134" s="174"/>
      <c r="AD134" s="174"/>
      <c r="AE134" s="174"/>
      <c r="AF134" s="174"/>
      <c r="AG134" s="174"/>
      <c r="AH134" s="174"/>
      <c r="AI134" s="174"/>
      <c r="AJ134" s="735">
        <v>41211</v>
      </c>
      <c r="AK134" s="651"/>
      <c r="AL134" s="175"/>
      <c r="AM134" s="587"/>
      <c r="AN134" s="587"/>
      <c r="AO134" s="587"/>
      <c r="AP134" s="587"/>
      <c r="AQ134" s="587"/>
      <c r="AR134" s="587"/>
      <c r="AS134" s="587"/>
      <c r="AT134" s="587"/>
      <c r="AU134" s="587"/>
      <c r="AV134" s="587"/>
      <c r="AW134" s="587"/>
      <c r="AX134" s="587"/>
      <c r="AY134" s="587"/>
      <c r="AZ134" s="587"/>
      <c r="BA134" s="587"/>
      <c r="BB134" s="587"/>
      <c r="BC134" s="587"/>
      <c r="BD134" s="587"/>
      <c r="BE134" s="587"/>
      <c r="BF134" s="587"/>
      <c r="BG134" s="587"/>
      <c r="BH134" s="587"/>
      <c r="BI134" s="587"/>
      <c r="BJ134" s="587"/>
      <c r="BK134" s="587"/>
      <c r="BL134" s="587"/>
      <c r="BM134" s="587"/>
      <c r="BN134" s="587"/>
      <c r="BO134" s="587"/>
      <c r="BP134" s="587"/>
      <c r="BQ134" s="587"/>
      <c r="BR134" s="587"/>
      <c r="BS134" s="587"/>
      <c r="BT134" s="587"/>
      <c r="BU134" s="587"/>
      <c r="BV134" s="587"/>
      <c r="BW134" s="587"/>
      <c r="BX134" s="587"/>
      <c r="BY134" s="587"/>
      <c r="BZ134" s="587"/>
      <c r="CA134" s="587"/>
      <c r="CB134" s="587"/>
      <c r="CC134" s="587"/>
      <c r="CD134" s="587"/>
      <c r="CE134" s="587"/>
      <c r="CF134" s="587"/>
      <c r="CG134" s="587"/>
      <c r="CH134" s="587"/>
      <c r="CI134" s="587"/>
      <c r="CJ134" s="587"/>
      <c r="CK134" s="587"/>
      <c r="CL134" s="587"/>
      <c r="CM134" s="587"/>
      <c r="CN134" s="587"/>
      <c r="CO134" s="587"/>
      <c r="CP134" s="587"/>
      <c r="CQ134" s="587"/>
      <c r="CR134" s="587"/>
      <c r="CS134" s="587"/>
      <c r="CT134" s="587"/>
      <c r="CU134" s="587"/>
      <c r="CV134" s="587"/>
      <c r="CW134" s="587"/>
      <c r="CX134" s="587"/>
      <c r="CY134" s="587"/>
      <c r="CZ134" s="587"/>
      <c r="DA134" s="587"/>
      <c r="DB134" s="587"/>
      <c r="DC134" s="587"/>
      <c r="DD134" s="587"/>
      <c r="DE134" s="587"/>
      <c r="DF134" s="587"/>
      <c r="DG134" s="587"/>
      <c r="DH134" s="587"/>
      <c r="DI134" s="587"/>
      <c r="DJ134" s="587"/>
      <c r="DK134" s="587"/>
      <c r="DL134" s="587"/>
      <c r="DM134" s="587"/>
      <c r="DN134" s="587"/>
      <c r="DO134" s="587"/>
      <c r="DP134" s="587"/>
      <c r="DQ134" s="587"/>
      <c r="DR134" s="587"/>
      <c r="DS134" s="587"/>
      <c r="DT134" s="587"/>
      <c r="DU134" s="587"/>
      <c r="DV134" s="587"/>
      <c r="DW134" s="587"/>
      <c r="DX134" s="587"/>
      <c r="DY134" s="587"/>
      <c r="DZ134" s="587"/>
      <c r="EA134" s="587"/>
      <c r="EB134" s="587"/>
      <c r="EC134" s="587"/>
      <c r="ED134" s="587"/>
      <c r="EE134" s="587"/>
      <c r="EF134" s="587"/>
      <c r="EG134" s="587"/>
      <c r="EH134" s="587"/>
      <c r="EI134" s="587"/>
      <c r="EJ134" s="587"/>
      <c r="EK134" s="587"/>
      <c r="EL134" s="587"/>
      <c r="EM134" s="587"/>
      <c r="EN134" s="587"/>
      <c r="EO134" s="587"/>
      <c r="EP134" s="587"/>
      <c r="EQ134" s="587"/>
      <c r="ER134" s="587"/>
      <c r="ES134" s="587"/>
      <c r="ET134" s="587"/>
      <c r="EU134" s="587"/>
      <c r="EV134" s="587"/>
      <c r="EW134" s="587"/>
      <c r="EX134" s="587"/>
      <c r="EY134" s="587"/>
      <c r="EZ134" s="587"/>
      <c r="FA134" s="587"/>
      <c r="FB134" s="587"/>
      <c r="FC134" s="587"/>
      <c r="FD134" s="587"/>
      <c r="FE134" s="587"/>
      <c r="FF134" s="587"/>
      <c r="FG134" s="587"/>
      <c r="FH134" s="587"/>
      <c r="FI134" s="587"/>
      <c r="FJ134" s="587"/>
      <c r="FK134" s="587"/>
      <c r="FL134" s="587"/>
      <c r="FM134" s="587"/>
      <c r="FN134" s="587"/>
      <c r="FO134" s="587"/>
      <c r="FP134" s="587"/>
      <c r="FQ134" s="587"/>
      <c r="FR134" s="587"/>
      <c r="FS134" s="587"/>
      <c r="FT134" s="587"/>
      <c r="FU134" s="587"/>
      <c r="FV134" s="587"/>
      <c r="FW134" s="587"/>
      <c r="FX134" s="587"/>
      <c r="FY134" s="587"/>
      <c r="FZ134" s="587"/>
      <c r="GA134" s="587"/>
      <c r="GB134" s="587"/>
      <c r="GC134" s="587"/>
      <c r="GD134" s="587"/>
      <c r="GE134" s="587"/>
      <c r="GF134" s="587"/>
      <c r="GG134" s="587"/>
      <c r="GH134" s="587"/>
      <c r="GI134" s="587"/>
      <c r="GJ134" s="587"/>
      <c r="GK134" s="587"/>
      <c r="GL134" s="587"/>
      <c r="GM134" s="587"/>
      <c r="GN134" s="587"/>
      <c r="GO134" s="587"/>
      <c r="GP134" s="587"/>
      <c r="GQ134" s="587"/>
      <c r="GR134" s="587"/>
      <c r="GS134" s="587"/>
      <c r="GT134" s="587"/>
      <c r="GU134" s="587"/>
      <c r="GV134" s="587"/>
      <c r="GW134" s="587"/>
      <c r="GX134" s="587"/>
      <c r="GY134" s="587"/>
      <c r="GZ134" s="587"/>
      <c r="HA134" s="587"/>
      <c r="HB134" s="587"/>
      <c r="HC134" s="587"/>
      <c r="HD134" s="587"/>
      <c r="HE134" s="587"/>
      <c r="HF134" s="587"/>
      <c r="HG134" s="587"/>
      <c r="HH134" s="587"/>
      <c r="HI134" s="587"/>
      <c r="HJ134" s="587"/>
      <c r="HK134" s="587"/>
      <c r="HL134" s="587"/>
      <c r="HM134" s="587"/>
      <c r="HN134" s="587"/>
      <c r="HO134" s="587"/>
      <c r="HP134" s="587"/>
      <c r="HQ134" s="587"/>
      <c r="HR134" s="587"/>
      <c r="HS134" s="587"/>
      <c r="HT134" s="587"/>
      <c r="HU134" s="587"/>
      <c r="HV134" s="587"/>
      <c r="HW134" s="587"/>
      <c r="HX134" s="587"/>
      <c r="HY134" s="587"/>
      <c r="HZ134" s="587"/>
      <c r="IA134" s="587"/>
      <c r="IB134" s="587"/>
      <c r="IC134" s="587"/>
      <c r="ID134" s="587"/>
      <c r="IE134" s="587"/>
      <c r="IF134" s="587"/>
      <c r="IG134" s="587"/>
      <c r="IH134" s="587"/>
      <c r="II134" s="587"/>
      <c r="IJ134" s="587"/>
      <c r="IK134" s="587"/>
      <c r="IL134" s="587"/>
      <c r="IM134" s="587"/>
      <c r="IN134" s="587"/>
      <c r="IO134" s="587"/>
      <c r="IP134" s="587"/>
      <c r="IQ134" s="587"/>
      <c r="IR134" s="587"/>
      <c r="IS134" s="587"/>
      <c r="IT134" s="587"/>
      <c r="IU134" s="587"/>
      <c r="IV134" s="587"/>
      <c r="IW134" s="587"/>
      <c r="IX134" s="587"/>
      <c r="IY134" s="587"/>
      <c r="IZ134" s="587"/>
      <c r="JA134" s="587"/>
      <c r="JB134" s="587"/>
      <c r="JC134" s="587"/>
      <c r="JD134" s="587"/>
      <c r="JE134" s="587"/>
      <c r="JF134" s="587"/>
      <c r="JG134" s="587"/>
      <c r="JH134" s="587"/>
      <c r="JI134" s="587"/>
      <c r="JJ134" s="587"/>
      <c r="JK134" s="587"/>
      <c r="JL134" s="587"/>
      <c r="JM134" s="587"/>
      <c r="JN134" s="587"/>
      <c r="JO134" s="587"/>
      <c r="JP134" s="587"/>
      <c r="JQ134" s="587"/>
      <c r="JR134" s="587"/>
      <c r="JS134" s="587"/>
      <c r="JT134" s="587"/>
      <c r="JU134" s="587"/>
      <c r="JV134" s="587"/>
    </row>
    <row r="135" spans="1:282" s="1" customFormat="1" ht="50.1" customHeight="1" x14ac:dyDescent="0.2">
      <c r="A135" s="693"/>
      <c r="B135" s="69" t="s">
        <v>1137</v>
      </c>
      <c r="C135" s="69"/>
      <c r="D135" s="69"/>
      <c r="E135" s="29" t="s">
        <v>1077</v>
      </c>
      <c r="F135" s="104" t="s">
        <v>208</v>
      </c>
      <c r="G135" s="29" t="s">
        <v>208</v>
      </c>
      <c r="H135" s="30" t="s">
        <v>209</v>
      </c>
      <c r="I135" s="30"/>
      <c r="J135" s="30" t="s">
        <v>536</v>
      </c>
      <c r="K135" s="30" t="s">
        <v>1394</v>
      </c>
      <c r="L135" s="29" t="s">
        <v>1286</v>
      </c>
      <c r="M135" s="29" t="s">
        <v>1528</v>
      </c>
      <c r="N135" s="74">
        <v>40634</v>
      </c>
      <c r="O135" s="69" t="s">
        <v>1078</v>
      </c>
      <c r="P135" s="69"/>
      <c r="Q135" s="69"/>
      <c r="R135" s="69"/>
      <c r="S135" s="69"/>
      <c r="T135" s="174"/>
      <c r="U135" s="174"/>
      <c r="V135" s="174"/>
      <c r="W135" s="174"/>
      <c r="X135" s="174"/>
      <c r="Y135" s="174"/>
      <c r="Z135" s="174"/>
      <c r="AA135" s="174"/>
      <c r="AB135" s="174"/>
      <c r="AC135" s="174"/>
      <c r="AD135" s="174"/>
      <c r="AE135" s="174"/>
      <c r="AF135" s="174"/>
      <c r="AG135" s="174"/>
      <c r="AH135" s="174"/>
      <c r="AI135" s="174"/>
      <c r="AJ135" s="735">
        <v>41211</v>
      </c>
      <c r="AK135" s="720"/>
      <c r="AL135" s="155"/>
      <c r="AM135" s="587"/>
      <c r="AN135" s="587"/>
      <c r="AO135" s="587"/>
      <c r="AP135" s="587"/>
      <c r="AQ135" s="587"/>
      <c r="AR135" s="587"/>
      <c r="AS135" s="587"/>
      <c r="AT135" s="587"/>
      <c r="AU135" s="587"/>
      <c r="AV135" s="587"/>
      <c r="AW135" s="587"/>
      <c r="AX135" s="587"/>
      <c r="AY135" s="587"/>
      <c r="AZ135" s="587"/>
      <c r="BA135" s="587"/>
      <c r="BB135" s="587"/>
      <c r="BC135" s="587"/>
      <c r="BD135" s="587"/>
      <c r="BE135" s="587"/>
      <c r="BF135" s="587"/>
      <c r="BG135" s="587"/>
      <c r="BH135" s="587"/>
      <c r="BI135" s="587"/>
      <c r="BJ135" s="587"/>
      <c r="BK135" s="587"/>
      <c r="BL135" s="587"/>
      <c r="BM135" s="587"/>
      <c r="BN135" s="587"/>
      <c r="BO135" s="587"/>
      <c r="BP135" s="587"/>
      <c r="BQ135" s="587"/>
      <c r="BR135" s="587"/>
      <c r="BS135" s="587"/>
      <c r="BT135" s="587"/>
      <c r="BU135" s="587"/>
      <c r="BV135" s="587"/>
      <c r="BW135" s="587"/>
      <c r="BX135" s="587"/>
      <c r="BY135" s="587"/>
      <c r="BZ135" s="587"/>
      <c r="CA135" s="587"/>
      <c r="CB135" s="587"/>
      <c r="CC135" s="587"/>
      <c r="CD135" s="587"/>
      <c r="CE135" s="587"/>
      <c r="CF135" s="587"/>
      <c r="CG135" s="587"/>
      <c r="CH135" s="587"/>
      <c r="CI135" s="587"/>
      <c r="CJ135" s="587"/>
      <c r="CK135" s="587"/>
      <c r="CL135" s="587"/>
      <c r="CM135" s="587"/>
      <c r="CN135" s="587"/>
      <c r="CO135" s="587"/>
      <c r="CP135" s="587"/>
      <c r="CQ135" s="587"/>
      <c r="CR135" s="587"/>
      <c r="CS135" s="587"/>
      <c r="CT135" s="587"/>
      <c r="CU135" s="587"/>
      <c r="CV135" s="587"/>
      <c r="CW135" s="587"/>
      <c r="CX135" s="587"/>
      <c r="CY135" s="587"/>
      <c r="CZ135" s="587"/>
      <c r="DA135" s="587"/>
      <c r="DB135" s="587"/>
      <c r="DC135" s="587"/>
      <c r="DD135" s="587"/>
      <c r="DE135" s="587"/>
      <c r="DF135" s="587"/>
      <c r="DG135" s="587"/>
      <c r="DH135" s="587"/>
      <c r="DI135" s="587"/>
      <c r="DJ135" s="587"/>
      <c r="DK135" s="587"/>
      <c r="DL135" s="587"/>
      <c r="DM135" s="587"/>
      <c r="DN135" s="587"/>
      <c r="DO135" s="587"/>
      <c r="DP135" s="587"/>
      <c r="DQ135" s="587"/>
      <c r="DR135" s="587"/>
      <c r="DS135" s="587"/>
      <c r="DT135" s="587"/>
      <c r="DU135" s="587"/>
      <c r="DV135" s="587"/>
      <c r="DW135" s="587"/>
      <c r="DX135" s="587"/>
      <c r="DY135" s="587"/>
      <c r="DZ135" s="587"/>
      <c r="EA135" s="587"/>
      <c r="EB135" s="587"/>
      <c r="EC135" s="587"/>
      <c r="ED135" s="587"/>
      <c r="EE135" s="587"/>
      <c r="EF135" s="587"/>
      <c r="EG135" s="587"/>
      <c r="EH135" s="587"/>
      <c r="EI135" s="587"/>
      <c r="EJ135" s="587"/>
      <c r="EK135" s="587"/>
      <c r="EL135" s="587"/>
      <c r="EM135" s="587"/>
      <c r="EN135" s="587"/>
      <c r="EO135" s="587"/>
      <c r="EP135" s="587"/>
      <c r="EQ135" s="587"/>
      <c r="ER135" s="587"/>
      <c r="ES135" s="587"/>
      <c r="ET135" s="587"/>
      <c r="EU135" s="587"/>
      <c r="EV135" s="587"/>
      <c r="EW135" s="587"/>
      <c r="EX135" s="587"/>
      <c r="EY135" s="587"/>
      <c r="EZ135" s="587"/>
      <c r="FA135" s="587"/>
      <c r="FB135" s="587"/>
      <c r="FC135" s="587"/>
      <c r="FD135" s="587"/>
      <c r="FE135" s="587"/>
      <c r="FF135" s="587"/>
      <c r="FG135" s="587"/>
      <c r="FH135" s="587"/>
      <c r="FI135" s="587"/>
      <c r="FJ135" s="587"/>
      <c r="FK135" s="587"/>
      <c r="FL135" s="587"/>
      <c r="FM135" s="587"/>
      <c r="FN135" s="587"/>
      <c r="FO135" s="587"/>
      <c r="FP135" s="587"/>
      <c r="FQ135" s="587"/>
      <c r="FR135" s="587"/>
      <c r="FS135" s="587"/>
      <c r="FT135" s="587"/>
      <c r="FU135" s="587"/>
      <c r="FV135" s="587"/>
      <c r="FW135" s="587"/>
      <c r="FX135" s="587"/>
      <c r="FY135" s="587"/>
      <c r="FZ135" s="587"/>
      <c r="GA135" s="587"/>
      <c r="GB135" s="587"/>
      <c r="GC135" s="587"/>
      <c r="GD135" s="587"/>
      <c r="GE135" s="587"/>
      <c r="GF135" s="587"/>
      <c r="GG135" s="587"/>
      <c r="GH135" s="587"/>
      <c r="GI135" s="587"/>
      <c r="GJ135" s="587"/>
      <c r="GK135" s="587"/>
      <c r="GL135" s="587"/>
      <c r="GM135" s="587"/>
      <c r="GN135" s="587"/>
      <c r="GO135" s="587"/>
      <c r="GP135" s="587"/>
      <c r="GQ135" s="587"/>
      <c r="GR135" s="587"/>
      <c r="GS135" s="587"/>
      <c r="GT135" s="587"/>
      <c r="GU135" s="587"/>
      <c r="GV135" s="587"/>
      <c r="GW135" s="587"/>
      <c r="GX135" s="587"/>
      <c r="GY135" s="587"/>
      <c r="GZ135" s="587"/>
      <c r="HA135" s="587"/>
      <c r="HB135" s="587"/>
      <c r="HC135" s="587"/>
      <c r="HD135" s="587"/>
      <c r="HE135" s="587"/>
      <c r="HF135" s="587"/>
      <c r="HG135" s="587"/>
      <c r="HH135" s="587"/>
      <c r="HI135" s="587"/>
      <c r="HJ135" s="587"/>
      <c r="HK135" s="587"/>
      <c r="HL135" s="587"/>
      <c r="HM135" s="587"/>
      <c r="HN135" s="587"/>
      <c r="HO135" s="587"/>
      <c r="HP135" s="587"/>
      <c r="HQ135" s="587"/>
      <c r="HR135" s="587"/>
      <c r="HS135" s="587"/>
      <c r="HT135" s="587"/>
      <c r="HU135" s="587"/>
      <c r="HV135" s="587"/>
      <c r="HW135" s="587"/>
      <c r="HX135" s="587"/>
      <c r="HY135" s="587"/>
      <c r="HZ135" s="587"/>
      <c r="IA135" s="587"/>
      <c r="IB135" s="587"/>
      <c r="IC135" s="587"/>
      <c r="ID135" s="587"/>
      <c r="IE135" s="587"/>
      <c r="IF135" s="587"/>
      <c r="IG135" s="587"/>
      <c r="IH135" s="587"/>
      <c r="II135" s="587"/>
      <c r="IJ135" s="587"/>
      <c r="IK135" s="587"/>
      <c r="IL135" s="587"/>
      <c r="IM135" s="587"/>
      <c r="IN135" s="587"/>
      <c r="IO135" s="587"/>
      <c r="IP135" s="587"/>
      <c r="IQ135" s="587"/>
      <c r="IR135" s="587"/>
      <c r="IS135" s="587"/>
      <c r="IT135" s="587"/>
      <c r="IU135" s="587"/>
      <c r="IV135" s="587"/>
      <c r="IW135" s="587"/>
      <c r="IX135" s="587"/>
      <c r="IY135" s="587"/>
      <c r="IZ135" s="587"/>
      <c r="JA135" s="587"/>
      <c r="JB135" s="587"/>
      <c r="JC135" s="587"/>
      <c r="JD135" s="587"/>
      <c r="JE135" s="587"/>
      <c r="JF135" s="587"/>
      <c r="JG135" s="587"/>
      <c r="JH135" s="587"/>
      <c r="JI135" s="587"/>
      <c r="JJ135" s="587"/>
      <c r="JK135" s="587"/>
      <c r="JL135" s="587"/>
      <c r="JM135" s="587"/>
      <c r="JN135" s="587"/>
      <c r="JO135" s="587"/>
      <c r="JP135" s="587"/>
      <c r="JQ135" s="587"/>
      <c r="JR135" s="587"/>
      <c r="JS135" s="587"/>
      <c r="JT135" s="587"/>
      <c r="JU135" s="587"/>
      <c r="JV135" s="587"/>
    </row>
    <row r="136" spans="1:282" s="1" customFormat="1" ht="50.1" customHeight="1" x14ac:dyDescent="0.2">
      <c r="A136" s="693"/>
      <c r="B136" s="69" t="s">
        <v>1137</v>
      </c>
      <c r="C136" s="69"/>
      <c r="D136" s="69"/>
      <c r="E136" s="69" t="s">
        <v>1088</v>
      </c>
      <c r="F136" s="104" t="s">
        <v>1085</v>
      </c>
      <c r="G136" s="29" t="s">
        <v>1085</v>
      </c>
      <c r="H136" s="29" t="s">
        <v>1086</v>
      </c>
      <c r="I136" s="29"/>
      <c r="J136" s="29" t="s">
        <v>1550</v>
      </c>
      <c r="K136" s="30" t="s">
        <v>1394</v>
      </c>
      <c r="L136" s="29" t="s">
        <v>685</v>
      </c>
      <c r="M136" s="29" t="s">
        <v>1528</v>
      </c>
      <c r="N136" s="74">
        <v>40851</v>
      </c>
      <c r="O136" s="69" t="s">
        <v>1089</v>
      </c>
      <c r="P136" s="69"/>
      <c r="Q136" s="69"/>
      <c r="R136" s="69"/>
      <c r="S136" s="69"/>
      <c r="T136" s="174"/>
      <c r="U136" s="174"/>
      <c r="V136" s="174"/>
      <c r="W136" s="174"/>
      <c r="X136" s="174"/>
      <c r="Y136" s="174"/>
      <c r="Z136" s="174"/>
      <c r="AA136" s="174"/>
      <c r="AB136" s="174"/>
      <c r="AC136" s="174"/>
      <c r="AD136" s="174"/>
      <c r="AE136" s="174"/>
      <c r="AF136" s="174"/>
      <c r="AG136" s="174"/>
      <c r="AH136" s="174"/>
      <c r="AI136" s="174"/>
      <c r="AJ136" s="724">
        <v>41225</v>
      </c>
      <c r="AK136" s="648">
        <v>18</v>
      </c>
      <c r="AL136" s="174"/>
      <c r="AM136" s="587"/>
      <c r="AN136" s="587"/>
      <c r="AO136" s="587"/>
      <c r="AP136" s="587"/>
      <c r="AQ136" s="587"/>
      <c r="AR136" s="587"/>
      <c r="AS136" s="587"/>
      <c r="AT136" s="587"/>
      <c r="AU136" s="587"/>
      <c r="AV136" s="587"/>
      <c r="AW136" s="587"/>
      <c r="AX136" s="587"/>
      <c r="AY136" s="587"/>
      <c r="AZ136" s="587"/>
      <c r="BA136" s="587"/>
      <c r="BB136" s="587"/>
      <c r="BC136" s="587"/>
      <c r="BD136" s="587"/>
      <c r="BE136" s="587"/>
      <c r="BF136" s="587"/>
      <c r="BG136" s="587"/>
      <c r="BH136" s="587"/>
      <c r="BI136" s="587"/>
      <c r="BJ136" s="587"/>
      <c r="BK136" s="587"/>
      <c r="BL136" s="587"/>
      <c r="BM136" s="587"/>
      <c r="BN136" s="587"/>
      <c r="BO136" s="587"/>
      <c r="BP136" s="587"/>
      <c r="BQ136" s="587"/>
      <c r="BR136" s="587"/>
      <c r="BS136" s="587"/>
      <c r="BT136" s="587"/>
      <c r="BU136" s="587"/>
      <c r="BV136" s="587"/>
      <c r="BW136" s="587"/>
      <c r="BX136" s="587"/>
      <c r="BY136" s="587"/>
      <c r="BZ136" s="587"/>
      <c r="CA136" s="587"/>
      <c r="CB136" s="587"/>
      <c r="CC136" s="587"/>
      <c r="CD136" s="587"/>
      <c r="CE136" s="587"/>
      <c r="CF136" s="587"/>
      <c r="CG136" s="587"/>
      <c r="CH136" s="587"/>
      <c r="CI136" s="587"/>
      <c r="CJ136" s="587"/>
      <c r="CK136" s="587"/>
      <c r="CL136" s="587"/>
      <c r="CM136" s="587"/>
      <c r="CN136" s="587"/>
      <c r="CO136" s="587"/>
      <c r="CP136" s="587"/>
      <c r="CQ136" s="587"/>
      <c r="CR136" s="587"/>
      <c r="CS136" s="587"/>
      <c r="CT136" s="587"/>
      <c r="CU136" s="587"/>
      <c r="CV136" s="587"/>
      <c r="CW136" s="587"/>
      <c r="CX136" s="587"/>
      <c r="CY136" s="587"/>
      <c r="CZ136" s="587"/>
      <c r="DA136" s="587"/>
      <c r="DB136" s="587"/>
      <c r="DC136" s="587"/>
      <c r="DD136" s="587"/>
      <c r="DE136" s="587"/>
      <c r="DF136" s="587"/>
      <c r="DG136" s="587"/>
      <c r="DH136" s="587"/>
      <c r="DI136" s="587"/>
      <c r="DJ136" s="587"/>
      <c r="DK136" s="587"/>
      <c r="DL136" s="587"/>
      <c r="DM136" s="587"/>
      <c r="DN136" s="587"/>
      <c r="DO136" s="587"/>
      <c r="DP136" s="587"/>
      <c r="DQ136" s="587"/>
      <c r="DR136" s="587"/>
      <c r="DS136" s="587"/>
      <c r="DT136" s="587"/>
      <c r="DU136" s="587"/>
      <c r="DV136" s="587"/>
      <c r="DW136" s="587"/>
      <c r="DX136" s="587"/>
      <c r="DY136" s="587"/>
      <c r="DZ136" s="587"/>
      <c r="EA136" s="587"/>
      <c r="EB136" s="587"/>
      <c r="EC136" s="587"/>
      <c r="ED136" s="587"/>
      <c r="EE136" s="587"/>
      <c r="EF136" s="587"/>
      <c r="EG136" s="587"/>
      <c r="EH136" s="587"/>
      <c r="EI136" s="587"/>
      <c r="EJ136" s="587"/>
      <c r="EK136" s="587"/>
      <c r="EL136" s="587"/>
      <c r="EM136" s="587"/>
      <c r="EN136" s="587"/>
      <c r="EO136" s="587"/>
      <c r="EP136" s="587"/>
      <c r="EQ136" s="587"/>
      <c r="ER136" s="587"/>
      <c r="ES136" s="587"/>
      <c r="ET136" s="587"/>
      <c r="EU136" s="587"/>
      <c r="EV136" s="587"/>
      <c r="EW136" s="587"/>
      <c r="EX136" s="587"/>
      <c r="EY136" s="587"/>
      <c r="EZ136" s="587"/>
      <c r="FA136" s="587"/>
      <c r="FB136" s="587"/>
      <c r="FC136" s="587"/>
      <c r="FD136" s="587"/>
      <c r="FE136" s="587"/>
      <c r="FF136" s="587"/>
      <c r="FG136" s="587"/>
      <c r="FH136" s="587"/>
      <c r="FI136" s="587"/>
      <c r="FJ136" s="587"/>
      <c r="FK136" s="587"/>
      <c r="FL136" s="587"/>
      <c r="FM136" s="587"/>
      <c r="FN136" s="587"/>
      <c r="FO136" s="587"/>
      <c r="FP136" s="587"/>
      <c r="FQ136" s="587"/>
      <c r="FR136" s="587"/>
      <c r="FS136" s="587"/>
      <c r="FT136" s="587"/>
      <c r="FU136" s="587"/>
      <c r="FV136" s="587"/>
      <c r="FW136" s="587"/>
      <c r="FX136" s="587"/>
      <c r="FY136" s="587"/>
      <c r="FZ136" s="587"/>
      <c r="GA136" s="587"/>
      <c r="GB136" s="587"/>
      <c r="GC136" s="587"/>
      <c r="GD136" s="587"/>
      <c r="GE136" s="587"/>
      <c r="GF136" s="587"/>
      <c r="GG136" s="587"/>
      <c r="GH136" s="587"/>
      <c r="GI136" s="587"/>
      <c r="GJ136" s="587"/>
      <c r="GK136" s="587"/>
      <c r="GL136" s="587"/>
      <c r="GM136" s="587"/>
      <c r="GN136" s="587"/>
      <c r="GO136" s="587"/>
      <c r="GP136" s="587"/>
      <c r="GQ136" s="587"/>
      <c r="GR136" s="587"/>
      <c r="GS136" s="587"/>
      <c r="GT136" s="587"/>
      <c r="GU136" s="587"/>
      <c r="GV136" s="587"/>
      <c r="GW136" s="587"/>
      <c r="GX136" s="587"/>
      <c r="GY136" s="587"/>
      <c r="GZ136" s="587"/>
      <c r="HA136" s="587"/>
      <c r="HB136" s="587"/>
      <c r="HC136" s="587"/>
      <c r="HD136" s="587"/>
      <c r="HE136" s="587"/>
      <c r="HF136" s="587"/>
      <c r="HG136" s="587"/>
      <c r="HH136" s="587"/>
      <c r="HI136" s="587"/>
      <c r="HJ136" s="587"/>
      <c r="HK136" s="587"/>
      <c r="HL136" s="587"/>
      <c r="HM136" s="587"/>
      <c r="HN136" s="587"/>
      <c r="HO136" s="587"/>
      <c r="HP136" s="587"/>
      <c r="HQ136" s="587"/>
      <c r="HR136" s="587"/>
      <c r="HS136" s="587"/>
      <c r="HT136" s="587"/>
      <c r="HU136" s="587"/>
      <c r="HV136" s="587"/>
      <c r="HW136" s="587"/>
      <c r="HX136" s="587"/>
      <c r="HY136" s="587"/>
      <c r="HZ136" s="587"/>
      <c r="IA136" s="587"/>
      <c r="IB136" s="587"/>
      <c r="IC136" s="587"/>
      <c r="ID136" s="587"/>
      <c r="IE136" s="587"/>
      <c r="IF136" s="587"/>
      <c r="IG136" s="587"/>
      <c r="IH136" s="587"/>
      <c r="II136" s="587"/>
      <c r="IJ136" s="587"/>
      <c r="IK136" s="587"/>
      <c r="IL136" s="587"/>
      <c r="IM136" s="587"/>
      <c r="IN136" s="587"/>
      <c r="IO136" s="587"/>
      <c r="IP136" s="587"/>
      <c r="IQ136" s="587"/>
      <c r="IR136" s="587"/>
      <c r="IS136" s="587"/>
      <c r="IT136" s="587"/>
      <c r="IU136" s="587"/>
      <c r="IV136" s="587"/>
      <c r="IW136" s="587"/>
      <c r="IX136" s="587"/>
      <c r="IY136" s="587"/>
      <c r="IZ136" s="587"/>
      <c r="JA136" s="587"/>
      <c r="JB136" s="587"/>
      <c r="JC136" s="587"/>
      <c r="JD136" s="587"/>
      <c r="JE136" s="587"/>
      <c r="JF136" s="587"/>
      <c r="JG136" s="587"/>
      <c r="JH136" s="587"/>
      <c r="JI136" s="587"/>
      <c r="JJ136" s="587"/>
      <c r="JK136" s="587"/>
      <c r="JL136" s="587"/>
      <c r="JM136" s="587"/>
      <c r="JN136" s="587"/>
      <c r="JO136" s="587"/>
      <c r="JP136" s="587"/>
      <c r="JQ136" s="587"/>
      <c r="JR136" s="587"/>
      <c r="JS136" s="587"/>
      <c r="JT136" s="587"/>
      <c r="JU136" s="587"/>
      <c r="JV136" s="587"/>
    </row>
    <row r="137" spans="1:282" s="1" customFormat="1" ht="50.1" customHeight="1" x14ac:dyDescent="0.2">
      <c r="A137" s="693"/>
      <c r="B137" s="69" t="s">
        <v>1137</v>
      </c>
      <c r="C137" s="69"/>
      <c r="D137" s="69"/>
      <c r="E137" s="69" t="s">
        <v>1084</v>
      </c>
      <c r="F137" s="104" t="s">
        <v>2271</v>
      </c>
      <c r="G137" s="29" t="s">
        <v>1085</v>
      </c>
      <c r="H137" s="29" t="s">
        <v>1086</v>
      </c>
      <c r="I137" s="29"/>
      <c r="J137" s="29" t="s">
        <v>1550</v>
      </c>
      <c r="K137" s="29" t="s">
        <v>1393</v>
      </c>
      <c r="L137" s="29" t="s">
        <v>685</v>
      </c>
      <c r="M137" s="29" t="s">
        <v>1528</v>
      </c>
      <c r="N137" s="74">
        <v>40854</v>
      </c>
      <c r="O137" s="69" t="s">
        <v>1087</v>
      </c>
      <c r="P137" s="69"/>
      <c r="Q137" s="69"/>
      <c r="R137" s="69"/>
      <c r="S137" s="69"/>
      <c r="T137" s="174"/>
      <c r="U137" s="174"/>
      <c r="V137" s="174"/>
      <c r="W137" s="174"/>
      <c r="X137" s="174"/>
      <c r="Y137" s="174"/>
      <c r="Z137" s="174"/>
      <c r="AA137" s="174"/>
      <c r="AB137" s="174"/>
      <c r="AC137" s="174"/>
      <c r="AD137" s="174"/>
      <c r="AE137" s="174"/>
      <c r="AF137" s="174"/>
      <c r="AG137" s="174"/>
      <c r="AH137" s="174"/>
      <c r="AI137" s="174"/>
      <c r="AJ137" s="724">
        <v>41225</v>
      </c>
      <c r="AK137" s="736"/>
      <c r="AL137" s="600"/>
      <c r="AM137" s="587"/>
      <c r="AN137" s="587"/>
      <c r="AO137" s="587"/>
      <c r="AP137" s="587"/>
      <c r="AQ137" s="587"/>
      <c r="AR137" s="587"/>
      <c r="AS137" s="587"/>
      <c r="AT137" s="587"/>
      <c r="AU137" s="587"/>
      <c r="AV137" s="587"/>
      <c r="AW137" s="587"/>
      <c r="AX137" s="587"/>
      <c r="AY137" s="587"/>
      <c r="AZ137" s="587"/>
      <c r="BA137" s="587"/>
      <c r="BB137" s="587"/>
      <c r="BC137" s="587"/>
      <c r="BD137" s="587"/>
      <c r="BE137" s="587"/>
      <c r="BF137" s="587"/>
      <c r="BG137" s="587"/>
      <c r="BH137" s="587"/>
      <c r="BI137" s="587"/>
      <c r="BJ137" s="587"/>
      <c r="BK137" s="587"/>
      <c r="BL137" s="587"/>
      <c r="BM137" s="587"/>
      <c r="BN137" s="587"/>
      <c r="BO137" s="587"/>
      <c r="BP137" s="587"/>
      <c r="BQ137" s="587"/>
      <c r="BR137" s="587"/>
      <c r="BS137" s="587"/>
      <c r="BT137" s="587"/>
      <c r="BU137" s="587"/>
      <c r="BV137" s="587"/>
      <c r="BW137" s="587"/>
      <c r="BX137" s="587"/>
      <c r="BY137" s="587"/>
      <c r="BZ137" s="587"/>
      <c r="CA137" s="587"/>
      <c r="CB137" s="587"/>
      <c r="CC137" s="587"/>
      <c r="CD137" s="587"/>
      <c r="CE137" s="587"/>
      <c r="CF137" s="587"/>
      <c r="CG137" s="587"/>
      <c r="CH137" s="587"/>
      <c r="CI137" s="587"/>
      <c r="CJ137" s="587"/>
      <c r="CK137" s="587"/>
      <c r="CL137" s="587"/>
      <c r="CM137" s="587"/>
      <c r="CN137" s="587"/>
      <c r="CO137" s="587"/>
      <c r="CP137" s="587"/>
      <c r="CQ137" s="587"/>
      <c r="CR137" s="587"/>
      <c r="CS137" s="587"/>
      <c r="CT137" s="587"/>
      <c r="CU137" s="587"/>
      <c r="CV137" s="587"/>
      <c r="CW137" s="587"/>
      <c r="CX137" s="587"/>
      <c r="CY137" s="587"/>
      <c r="CZ137" s="587"/>
      <c r="DA137" s="587"/>
      <c r="DB137" s="587"/>
      <c r="DC137" s="587"/>
      <c r="DD137" s="587"/>
      <c r="DE137" s="587"/>
      <c r="DF137" s="587"/>
      <c r="DG137" s="587"/>
      <c r="DH137" s="587"/>
      <c r="DI137" s="587"/>
      <c r="DJ137" s="587"/>
      <c r="DK137" s="587"/>
      <c r="DL137" s="587"/>
      <c r="DM137" s="587"/>
      <c r="DN137" s="587"/>
      <c r="DO137" s="587"/>
      <c r="DP137" s="587"/>
      <c r="DQ137" s="587"/>
      <c r="DR137" s="587"/>
      <c r="DS137" s="587"/>
      <c r="DT137" s="587"/>
      <c r="DU137" s="587"/>
      <c r="DV137" s="587"/>
      <c r="DW137" s="587"/>
      <c r="DX137" s="587"/>
      <c r="DY137" s="587"/>
      <c r="DZ137" s="587"/>
      <c r="EA137" s="587"/>
      <c r="EB137" s="587"/>
      <c r="EC137" s="587"/>
      <c r="ED137" s="587"/>
      <c r="EE137" s="587"/>
      <c r="EF137" s="587"/>
      <c r="EG137" s="587"/>
      <c r="EH137" s="587"/>
      <c r="EI137" s="587"/>
      <c r="EJ137" s="587"/>
      <c r="EK137" s="587"/>
      <c r="EL137" s="587"/>
      <c r="EM137" s="587"/>
      <c r="EN137" s="587"/>
      <c r="EO137" s="587"/>
      <c r="EP137" s="587"/>
      <c r="EQ137" s="587"/>
      <c r="ER137" s="587"/>
      <c r="ES137" s="587"/>
      <c r="ET137" s="587"/>
      <c r="EU137" s="587"/>
      <c r="EV137" s="587"/>
      <c r="EW137" s="587"/>
      <c r="EX137" s="587"/>
      <c r="EY137" s="587"/>
      <c r="EZ137" s="587"/>
      <c r="FA137" s="587"/>
      <c r="FB137" s="587"/>
      <c r="FC137" s="587"/>
      <c r="FD137" s="587"/>
      <c r="FE137" s="587"/>
      <c r="FF137" s="587"/>
      <c r="FG137" s="587"/>
      <c r="FH137" s="587"/>
      <c r="FI137" s="587"/>
      <c r="FJ137" s="587"/>
      <c r="FK137" s="587"/>
      <c r="FL137" s="587"/>
      <c r="FM137" s="587"/>
      <c r="FN137" s="587"/>
      <c r="FO137" s="587"/>
      <c r="FP137" s="587"/>
      <c r="FQ137" s="587"/>
      <c r="FR137" s="587"/>
      <c r="FS137" s="587"/>
      <c r="FT137" s="587"/>
      <c r="FU137" s="587"/>
      <c r="FV137" s="587"/>
      <c r="FW137" s="587"/>
      <c r="FX137" s="587"/>
      <c r="FY137" s="587"/>
      <c r="FZ137" s="587"/>
      <c r="GA137" s="587"/>
      <c r="GB137" s="587"/>
      <c r="GC137" s="587"/>
      <c r="GD137" s="587"/>
      <c r="GE137" s="587"/>
      <c r="GF137" s="587"/>
      <c r="GG137" s="587"/>
      <c r="GH137" s="587"/>
      <c r="GI137" s="587"/>
      <c r="GJ137" s="587"/>
      <c r="GK137" s="587"/>
      <c r="GL137" s="587"/>
      <c r="GM137" s="587"/>
      <c r="GN137" s="587"/>
      <c r="GO137" s="587"/>
      <c r="GP137" s="587"/>
      <c r="GQ137" s="587"/>
      <c r="GR137" s="587"/>
      <c r="GS137" s="587"/>
      <c r="GT137" s="587"/>
      <c r="GU137" s="587"/>
      <c r="GV137" s="587"/>
      <c r="GW137" s="587"/>
      <c r="GX137" s="587"/>
      <c r="GY137" s="587"/>
      <c r="GZ137" s="587"/>
      <c r="HA137" s="587"/>
      <c r="HB137" s="587"/>
      <c r="HC137" s="587"/>
      <c r="HD137" s="587"/>
      <c r="HE137" s="587"/>
      <c r="HF137" s="587"/>
      <c r="HG137" s="587"/>
      <c r="HH137" s="587"/>
      <c r="HI137" s="587"/>
      <c r="HJ137" s="587"/>
      <c r="HK137" s="587"/>
      <c r="HL137" s="587"/>
      <c r="HM137" s="587"/>
      <c r="HN137" s="587"/>
      <c r="HO137" s="587"/>
      <c r="HP137" s="587"/>
      <c r="HQ137" s="587"/>
      <c r="HR137" s="587"/>
      <c r="HS137" s="587"/>
      <c r="HT137" s="587"/>
      <c r="HU137" s="587"/>
      <c r="HV137" s="587"/>
      <c r="HW137" s="587"/>
      <c r="HX137" s="587"/>
      <c r="HY137" s="587"/>
      <c r="HZ137" s="587"/>
      <c r="IA137" s="587"/>
      <c r="IB137" s="587"/>
      <c r="IC137" s="587"/>
      <c r="ID137" s="587"/>
      <c r="IE137" s="587"/>
      <c r="IF137" s="587"/>
      <c r="IG137" s="587"/>
      <c r="IH137" s="587"/>
      <c r="II137" s="587"/>
      <c r="IJ137" s="587"/>
      <c r="IK137" s="587"/>
      <c r="IL137" s="587"/>
      <c r="IM137" s="587"/>
      <c r="IN137" s="587"/>
      <c r="IO137" s="587"/>
      <c r="IP137" s="587"/>
      <c r="IQ137" s="587"/>
      <c r="IR137" s="587"/>
      <c r="IS137" s="587"/>
      <c r="IT137" s="587"/>
      <c r="IU137" s="587"/>
      <c r="IV137" s="587"/>
      <c r="IW137" s="587"/>
      <c r="IX137" s="587"/>
      <c r="IY137" s="587"/>
      <c r="IZ137" s="587"/>
      <c r="JA137" s="587"/>
      <c r="JB137" s="587"/>
      <c r="JC137" s="587"/>
      <c r="JD137" s="587"/>
      <c r="JE137" s="587"/>
      <c r="JF137" s="587"/>
      <c r="JG137" s="587"/>
      <c r="JH137" s="587"/>
      <c r="JI137" s="587"/>
      <c r="JJ137" s="587"/>
      <c r="JK137" s="587"/>
      <c r="JL137" s="587"/>
      <c r="JM137" s="587"/>
      <c r="JN137" s="587"/>
      <c r="JO137" s="587"/>
      <c r="JP137" s="587"/>
      <c r="JQ137" s="587"/>
      <c r="JR137" s="587"/>
      <c r="JS137" s="587"/>
      <c r="JT137" s="587"/>
      <c r="JU137" s="587"/>
      <c r="JV137" s="587"/>
    </row>
    <row r="138" spans="1:282" s="1" customFormat="1" ht="50.1" customHeight="1" x14ac:dyDescent="0.2">
      <c r="A138" s="693"/>
      <c r="B138" s="704" t="s">
        <v>584</v>
      </c>
      <c r="C138" s="704"/>
      <c r="D138" s="704"/>
      <c r="E138" s="704" t="s">
        <v>1173</v>
      </c>
      <c r="F138" s="737" t="s">
        <v>2385</v>
      </c>
      <c r="G138" s="704" t="s">
        <v>65</v>
      </c>
      <c r="H138" s="738"/>
      <c r="I138" s="738"/>
      <c r="J138" s="738" t="s">
        <v>366</v>
      </c>
      <c r="K138" s="165" t="s">
        <v>1393</v>
      </c>
      <c r="L138" s="165" t="s">
        <v>685</v>
      </c>
      <c r="M138" s="165" t="s">
        <v>2445</v>
      </c>
      <c r="N138" s="739">
        <v>40982</v>
      </c>
      <c r="O138" s="703" t="s">
        <v>574</v>
      </c>
      <c r="P138" s="703"/>
      <c r="Q138" s="703"/>
      <c r="R138" s="703"/>
      <c r="S138" s="703"/>
      <c r="T138" s="599" t="s">
        <v>2688</v>
      </c>
      <c r="U138" s="599"/>
      <c r="V138" s="599"/>
      <c r="W138" s="599"/>
      <c r="X138" s="599"/>
      <c r="Y138" s="599"/>
      <c r="Z138" s="599"/>
      <c r="AA138" s="599"/>
      <c r="AB138" s="599"/>
      <c r="AC138" s="599"/>
      <c r="AD138" s="599"/>
      <c r="AE138" s="599"/>
      <c r="AF138" s="599"/>
      <c r="AG138" s="599"/>
      <c r="AH138" s="599"/>
      <c r="AI138" s="599"/>
      <c r="AJ138" s="739">
        <v>41225</v>
      </c>
      <c r="AK138" s="732"/>
      <c r="AL138" s="593"/>
      <c r="AM138" s="587"/>
      <c r="AN138" s="587"/>
      <c r="AO138" s="587"/>
      <c r="AP138" s="587"/>
      <c r="AQ138" s="587"/>
      <c r="AR138" s="587"/>
      <c r="AS138" s="587"/>
      <c r="AT138" s="587"/>
      <c r="AU138" s="587"/>
      <c r="AV138" s="587"/>
      <c r="AW138" s="587"/>
      <c r="AX138" s="587"/>
      <c r="AY138" s="587"/>
      <c r="AZ138" s="587"/>
      <c r="BA138" s="587"/>
      <c r="BB138" s="587"/>
      <c r="BC138" s="587"/>
      <c r="BD138" s="587"/>
      <c r="BE138" s="587"/>
      <c r="BF138" s="587"/>
      <c r="BG138" s="587"/>
      <c r="BH138" s="587"/>
      <c r="BI138" s="587"/>
      <c r="BJ138" s="587"/>
      <c r="BK138" s="587"/>
      <c r="BL138" s="587"/>
      <c r="BM138" s="587"/>
      <c r="BN138" s="587"/>
      <c r="BO138" s="587"/>
      <c r="BP138" s="587"/>
      <c r="BQ138" s="587"/>
      <c r="BR138" s="587"/>
      <c r="BS138" s="587"/>
      <c r="BT138" s="587"/>
      <c r="BU138" s="587"/>
      <c r="BV138" s="587"/>
      <c r="BW138" s="587"/>
      <c r="BX138" s="587"/>
      <c r="BY138" s="587"/>
      <c r="BZ138" s="587"/>
      <c r="CA138" s="587"/>
      <c r="CB138" s="587"/>
      <c r="CC138" s="587"/>
      <c r="CD138" s="587"/>
      <c r="CE138" s="587"/>
      <c r="CF138" s="587"/>
      <c r="CG138" s="587"/>
      <c r="CH138" s="587"/>
      <c r="CI138" s="587"/>
      <c r="CJ138" s="587"/>
      <c r="CK138" s="587"/>
      <c r="CL138" s="587"/>
      <c r="CM138" s="587"/>
      <c r="CN138" s="587"/>
      <c r="CO138" s="587"/>
      <c r="CP138" s="587"/>
      <c r="CQ138" s="587"/>
      <c r="CR138" s="587"/>
      <c r="CS138" s="587"/>
      <c r="CT138" s="587"/>
      <c r="CU138" s="587"/>
      <c r="CV138" s="587"/>
      <c r="CW138" s="587"/>
      <c r="CX138" s="587"/>
      <c r="CY138" s="587"/>
      <c r="CZ138" s="587"/>
      <c r="DA138" s="587"/>
      <c r="DB138" s="587"/>
      <c r="DC138" s="587"/>
      <c r="DD138" s="587"/>
      <c r="DE138" s="587"/>
      <c r="DF138" s="587"/>
      <c r="DG138" s="587"/>
      <c r="DH138" s="587"/>
      <c r="DI138" s="587"/>
      <c r="DJ138" s="587"/>
      <c r="DK138" s="587"/>
      <c r="DL138" s="587"/>
      <c r="DM138" s="587"/>
      <c r="DN138" s="587"/>
      <c r="DO138" s="587"/>
      <c r="DP138" s="587"/>
      <c r="DQ138" s="587"/>
      <c r="DR138" s="587"/>
      <c r="DS138" s="587"/>
      <c r="DT138" s="587"/>
      <c r="DU138" s="587"/>
      <c r="DV138" s="587"/>
      <c r="DW138" s="587"/>
      <c r="DX138" s="587"/>
      <c r="DY138" s="587"/>
      <c r="DZ138" s="587"/>
      <c r="EA138" s="587"/>
      <c r="EB138" s="587"/>
      <c r="EC138" s="587"/>
      <c r="ED138" s="587"/>
      <c r="EE138" s="587"/>
      <c r="EF138" s="587"/>
      <c r="EG138" s="587"/>
      <c r="EH138" s="587"/>
      <c r="EI138" s="587"/>
      <c r="EJ138" s="587"/>
      <c r="EK138" s="587"/>
      <c r="EL138" s="587"/>
      <c r="EM138" s="587"/>
      <c r="EN138" s="587"/>
      <c r="EO138" s="587"/>
      <c r="EP138" s="587"/>
      <c r="EQ138" s="587"/>
      <c r="ER138" s="587"/>
      <c r="ES138" s="587"/>
      <c r="ET138" s="587"/>
      <c r="EU138" s="587"/>
      <c r="EV138" s="587"/>
      <c r="EW138" s="587"/>
      <c r="EX138" s="587"/>
      <c r="EY138" s="587"/>
      <c r="EZ138" s="587"/>
      <c r="FA138" s="587"/>
      <c r="FB138" s="587"/>
      <c r="FC138" s="587"/>
      <c r="FD138" s="587"/>
      <c r="FE138" s="587"/>
      <c r="FF138" s="587"/>
      <c r="FG138" s="587"/>
      <c r="FH138" s="587"/>
      <c r="FI138" s="587"/>
      <c r="FJ138" s="587"/>
      <c r="FK138" s="587"/>
      <c r="FL138" s="587"/>
      <c r="FM138" s="587"/>
      <c r="FN138" s="587"/>
      <c r="FO138" s="587"/>
      <c r="FP138" s="587"/>
      <c r="FQ138" s="587"/>
      <c r="FR138" s="587"/>
      <c r="FS138" s="587"/>
      <c r="FT138" s="587"/>
      <c r="FU138" s="587"/>
      <c r="FV138" s="587"/>
      <c r="FW138" s="587"/>
      <c r="FX138" s="587"/>
      <c r="FY138" s="587"/>
      <c r="FZ138" s="587"/>
      <c r="GA138" s="587"/>
      <c r="GB138" s="587"/>
      <c r="GC138" s="587"/>
      <c r="GD138" s="587"/>
      <c r="GE138" s="587"/>
      <c r="GF138" s="587"/>
      <c r="GG138" s="587"/>
      <c r="GH138" s="587"/>
      <c r="GI138" s="587"/>
      <c r="GJ138" s="587"/>
      <c r="GK138" s="587"/>
      <c r="GL138" s="587"/>
      <c r="GM138" s="587"/>
      <c r="GN138" s="587"/>
      <c r="GO138" s="587"/>
      <c r="GP138" s="587"/>
      <c r="GQ138" s="587"/>
      <c r="GR138" s="587"/>
      <c r="GS138" s="587"/>
      <c r="GT138" s="587"/>
      <c r="GU138" s="587"/>
      <c r="GV138" s="587"/>
      <c r="GW138" s="587"/>
      <c r="GX138" s="587"/>
      <c r="GY138" s="587"/>
      <c r="GZ138" s="587"/>
      <c r="HA138" s="587"/>
      <c r="HB138" s="587"/>
      <c r="HC138" s="587"/>
      <c r="HD138" s="587"/>
      <c r="HE138" s="587"/>
      <c r="HF138" s="587"/>
      <c r="HG138" s="587"/>
      <c r="HH138" s="587"/>
      <c r="HI138" s="587"/>
      <c r="HJ138" s="587"/>
      <c r="HK138" s="587"/>
      <c r="HL138" s="587"/>
      <c r="HM138" s="587"/>
      <c r="HN138" s="587"/>
      <c r="HO138" s="587"/>
      <c r="HP138" s="587"/>
      <c r="HQ138" s="587"/>
      <c r="HR138" s="587"/>
      <c r="HS138" s="587"/>
      <c r="HT138" s="587"/>
      <c r="HU138" s="587"/>
      <c r="HV138" s="587"/>
      <c r="HW138" s="587"/>
      <c r="HX138" s="587"/>
      <c r="HY138" s="587"/>
      <c r="HZ138" s="587"/>
      <c r="IA138" s="587"/>
      <c r="IB138" s="587"/>
      <c r="IC138" s="587"/>
      <c r="ID138" s="587"/>
      <c r="IE138" s="587"/>
      <c r="IF138" s="587"/>
      <c r="IG138" s="587"/>
      <c r="IH138" s="587"/>
      <c r="II138" s="587"/>
      <c r="IJ138" s="587"/>
      <c r="IK138" s="587"/>
      <c r="IL138" s="587"/>
      <c r="IM138" s="587"/>
      <c r="IN138" s="587"/>
      <c r="IO138" s="587"/>
      <c r="IP138" s="587"/>
      <c r="IQ138" s="587"/>
      <c r="IR138" s="587"/>
      <c r="IS138" s="587"/>
      <c r="IT138" s="587"/>
      <c r="IU138" s="587"/>
      <c r="IV138" s="587"/>
      <c r="IW138" s="587"/>
      <c r="IX138" s="587"/>
      <c r="IY138" s="587"/>
      <c r="IZ138" s="587"/>
      <c r="JA138" s="587"/>
      <c r="JB138" s="587"/>
      <c r="JC138" s="587"/>
      <c r="JD138" s="587"/>
      <c r="JE138" s="587"/>
      <c r="JF138" s="587"/>
      <c r="JG138" s="587"/>
      <c r="JH138" s="587"/>
      <c r="JI138" s="587"/>
      <c r="JJ138" s="587"/>
      <c r="JK138" s="587"/>
      <c r="JL138" s="587"/>
      <c r="JM138" s="587"/>
      <c r="JN138" s="587"/>
      <c r="JO138" s="587"/>
      <c r="JP138" s="587"/>
      <c r="JQ138" s="587"/>
      <c r="JR138" s="587"/>
      <c r="JS138" s="587"/>
      <c r="JT138" s="587"/>
      <c r="JU138" s="587"/>
      <c r="JV138" s="587"/>
    </row>
    <row r="139" spans="1:282" s="1" customFormat="1" ht="50.1" customHeight="1" x14ac:dyDescent="0.2">
      <c r="A139" s="693"/>
      <c r="B139" s="30" t="s">
        <v>1174</v>
      </c>
      <c r="C139" s="30"/>
      <c r="D139" s="30"/>
      <c r="E139" s="69" t="s">
        <v>1090</v>
      </c>
      <c r="F139" s="104" t="s">
        <v>224</v>
      </c>
      <c r="G139" s="29" t="s">
        <v>144</v>
      </c>
      <c r="H139" s="30" t="s">
        <v>145</v>
      </c>
      <c r="I139" s="30"/>
      <c r="J139" s="30" t="s">
        <v>834</v>
      </c>
      <c r="K139" s="30" t="s">
        <v>1394</v>
      </c>
      <c r="L139" s="29" t="s">
        <v>685</v>
      </c>
      <c r="M139" s="29" t="s">
        <v>2444</v>
      </c>
      <c r="N139" s="74">
        <v>40681</v>
      </c>
      <c r="O139" s="69" t="s">
        <v>227</v>
      </c>
      <c r="P139" s="69"/>
      <c r="Q139" s="69"/>
      <c r="R139" s="69"/>
      <c r="S139" s="69"/>
      <c r="T139" s="174"/>
      <c r="U139" s="174"/>
      <c r="V139" s="174"/>
      <c r="W139" s="174"/>
      <c r="X139" s="174"/>
      <c r="Y139" s="174"/>
      <c r="Z139" s="174"/>
      <c r="AA139" s="174"/>
      <c r="AB139" s="174"/>
      <c r="AC139" s="174"/>
      <c r="AD139" s="174"/>
      <c r="AE139" s="174"/>
      <c r="AF139" s="174"/>
      <c r="AG139" s="174"/>
      <c r="AH139" s="174"/>
      <c r="AI139" s="174"/>
      <c r="AJ139" s="724">
        <v>41274</v>
      </c>
      <c r="AK139" s="648"/>
      <c r="AL139" s="174"/>
      <c r="AM139" s="587"/>
      <c r="AN139" s="587"/>
      <c r="AO139" s="587"/>
      <c r="AP139" s="587"/>
      <c r="AQ139" s="587"/>
      <c r="AR139" s="587"/>
      <c r="AS139" s="587"/>
      <c r="AT139" s="587"/>
      <c r="AU139" s="587"/>
      <c r="AV139" s="587"/>
      <c r="AW139" s="587"/>
      <c r="AX139" s="587"/>
      <c r="AY139" s="587"/>
      <c r="AZ139" s="587"/>
      <c r="BA139" s="587"/>
      <c r="BB139" s="587"/>
      <c r="BC139" s="587"/>
      <c r="BD139" s="587"/>
      <c r="BE139" s="587"/>
      <c r="BF139" s="587"/>
      <c r="BG139" s="587"/>
      <c r="BH139" s="587"/>
      <c r="BI139" s="587"/>
      <c r="BJ139" s="587"/>
      <c r="BK139" s="587"/>
      <c r="BL139" s="587"/>
      <c r="BM139" s="587"/>
      <c r="BN139" s="587"/>
      <c r="BO139" s="587"/>
      <c r="BP139" s="587"/>
      <c r="BQ139" s="587"/>
      <c r="BR139" s="587"/>
      <c r="BS139" s="587"/>
      <c r="BT139" s="587"/>
      <c r="BU139" s="587"/>
      <c r="BV139" s="587"/>
      <c r="BW139" s="587"/>
      <c r="BX139" s="587"/>
      <c r="BY139" s="587"/>
      <c r="BZ139" s="587"/>
      <c r="CA139" s="587"/>
      <c r="CB139" s="587"/>
      <c r="CC139" s="587"/>
      <c r="CD139" s="587"/>
      <c r="CE139" s="587"/>
      <c r="CF139" s="587"/>
      <c r="CG139" s="587"/>
      <c r="CH139" s="587"/>
      <c r="CI139" s="587"/>
      <c r="CJ139" s="587"/>
      <c r="CK139" s="587"/>
      <c r="CL139" s="587"/>
      <c r="CM139" s="587"/>
      <c r="CN139" s="587"/>
      <c r="CO139" s="587"/>
      <c r="CP139" s="587"/>
      <c r="CQ139" s="587"/>
      <c r="CR139" s="587"/>
      <c r="CS139" s="587"/>
      <c r="CT139" s="587"/>
      <c r="CU139" s="587"/>
      <c r="CV139" s="587"/>
      <c r="CW139" s="587"/>
      <c r="CX139" s="587"/>
      <c r="CY139" s="587"/>
      <c r="CZ139" s="587"/>
      <c r="DA139" s="587"/>
      <c r="DB139" s="587"/>
      <c r="DC139" s="587"/>
      <c r="DD139" s="587"/>
      <c r="DE139" s="587"/>
      <c r="DF139" s="587"/>
      <c r="DG139" s="587"/>
      <c r="DH139" s="587"/>
      <c r="DI139" s="587"/>
      <c r="DJ139" s="587"/>
      <c r="DK139" s="587"/>
      <c r="DL139" s="587"/>
      <c r="DM139" s="587"/>
      <c r="DN139" s="587"/>
      <c r="DO139" s="587"/>
      <c r="DP139" s="587"/>
      <c r="DQ139" s="587"/>
      <c r="DR139" s="587"/>
      <c r="DS139" s="587"/>
      <c r="DT139" s="587"/>
      <c r="DU139" s="587"/>
      <c r="DV139" s="587"/>
      <c r="DW139" s="587"/>
      <c r="DX139" s="587"/>
      <c r="DY139" s="587"/>
      <c r="DZ139" s="587"/>
      <c r="EA139" s="587"/>
      <c r="EB139" s="587"/>
      <c r="EC139" s="587"/>
      <c r="ED139" s="587"/>
      <c r="EE139" s="587"/>
      <c r="EF139" s="587"/>
      <c r="EG139" s="587"/>
      <c r="EH139" s="587"/>
      <c r="EI139" s="587"/>
      <c r="EJ139" s="587"/>
      <c r="EK139" s="587"/>
      <c r="EL139" s="587"/>
      <c r="EM139" s="587"/>
      <c r="EN139" s="587"/>
      <c r="EO139" s="587"/>
      <c r="EP139" s="587"/>
      <c r="EQ139" s="587"/>
      <c r="ER139" s="587"/>
      <c r="ES139" s="587"/>
      <c r="ET139" s="587"/>
      <c r="EU139" s="587"/>
      <c r="EV139" s="587"/>
      <c r="EW139" s="587"/>
      <c r="EX139" s="587"/>
      <c r="EY139" s="587"/>
      <c r="EZ139" s="587"/>
      <c r="FA139" s="587"/>
      <c r="FB139" s="587"/>
      <c r="FC139" s="587"/>
      <c r="FD139" s="587"/>
      <c r="FE139" s="587"/>
      <c r="FF139" s="587"/>
      <c r="FG139" s="587"/>
      <c r="FH139" s="587"/>
      <c r="FI139" s="587"/>
      <c r="FJ139" s="587"/>
      <c r="FK139" s="587"/>
      <c r="FL139" s="587"/>
      <c r="FM139" s="587"/>
      <c r="FN139" s="587"/>
      <c r="FO139" s="587"/>
      <c r="FP139" s="587"/>
      <c r="FQ139" s="587"/>
      <c r="FR139" s="587"/>
      <c r="FS139" s="587"/>
      <c r="FT139" s="587"/>
      <c r="FU139" s="587"/>
      <c r="FV139" s="587"/>
      <c r="FW139" s="587"/>
      <c r="FX139" s="587"/>
      <c r="FY139" s="587"/>
      <c r="FZ139" s="587"/>
      <c r="GA139" s="587"/>
      <c r="GB139" s="587"/>
      <c r="GC139" s="587"/>
      <c r="GD139" s="587"/>
      <c r="GE139" s="587"/>
      <c r="GF139" s="587"/>
      <c r="GG139" s="587"/>
      <c r="GH139" s="587"/>
      <c r="GI139" s="587"/>
      <c r="GJ139" s="587"/>
      <c r="GK139" s="587"/>
      <c r="GL139" s="587"/>
      <c r="GM139" s="587"/>
      <c r="GN139" s="587"/>
      <c r="GO139" s="587"/>
      <c r="GP139" s="587"/>
      <c r="GQ139" s="587"/>
      <c r="GR139" s="587"/>
      <c r="GS139" s="587"/>
      <c r="GT139" s="587"/>
      <c r="GU139" s="587"/>
      <c r="GV139" s="587"/>
      <c r="GW139" s="587"/>
      <c r="GX139" s="587"/>
      <c r="GY139" s="587"/>
      <c r="GZ139" s="587"/>
      <c r="HA139" s="587"/>
      <c r="HB139" s="587"/>
      <c r="HC139" s="587"/>
      <c r="HD139" s="587"/>
      <c r="HE139" s="587"/>
      <c r="HF139" s="587"/>
      <c r="HG139" s="587"/>
      <c r="HH139" s="587"/>
      <c r="HI139" s="587"/>
      <c r="HJ139" s="587"/>
      <c r="HK139" s="587"/>
      <c r="HL139" s="587"/>
      <c r="HM139" s="587"/>
      <c r="HN139" s="587"/>
      <c r="HO139" s="587"/>
      <c r="HP139" s="587"/>
      <c r="HQ139" s="587"/>
      <c r="HR139" s="587"/>
      <c r="HS139" s="587"/>
      <c r="HT139" s="587"/>
      <c r="HU139" s="587"/>
      <c r="HV139" s="587"/>
      <c r="HW139" s="587"/>
      <c r="HX139" s="587"/>
      <c r="HY139" s="587"/>
      <c r="HZ139" s="587"/>
      <c r="IA139" s="587"/>
      <c r="IB139" s="587"/>
      <c r="IC139" s="587"/>
      <c r="ID139" s="587"/>
      <c r="IE139" s="587"/>
      <c r="IF139" s="587"/>
      <c r="IG139" s="587"/>
      <c r="IH139" s="587"/>
      <c r="II139" s="587"/>
      <c r="IJ139" s="587"/>
      <c r="IK139" s="587"/>
      <c r="IL139" s="587"/>
      <c r="IM139" s="587"/>
      <c r="IN139" s="587"/>
      <c r="IO139" s="587"/>
      <c r="IP139" s="587"/>
      <c r="IQ139" s="587"/>
      <c r="IR139" s="587"/>
      <c r="IS139" s="587"/>
      <c r="IT139" s="587"/>
      <c r="IU139" s="587"/>
      <c r="IV139" s="587"/>
      <c r="IW139" s="587"/>
      <c r="IX139" s="587"/>
      <c r="IY139" s="587"/>
      <c r="IZ139" s="587"/>
      <c r="JA139" s="587"/>
      <c r="JB139" s="587"/>
      <c r="JC139" s="587"/>
      <c r="JD139" s="587"/>
      <c r="JE139" s="587"/>
      <c r="JF139" s="587"/>
      <c r="JG139" s="587"/>
      <c r="JH139" s="587"/>
      <c r="JI139" s="587"/>
      <c r="JJ139" s="587"/>
      <c r="JK139" s="587"/>
      <c r="JL139" s="587"/>
      <c r="JM139" s="587"/>
      <c r="JN139" s="587"/>
      <c r="JO139" s="587"/>
      <c r="JP139" s="587"/>
      <c r="JQ139" s="587"/>
      <c r="JR139" s="587"/>
      <c r="JS139" s="587"/>
      <c r="JT139" s="587"/>
      <c r="JU139" s="587"/>
      <c r="JV139" s="587"/>
    </row>
    <row r="140" spans="1:282" s="1" customFormat="1" ht="50.1" customHeight="1" x14ac:dyDescent="0.2">
      <c r="A140" s="693"/>
      <c r="B140" s="69" t="s">
        <v>1137</v>
      </c>
      <c r="C140" s="69"/>
      <c r="D140" s="69"/>
      <c r="E140" s="69" t="s">
        <v>370</v>
      </c>
      <c r="F140" s="104" t="s">
        <v>57</v>
      </c>
      <c r="G140" s="29" t="s">
        <v>65</v>
      </c>
      <c r="H140" s="30" t="s">
        <v>88</v>
      </c>
      <c r="I140" s="30"/>
      <c r="J140" s="30" t="s">
        <v>1062</v>
      </c>
      <c r="K140" s="29" t="s">
        <v>1393</v>
      </c>
      <c r="L140" s="29" t="s">
        <v>1369</v>
      </c>
      <c r="M140" s="29" t="s">
        <v>2445</v>
      </c>
      <c r="N140" s="74">
        <v>40974</v>
      </c>
      <c r="O140" s="69" t="s">
        <v>1092</v>
      </c>
      <c r="P140" s="69"/>
      <c r="Q140" s="69"/>
      <c r="R140" s="69"/>
      <c r="S140" s="69"/>
      <c r="T140" s="174"/>
      <c r="U140" s="174"/>
      <c r="V140" s="174"/>
      <c r="W140" s="174"/>
      <c r="X140" s="174"/>
      <c r="Y140" s="174"/>
      <c r="Z140" s="174"/>
      <c r="AA140" s="174"/>
      <c r="AB140" s="174"/>
      <c r="AC140" s="174"/>
      <c r="AD140" s="174"/>
      <c r="AE140" s="174"/>
      <c r="AF140" s="174"/>
      <c r="AG140" s="174"/>
      <c r="AH140" s="174"/>
      <c r="AI140" s="174"/>
      <c r="AJ140" s="724">
        <v>41288</v>
      </c>
      <c r="AK140" s="648"/>
      <c r="AL140" s="174"/>
      <c r="AM140" s="587"/>
      <c r="AN140" s="587"/>
      <c r="AO140" s="587"/>
      <c r="AP140" s="587"/>
      <c r="AQ140" s="587"/>
      <c r="AR140" s="587"/>
      <c r="AS140" s="587"/>
      <c r="AT140" s="587"/>
      <c r="AU140" s="587"/>
      <c r="AV140" s="587"/>
      <c r="AW140" s="587"/>
      <c r="AX140" s="587"/>
      <c r="AY140" s="587"/>
      <c r="AZ140" s="587"/>
      <c r="BA140" s="587"/>
      <c r="BB140" s="587"/>
      <c r="BC140" s="587"/>
      <c r="BD140" s="587"/>
      <c r="BE140" s="587"/>
      <c r="BF140" s="587"/>
      <c r="BG140" s="587"/>
      <c r="BH140" s="587"/>
      <c r="BI140" s="587"/>
      <c r="BJ140" s="587"/>
      <c r="BK140" s="587"/>
      <c r="BL140" s="587"/>
      <c r="BM140" s="587"/>
      <c r="BN140" s="587"/>
      <c r="BO140" s="587"/>
      <c r="BP140" s="587"/>
      <c r="BQ140" s="587"/>
      <c r="BR140" s="587"/>
      <c r="BS140" s="587"/>
      <c r="BT140" s="587"/>
      <c r="BU140" s="587"/>
      <c r="BV140" s="587"/>
      <c r="BW140" s="587"/>
      <c r="BX140" s="587"/>
      <c r="BY140" s="587"/>
      <c r="BZ140" s="587"/>
      <c r="CA140" s="587"/>
      <c r="CB140" s="587"/>
      <c r="CC140" s="587"/>
      <c r="CD140" s="587"/>
      <c r="CE140" s="587"/>
      <c r="CF140" s="587"/>
      <c r="CG140" s="587"/>
      <c r="CH140" s="587"/>
      <c r="CI140" s="587"/>
      <c r="CJ140" s="587"/>
      <c r="CK140" s="587"/>
      <c r="CL140" s="587"/>
      <c r="CM140" s="587"/>
      <c r="CN140" s="587"/>
      <c r="CO140" s="587"/>
      <c r="CP140" s="587"/>
      <c r="CQ140" s="587"/>
      <c r="CR140" s="587"/>
      <c r="CS140" s="587"/>
      <c r="CT140" s="587"/>
      <c r="CU140" s="587"/>
      <c r="CV140" s="587"/>
      <c r="CW140" s="587"/>
      <c r="CX140" s="587"/>
      <c r="CY140" s="587"/>
      <c r="CZ140" s="587"/>
      <c r="DA140" s="587"/>
      <c r="DB140" s="587"/>
      <c r="DC140" s="587"/>
      <c r="DD140" s="587"/>
      <c r="DE140" s="587"/>
      <c r="DF140" s="587"/>
      <c r="DG140" s="587"/>
      <c r="DH140" s="587"/>
      <c r="DI140" s="587"/>
      <c r="DJ140" s="587"/>
      <c r="DK140" s="587"/>
      <c r="DL140" s="587"/>
      <c r="DM140" s="587"/>
      <c r="DN140" s="587"/>
      <c r="DO140" s="587"/>
      <c r="DP140" s="587"/>
      <c r="DQ140" s="587"/>
      <c r="DR140" s="587"/>
      <c r="DS140" s="587"/>
      <c r="DT140" s="587"/>
      <c r="DU140" s="587"/>
      <c r="DV140" s="587"/>
      <c r="DW140" s="587"/>
      <c r="DX140" s="587"/>
      <c r="DY140" s="587"/>
      <c r="DZ140" s="587"/>
      <c r="EA140" s="587"/>
      <c r="EB140" s="587"/>
      <c r="EC140" s="587"/>
      <c r="ED140" s="587"/>
      <c r="EE140" s="587"/>
      <c r="EF140" s="587"/>
      <c r="EG140" s="587"/>
      <c r="EH140" s="587"/>
      <c r="EI140" s="587"/>
      <c r="EJ140" s="587"/>
      <c r="EK140" s="587"/>
      <c r="EL140" s="587"/>
      <c r="EM140" s="587"/>
      <c r="EN140" s="587"/>
      <c r="EO140" s="587"/>
      <c r="EP140" s="587"/>
      <c r="EQ140" s="587"/>
      <c r="ER140" s="587"/>
      <c r="ES140" s="587"/>
      <c r="ET140" s="587"/>
      <c r="EU140" s="587"/>
      <c r="EV140" s="587"/>
      <c r="EW140" s="587"/>
      <c r="EX140" s="587"/>
      <c r="EY140" s="587"/>
      <c r="EZ140" s="587"/>
      <c r="FA140" s="587"/>
      <c r="FB140" s="587"/>
      <c r="FC140" s="587"/>
      <c r="FD140" s="587"/>
      <c r="FE140" s="587"/>
      <c r="FF140" s="587"/>
      <c r="FG140" s="587"/>
      <c r="FH140" s="587"/>
      <c r="FI140" s="587"/>
      <c r="FJ140" s="587"/>
      <c r="FK140" s="587"/>
      <c r="FL140" s="587"/>
      <c r="FM140" s="587"/>
      <c r="FN140" s="587"/>
      <c r="FO140" s="587"/>
      <c r="FP140" s="587"/>
      <c r="FQ140" s="587"/>
      <c r="FR140" s="587"/>
      <c r="FS140" s="587"/>
      <c r="FT140" s="587"/>
      <c r="FU140" s="587"/>
      <c r="FV140" s="587"/>
      <c r="FW140" s="587"/>
      <c r="FX140" s="587"/>
      <c r="FY140" s="587"/>
      <c r="FZ140" s="587"/>
      <c r="GA140" s="587"/>
      <c r="GB140" s="587"/>
      <c r="GC140" s="587"/>
      <c r="GD140" s="587"/>
      <c r="GE140" s="587"/>
      <c r="GF140" s="587"/>
      <c r="GG140" s="587"/>
      <c r="GH140" s="587"/>
      <c r="GI140" s="587"/>
      <c r="GJ140" s="587"/>
      <c r="GK140" s="587"/>
      <c r="GL140" s="587"/>
      <c r="GM140" s="587"/>
      <c r="GN140" s="587"/>
      <c r="GO140" s="587"/>
      <c r="GP140" s="587"/>
      <c r="GQ140" s="587"/>
      <c r="GR140" s="587"/>
      <c r="GS140" s="587"/>
      <c r="GT140" s="587"/>
      <c r="GU140" s="587"/>
      <c r="GV140" s="587"/>
      <c r="GW140" s="587"/>
      <c r="GX140" s="587"/>
      <c r="GY140" s="587"/>
      <c r="GZ140" s="587"/>
      <c r="HA140" s="587"/>
      <c r="HB140" s="587"/>
      <c r="HC140" s="587"/>
      <c r="HD140" s="587"/>
      <c r="HE140" s="587"/>
      <c r="HF140" s="587"/>
      <c r="HG140" s="587"/>
      <c r="HH140" s="587"/>
      <c r="HI140" s="587"/>
      <c r="HJ140" s="587"/>
      <c r="HK140" s="587"/>
      <c r="HL140" s="587"/>
      <c r="HM140" s="587"/>
      <c r="HN140" s="587"/>
      <c r="HO140" s="587"/>
      <c r="HP140" s="587"/>
      <c r="HQ140" s="587"/>
      <c r="HR140" s="587"/>
      <c r="HS140" s="587"/>
      <c r="HT140" s="587"/>
      <c r="HU140" s="587"/>
      <c r="HV140" s="587"/>
      <c r="HW140" s="587"/>
      <c r="HX140" s="587"/>
      <c r="HY140" s="587"/>
      <c r="HZ140" s="587"/>
      <c r="IA140" s="587"/>
      <c r="IB140" s="587"/>
      <c r="IC140" s="587"/>
      <c r="ID140" s="587"/>
      <c r="IE140" s="587"/>
      <c r="IF140" s="587"/>
      <c r="IG140" s="587"/>
      <c r="IH140" s="587"/>
      <c r="II140" s="587"/>
      <c r="IJ140" s="587"/>
      <c r="IK140" s="587"/>
      <c r="IL140" s="587"/>
      <c r="IM140" s="587"/>
      <c r="IN140" s="587"/>
      <c r="IO140" s="587"/>
      <c r="IP140" s="587"/>
      <c r="IQ140" s="587"/>
      <c r="IR140" s="587"/>
      <c r="IS140" s="587"/>
      <c r="IT140" s="587"/>
      <c r="IU140" s="587"/>
      <c r="IV140" s="587"/>
      <c r="IW140" s="587"/>
      <c r="IX140" s="587"/>
      <c r="IY140" s="587"/>
      <c r="IZ140" s="587"/>
      <c r="JA140" s="587"/>
      <c r="JB140" s="587"/>
      <c r="JC140" s="587"/>
      <c r="JD140" s="587"/>
      <c r="JE140" s="587"/>
      <c r="JF140" s="587"/>
      <c r="JG140" s="587"/>
      <c r="JH140" s="587"/>
      <c r="JI140" s="587"/>
      <c r="JJ140" s="587"/>
      <c r="JK140" s="587"/>
      <c r="JL140" s="587"/>
      <c r="JM140" s="587"/>
      <c r="JN140" s="587"/>
      <c r="JO140" s="587"/>
      <c r="JP140" s="587"/>
      <c r="JQ140" s="587"/>
      <c r="JR140" s="587"/>
      <c r="JS140" s="587"/>
      <c r="JT140" s="587"/>
      <c r="JU140" s="587"/>
      <c r="JV140" s="587"/>
    </row>
    <row r="141" spans="1:282" s="1" customFormat="1" ht="50.1" customHeight="1" x14ac:dyDescent="0.2">
      <c r="A141" s="693"/>
      <c r="B141" s="69" t="s">
        <v>1137</v>
      </c>
      <c r="C141" s="69"/>
      <c r="D141" s="69"/>
      <c r="E141" s="29" t="s">
        <v>215</v>
      </c>
      <c r="F141" s="104" t="s">
        <v>212</v>
      </c>
      <c r="G141" s="29" t="s">
        <v>208</v>
      </c>
      <c r="H141" s="30" t="s">
        <v>209</v>
      </c>
      <c r="I141" s="30"/>
      <c r="J141" s="30" t="s">
        <v>536</v>
      </c>
      <c r="K141" s="29" t="s">
        <v>1393</v>
      </c>
      <c r="L141" s="29" t="s">
        <v>1286</v>
      </c>
      <c r="M141" s="29" t="s">
        <v>1528</v>
      </c>
      <c r="N141" s="74">
        <v>40634</v>
      </c>
      <c r="O141" s="69" t="s">
        <v>239</v>
      </c>
      <c r="P141" s="69"/>
      <c r="Q141" s="69"/>
      <c r="R141" s="69"/>
      <c r="S141" s="69"/>
      <c r="T141" s="174"/>
      <c r="U141" s="174"/>
      <c r="V141" s="174"/>
      <c r="W141" s="174"/>
      <c r="X141" s="174"/>
      <c r="Y141" s="174"/>
      <c r="Z141" s="174"/>
      <c r="AA141" s="174"/>
      <c r="AB141" s="174"/>
      <c r="AC141" s="174"/>
      <c r="AD141" s="174"/>
      <c r="AE141" s="174"/>
      <c r="AF141" s="174"/>
      <c r="AG141" s="174"/>
      <c r="AH141" s="174"/>
      <c r="AI141" s="174"/>
      <c r="AJ141" s="724">
        <v>41309</v>
      </c>
      <c r="AK141" s="732"/>
      <c r="AL141" s="593"/>
      <c r="AM141" s="587"/>
      <c r="AN141" s="587"/>
      <c r="AO141" s="587"/>
      <c r="AP141" s="587"/>
      <c r="AQ141" s="587"/>
      <c r="AR141" s="587"/>
      <c r="AS141" s="587"/>
      <c r="AT141" s="587"/>
      <c r="AU141" s="587"/>
      <c r="AV141" s="587"/>
      <c r="AW141" s="587"/>
      <c r="AX141" s="587"/>
      <c r="AY141" s="587"/>
      <c r="AZ141" s="587"/>
      <c r="BA141" s="587"/>
      <c r="BB141" s="587"/>
      <c r="BC141" s="587"/>
      <c r="BD141" s="587"/>
      <c r="BE141" s="587"/>
      <c r="BF141" s="587"/>
      <c r="BG141" s="587"/>
      <c r="BH141" s="587"/>
      <c r="BI141" s="587"/>
      <c r="BJ141" s="587"/>
      <c r="BK141" s="587"/>
      <c r="BL141" s="587"/>
      <c r="BM141" s="587"/>
      <c r="BN141" s="587"/>
      <c r="BO141" s="587"/>
      <c r="BP141" s="587"/>
      <c r="BQ141" s="587"/>
      <c r="BR141" s="587"/>
      <c r="BS141" s="587"/>
      <c r="BT141" s="587"/>
      <c r="BU141" s="587"/>
      <c r="BV141" s="587"/>
      <c r="BW141" s="587"/>
      <c r="BX141" s="587"/>
      <c r="BY141" s="587"/>
      <c r="BZ141" s="587"/>
      <c r="CA141" s="587"/>
      <c r="CB141" s="587"/>
      <c r="CC141" s="587"/>
      <c r="CD141" s="587"/>
      <c r="CE141" s="587"/>
      <c r="CF141" s="587"/>
      <c r="CG141" s="587"/>
      <c r="CH141" s="587"/>
      <c r="CI141" s="587"/>
      <c r="CJ141" s="587"/>
      <c r="CK141" s="587"/>
      <c r="CL141" s="587"/>
      <c r="CM141" s="587"/>
      <c r="CN141" s="587"/>
      <c r="CO141" s="587"/>
      <c r="CP141" s="587"/>
      <c r="CQ141" s="587"/>
      <c r="CR141" s="587"/>
      <c r="CS141" s="587"/>
      <c r="CT141" s="587"/>
      <c r="CU141" s="587"/>
      <c r="CV141" s="587"/>
      <c r="CW141" s="587"/>
      <c r="CX141" s="587"/>
      <c r="CY141" s="587"/>
      <c r="CZ141" s="587"/>
      <c r="DA141" s="587"/>
      <c r="DB141" s="587"/>
      <c r="DC141" s="587"/>
      <c r="DD141" s="587"/>
      <c r="DE141" s="587"/>
      <c r="DF141" s="587"/>
      <c r="DG141" s="587"/>
      <c r="DH141" s="587"/>
      <c r="DI141" s="587"/>
      <c r="DJ141" s="587"/>
      <c r="DK141" s="587"/>
      <c r="DL141" s="587"/>
      <c r="DM141" s="587"/>
      <c r="DN141" s="587"/>
      <c r="DO141" s="587"/>
      <c r="DP141" s="587"/>
      <c r="DQ141" s="587"/>
      <c r="DR141" s="587"/>
      <c r="DS141" s="587"/>
      <c r="DT141" s="587"/>
      <c r="DU141" s="587"/>
      <c r="DV141" s="587"/>
      <c r="DW141" s="587"/>
      <c r="DX141" s="587"/>
      <c r="DY141" s="587"/>
      <c r="DZ141" s="587"/>
      <c r="EA141" s="587"/>
      <c r="EB141" s="587"/>
      <c r="EC141" s="587"/>
      <c r="ED141" s="587"/>
      <c r="EE141" s="587"/>
      <c r="EF141" s="587"/>
      <c r="EG141" s="587"/>
      <c r="EH141" s="587"/>
      <c r="EI141" s="587"/>
      <c r="EJ141" s="587"/>
      <c r="EK141" s="587"/>
      <c r="EL141" s="587"/>
      <c r="EM141" s="587"/>
      <c r="EN141" s="587"/>
      <c r="EO141" s="587"/>
      <c r="EP141" s="587"/>
      <c r="EQ141" s="587"/>
      <c r="ER141" s="587"/>
      <c r="ES141" s="587"/>
      <c r="ET141" s="587"/>
      <c r="EU141" s="587"/>
      <c r="EV141" s="587"/>
      <c r="EW141" s="587"/>
      <c r="EX141" s="587"/>
      <c r="EY141" s="587"/>
      <c r="EZ141" s="587"/>
      <c r="FA141" s="587"/>
      <c r="FB141" s="587"/>
      <c r="FC141" s="587"/>
      <c r="FD141" s="587"/>
      <c r="FE141" s="587"/>
      <c r="FF141" s="587"/>
      <c r="FG141" s="587"/>
      <c r="FH141" s="587"/>
      <c r="FI141" s="587"/>
      <c r="FJ141" s="587"/>
      <c r="FK141" s="587"/>
      <c r="FL141" s="587"/>
      <c r="FM141" s="587"/>
      <c r="FN141" s="587"/>
      <c r="FO141" s="587"/>
      <c r="FP141" s="587"/>
      <c r="FQ141" s="587"/>
      <c r="FR141" s="587"/>
      <c r="FS141" s="587"/>
      <c r="FT141" s="587"/>
      <c r="FU141" s="587"/>
      <c r="FV141" s="587"/>
      <c r="FW141" s="587"/>
      <c r="FX141" s="587"/>
      <c r="FY141" s="587"/>
      <c r="FZ141" s="587"/>
      <c r="GA141" s="587"/>
      <c r="GB141" s="587"/>
      <c r="GC141" s="587"/>
      <c r="GD141" s="587"/>
      <c r="GE141" s="587"/>
      <c r="GF141" s="587"/>
      <c r="GG141" s="587"/>
      <c r="GH141" s="587"/>
      <c r="GI141" s="587"/>
      <c r="GJ141" s="587"/>
      <c r="GK141" s="587"/>
      <c r="GL141" s="587"/>
      <c r="GM141" s="587"/>
      <c r="GN141" s="587"/>
      <c r="GO141" s="587"/>
      <c r="GP141" s="587"/>
      <c r="GQ141" s="587"/>
      <c r="GR141" s="587"/>
      <c r="GS141" s="587"/>
      <c r="GT141" s="587"/>
      <c r="GU141" s="587"/>
      <c r="GV141" s="587"/>
      <c r="GW141" s="587"/>
      <c r="GX141" s="587"/>
      <c r="GY141" s="587"/>
      <c r="GZ141" s="587"/>
      <c r="HA141" s="587"/>
      <c r="HB141" s="587"/>
      <c r="HC141" s="587"/>
      <c r="HD141" s="587"/>
      <c r="HE141" s="587"/>
      <c r="HF141" s="587"/>
      <c r="HG141" s="587"/>
      <c r="HH141" s="587"/>
      <c r="HI141" s="587"/>
      <c r="HJ141" s="587"/>
      <c r="HK141" s="587"/>
      <c r="HL141" s="587"/>
      <c r="HM141" s="587"/>
      <c r="HN141" s="587"/>
      <c r="HO141" s="587"/>
      <c r="HP141" s="587"/>
      <c r="HQ141" s="587"/>
      <c r="HR141" s="587"/>
      <c r="HS141" s="587"/>
      <c r="HT141" s="587"/>
      <c r="HU141" s="587"/>
      <c r="HV141" s="587"/>
      <c r="HW141" s="587"/>
      <c r="HX141" s="587"/>
      <c r="HY141" s="587"/>
      <c r="HZ141" s="587"/>
      <c r="IA141" s="587"/>
      <c r="IB141" s="587"/>
      <c r="IC141" s="587"/>
      <c r="ID141" s="587"/>
      <c r="IE141" s="587"/>
      <c r="IF141" s="587"/>
      <c r="IG141" s="587"/>
      <c r="IH141" s="587"/>
      <c r="II141" s="587"/>
      <c r="IJ141" s="587"/>
      <c r="IK141" s="587"/>
      <c r="IL141" s="587"/>
      <c r="IM141" s="587"/>
      <c r="IN141" s="587"/>
      <c r="IO141" s="587"/>
      <c r="IP141" s="587"/>
      <c r="IQ141" s="587"/>
      <c r="IR141" s="587"/>
      <c r="IS141" s="587"/>
      <c r="IT141" s="587"/>
      <c r="IU141" s="587"/>
      <c r="IV141" s="587"/>
      <c r="IW141" s="587"/>
      <c r="IX141" s="587"/>
      <c r="IY141" s="587"/>
      <c r="IZ141" s="587"/>
      <c r="JA141" s="587"/>
      <c r="JB141" s="587"/>
      <c r="JC141" s="587"/>
      <c r="JD141" s="587"/>
      <c r="JE141" s="587"/>
      <c r="JF141" s="587"/>
      <c r="JG141" s="587"/>
      <c r="JH141" s="587"/>
      <c r="JI141" s="587"/>
      <c r="JJ141" s="587"/>
      <c r="JK141" s="587"/>
      <c r="JL141" s="587"/>
      <c r="JM141" s="587"/>
      <c r="JN141" s="587"/>
      <c r="JO141" s="587"/>
      <c r="JP141" s="587"/>
      <c r="JQ141" s="587"/>
      <c r="JR141" s="587"/>
      <c r="JS141" s="587"/>
      <c r="JT141" s="587"/>
      <c r="JU141" s="587"/>
      <c r="JV141" s="587"/>
    </row>
    <row r="142" spans="1:282" s="1" customFormat="1" ht="50.1" customHeight="1" x14ac:dyDescent="0.2">
      <c r="A142" s="693"/>
      <c r="B142" s="69" t="s">
        <v>1137</v>
      </c>
      <c r="C142" s="69"/>
      <c r="D142" s="69"/>
      <c r="E142" s="69" t="s">
        <v>72</v>
      </c>
      <c r="F142" s="104" t="s">
        <v>2682</v>
      </c>
      <c r="G142" s="29" t="s">
        <v>2682</v>
      </c>
      <c r="H142" s="29" t="s">
        <v>2261</v>
      </c>
      <c r="I142" s="29"/>
      <c r="J142" s="69" t="s">
        <v>19</v>
      </c>
      <c r="K142" s="30" t="s">
        <v>1394</v>
      </c>
      <c r="L142" s="29" t="s">
        <v>18</v>
      </c>
      <c r="M142" s="29" t="s">
        <v>1528</v>
      </c>
      <c r="N142" s="74">
        <v>40092</v>
      </c>
      <c r="O142" s="69" t="s">
        <v>20</v>
      </c>
      <c r="P142" s="69"/>
      <c r="Q142" s="69"/>
      <c r="R142" s="69"/>
      <c r="S142" s="69"/>
      <c r="T142" s="174"/>
      <c r="U142" s="174"/>
      <c r="V142" s="174"/>
      <c r="W142" s="174"/>
      <c r="X142" s="174"/>
      <c r="Y142" s="174"/>
      <c r="Z142" s="174"/>
      <c r="AA142" s="174"/>
      <c r="AB142" s="174"/>
      <c r="AC142" s="174"/>
      <c r="AD142" s="174"/>
      <c r="AE142" s="174"/>
      <c r="AF142" s="174"/>
      <c r="AG142" s="174"/>
      <c r="AH142" s="174"/>
      <c r="AI142" s="174"/>
      <c r="AJ142" s="724">
        <v>41337</v>
      </c>
      <c r="AK142" s="740"/>
      <c r="AL142" s="191"/>
      <c r="AM142" s="587"/>
      <c r="AN142" s="587"/>
      <c r="AO142" s="587"/>
      <c r="AP142" s="587"/>
      <c r="AQ142" s="587"/>
      <c r="AR142" s="587"/>
      <c r="AS142" s="587"/>
      <c r="AT142" s="587"/>
      <c r="AU142" s="587"/>
      <c r="AV142" s="587"/>
      <c r="AW142" s="587"/>
      <c r="AX142" s="587"/>
      <c r="AY142" s="587"/>
      <c r="AZ142" s="587"/>
      <c r="BA142" s="587"/>
      <c r="BB142" s="587"/>
      <c r="BC142" s="587"/>
      <c r="BD142" s="587"/>
      <c r="BE142" s="587"/>
      <c r="BF142" s="587"/>
      <c r="BG142" s="587"/>
      <c r="BH142" s="587"/>
      <c r="BI142" s="587"/>
      <c r="BJ142" s="587"/>
      <c r="BK142" s="587"/>
      <c r="BL142" s="587"/>
      <c r="BM142" s="587"/>
      <c r="BN142" s="587"/>
      <c r="BO142" s="587"/>
      <c r="BP142" s="587"/>
      <c r="BQ142" s="587"/>
      <c r="BR142" s="587"/>
      <c r="BS142" s="587"/>
      <c r="BT142" s="587"/>
      <c r="BU142" s="587"/>
      <c r="BV142" s="587"/>
      <c r="BW142" s="587"/>
      <c r="BX142" s="587"/>
      <c r="BY142" s="587"/>
      <c r="BZ142" s="587"/>
      <c r="CA142" s="587"/>
      <c r="CB142" s="587"/>
      <c r="CC142" s="587"/>
      <c r="CD142" s="587"/>
      <c r="CE142" s="587"/>
      <c r="CF142" s="587"/>
      <c r="CG142" s="587"/>
      <c r="CH142" s="587"/>
      <c r="CI142" s="587"/>
      <c r="CJ142" s="587"/>
      <c r="CK142" s="587"/>
      <c r="CL142" s="587"/>
      <c r="CM142" s="587"/>
      <c r="CN142" s="587"/>
      <c r="CO142" s="587"/>
      <c r="CP142" s="587"/>
      <c r="CQ142" s="587"/>
      <c r="CR142" s="587"/>
      <c r="CS142" s="587"/>
      <c r="CT142" s="587"/>
      <c r="CU142" s="587"/>
      <c r="CV142" s="587"/>
      <c r="CW142" s="587"/>
      <c r="CX142" s="587"/>
      <c r="CY142" s="587"/>
      <c r="CZ142" s="587"/>
      <c r="DA142" s="587"/>
      <c r="DB142" s="587"/>
      <c r="DC142" s="587"/>
      <c r="DD142" s="587"/>
      <c r="DE142" s="587"/>
      <c r="DF142" s="587"/>
      <c r="DG142" s="587"/>
      <c r="DH142" s="587"/>
      <c r="DI142" s="587"/>
      <c r="DJ142" s="587"/>
      <c r="DK142" s="587"/>
      <c r="DL142" s="587"/>
      <c r="DM142" s="587"/>
      <c r="DN142" s="587"/>
      <c r="DO142" s="587"/>
      <c r="DP142" s="587"/>
      <c r="DQ142" s="587"/>
      <c r="DR142" s="587"/>
      <c r="DS142" s="587"/>
      <c r="DT142" s="587"/>
      <c r="DU142" s="587"/>
      <c r="DV142" s="587"/>
      <c r="DW142" s="587"/>
      <c r="DX142" s="587"/>
      <c r="DY142" s="587"/>
      <c r="DZ142" s="587"/>
      <c r="EA142" s="587"/>
      <c r="EB142" s="587"/>
      <c r="EC142" s="587"/>
      <c r="ED142" s="587"/>
      <c r="EE142" s="587"/>
      <c r="EF142" s="587"/>
      <c r="EG142" s="587"/>
      <c r="EH142" s="587"/>
      <c r="EI142" s="587"/>
      <c r="EJ142" s="587"/>
      <c r="EK142" s="587"/>
      <c r="EL142" s="587"/>
      <c r="EM142" s="587"/>
      <c r="EN142" s="587"/>
      <c r="EO142" s="587"/>
      <c r="EP142" s="587"/>
      <c r="EQ142" s="587"/>
      <c r="ER142" s="587"/>
      <c r="ES142" s="587"/>
      <c r="ET142" s="587"/>
      <c r="EU142" s="587"/>
      <c r="EV142" s="587"/>
      <c r="EW142" s="587"/>
      <c r="EX142" s="587"/>
      <c r="EY142" s="587"/>
      <c r="EZ142" s="587"/>
      <c r="FA142" s="587"/>
      <c r="FB142" s="587"/>
      <c r="FC142" s="587"/>
      <c r="FD142" s="587"/>
      <c r="FE142" s="587"/>
      <c r="FF142" s="587"/>
      <c r="FG142" s="587"/>
      <c r="FH142" s="587"/>
      <c r="FI142" s="587"/>
      <c r="FJ142" s="587"/>
      <c r="FK142" s="587"/>
      <c r="FL142" s="587"/>
      <c r="FM142" s="587"/>
      <c r="FN142" s="587"/>
      <c r="FO142" s="587"/>
      <c r="FP142" s="587"/>
      <c r="FQ142" s="587"/>
      <c r="FR142" s="587"/>
      <c r="FS142" s="587"/>
      <c r="FT142" s="587"/>
      <c r="FU142" s="587"/>
      <c r="FV142" s="587"/>
      <c r="FW142" s="587"/>
      <c r="FX142" s="587"/>
      <c r="FY142" s="587"/>
      <c r="FZ142" s="587"/>
      <c r="GA142" s="587"/>
      <c r="GB142" s="587"/>
      <c r="GC142" s="587"/>
      <c r="GD142" s="587"/>
      <c r="GE142" s="587"/>
      <c r="GF142" s="587"/>
      <c r="GG142" s="587"/>
      <c r="GH142" s="587"/>
      <c r="GI142" s="587"/>
      <c r="GJ142" s="587"/>
      <c r="GK142" s="587"/>
      <c r="GL142" s="587"/>
      <c r="GM142" s="587"/>
      <c r="GN142" s="587"/>
      <c r="GO142" s="587"/>
      <c r="GP142" s="587"/>
      <c r="GQ142" s="587"/>
      <c r="GR142" s="587"/>
      <c r="GS142" s="587"/>
      <c r="GT142" s="587"/>
      <c r="GU142" s="587"/>
      <c r="GV142" s="587"/>
      <c r="GW142" s="587"/>
      <c r="GX142" s="587"/>
      <c r="GY142" s="587"/>
      <c r="GZ142" s="587"/>
      <c r="HA142" s="587"/>
      <c r="HB142" s="587"/>
      <c r="HC142" s="587"/>
      <c r="HD142" s="587"/>
      <c r="HE142" s="587"/>
      <c r="HF142" s="587"/>
      <c r="HG142" s="587"/>
      <c r="HH142" s="587"/>
      <c r="HI142" s="587"/>
      <c r="HJ142" s="587"/>
      <c r="HK142" s="587"/>
      <c r="HL142" s="587"/>
      <c r="HM142" s="587"/>
      <c r="HN142" s="587"/>
      <c r="HO142" s="587"/>
      <c r="HP142" s="587"/>
      <c r="HQ142" s="587"/>
      <c r="HR142" s="587"/>
      <c r="HS142" s="587"/>
      <c r="HT142" s="587"/>
      <c r="HU142" s="587"/>
      <c r="HV142" s="587"/>
      <c r="HW142" s="587"/>
      <c r="HX142" s="587"/>
      <c r="HY142" s="587"/>
      <c r="HZ142" s="587"/>
      <c r="IA142" s="587"/>
      <c r="IB142" s="587"/>
      <c r="IC142" s="587"/>
      <c r="ID142" s="587"/>
      <c r="IE142" s="587"/>
      <c r="IF142" s="587"/>
      <c r="IG142" s="587"/>
      <c r="IH142" s="587"/>
      <c r="II142" s="587"/>
      <c r="IJ142" s="587"/>
      <c r="IK142" s="587"/>
      <c r="IL142" s="587"/>
      <c r="IM142" s="587"/>
      <c r="IN142" s="587"/>
      <c r="IO142" s="587"/>
      <c r="IP142" s="587"/>
      <c r="IQ142" s="587"/>
      <c r="IR142" s="587"/>
      <c r="IS142" s="587"/>
      <c r="IT142" s="587"/>
      <c r="IU142" s="587"/>
      <c r="IV142" s="587"/>
      <c r="IW142" s="587"/>
      <c r="IX142" s="587"/>
      <c r="IY142" s="587"/>
      <c r="IZ142" s="587"/>
      <c r="JA142" s="587"/>
      <c r="JB142" s="587"/>
      <c r="JC142" s="587"/>
      <c r="JD142" s="587"/>
      <c r="JE142" s="587"/>
      <c r="JF142" s="587"/>
      <c r="JG142" s="587"/>
      <c r="JH142" s="587"/>
      <c r="JI142" s="587"/>
      <c r="JJ142" s="587"/>
      <c r="JK142" s="587"/>
      <c r="JL142" s="587"/>
      <c r="JM142" s="587"/>
      <c r="JN142" s="587"/>
      <c r="JO142" s="587"/>
      <c r="JP142" s="587"/>
      <c r="JQ142" s="587"/>
      <c r="JR142" s="587"/>
      <c r="JS142" s="587"/>
      <c r="JT142" s="587"/>
      <c r="JU142" s="587"/>
      <c r="JV142" s="587"/>
    </row>
    <row r="143" spans="1:282" s="21" customFormat="1" ht="50.1" customHeight="1" x14ac:dyDescent="0.2">
      <c r="A143" s="702"/>
      <c r="B143" s="68" t="s">
        <v>1174</v>
      </c>
      <c r="C143" s="68"/>
      <c r="D143" s="68"/>
      <c r="E143" s="38" t="s">
        <v>550</v>
      </c>
      <c r="F143" s="201" t="s">
        <v>551</v>
      </c>
      <c r="G143" s="38" t="s">
        <v>552</v>
      </c>
      <c r="H143" s="38"/>
      <c r="I143" s="38"/>
      <c r="J143" s="38" t="s">
        <v>1223</v>
      </c>
      <c r="K143" s="29" t="s">
        <v>1614</v>
      </c>
      <c r="L143" s="38" t="s">
        <v>2427</v>
      </c>
      <c r="M143" s="29" t="s">
        <v>1528</v>
      </c>
      <c r="N143" s="74">
        <v>40260</v>
      </c>
      <c r="O143" s="69" t="s">
        <v>571</v>
      </c>
      <c r="P143" s="69"/>
      <c r="Q143" s="69"/>
      <c r="R143" s="69"/>
      <c r="S143" s="69"/>
      <c r="T143" s="597"/>
      <c r="U143" s="597"/>
      <c r="V143" s="597"/>
      <c r="W143" s="597"/>
      <c r="X143" s="597"/>
      <c r="Y143" s="597"/>
      <c r="Z143" s="597"/>
      <c r="AA143" s="597"/>
      <c r="AB143" s="597"/>
      <c r="AC143" s="597"/>
      <c r="AD143" s="597"/>
      <c r="AE143" s="597"/>
      <c r="AF143" s="597"/>
      <c r="AG143" s="597"/>
      <c r="AH143" s="597"/>
      <c r="AI143" s="597"/>
      <c r="AJ143" s="74">
        <v>41344</v>
      </c>
      <c r="AK143" s="648"/>
      <c r="AL143" s="174"/>
      <c r="AM143" s="598"/>
      <c r="AN143" s="598"/>
      <c r="AO143" s="598"/>
      <c r="AP143" s="598"/>
      <c r="AQ143" s="598"/>
      <c r="AR143" s="598"/>
      <c r="AS143" s="598"/>
      <c r="AT143" s="598"/>
      <c r="AU143" s="598"/>
      <c r="AV143" s="598"/>
      <c r="AW143" s="598"/>
      <c r="AX143" s="598"/>
      <c r="AY143" s="598"/>
      <c r="AZ143" s="598"/>
      <c r="BA143" s="598"/>
      <c r="BB143" s="598"/>
      <c r="BC143" s="598"/>
      <c r="BD143" s="598"/>
      <c r="BE143" s="598"/>
      <c r="BF143" s="598"/>
      <c r="BG143" s="598"/>
      <c r="BH143" s="598"/>
      <c r="BI143" s="598"/>
      <c r="BJ143" s="598"/>
      <c r="BK143" s="598"/>
      <c r="BL143" s="598"/>
      <c r="BM143" s="598"/>
      <c r="BN143" s="598"/>
      <c r="BO143" s="598"/>
      <c r="BP143" s="598"/>
      <c r="BQ143" s="598"/>
      <c r="BR143" s="598"/>
      <c r="BS143" s="598"/>
      <c r="BT143" s="598"/>
      <c r="BU143" s="598"/>
      <c r="BV143" s="598"/>
      <c r="BW143" s="598"/>
      <c r="BX143" s="598"/>
      <c r="BY143" s="598"/>
      <c r="BZ143" s="598"/>
      <c r="CA143" s="598"/>
      <c r="CB143" s="598"/>
      <c r="CC143" s="598"/>
      <c r="CD143" s="598"/>
      <c r="CE143" s="598"/>
      <c r="CF143" s="598"/>
      <c r="CG143" s="598"/>
      <c r="CH143" s="598"/>
      <c r="CI143" s="598"/>
      <c r="CJ143" s="598"/>
      <c r="CK143" s="598"/>
      <c r="CL143" s="598"/>
      <c r="CM143" s="598"/>
      <c r="CN143" s="598"/>
      <c r="CO143" s="598"/>
      <c r="CP143" s="598"/>
      <c r="CQ143" s="598"/>
      <c r="CR143" s="598"/>
      <c r="CS143" s="598"/>
      <c r="CT143" s="598"/>
      <c r="CU143" s="598"/>
      <c r="CV143" s="598"/>
      <c r="CW143" s="598"/>
      <c r="CX143" s="598"/>
      <c r="CY143" s="598"/>
      <c r="CZ143" s="598"/>
      <c r="DA143" s="598"/>
      <c r="DB143" s="598"/>
      <c r="DC143" s="598"/>
      <c r="DD143" s="598"/>
      <c r="DE143" s="598"/>
      <c r="DF143" s="598"/>
      <c r="DG143" s="598"/>
      <c r="DH143" s="598"/>
      <c r="DI143" s="598"/>
      <c r="DJ143" s="598"/>
      <c r="DK143" s="598"/>
      <c r="DL143" s="598"/>
      <c r="DM143" s="598"/>
      <c r="DN143" s="598"/>
      <c r="DO143" s="598"/>
      <c r="DP143" s="598"/>
      <c r="DQ143" s="598"/>
      <c r="DR143" s="598"/>
      <c r="DS143" s="598"/>
      <c r="DT143" s="598"/>
      <c r="DU143" s="598"/>
      <c r="DV143" s="598"/>
      <c r="DW143" s="598"/>
      <c r="DX143" s="598"/>
      <c r="DY143" s="598"/>
      <c r="DZ143" s="598"/>
      <c r="EA143" s="598"/>
      <c r="EB143" s="598"/>
      <c r="EC143" s="598"/>
      <c r="ED143" s="598"/>
      <c r="EE143" s="598"/>
      <c r="EF143" s="598"/>
      <c r="EG143" s="598"/>
      <c r="EH143" s="598"/>
      <c r="EI143" s="598"/>
      <c r="EJ143" s="598"/>
      <c r="EK143" s="598"/>
      <c r="EL143" s="598"/>
      <c r="EM143" s="598"/>
      <c r="EN143" s="598"/>
      <c r="EO143" s="598"/>
      <c r="EP143" s="598"/>
      <c r="EQ143" s="598"/>
      <c r="ER143" s="598"/>
      <c r="ES143" s="598"/>
      <c r="ET143" s="598"/>
      <c r="EU143" s="598"/>
      <c r="EV143" s="598"/>
      <c r="EW143" s="598"/>
      <c r="EX143" s="598"/>
      <c r="EY143" s="598"/>
      <c r="EZ143" s="598"/>
      <c r="FA143" s="598"/>
      <c r="FB143" s="598"/>
      <c r="FC143" s="598"/>
      <c r="FD143" s="598"/>
      <c r="FE143" s="598"/>
      <c r="FF143" s="598"/>
      <c r="FG143" s="598"/>
      <c r="FH143" s="598"/>
      <c r="FI143" s="598"/>
      <c r="FJ143" s="598"/>
      <c r="FK143" s="598"/>
      <c r="FL143" s="598"/>
      <c r="FM143" s="598"/>
      <c r="FN143" s="598"/>
      <c r="FO143" s="598"/>
      <c r="FP143" s="598"/>
      <c r="FQ143" s="598"/>
      <c r="FR143" s="598"/>
      <c r="FS143" s="598"/>
      <c r="FT143" s="598"/>
      <c r="FU143" s="598"/>
      <c r="FV143" s="598"/>
      <c r="FW143" s="598"/>
      <c r="FX143" s="598"/>
      <c r="FY143" s="598"/>
      <c r="FZ143" s="598"/>
      <c r="GA143" s="598"/>
      <c r="GB143" s="598"/>
      <c r="GC143" s="598"/>
      <c r="GD143" s="598"/>
      <c r="GE143" s="598"/>
      <c r="GF143" s="598"/>
      <c r="GG143" s="598"/>
      <c r="GH143" s="598"/>
      <c r="GI143" s="598"/>
      <c r="GJ143" s="598"/>
      <c r="GK143" s="598"/>
      <c r="GL143" s="598"/>
      <c r="GM143" s="598"/>
      <c r="GN143" s="598"/>
      <c r="GO143" s="598"/>
      <c r="GP143" s="598"/>
      <c r="GQ143" s="598"/>
      <c r="GR143" s="598"/>
      <c r="GS143" s="598"/>
      <c r="GT143" s="598"/>
      <c r="GU143" s="598"/>
      <c r="GV143" s="598"/>
      <c r="GW143" s="598"/>
      <c r="GX143" s="598"/>
      <c r="GY143" s="598"/>
      <c r="GZ143" s="598"/>
      <c r="HA143" s="598"/>
      <c r="HB143" s="598"/>
      <c r="HC143" s="598"/>
      <c r="HD143" s="598"/>
      <c r="HE143" s="598"/>
      <c r="HF143" s="598"/>
      <c r="HG143" s="598"/>
      <c r="HH143" s="598"/>
      <c r="HI143" s="598"/>
      <c r="HJ143" s="598"/>
      <c r="HK143" s="598"/>
      <c r="HL143" s="598"/>
      <c r="HM143" s="598"/>
      <c r="HN143" s="598"/>
      <c r="HO143" s="598"/>
      <c r="HP143" s="598"/>
      <c r="HQ143" s="598"/>
      <c r="HR143" s="598"/>
      <c r="HS143" s="598"/>
      <c r="HT143" s="598"/>
      <c r="HU143" s="598"/>
      <c r="HV143" s="598"/>
      <c r="HW143" s="598"/>
      <c r="HX143" s="598"/>
      <c r="HY143" s="598"/>
      <c r="HZ143" s="598"/>
      <c r="IA143" s="598"/>
      <c r="IB143" s="598"/>
      <c r="IC143" s="598"/>
      <c r="ID143" s="598"/>
      <c r="IE143" s="598"/>
      <c r="IF143" s="598"/>
      <c r="IG143" s="598"/>
      <c r="IH143" s="598"/>
      <c r="II143" s="598"/>
      <c r="IJ143" s="598"/>
      <c r="IK143" s="598"/>
      <c r="IL143" s="598"/>
      <c r="IM143" s="598"/>
      <c r="IN143" s="598"/>
      <c r="IO143" s="598"/>
      <c r="IP143" s="598"/>
      <c r="IQ143" s="598"/>
      <c r="IR143" s="598"/>
      <c r="IS143" s="598"/>
      <c r="IT143" s="598"/>
      <c r="IU143" s="598"/>
      <c r="IV143" s="598"/>
      <c r="IW143" s="598"/>
      <c r="IX143" s="598"/>
      <c r="IY143" s="598"/>
      <c r="IZ143" s="598"/>
      <c r="JA143" s="598"/>
      <c r="JB143" s="598"/>
      <c r="JC143" s="598"/>
      <c r="JD143" s="598"/>
      <c r="JE143" s="598"/>
      <c r="JF143" s="598"/>
      <c r="JG143" s="598"/>
      <c r="JH143" s="598"/>
      <c r="JI143" s="598"/>
      <c r="JJ143" s="598"/>
      <c r="JK143" s="598"/>
      <c r="JL143" s="598"/>
      <c r="JM143" s="598"/>
      <c r="JN143" s="598"/>
      <c r="JO143" s="598"/>
      <c r="JP143" s="598"/>
      <c r="JQ143" s="598"/>
      <c r="JR143" s="598"/>
      <c r="JS143" s="598"/>
      <c r="JT143" s="598"/>
      <c r="JU143" s="598"/>
      <c r="JV143" s="598"/>
    </row>
    <row r="144" spans="1:282" s="21" customFormat="1" ht="50.1" customHeight="1" x14ac:dyDescent="0.2">
      <c r="A144" s="702"/>
      <c r="B144" s="68" t="s">
        <v>584</v>
      </c>
      <c r="C144" s="68"/>
      <c r="D144" s="68"/>
      <c r="E144" s="188" t="s">
        <v>477</v>
      </c>
      <c r="F144" s="189" t="s">
        <v>478</v>
      </c>
      <c r="G144" s="188" t="s">
        <v>479</v>
      </c>
      <c r="H144" s="188"/>
      <c r="I144" s="188"/>
      <c r="J144" s="188" t="s">
        <v>1222</v>
      </c>
      <c r="K144" s="29" t="s">
        <v>1393</v>
      </c>
      <c r="L144" s="29" t="s">
        <v>18</v>
      </c>
      <c r="M144" s="29" t="s">
        <v>1528</v>
      </c>
      <c r="N144" s="73">
        <v>40379</v>
      </c>
      <c r="O144" s="32" t="s">
        <v>554</v>
      </c>
      <c r="P144" s="32"/>
      <c r="Q144" s="32"/>
      <c r="R144" s="32"/>
      <c r="S144" s="32"/>
      <c r="T144" s="597"/>
      <c r="U144" s="597"/>
      <c r="V144" s="597"/>
      <c r="W144" s="597"/>
      <c r="X144" s="597"/>
      <c r="Y144" s="597"/>
      <c r="Z144" s="597"/>
      <c r="AA144" s="597"/>
      <c r="AB144" s="597"/>
      <c r="AC144" s="597"/>
      <c r="AD144" s="597"/>
      <c r="AE144" s="597"/>
      <c r="AF144" s="597"/>
      <c r="AG144" s="597"/>
      <c r="AH144" s="597"/>
      <c r="AI144" s="597"/>
      <c r="AJ144" s="724">
        <v>41379</v>
      </c>
      <c r="AK144" s="720"/>
      <c r="AL144" s="603"/>
      <c r="AM144" s="598"/>
      <c r="AN144" s="598"/>
      <c r="AO144" s="598"/>
      <c r="AP144" s="598"/>
      <c r="AQ144" s="598"/>
      <c r="AR144" s="598"/>
      <c r="AS144" s="598"/>
      <c r="AT144" s="598"/>
      <c r="AU144" s="598"/>
      <c r="AV144" s="598"/>
      <c r="AW144" s="598"/>
      <c r="AX144" s="598"/>
      <c r="AY144" s="598"/>
      <c r="AZ144" s="598"/>
      <c r="BA144" s="598"/>
      <c r="BB144" s="598"/>
      <c r="BC144" s="598"/>
      <c r="BD144" s="598"/>
      <c r="BE144" s="598"/>
      <c r="BF144" s="598"/>
      <c r="BG144" s="598"/>
      <c r="BH144" s="598"/>
      <c r="BI144" s="598"/>
      <c r="BJ144" s="598"/>
      <c r="BK144" s="598"/>
      <c r="BL144" s="598"/>
      <c r="BM144" s="598"/>
      <c r="BN144" s="598"/>
      <c r="BO144" s="598"/>
      <c r="BP144" s="598"/>
      <c r="BQ144" s="598"/>
      <c r="BR144" s="598"/>
      <c r="BS144" s="598"/>
      <c r="BT144" s="598"/>
      <c r="BU144" s="598"/>
      <c r="BV144" s="598"/>
      <c r="BW144" s="598"/>
      <c r="BX144" s="598"/>
      <c r="BY144" s="598"/>
      <c r="BZ144" s="598"/>
      <c r="CA144" s="598"/>
      <c r="CB144" s="598"/>
      <c r="CC144" s="598"/>
      <c r="CD144" s="598"/>
      <c r="CE144" s="598"/>
      <c r="CF144" s="598"/>
      <c r="CG144" s="598"/>
      <c r="CH144" s="598"/>
      <c r="CI144" s="598"/>
      <c r="CJ144" s="598"/>
      <c r="CK144" s="598"/>
      <c r="CL144" s="598"/>
      <c r="CM144" s="598"/>
      <c r="CN144" s="598"/>
      <c r="CO144" s="598"/>
      <c r="CP144" s="598"/>
      <c r="CQ144" s="598"/>
      <c r="CR144" s="598"/>
      <c r="CS144" s="598"/>
      <c r="CT144" s="598"/>
      <c r="CU144" s="598"/>
      <c r="CV144" s="598"/>
      <c r="CW144" s="598"/>
      <c r="CX144" s="598"/>
      <c r="CY144" s="598"/>
      <c r="CZ144" s="598"/>
      <c r="DA144" s="598"/>
      <c r="DB144" s="598"/>
      <c r="DC144" s="598"/>
      <c r="DD144" s="598"/>
      <c r="DE144" s="598"/>
      <c r="DF144" s="598"/>
      <c r="DG144" s="598"/>
      <c r="DH144" s="598"/>
      <c r="DI144" s="598"/>
      <c r="DJ144" s="598"/>
      <c r="DK144" s="598"/>
      <c r="DL144" s="598"/>
      <c r="DM144" s="598"/>
      <c r="DN144" s="598"/>
      <c r="DO144" s="598"/>
      <c r="DP144" s="598"/>
      <c r="DQ144" s="598"/>
      <c r="DR144" s="598"/>
      <c r="DS144" s="598"/>
      <c r="DT144" s="598"/>
      <c r="DU144" s="598"/>
      <c r="DV144" s="598"/>
      <c r="DW144" s="598"/>
      <c r="DX144" s="598"/>
      <c r="DY144" s="598"/>
      <c r="DZ144" s="598"/>
      <c r="EA144" s="598"/>
      <c r="EB144" s="598"/>
      <c r="EC144" s="598"/>
      <c r="ED144" s="598"/>
      <c r="EE144" s="598"/>
      <c r="EF144" s="598"/>
      <c r="EG144" s="598"/>
      <c r="EH144" s="598"/>
      <c r="EI144" s="598"/>
      <c r="EJ144" s="598"/>
      <c r="EK144" s="598"/>
      <c r="EL144" s="598"/>
      <c r="EM144" s="598"/>
      <c r="EN144" s="598"/>
      <c r="EO144" s="598"/>
      <c r="EP144" s="598"/>
      <c r="EQ144" s="598"/>
      <c r="ER144" s="598"/>
      <c r="ES144" s="598"/>
      <c r="ET144" s="598"/>
      <c r="EU144" s="598"/>
      <c r="EV144" s="598"/>
      <c r="EW144" s="598"/>
      <c r="EX144" s="598"/>
      <c r="EY144" s="598"/>
      <c r="EZ144" s="598"/>
      <c r="FA144" s="598"/>
      <c r="FB144" s="598"/>
      <c r="FC144" s="598"/>
      <c r="FD144" s="598"/>
      <c r="FE144" s="598"/>
      <c r="FF144" s="598"/>
      <c r="FG144" s="598"/>
      <c r="FH144" s="598"/>
      <c r="FI144" s="598"/>
      <c r="FJ144" s="598"/>
      <c r="FK144" s="598"/>
      <c r="FL144" s="598"/>
      <c r="FM144" s="598"/>
      <c r="FN144" s="598"/>
      <c r="FO144" s="598"/>
      <c r="FP144" s="598"/>
      <c r="FQ144" s="598"/>
      <c r="FR144" s="598"/>
      <c r="FS144" s="598"/>
      <c r="FT144" s="598"/>
      <c r="FU144" s="598"/>
      <c r="FV144" s="598"/>
      <c r="FW144" s="598"/>
      <c r="FX144" s="598"/>
      <c r="FY144" s="598"/>
      <c r="FZ144" s="598"/>
      <c r="GA144" s="598"/>
      <c r="GB144" s="598"/>
      <c r="GC144" s="598"/>
      <c r="GD144" s="598"/>
      <c r="GE144" s="598"/>
      <c r="GF144" s="598"/>
      <c r="GG144" s="598"/>
      <c r="GH144" s="598"/>
      <c r="GI144" s="598"/>
      <c r="GJ144" s="598"/>
      <c r="GK144" s="598"/>
      <c r="GL144" s="598"/>
      <c r="GM144" s="598"/>
      <c r="GN144" s="598"/>
      <c r="GO144" s="598"/>
      <c r="GP144" s="598"/>
      <c r="GQ144" s="598"/>
      <c r="GR144" s="598"/>
      <c r="GS144" s="598"/>
      <c r="GT144" s="598"/>
      <c r="GU144" s="598"/>
      <c r="GV144" s="598"/>
      <c r="GW144" s="598"/>
      <c r="GX144" s="598"/>
      <c r="GY144" s="598"/>
      <c r="GZ144" s="598"/>
      <c r="HA144" s="598"/>
      <c r="HB144" s="598"/>
      <c r="HC144" s="598"/>
      <c r="HD144" s="598"/>
      <c r="HE144" s="598"/>
      <c r="HF144" s="598"/>
      <c r="HG144" s="598"/>
      <c r="HH144" s="598"/>
      <c r="HI144" s="598"/>
      <c r="HJ144" s="598"/>
      <c r="HK144" s="598"/>
      <c r="HL144" s="598"/>
      <c r="HM144" s="598"/>
      <c r="HN144" s="598"/>
      <c r="HO144" s="598"/>
      <c r="HP144" s="598"/>
      <c r="HQ144" s="598"/>
      <c r="HR144" s="598"/>
      <c r="HS144" s="598"/>
      <c r="HT144" s="598"/>
      <c r="HU144" s="598"/>
      <c r="HV144" s="598"/>
      <c r="HW144" s="598"/>
      <c r="HX144" s="598"/>
      <c r="HY144" s="598"/>
      <c r="HZ144" s="598"/>
      <c r="IA144" s="598"/>
      <c r="IB144" s="598"/>
      <c r="IC144" s="598"/>
      <c r="ID144" s="598"/>
      <c r="IE144" s="598"/>
      <c r="IF144" s="598"/>
      <c r="IG144" s="598"/>
      <c r="IH144" s="598"/>
      <c r="II144" s="598"/>
      <c r="IJ144" s="598"/>
      <c r="IK144" s="598"/>
      <c r="IL144" s="598"/>
      <c r="IM144" s="598"/>
      <c r="IN144" s="598"/>
      <c r="IO144" s="598"/>
      <c r="IP144" s="598"/>
      <c r="IQ144" s="598"/>
      <c r="IR144" s="598"/>
      <c r="IS144" s="598"/>
      <c r="IT144" s="598"/>
      <c r="IU144" s="598"/>
      <c r="IV144" s="598"/>
      <c r="IW144" s="598"/>
      <c r="IX144" s="598"/>
      <c r="IY144" s="598"/>
      <c r="IZ144" s="598"/>
      <c r="JA144" s="598"/>
      <c r="JB144" s="598"/>
      <c r="JC144" s="598"/>
      <c r="JD144" s="598"/>
      <c r="JE144" s="598"/>
      <c r="JF144" s="598"/>
      <c r="JG144" s="598"/>
      <c r="JH144" s="598"/>
      <c r="JI144" s="598"/>
      <c r="JJ144" s="598"/>
      <c r="JK144" s="598"/>
      <c r="JL144" s="598"/>
      <c r="JM144" s="598"/>
      <c r="JN144" s="598"/>
      <c r="JO144" s="598"/>
      <c r="JP144" s="598"/>
      <c r="JQ144" s="598"/>
      <c r="JR144" s="598"/>
      <c r="JS144" s="598"/>
      <c r="JT144" s="598"/>
      <c r="JU144" s="598"/>
      <c r="JV144" s="598"/>
    </row>
    <row r="145" spans="1:282" s="21" customFormat="1" ht="50.1" customHeight="1" x14ac:dyDescent="0.2">
      <c r="A145" s="702"/>
      <c r="B145" s="30" t="s">
        <v>584</v>
      </c>
      <c r="C145" s="30"/>
      <c r="D145" s="30"/>
      <c r="E145" s="30" t="s">
        <v>1998</v>
      </c>
      <c r="F145" s="196" t="s">
        <v>2260</v>
      </c>
      <c r="G145" s="151" t="s">
        <v>1186</v>
      </c>
      <c r="H145" s="30"/>
      <c r="I145" s="30"/>
      <c r="J145" s="30" t="s">
        <v>34</v>
      </c>
      <c r="K145" s="29" t="s">
        <v>1393</v>
      </c>
      <c r="L145" s="29" t="s">
        <v>18</v>
      </c>
      <c r="M145" s="29" t="s">
        <v>1528</v>
      </c>
      <c r="N145" s="73">
        <v>40435</v>
      </c>
      <c r="O145" s="30" t="s">
        <v>2386</v>
      </c>
      <c r="P145" s="30"/>
      <c r="Q145" s="30"/>
      <c r="R145" s="30"/>
      <c r="S145" s="30"/>
      <c r="T145" s="597"/>
      <c r="U145" s="597"/>
      <c r="V145" s="597"/>
      <c r="W145" s="597"/>
      <c r="X145" s="597"/>
      <c r="Y145" s="597"/>
      <c r="Z145" s="597"/>
      <c r="AA145" s="597"/>
      <c r="AB145" s="597"/>
      <c r="AC145" s="597"/>
      <c r="AD145" s="597"/>
      <c r="AE145" s="597"/>
      <c r="AF145" s="597"/>
      <c r="AG145" s="597"/>
      <c r="AH145" s="597"/>
      <c r="AI145" s="597"/>
      <c r="AJ145" s="73">
        <v>41386</v>
      </c>
      <c r="AK145" s="720"/>
      <c r="AL145" s="603"/>
      <c r="AM145" s="598"/>
      <c r="AN145" s="598"/>
      <c r="AO145" s="598"/>
      <c r="AP145" s="598"/>
      <c r="AQ145" s="598"/>
      <c r="AR145" s="598"/>
      <c r="AS145" s="598"/>
      <c r="AT145" s="598"/>
      <c r="AU145" s="598"/>
      <c r="AV145" s="598"/>
      <c r="AW145" s="598"/>
      <c r="AX145" s="598"/>
      <c r="AY145" s="598"/>
      <c r="AZ145" s="598"/>
      <c r="BA145" s="598"/>
      <c r="BB145" s="598"/>
      <c r="BC145" s="598"/>
      <c r="BD145" s="598"/>
      <c r="BE145" s="598"/>
      <c r="BF145" s="598"/>
      <c r="BG145" s="598"/>
      <c r="BH145" s="598"/>
      <c r="BI145" s="598"/>
      <c r="BJ145" s="598"/>
      <c r="BK145" s="598"/>
      <c r="BL145" s="598"/>
      <c r="BM145" s="598"/>
      <c r="BN145" s="598"/>
      <c r="BO145" s="598"/>
      <c r="BP145" s="598"/>
      <c r="BQ145" s="598"/>
      <c r="BR145" s="598"/>
      <c r="BS145" s="598"/>
      <c r="BT145" s="598"/>
      <c r="BU145" s="598"/>
      <c r="BV145" s="598"/>
      <c r="BW145" s="598"/>
      <c r="BX145" s="598"/>
      <c r="BY145" s="598"/>
      <c r="BZ145" s="598"/>
      <c r="CA145" s="598"/>
      <c r="CB145" s="598"/>
      <c r="CC145" s="598"/>
      <c r="CD145" s="598"/>
      <c r="CE145" s="598"/>
      <c r="CF145" s="598"/>
      <c r="CG145" s="598"/>
      <c r="CH145" s="598"/>
      <c r="CI145" s="598"/>
      <c r="CJ145" s="598"/>
      <c r="CK145" s="598"/>
      <c r="CL145" s="598"/>
      <c r="CM145" s="598"/>
      <c r="CN145" s="598"/>
      <c r="CO145" s="598"/>
      <c r="CP145" s="598"/>
      <c r="CQ145" s="598"/>
      <c r="CR145" s="598"/>
      <c r="CS145" s="598"/>
      <c r="CT145" s="598"/>
      <c r="CU145" s="598"/>
      <c r="CV145" s="598"/>
      <c r="CW145" s="598"/>
      <c r="CX145" s="598"/>
      <c r="CY145" s="598"/>
      <c r="CZ145" s="598"/>
      <c r="DA145" s="598"/>
      <c r="DB145" s="598"/>
      <c r="DC145" s="598"/>
      <c r="DD145" s="598"/>
      <c r="DE145" s="598"/>
      <c r="DF145" s="598"/>
      <c r="DG145" s="598"/>
      <c r="DH145" s="598"/>
      <c r="DI145" s="598"/>
      <c r="DJ145" s="598"/>
      <c r="DK145" s="598"/>
      <c r="DL145" s="598"/>
      <c r="DM145" s="598"/>
      <c r="DN145" s="598"/>
      <c r="DO145" s="598"/>
      <c r="DP145" s="598"/>
      <c r="DQ145" s="598"/>
      <c r="DR145" s="598"/>
      <c r="DS145" s="598"/>
      <c r="DT145" s="598"/>
      <c r="DU145" s="598"/>
      <c r="DV145" s="598"/>
      <c r="DW145" s="598"/>
      <c r="DX145" s="598"/>
      <c r="DY145" s="598"/>
      <c r="DZ145" s="598"/>
      <c r="EA145" s="598"/>
      <c r="EB145" s="598"/>
      <c r="EC145" s="598"/>
      <c r="ED145" s="598"/>
      <c r="EE145" s="598"/>
      <c r="EF145" s="598"/>
      <c r="EG145" s="598"/>
      <c r="EH145" s="598"/>
      <c r="EI145" s="598"/>
      <c r="EJ145" s="598"/>
      <c r="EK145" s="598"/>
      <c r="EL145" s="598"/>
      <c r="EM145" s="598"/>
      <c r="EN145" s="598"/>
      <c r="EO145" s="598"/>
      <c r="EP145" s="598"/>
      <c r="EQ145" s="598"/>
      <c r="ER145" s="598"/>
      <c r="ES145" s="598"/>
      <c r="ET145" s="598"/>
      <c r="EU145" s="598"/>
      <c r="EV145" s="598"/>
      <c r="EW145" s="598"/>
      <c r="EX145" s="598"/>
      <c r="EY145" s="598"/>
      <c r="EZ145" s="598"/>
      <c r="FA145" s="598"/>
      <c r="FB145" s="598"/>
      <c r="FC145" s="598"/>
      <c r="FD145" s="598"/>
      <c r="FE145" s="598"/>
      <c r="FF145" s="598"/>
      <c r="FG145" s="598"/>
      <c r="FH145" s="598"/>
      <c r="FI145" s="598"/>
      <c r="FJ145" s="598"/>
      <c r="FK145" s="598"/>
      <c r="FL145" s="598"/>
      <c r="FM145" s="598"/>
      <c r="FN145" s="598"/>
      <c r="FO145" s="598"/>
      <c r="FP145" s="598"/>
      <c r="FQ145" s="598"/>
      <c r="FR145" s="598"/>
      <c r="FS145" s="598"/>
      <c r="FT145" s="598"/>
      <c r="FU145" s="598"/>
      <c r="FV145" s="598"/>
      <c r="FW145" s="598"/>
      <c r="FX145" s="598"/>
      <c r="FY145" s="598"/>
      <c r="FZ145" s="598"/>
      <c r="GA145" s="598"/>
      <c r="GB145" s="598"/>
      <c r="GC145" s="598"/>
      <c r="GD145" s="598"/>
      <c r="GE145" s="598"/>
      <c r="GF145" s="598"/>
      <c r="GG145" s="598"/>
      <c r="GH145" s="598"/>
      <c r="GI145" s="598"/>
      <c r="GJ145" s="598"/>
      <c r="GK145" s="598"/>
      <c r="GL145" s="598"/>
      <c r="GM145" s="598"/>
      <c r="GN145" s="598"/>
      <c r="GO145" s="598"/>
      <c r="GP145" s="598"/>
      <c r="GQ145" s="598"/>
      <c r="GR145" s="598"/>
      <c r="GS145" s="598"/>
      <c r="GT145" s="598"/>
      <c r="GU145" s="598"/>
      <c r="GV145" s="598"/>
      <c r="GW145" s="598"/>
      <c r="GX145" s="598"/>
      <c r="GY145" s="598"/>
      <c r="GZ145" s="598"/>
      <c r="HA145" s="598"/>
      <c r="HB145" s="598"/>
      <c r="HC145" s="598"/>
      <c r="HD145" s="598"/>
      <c r="HE145" s="598"/>
      <c r="HF145" s="598"/>
      <c r="HG145" s="598"/>
      <c r="HH145" s="598"/>
      <c r="HI145" s="598"/>
      <c r="HJ145" s="598"/>
      <c r="HK145" s="598"/>
      <c r="HL145" s="598"/>
      <c r="HM145" s="598"/>
      <c r="HN145" s="598"/>
      <c r="HO145" s="598"/>
      <c r="HP145" s="598"/>
      <c r="HQ145" s="598"/>
      <c r="HR145" s="598"/>
      <c r="HS145" s="598"/>
      <c r="HT145" s="598"/>
      <c r="HU145" s="598"/>
      <c r="HV145" s="598"/>
      <c r="HW145" s="598"/>
      <c r="HX145" s="598"/>
      <c r="HY145" s="598"/>
      <c r="HZ145" s="598"/>
      <c r="IA145" s="598"/>
      <c r="IB145" s="598"/>
      <c r="IC145" s="598"/>
      <c r="ID145" s="598"/>
      <c r="IE145" s="598"/>
      <c r="IF145" s="598"/>
      <c r="IG145" s="598"/>
      <c r="IH145" s="598"/>
      <c r="II145" s="598"/>
      <c r="IJ145" s="598"/>
      <c r="IK145" s="598"/>
      <c r="IL145" s="598"/>
      <c r="IM145" s="598"/>
      <c r="IN145" s="598"/>
      <c r="IO145" s="598"/>
      <c r="IP145" s="598"/>
      <c r="IQ145" s="598"/>
      <c r="IR145" s="598"/>
      <c r="IS145" s="598"/>
      <c r="IT145" s="598"/>
      <c r="IU145" s="598"/>
      <c r="IV145" s="598"/>
      <c r="IW145" s="598"/>
      <c r="IX145" s="598"/>
      <c r="IY145" s="598"/>
      <c r="IZ145" s="598"/>
      <c r="JA145" s="598"/>
      <c r="JB145" s="598"/>
      <c r="JC145" s="598"/>
      <c r="JD145" s="598"/>
      <c r="JE145" s="598"/>
      <c r="JF145" s="598"/>
      <c r="JG145" s="598"/>
      <c r="JH145" s="598"/>
      <c r="JI145" s="598"/>
      <c r="JJ145" s="598"/>
      <c r="JK145" s="598"/>
      <c r="JL145" s="598"/>
      <c r="JM145" s="598"/>
      <c r="JN145" s="598"/>
      <c r="JO145" s="598"/>
      <c r="JP145" s="598"/>
      <c r="JQ145" s="598"/>
      <c r="JR145" s="598"/>
      <c r="JS145" s="598"/>
      <c r="JT145" s="598"/>
      <c r="JU145" s="598"/>
      <c r="JV145" s="598"/>
    </row>
    <row r="146" spans="1:282" s="21" customFormat="1" ht="50.1" customHeight="1" x14ac:dyDescent="0.2">
      <c r="A146" s="702"/>
      <c r="B146" s="30" t="s">
        <v>584</v>
      </c>
      <c r="C146" s="30"/>
      <c r="D146" s="30"/>
      <c r="E146" s="30" t="s">
        <v>1999</v>
      </c>
      <c r="F146" s="196" t="s">
        <v>1180</v>
      </c>
      <c r="G146" s="151" t="s">
        <v>460</v>
      </c>
      <c r="H146" s="30"/>
      <c r="I146" s="30"/>
      <c r="J146" s="30" t="s">
        <v>769</v>
      </c>
      <c r="K146" s="29" t="s">
        <v>1393</v>
      </c>
      <c r="L146" s="29" t="s">
        <v>18</v>
      </c>
      <c r="M146" s="29" t="s">
        <v>1528</v>
      </c>
      <c r="N146" s="73">
        <v>40437</v>
      </c>
      <c r="O146" s="30">
        <v>785337108</v>
      </c>
      <c r="P146" s="30"/>
      <c r="Q146" s="30"/>
      <c r="R146" s="30"/>
      <c r="S146" s="30"/>
      <c r="T146" s="597"/>
      <c r="U146" s="597"/>
      <c r="V146" s="597"/>
      <c r="W146" s="597"/>
      <c r="X146" s="597"/>
      <c r="Y146" s="597"/>
      <c r="Z146" s="597"/>
      <c r="AA146" s="597"/>
      <c r="AB146" s="597"/>
      <c r="AC146" s="597"/>
      <c r="AD146" s="597"/>
      <c r="AE146" s="597"/>
      <c r="AF146" s="597"/>
      <c r="AG146" s="597"/>
      <c r="AH146" s="597"/>
      <c r="AI146" s="597"/>
      <c r="AJ146" s="73">
        <v>41386</v>
      </c>
      <c r="AK146" s="648"/>
      <c r="AL146" s="174"/>
      <c r="AM146" s="598"/>
      <c r="AN146" s="598"/>
      <c r="AO146" s="598"/>
      <c r="AP146" s="598"/>
      <c r="AQ146" s="598"/>
      <c r="AR146" s="598"/>
      <c r="AS146" s="598"/>
      <c r="AT146" s="598"/>
      <c r="AU146" s="598"/>
      <c r="AV146" s="598"/>
      <c r="AW146" s="598"/>
      <c r="AX146" s="598"/>
      <c r="AY146" s="598"/>
      <c r="AZ146" s="598"/>
      <c r="BA146" s="598"/>
      <c r="BB146" s="598"/>
      <c r="BC146" s="598"/>
      <c r="BD146" s="598"/>
      <c r="BE146" s="598"/>
      <c r="BF146" s="598"/>
      <c r="BG146" s="598"/>
      <c r="BH146" s="598"/>
      <c r="BI146" s="598"/>
      <c r="BJ146" s="598"/>
      <c r="BK146" s="598"/>
      <c r="BL146" s="598"/>
      <c r="BM146" s="598"/>
      <c r="BN146" s="598"/>
      <c r="BO146" s="598"/>
      <c r="BP146" s="598"/>
      <c r="BQ146" s="598"/>
      <c r="BR146" s="598"/>
      <c r="BS146" s="598"/>
      <c r="BT146" s="598"/>
      <c r="BU146" s="598"/>
      <c r="BV146" s="598"/>
      <c r="BW146" s="598"/>
      <c r="BX146" s="598"/>
      <c r="BY146" s="598"/>
      <c r="BZ146" s="598"/>
      <c r="CA146" s="598"/>
      <c r="CB146" s="598"/>
      <c r="CC146" s="598"/>
      <c r="CD146" s="598"/>
      <c r="CE146" s="598"/>
      <c r="CF146" s="598"/>
      <c r="CG146" s="598"/>
      <c r="CH146" s="598"/>
      <c r="CI146" s="598"/>
      <c r="CJ146" s="598"/>
      <c r="CK146" s="598"/>
      <c r="CL146" s="598"/>
      <c r="CM146" s="598"/>
      <c r="CN146" s="598"/>
      <c r="CO146" s="598"/>
      <c r="CP146" s="598"/>
      <c r="CQ146" s="598"/>
      <c r="CR146" s="598"/>
      <c r="CS146" s="598"/>
      <c r="CT146" s="598"/>
      <c r="CU146" s="598"/>
      <c r="CV146" s="598"/>
      <c r="CW146" s="598"/>
      <c r="CX146" s="598"/>
      <c r="CY146" s="598"/>
      <c r="CZ146" s="598"/>
      <c r="DA146" s="598"/>
      <c r="DB146" s="598"/>
      <c r="DC146" s="598"/>
      <c r="DD146" s="598"/>
      <c r="DE146" s="598"/>
      <c r="DF146" s="598"/>
      <c r="DG146" s="598"/>
      <c r="DH146" s="598"/>
      <c r="DI146" s="598"/>
      <c r="DJ146" s="598"/>
      <c r="DK146" s="598"/>
      <c r="DL146" s="598"/>
      <c r="DM146" s="598"/>
      <c r="DN146" s="598"/>
      <c r="DO146" s="598"/>
      <c r="DP146" s="598"/>
      <c r="DQ146" s="598"/>
      <c r="DR146" s="598"/>
      <c r="DS146" s="598"/>
      <c r="DT146" s="598"/>
      <c r="DU146" s="598"/>
      <c r="DV146" s="598"/>
      <c r="DW146" s="598"/>
      <c r="DX146" s="598"/>
      <c r="DY146" s="598"/>
      <c r="DZ146" s="598"/>
      <c r="EA146" s="598"/>
      <c r="EB146" s="598"/>
      <c r="EC146" s="598"/>
      <c r="ED146" s="598"/>
      <c r="EE146" s="598"/>
      <c r="EF146" s="598"/>
      <c r="EG146" s="598"/>
      <c r="EH146" s="598"/>
      <c r="EI146" s="598"/>
      <c r="EJ146" s="598"/>
      <c r="EK146" s="598"/>
      <c r="EL146" s="598"/>
      <c r="EM146" s="598"/>
      <c r="EN146" s="598"/>
      <c r="EO146" s="598"/>
      <c r="EP146" s="598"/>
      <c r="EQ146" s="598"/>
      <c r="ER146" s="598"/>
      <c r="ES146" s="598"/>
      <c r="ET146" s="598"/>
      <c r="EU146" s="598"/>
      <c r="EV146" s="598"/>
      <c r="EW146" s="598"/>
      <c r="EX146" s="598"/>
      <c r="EY146" s="598"/>
      <c r="EZ146" s="598"/>
      <c r="FA146" s="598"/>
      <c r="FB146" s="598"/>
      <c r="FC146" s="598"/>
      <c r="FD146" s="598"/>
      <c r="FE146" s="598"/>
      <c r="FF146" s="598"/>
      <c r="FG146" s="598"/>
      <c r="FH146" s="598"/>
      <c r="FI146" s="598"/>
      <c r="FJ146" s="598"/>
      <c r="FK146" s="598"/>
      <c r="FL146" s="598"/>
      <c r="FM146" s="598"/>
      <c r="FN146" s="598"/>
      <c r="FO146" s="598"/>
      <c r="FP146" s="598"/>
      <c r="FQ146" s="598"/>
      <c r="FR146" s="598"/>
      <c r="FS146" s="598"/>
      <c r="FT146" s="598"/>
      <c r="FU146" s="598"/>
      <c r="FV146" s="598"/>
      <c r="FW146" s="598"/>
      <c r="FX146" s="598"/>
      <c r="FY146" s="598"/>
      <c r="FZ146" s="598"/>
      <c r="GA146" s="598"/>
      <c r="GB146" s="598"/>
      <c r="GC146" s="598"/>
      <c r="GD146" s="598"/>
      <c r="GE146" s="598"/>
      <c r="GF146" s="598"/>
      <c r="GG146" s="598"/>
      <c r="GH146" s="598"/>
      <c r="GI146" s="598"/>
      <c r="GJ146" s="598"/>
      <c r="GK146" s="598"/>
      <c r="GL146" s="598"/>
      <c r="GM146" s="598"/>
      <c r="GN146" s="598"/>
      <c r="GO146" s="598"/>
      <c r="GP146" s="598"/>
      <c r="GQ146" s="598"/>
      <c r="GR146" s="598"/>
      <c r="GS146" s="598"/>
      <c r="GT146" s="598"/>
      <c r="GU146" s="598"/>
      <c r="GV146" s="598"/>
      <c r="GW146" s="598"/>
      <c r="GX146" s="598"/>
      <c r="GY146" s="598"/>
      <c r="GZ146" s="598"/>
      <c r="HA146" s="598"/>
      <c r="HB146" s="598"/>
      <c r="HC146" s="598"/>
      <c r="HD146" s="598"/>
      <c r="HE146" s="598"/>
      <c r="HF146" s="598"/>
      <c r="HG146" s="598"/>
      <c r="HH146" s="598"/>
      <c r="HI146" s="598"/>
      <c r="HJ146" s="598"/>
      <c r="HK146" s="598"/>
      <c r="HL146" s="598"/>
      <c r="HM146" s="598"/>
      <c r="HN146" s="598"/>
      <c r="HO146" s="598"/>
      <c r="HP146" s="598"/>
      <c r="HQ146" s="598"/>
      <c r="HR146" s="598"/>
      <c r="HS146" s="598"/>
      <c r="HT146" s="598"/>
      <c r="HU146" s="598"/>
      <c r="HV146" s="598"/>
      <c r="HW146" s="598"/>
      <c r="HX146" s="598"/>
      <c r="HY146" s="598"/>
      <c r="HZ146" s="598"/>
      <c r="IA146" s="598"/>
      <c r="IB146" s="598"/>
      <c r="IC146" s="598"/>
      <c r="ID146" s="598"/>
      <c r="IE146" s="598"/>
      <c r="IF146" s="598"/>
      <c r="IG146" s="598"/>
      <c r="IH146" s="598"/>
      <c r="II146" s="598"/>
      <c r="IJ146" s="598"/>
      <c r="IK146" s="598"/>
      <c r="IL146" s="598"/>
      <c r="IM146" s="598"/>
      <c r="IN146" s="598"/>
      <c r="IO146" s="598"/>
      <c r="IP146" s="598"/>
      <c r="IQ146" s="598"/>
      <c r="IR146" s="598"/>
      <c r="IS146" s="598"/>
      <c r="IT146" s="598"/>
      <c r="IU146" s="598"/>
      <c r="IV146" s="598"/>
      <c r="IW146" s="598"/>
      <c r="IX146" s="598"/>
      <c r="IY146" s="598"/>
      <c r="IZ146" s="598"/>
      <c r="JA146" s="598"/>
      <c r="JB146" s="598"/>
      <c r="JC146" s="598"/>
      <c r="JD146" s="598"/>
      <c r="JE146" s="598"/>
      <c r="JF146" s="598"/>
      <c r="JG146" s="598"/>
      <c r="JH146" s="598"/>
      <c r="JI146" s="598"/>
      <c r="JJ146" s="598"/>
      <c r="JK146" s="598"/>
      <c r="JL146" s="598"/>
      <c r="JM146" s="598"/>
      <c r="JN146" s="598"/>
      <c r="JO146" s="598"/>
      <c r="JP146" s="598"/>
      <c r="JQ146" s="598"/>
      <c r="JR146" s="598"/>
      <c r="JS146" s="598"/>
      <c r="JT146" s="598"/>
      <c r="JU146" s="598"/>
      <c r="JV146" s="598"/>
    </row>
    <row r="147" spans="1:282" s="21" customFormat="1" ht="50.1" customHeight="1" x14ac:dyDescent="0.2">
      <c r="A147" s="702"/>
      <c r="B147" s="69" t="s">
        <v>1137</v>
      </c>
      <c r="C147" s="69"/>
      <c r="D147" s="69"/>
      <c r="E147" s="29" t="s">
        <v>316</v>
      </c>
      <c r="F147" s="104" t="s">
        <v>306</v>
      </c>
      <c r="G147" s="29" t="s">
        <v>306</v>
      </c>
      <c r="H147" s="29" t="s">
        <v>1136</v>
      </c>
      <c r="I147" s="29"/>
      <c r="J147" s="29" t="s">
        <v>307</v>
      </c>
      <c r="K147" s="30" t="s">
        <v>1394</v>
      </c>
      <c r="L147" s="29" t="s">
        <v>12</v>
      </c>
      <c r="M147" s="29" t="s">
        <v>1528</v>
      </c>
      <c r="N147" s="74">
        <v>40858</v>
      </c>
      <c r="O147" s="29">
        <v>987389119</v>
      </c>
      <c r="P147" s="29"/>
      <c r="Q147" s="29"/>
      <c r="R147" s="29"/>
      <c r="S147" s="29"/>
      <c r="T147" s="597"/>
      <c r="U147" s="597"/>
      <c r="V147" s="597"/>
      <c r="W147" s="597"/>
      <c r="X147" s="597"/>
      <c r="Y147" s="597"/>
      <c r="Z147" s="597"/>
      <c r="AA147" s="597"/>
      <c r="AB147" s="597"/>
      <c r="AC147" s="597"/>
      <c r="AD147" s="597"/>
      <c r="AE147" s="597"/>
      <c r="AF147" s="597"/>
      <c r="AG147" s="597"/>
      <c r="AH147" s="597"/>
      <c r="AI147" s="597"/>
      <c r="AJ147" s="74">
        <v>41398</v>
      </c>
      <c r="AK147" s="736"/>
      <c r="AL147" s="600"/>
      <c r="AM147" s="598"/>
      <c r="AN147" s="598"/>
      <c r="AO147" s="598"/>
      <c r="AP147" s="598"/>
      <c r="AQ147" s="598"/>
      <c r="AR147" s="598"/>
      <c r="AS147" s="598"/>
      <c r="AT147" s="598"/>
      <c r="AU147" s="598"/>
      <c r="AV147" s="598"/>
      <c r="AW147" s="598"/>
      <c r="AX147" s="598"/>
      <c r="AY147" s="598"/>
      <c r="AZ147" s="598"/>
      <c r="BA147" s="598"/>
      <c r="BB147" s="598"/>
      <c r="BC147" s="598"/>
      <c r="BD147" s="598"/>
      <c r="BE147" s="598"/>
      <c r="BF147" s="598"/>
      <c r="BG147" s="598"/>
      <c r="BH147" s="598"/>
      <c r="BI147" s="598"/>
      <c r="BJ147" s="598"/>
      <c r="BK147" s="598"/>
      <c r="BL147" s="598"/>
      <c r="BM147" s="598"/>
      <c r="BN147" s="598"/>
      <c r="BO147" s="598"/>
      <c r="BP147" s="598"/>
      <c r="BQ147" s="598"/>
      <c r="BR147" s="598"/>
      <c r="BS147" s="598"/>
      <c r="BT147" s="598"/>
      <c r="BU147" s="598"/>
      <c r="BV147" s="598"/>
      <c r="BW147" s="598"/>
      <c r="BX147" s="598"/>
      <c r="BY147" s="598"/>
      <c r="BZ147" s="598"/>
      <c r="CA147" s="598"/>
      <c r="CB147" s="598"/>
      <c r="CC147" s="598"/>
      <c r="CD147" s="598"/>
      <c r="CE147" s="598"/>
      <c r="CF147" s="598"/>
      <c r="CG147" s="598"/>
      <c r="CH147" s="598"/>
      <c r="CI147" s="598"/>
      <c r="CJ147" s="598"/>
      <c r="CK147" s="598"/>
      <c r="CL147" s="598"/>
      <c r="CM147" s="598"/>
      <c r="CN147" s="598"/>
      <c r="CO147" s="598"/>
      <c r="CP147" s="598"/>
      <c r="CQ147" s="598"/>
      <c r="CR147" s="598"/>
      <c r="CS147" s="598"/>
      <c r="CT147" s="598"/>
      <c r="CU147" s="598"/>
      <c r="CV147" s="598"/>
      <c r="CW147" s="598"/>
      <c r="CX147" s="598"/>
      <c r="CY147" s="598"/>
      <c r="CZ147" s="598"/>
      <c r="DA147" s="598"/>
      <c r="DB147" s="598"/>
      <c r="DC147" s="598"/>
      <c r="DD147" s="598"/>
      <c r="DE147" s="598"/>
      <c r="DF147" s="598"/>
      <c r="DG147" s="598"/>
      <c r="DH147" s="598"/>
      <c r="DI147" s="598"/>
      <c r="DJ147" s="598"/>
      <c r="DK147" s="598"/>
      <c r="DL147" s="598"/>
      <c r="DM147" s="598"/>
      <c r="DN147" s="598"/>
      <c r="DO147" s="598"/>
      <c r="DP147" s="598"/>
      <c r="DQ147" s="598"/>
      <c r="DR147" s="598"/>
      <c r="DS147" s="598"/>
      <c r="DT147" s="598"/>
      <c r="DU147" s="598"/>
      <c r="DV147" s="598"/>
      <c r="DW147" s="598"/>
      <c r="DX147" s="598"/>
      <c r="DY147" s="598"/>
      <c r="DZ147" s="598"/>
      <c r="EA147" s="598"/>
      <c r="EB147" s="598"/>
      <c r="EC147" s="598"/>
      <c r="ED147" s="598"/>
      <c r="EE147" s="598"/>
      <c r="EF147" s="598"/>
      <c r="EG147" s="598"/>
      <c r="EH147" s="598"/>
      <c r="EI147" s="598"/>
      <c r="EJ147" s="598"/>
      <c r="EK147" s="598"/>
      <c r="EL147" s="598"/>
      <c r="EM147" s="598"/>
      <c r="EN147" s="598"/>
      <c r="EO147" s="598"/>
      <c r="EP147" s="598"/>
      <c r="EQ147" s="598"/>
      <c r="ER147" s="598"/>
      <c r="ES147" s="598"/>
      <c r="ET147" s="598"/>
      <c r="EU147" s="598"/>
      <c r="EV147" s="598"/>
      <c r="EW147" s="598"/>
      <c r="EX147" s="598"/>
      <c r="EY147" s="598"/>
      <c r="EZ147" s="598"/>
      <c r="FA147" s="598"/>
      <c r="FB147" s="598"/>
      <c r="FC147" s="598"/>
      <c r="FD147" s="598"/>
      <c r="FE147" s="598"/>
      <c r="FF147" s="598"/>
      <c r="FG147" s="598"/>
      <c r="FH147" s="598"/>
      <c r="FI147" s="598"/>
      <c r="FJ147" s="598"/>
      <c r="FK147" s="598"/>
      <c r="FL147" s="598"/>
      <c r="FM147" s="598"/>
      <c r="FN147" s="598"/>
      <c r="FO147" s="598"/>
      <c r="FP147" s="598"/>
      <c r="FQ147" s="598"/>
      <c r="FR147" s="598"/>
      <c r="FS147" s="598"/>
      <c r="FT147" s="598"/>
      <c r="FU147" s="598"/>
      <c r="FV147" s="598"/>
      <c r="FW147" s="598"/>
      <c r="FX147" s="598"/>
      <c r="FY147" s="598"/>
      <c r="FZ147" s="598"/>
      <c r="GA147" s="598"/>
      <c r="GB147" s="598"/>
      <c r="GC147" s="598"/>
      <c r="GD147" s="598"/>
      <c r="GE147" s="598"/>
      <c r="GF147" s="598"/>
      <c r="GG147" s="598"/>
      <c r="GH147" s="598"/>
      <c r="GI147" s="598"/>
      <c r="GJ147" s="598"/>
      <c r="GK147" s="598"/>
      <c r="GL147" s="598"/>
      <c r="GM147" s="598"/>
      <c r="GN147" s="598"/>
      <c r="GO147" s="598"/>
      <c r="GP147" s="598"/>
      <c r="GQ147" s="598"/>
      <c r="GR147" s="598"/>
      <c r="GS147" s="598"/>
      <c r="GT147" s="598"/>
      <c r="GU147" s="598"/>
      <c r="GV147" s="598"/>
      <c r="GW147" s="598"/>
      <c r="GX147" s="598"/>
      <c r="GY147" s="598"/>
      <c r="GZ147" s="598"/>
      <c r="HA147" s="598"/>
      <c r="HB147" s="598"/>
      <c r="HC147" s="598"/>
      <c r="HD147" s="598"/>
      <c r="HE147" s="598"/>
      <c r="HF147" s="598"/>
      <c r="HG147" s="598"/>
      <c r="HH147" s="598"/>
      <c r="HI147" s="598"/>
      <c r="HJ147" s="598"/>
      <c r="HK147" s="598"/>
      <c r="HL147" s="598"/>
      <c r="HM147" s="598"/>
      <c r="HN147" s="598"/>
      <c r="HO147" s="598"/>
      <c r="HP147" s="598"/>
      <c r="HQ147" s="598"/>
      <c r="HR147" s="598"/>
      <c r="HS147" s="598"/>
      <c r="HT147" s="598"/>
      <c r="HU147" s="598"/>
      <c r="HV147" s="598"/>
      <c r="HW147" s="598"/>
      <c r="HX147" s="598"/>
      <c r="HY147" s="598"/>
      <c r="HZ147" s="598"/>
      <c r="IA147" s="598"/>
      <c r="IB147" s="598"/>
      <c r="IC147" s="598"/>
      <c r="ID147" s="598"/>
      <c r="IE147" s="598"/>
      <c r="IF147" s="598"/>
      <c r="IG147" s="598"/>
      <c r="IH147" s="598"/>
      <c r="II147" s="598"/>
      <c r="IJ147" s="598"/>
      <c r="IK147" s="598"/>
      <c r="IL147" s="598"/>
      <c r="IM147" s="598"/>
      <c r="IN147" s="598"/>
      <c r="IO147" s="598"/>
      <c r="IP147" s="598"/>
      <c r="IQ147" s="598"/>
      <c r="IR147" s="598"/>
      <c r="IS147" s="598"/>
      <c r="IT147" s="598"/>
      <c r="IU147" s="598"/>
      <c r="IV147" s="598"/>
      <c r="IW147" s="598"/>
      <c r="IX147" s="598"/>
      <c r="IY147" s="598"/>
      <c r="IZ147" s="598"/>
      <c r="JA147" s="598"/>
      <c r="JB147" s="598"/>
      <c r="JC147" s="598"/>
      <c r="JD147" s="598"/>
      <c r="JE147" s="598"/>
      <c r="JF147" s="598"/>
      <c r="JG147" s="598"/>
      <c r="JH147" s="598"/>
      <c r="JI147" s="598"/>
      <c r="JJ147" s="598"/>
      <c r="JK147" s="598"/>
      <c r="JL147" s="598"/>
      <c r="JM147" s="598"/>
      <c r="JN147" s="598"/>
      <c r="JO147" s="598"/>
      <c r="JP147" s="598"/>
      <c r="JQ147" s="598"/>
      <c r="JR147" s="598"/>
      <c r="JS147" s="598"/>
      <c r="JT147" s="598"/>
      <c r="JU147" s="598"/>
      <c r="JV147" s="598"/>
    </row>
    <row r="148" spans="1:282" s="21" customFormat="1" ht="50.1" customHeight="1" x14ac:dyDescent="0.2">
      <c r="A148" s="702"/>
      <c r="B148" s="69" t="s">
        <v>1137</v>
      </c>
      <c r="C148" s="69"/>
      <c r="D148" s="69"/>
      <c r="E148" s="69" t="s">
        <v>350</v>
      </c>
      <c r="F148" s="104" t="s">
        <v>2417</v>
      </c>
      <c r="G148" s="29" t="s">
        <v>306</v>
      </c>
      <c r="H148" s="29" t="s">
        <v>1135</v>
      </c>
      <c r="I148" s="29"/>
      <c r="J148" s="69" t="s">
        <v>307</v>
      </c>
      <c r="K148" s="29" t="s">
        <v>1393</v>
      </c>
      <c r="L148" s="29" t="s">
        <v>12</v>
      </c>
      <c r="M148" s="29" t="s">
        <v>1528</v>
      </c>
      <c r="N148" s="74">
        <v>40900</v>
      </c>
      <c r="O148" s="29">
        <v>1022840113</v>
      </c>
      <c r="P148" s="29"/>
      <c r="Q148" s="29"/>
      <c r="R148" s="29"/>
      <c r="S148" s="29"/>
      <c r="T148" s="597"/>
      <c r="U148" s="597"/>
      <c r="V148" s="597"/>
      <c r="W148" s="597"/>
      <c r="X148" s="597"/>
      <c r="Y148" s="597"/>
      <c r="Z148" s="597"/>
      <c r="AA148" s="597"/>
      <c r="AB148" s="597"/>
      <c r="AC148" s="597"/>
      <c r="AD148" s="597"/>
      <c r="AE148" s="597"/>
      <c r="AF148" s="597"/>
      <c r="AG148" s="597"/>
      <c r="AH148" s="597"/>
      <c r="AI148" s="597"/>
      <c r="AJ148" s="74">
        <v>41398</v>
      </c>
      <c r="AK148" s="720"/>
      <c r="AL148" s="155"/>
      <c r="AM148" s="598"/>
      <c r="AN148" s="598"/>
      <c r="AO148" s="598"/>
      <c r="AP148" s="598"/>
      <c r="AQ148" s="598"/>
      <c r="AR148" s="598"/>
      <c r="AS148" s="598"/>
      <c r="AT148" s="598"/>
      <c r="AU148" s="598"/>
      <c r="AV148" s="598"/>
      <c r="AW148" s="598"/>
      <c r="AX148" s="598"/>
      <c r="AY148" s="598"/>
      <c r="AZ148" s="598"/>
      <c r="BA148" s="598"/>
      <c r="BB148" s="598"/>
      <c r="BC148" s="598"/>
      <c r="BD148" s="598"/>
      <c r="BE148" s="598"/>
      <c r="BF148" s="598"/>
      <c r="BG148" s="598"/>
      <c r="BH148" s="598"/>
      <c r="BI148" s="598"/>
      <c r="BJ148" s="598"/>
      <c r="BK148" s="598"/>
      <c r="BL148" s="598"/>
      <c r="BM148" s="598"/>
      <c r="BN148" s="598"/>
      <c r="BO148" s="598"/>
      <c r="BP148" s="598"/>
      <c r="BQ148" s="598"/>
      <c r="BR148" s="598"/>
      <c r="BS148" s="598"/>
      <c r="BT148" s="598"/>
      <c r="BU148" s="598"/>
      <c r="BV148" s="598"/>
      <c r="BW148" s="598"/>
      <c r="BX148" s="598"/>
      <c r="BY148" s="598"/>
      <c r="BZ148" s="598"/>
      <c r="CA148" s="598"/>
      <c r="CB148" s="598"/>
      <c r="CC148" s="598"/>
      <c r="CD148" s="598"/>
      <c r="CE148" s="598"/>
      <c r="CF148" s="598"/>
      <c r="CG148" s="598"/>
      <c r="CH148" s="598"/>
      <c r="CI148" s="598"/>
      <c r="CJ148" s="598"/>
      <c r="CK148" s="598"/>
      <c r="CL148" s="598"/>
      <c r="CM148" s="598"/>
      <c r="CN148" s="598"/>
      <c r="CO148" s="598"/>
      <c r="CP148" s="598"/>
      <c r="CQ148" s="598"/>
      <c r="CR148" s="598"/>
      <c r="CS148" s="598"/>
      <c r="CT148" s="598"/>
      <c r="CU148" s="598"/>
      <c r="CV148" s="598"/>
      <c r="CW148" s="598"/>
      <c r="CX148" s="598"/>
      <c r="CY148" s="598"/>
      <c r="CZ148" s="598"/>
      <c r="DA148" s="598"/>
      <c r="DB148" s="598"/>
      <c r="DC148" s="598"/>
      <c r="DD148" s="598"/>
      <c r="DE148" s="598"/>
      <c r="DF148" s="598"/>
      <c r="DG148" s="598"/>
      <c r="DH148" s="598"/>
      <c r="DI148" s="598"/>
      <c r="DJ148" s="598"/>
      <c r="DK148" s="598"/>
      <c r="DL148" s="598"/>
      <c r="DM148" s="598"/>
      <c r="DN148" s="598"/>
      <c r="DO148" s="598"/>
      <c r="DP148" s="598"/>
      <c r="DQ148" s="598"/>
      <c r="DR148" s="598"/>
      <c r="DS148" s="598"/>
      <c r="DT148" s="598"/>
      <c r="DU148" s="598"/>
      <c r="DV148" s="598"/>
      <c r="DW148" s="598"/>
      <c r="DX148" s="598"/>
      <c r="DY148" s="598"/>
      <c r="DZ148" s="598"/>
      <c r="EA148" s="598"/>
      <c r="EB148" s="598"/>
      <c r="EC148" s="598"/>
      <c r="ED148" s="598"/>
      <c r="EE148" s="598"/>
      <c r="EF148" s="598"/>
      <c r="EG148" s="598"/>
      <c r="EH148" s="598"/>
      <c r="EI148" s="598"/>
      <c r="EJ148" s="598"/>
      <c r="EK148" s="598"/>
      <c r="EL148" s="598"/>
      <c r="EM148" s="598"/>
      <c r="EN148" s="598"/>
      <c r="EO148" s="598"/>
      <c r="EP148" s="598"/>
      <c r="EQ148" s="598"/>
      <c r="ER148" s="598"/>
      <c r="ES148" s="598"/>
      <c r="ET148" s="598"/>
      <c r="EU148" s="598"/>
      <c r="EV148" s="598"/>
      <c r="EW148" s="598"/>
      <c r="EX148" s="598"/>
      <c r="EY148" s="598"/>
      <c r="EZ148" s="598"/>
      <c r="FA148" s="598"/>
      <c r="FB148" s="598"/>
      <c r="FC148" s="598"/>
      <c r="FD148" s="598"/>
      <c r="FE148" s="598"/>
      <c r="FF148" s="598"/>
      <c r="FG148" s="598"/>
      <c r="FH148" s="598"/>
      <c r="FI148" s="598"/>
      <c r="FJ148" s="598"/>
      <c r="FK148" s="598"/>
      <c r="FL148" s="598"/>
      <c r="FM148" s="598"/>
      <c r="FN148" s="598"/>
      <c r="FO148" s="598"/>
      <c r="FP148" s="598"/>
      <c r="FQ148" s="598"/>
      <c r="FR148" s="598"/>
      <c r="FS148" s="598"/>
      <c r="FT148" s="598"/>
      <c r="FU148" s="598"/>
      <c r="FV148" s="598"/>
      <c r="FW148" s="598"/>
      <c r="FX148" s="598"/>
      <c r="FY148" s="598"/>
      <c r="FZ148" s="598"/>
      <c r="GA148" s="598"/>
      <c r="GB148" s="598"/>
      <c r="GC148" s="598"/>
      <c r="GD148" s="598"/>
      <c r="GE148" s="598"/>
      <c r="GF148" s="598"/>
      <c r="GG148" s="598"/>
      <c r="GH148" s="598"/>
      <c r="GI148" s="598"/>
      <c r="GJ148" s="598"/>
      <c r="GK148" s="598"/>
      <c r="GL148" s="598"/>
      <c r="GM148" s="598"/>
      <c r="GN148" s="598"/>
      <c r="GO148" s="598"/>
      <c r="GP148" s="598"/>
      <c r="GQ148" s="598"/>
      <c r="GR148" s="598"/>
      <c r="GS148" s="598"/>
      <c r="GT148" s="598"/>
      <c r="GU148" s="598"/>
      <c r="GV148" s="598"/>
      <c r="GW148" s="598"/>
      <c r="GX148" s="598"/>
      <c r="GY148" s="598"/>
      <c r="GZ148" s="598"/>
      <c r="HA148" s="598"/>
      <c r="HB148" s="598"/>
      <c r="HC148" s="598"/>
      <c r="HD148" s="598"/>
      <c r="HE148" s="598"/>
      <c r="HF148" s="598"/>
      <c r="HG148" s="598"/>
      <c r="HH148" s="598"/>
      <c r="HI148" s="598"/>
      <c r="HJ148" s="598"/>
      <c r="HK148" s="598"/>
      <c r="HL148" s="598"/>
      <c r="HM148" s="598"/>
      <c r="HN148" s="598"/>
      <c r="HO148" s="598"/>
      <c r="HP148" s="598"/>
      <c r="HQ148" s="598"/>
      <c r="HR148" s="598"/>
      <c r="HS148" s="598"/>
      <c r="HT148" s="598"/>
      <c r="HU148" s="598"/>
      <c r="HV148" s="598"/>
      <c r="HW148" s="598"/>
      <c r="HX148" s="598"/>
      <c r="HY148" s="598"/>
      <c r="HZ148" s="598"/>
      <c r="IA148" s="598"/>
      <c r="IB148" s="598"/>
      <c r="IC148" s="598"/>
      <c r="ID148" s="598"/>
      <c r="IE148" s="598"/>
      <c r="IF148" s="598"/>
      <c r="IG148" s="598"/>
      <c r="IH148" s="598"/>
      <c r="II148" s="598"/>
      <c r="IJ148" s="598"/>
      <c r="IK148" s="598"/>
      <c r="IL148" s="598"/>
      <c r="IM148" s="598"/>
      <c r="IN148" s="598"/>
      <c r="IO148" s="598"/>
      <c r="IP148" s="598"/>
      <c r="IQ148" s="598"/>
      <c r="IR148" s="598"/>
      <c r="IS148" s="598"/>
      <c r="IT148" s="598"/>
      <c r="IU148" s="598"/>
      <c r="IV148" s="598"/>
      <c r="IW148" s="598"/>
      <c r="IX148" s="598"/>
      <c r="IY148" s="598"/>
      <c r="IZ148" s="598"/>
      <c r="JA148" s="598"/>
      <c r="JB148" s="598"/>
      <c r="JC148" s="598"/>
      <c r="JD148" s="598"/>
      <c r="JE148" s="598"/>
      <c r="JF148" s="598"/>
      <c r="JG148" s="598"/>
      <c r="JH148" s="598"/>
      <c r="JI148" s="598"/>
      <c r="JJ148" s="598"/>
      <c r="JK148" s="598"/>
      <c r="JL148" s="598"/>
      <c r="JM148" s="598"/>
      <c r="JN148" s="598"/>
      <c r="JO148" s="598"/>
      <c r="JP148" s="598"/>
      <c r="JQ148" s="598"/>
      <c r="JR148" s="598"/>
      <c r="JS148" s="598"/>
      <c r="JT148" s="598"/>
      <c r="JU148" s="598"/>
      <c r="JV148" s="598"/>
    </row>
    <row r="149" spans="1:282" s="21" customFormat="1" ht="50.1" customHeight="1" x14ac:dyDescent="0.2">
      <c r="A149" s="702"/>
      <c r="B149" s="69" t="s">
        <v>1137</v>
      </c>
      <c r="C149" s="69"/>
      <c r="D149" s="69"/>
      <c r="E149" s="74" t="s">
        <v>73</v>
      </c>
      <c r="F149" s="104" t="s">
        <v>32</v>
      </c>
      <c r="G149" s="29" t="s">
        <v>33</v>
      </c>
      <c r="H149" s="29" t="s">
        <v>93</v>
      </c>
      <c r="I149" s="29"/>
      <c r="J149" s="69" t="s">
        <v>34</v>
      </c>
      <c r="K149" s="29" t="s">
        <v>1393</v>
      </c>
      <c r="L149" s="29" t="s">
        <v>18</v>
      </c>
      <c r="M149" s="29" t="s">
        <v>1528</v>
      </c>
      <c r="N149" s="74">
        <v>40170</v>
      </c>
      <c r="O149" s="69" t="s">
        <v>3019</v>
      </c>
      <c r="P149" s="69"/>
      <c r="Q149" s="69"/>
      <c r="R149" s="69"/>
      <c r="S149" s="69"/>
      <c r="T149" s="597"/>
      <c r="U149" s="597"/>
      <c r="V149" s="597"/>
      <c r="W149" s="597"/>
      <c r="X149" s="597"/>
      <c r="Y149" s="597"/>
      <c r="Z149" s="597"/>
      <c r="AA149" s="597"/>
      <c r="AB149" s="597"/>
      <c r="AC149" s="597"/>
      <c r="AD149" s="597"/>
      <c r="AE149" s="597"/>
      <c r="AF149" s="597"/>
      <c r="AG149" s="597"/>
      <c r="AH149" s="597"/>
      <c r="AI149" s="597"/>
      <c r="AJ149" s="74">
        <v>41414</v>
      </c>
      <c r="AK149" s="648">
        <v>12</v>
      </c>
      <c r="AL149" s="174"/>
      <c r="AM149" s="598"/>
      <c r="AN149" s="598"/>
      <c r="AO149" s="598"/>
      <c r="AP149" s="598"/>
      <c r="AQ149" s="598"/>
      <c r="AR149" s="598"/>
      <c r="AS149" s="598"/>
      <c r="AT149" s="598"/>
      <c r="AU149" s="598"/>
      <c r="AV149" s="598"/>
      <c r="AW149" s="598"/>
      <c r="AX149" s="598"/>
      <c r="AY149" s="598"/>
      <c r="AZ149" s="598"/>
      <c r="BA149" s="598"/>
      <c r="BB149" s="598"/>
      <c r="BC149" s="598"/>
      <c r="BD149" s="598"/>
      <c r="BE149" s="598"/>
      <c r="BF149" s="598"/>
      <c r="BG149" s="598"/>
      <c r="BH149" s="598"/>
      <c r="BI149" s="598"/>
      <c r="BJ149" s="598"/>
      <c r="BK149" s="598"/>
      <c r="BL149" s="598"/>
      <c r="BM149" s="598"/>
      <c r="BN149" s="598"/>
      <c r="BO149" s="598"/>
      <c r="BP149" s="598"/>
      <c r="BQ149" s="598"/>
      <c r="BR149" s="598"/>
      <c r="BS149" s="598"/>
      <c r="BT149" s="598"/>
      <c r="BU149" s="598"/>
      <c r="BV149" s="598"/>
      <c r="BW149" s="598"/>
      <c r="BX149" s="598"/>
      <c r="BY149" s="598"/>
      <c r="BZ149" s="598"/>
      <c r="CA149" s="598"/>
      <c r="CB149" s="598"/>
      <c r="CC149" s="598"/>
      <c r="CD149" s="598"/>
      <c r="CE149" s="598"/>
      <c r="CF149" s="598"/>
      <c r="CG149" s="598"/>
      <c r="CH149" s="598"/>
      <c r="CI149" s="598"/>
      <c r="CJ149" s="598"/>
      <c r="CK149" s="598"/>
      <c r="CL149" s="598"/>
      <c r="CM149" s="598"/>
      <c r="CN149" s="598"/>
      <c r="CO149" s="598"/>
      <c r="CP149" s="598"/>
      <c r="CQ149" s="598"/>
      <c r="CR149" s="598"/>
      <c r="CS149" s="598"/>
      <c r="CT149" s="598"/>
      <c r="CU149" s="598"/>
      <c r="CV149" s="598"/>
      <c r="CW149" s="598"/>
      <c r="CX149" s="598"/>
      <c r="CY149" s="598"/>
      <c r="CZ149" s="598"/>
      <c r="DA149" s="598"/>
      <c r="DB149" s="598"/>
      <c r="DC149" s="598"/>
      <c r="DD149" s="598"/>
      <c r="DE149" s="598"/>
      <c r="DF149" s="598"/>
      <c r="DG149" s="598"/>
      <c r="DH149" s="598"/>
      <c r="DI149" s="598"/>
      <c r="DJ149" s="598"/>
      <c r="DK149" s="598"/>
      <c r="DL149" s="598"/>
      <c r="DM149" s="598"/>
      <c r="DN149" s="598"/>
      <c r="DO149" s="598"/>
      <c r="DP149" s="598"/>
      <c r="DQ149" s="598"/>
      <c r="DR149" s="598"/>
      <c r="DS149" s="598"/>
      <c r="DT149" s="598"/>
      <c r="DU149" s="598"/>
      <c r="DV149" s="598"/>
      <c r="DW149" s="598"/>
      <c r="DX149" s="598"/>
      <c r="DY149" s="598"/>
      <c r="DZ149" s="598"/>
      <c r="EA149" s="598"/>
      <c r="EB149" s="598"/>
      <c r="EC149" s="598"/>
      <c r="ED149" s="598"/>
      <c r="EE149" s="598"/>
      <c r="EF149" s="598"/>
      <c r="EG149" s="598"/>
      <c r="EH149" s="598"/>
      <c r="EI149" s="598"/>
      <c r="EJ149" s="598"/>
      <c r="EK149" s="598"/>
      <c r="EL149" s="598"/>
      <c r="EM149" s="598"/>
      <c r="EN149" s="598"/>
      <c r="EO149" s="598"/>
      <c r="EP149" s="598"/>
      <c r="EQ149" s="598"/>
      <c r="ER149" s="598"/>
      <c r="ES149" s="598"/>
      <c r="ET149" s="598"/>
      <c r="EU149" s="598"/>
      <c r="EV149" s="598"/>
      <c r="EW149" s="598"/>
      <c r="EX149" s="598"/>
      <c r="EY149" s="598"/>
      <c r="EZ149" s="598"/>
      <c r="FA149" s="598"/>
      <c r="FB149" s="598"/>
      <c r="FC149" s="598"/>
      <c r="FD149" s="598"/>
      <c r="FE149" s="598"/>
      <c r="FF149" s="598"/>
      <c r="FG149" s="598"/>
      <c r="FH149" s="598"/>
      <c r="FI149" s="598"/>
      <c r="FJ149" s="598"/>
      <c r="FK149" s="598"/>
      <c r="FL149" s="598"/>
      <c r="FM149" s="598"/>
      <c r="FN149" s="598"/>
      <c r="FO149" s="598"/>
      <c r="FP149" s="598"/>
      <c r="FQ149" s="598"/>
      <c r="FR149" s="598"/>
      <c r="FS149" s="598"/>
      <c r="FT149" s="598"/>
      <c r="FU149" s="598"/>
      <c r="FV149" s="598"/>
      <c r="FW149" s="598"/>
      <c r="FX149" s="598"/>
      <c r="FY149" s="598"/>
      <c r="FZ149" s="598"/>
      <c r="GA149" s="598"/>
      <c r="GB149" s="598"/>
      <c r="GC149" s="598"/>
      <c r="GD149" s="598"/>
      <c r="GE149" s="598"/>
      <c r="GF149" s="598"/>
      <c r="GG149" s="598"/>
      <c r="GH149" s="598"/>
      <c r="GI149" s="598"/>
      <c r="GJ149" s="598"/>
      <c r="GK149" s="598"/>
      <c r="GL149" s="598"/>
      <c r="GM149" s="598"/>
      <c r="GN149" s="598"/>
      <c r="GO149" s="598"/>
      <c r="GP149" s="598"/>
      <c r="GQ149" s="598"/>
      <c r="GR149" s="598"/>
      <c r="GS149" s="598"/>
      <c r="GT149" s="598"/>
      <c r="GU149" s="598"/>
      <c r="GV149" s="598"/>
      <c r="GW149" s="598"/>
      <c r="GX149" s="598"/>
      <c r="GY149" s="598"/>
      <c r="GZ149" s="598"/>
      <c r="HA149" s="598"/>
      <c r="HB149" s="598"/>
      <c r="HC149" s="598"/>
      <c r="HD149" s="598"/>
      <c r="HE149" s="598"/>
      <c r="HF149" s="598"/>
      <c r="HG149" s="598"/>
      <c r="HH149" s="598"/>
      <c r="HI149" s="598"/>
      <c r="HJ149" s="598"/>
      <c r="HK149" s="598"/>
      <c r="HL149" s="598"/>
      <c r="HM149" s="598"/>
      <c r="HN149" s="598"/>
      <c r="HO149" s="598"/>
      <c r="HP149" s="598"/>
      <c r="HQ149" s="598"/>
      <c r="HR149" s="598"/>
      <c r="HS149" s="598"/>
      <c r="HT149" s="598"/>
      <c r="HU149" s="598"/>
      <c r="HV149" s="598"/>
      <c r="HW149" s="598"/>
      <c r="HX149" s="598"/>
      <c r="HY149" s="598"/>
      <c r="HZ149" s="598"/>
      <c r="IA149" s="598"/>
      <c r="IB149" s="598"/>
      <c r="IC149" s="598"/>
      <c r="ID149" s="598"/>
      <c r="IE149" s="598"/>
      <c r="IF149" s="598"/>
      <c r="IG149" s="598"/>
      <c r="IH149" s="598"/>
      <c r="II149" s="598"/>
      <c r="IJ149" s="598"/>
      <c r="IK149" s="598"/>
      <c r="IL149" s="598"/>
      <c r="IM149" s="598"/>
      <c r="IN149" s="598"/>
      <c r="IO149" s="598"/>
      <c r="IP149" s="598"/>
      <c r="IQ149" s="598"/>
      <c r="IR149" s="598"/>
      <c r="IS149" s="598"/>
      <c r="IT149" s="598"/>
      <c r="IU149" s="598"/>
      <c r="IV149" s="598"/>
      <c r="IW149" s="598"/>
      <c r="IX149" s="598"/>
      <c r="IY149" s="598"/>
      <c r="IZ149" s="598"/>
      <c r="JA149" s="598"/>
      <c r="JB149" s="598"/>
      <c r="JC149" s="598"/>
      <c r="JD149" s="598"/>
      <c r="JE149" s="598"/>
      <c r="JF149" s="598"/>
      <c r="JG149" s="598"/>
      <c r="JH149" s="598"/>
      <c r="JI149" s="598"/>
      <c r="JJ149" s="598"/>
      <c r="JK149" s="598"/>
      <c r="JL149" s="598"/>
      <c r="JM149" s="598"/>
      <c r="JN149" s="598"/>
      <c r="JO149" s="598"/>
      <c r="JP149" s="598"/>
      <c r="JQ149" s="598"/>
      <c r="JR149" s="598"/>
      <c r="JS149" s="598"/>
      <c r="JT149" s="598"/>
      <c r="JU149" s="598"/>
      <c r="JV149" s="598"/>
    </row>
    <row r="150" spans="1:282" s="21" customFormat="1" ht="50.1" customHeight="1" x14ac:dyDescent="0.2">
      <c r="A150" s="702"/>
      <c r="B150" s="69" t="s">
        <v>1137</v>
      </c>
      <c r="C150" s="69"/>
      <c r="D150" s="69"/>
      <c r="E150" s="69" t="s">
        <v>313</v>
      </c>
      <c r="F150" s="104" t="s">
        <v>294</v>
      </c>
      <c r="G150" s="29" t="s">
        <v>294</v>
      </c>
      <c r="H150" s="29" t="s">
        <v>295</v>
      </c>
      <c r="I150" s="29"/>
      <c r="J150" s="29" t="s">
        <v>1221</v>
      </c>
      <c r="K150" s="30" t="s">
        <v>1394</v>
      </c>
      <c r="L150" s="29" t="s">
        <v>18</v>
      </c>
      <c r="M150" s="29" t="s">
        <v>1528</v>
      </c>
      <c r="N150" s="74">
        <v>40851</v>
      </c>
      <c r="O150" s="69" t="s">
        <v>314</v>
      </c>
      <c r="P150" s="69"/>
      <c r="Q150" s="69"/>
      <c r="R150" s="69"/>
      <c r="S150" s="69"/>
      <c r="T150" s="597"/>
      <c r="U150" s="597"/>
      <c r="V150" s="597"/>
      <c r="W150" s="597"/>
      <c r="X150" s="597"/>
      <c r="Y150" s="597"/>
      <c r="Z150" s="597"/>
      <c r="AA150" s="597"/>
      <c r="AB150" s="597"/>
      <c r="AC150" s="597"/>
      <c r="AD150" s="597"/>
      <c r="AE150" s="597"/>
      <c r="AF150" s="597"/>
      <c r="AG150" s="597"/>
      <c r="AH150" s="597"/>
      <c r="AI150" s="597"/>
      <c r="AJ150" s="73">
        <v>41463</v>
      </c>
      <c r="AK150" s="648">
        <v>1</v>
      </c>
      <c r="AL150" s="174"/>
      <c r="AM150" s="598"/>
      <c r="AN150" s="598"/>
      <c r="AO150" s="598"/>
      <c r="AP150" s="598"/>
      <c r="AQ150" s="598"/>
      <c r="AR150" s="598"/>
      <c r="AS150" s="598"/>
      <c r="AT150" s="598"/>
      <c r="AU150" s="598"/>
      <c r="AV150" s="598"/>
      <c r="AW150" s="598"/>
      <c r="AX150" s="598"/>
      <c r="AY150" s="598"/>
      <c r="AZ150" s="598"/>
      <c r="BA150" s="598"/>
      <c r="BB150" s="598"/>
      <c r="BC150" s="598"/>
      <c r="BD150" s="598"/>
      <c r="BE150" s="598"/>
      <c r="BF150" s="598"/>
      <c r="BG150" s="598"/>
      <c r="BH150" s="598"/>
      <c r="BI150" s="598"/>
      <c r="BJ150" s="598"/>
      <c r="BK150" s="598"/>
      <c r="BL150" s="598"/>
      <c r="BM150" s="598"/>
      <c r="BN150" s="598"/>
      <c r="BO150" s="598"/>
      <c r="BP150" s="598"/>
      <c r="BQ150" s="598"/>
      <c r="BR150" s="598"/>
      <c r="BS150" s="598"/>
      <c r="BT150" s="598"/>
      <c r="BU150" s="598"/>
      <c r="BV150" s="598"/>
      <c r="BW150" s="598"/>
      <c r="BX150" s="598"/>
      <c r="BY150" s="598"/>
      <c r="BZ150" s="598"/>
      <c r="CA150" s="598"/>
      <c r="CB150" s="598"/>
      <c r="CC150" s="598"/>
      <c r="CD150" s="598"/>
      <c r="CE150" s="598"/>
      <c r="CF150" s="598"/>
      <c r="CG150" s="598"/>
      <c r="CH150" s="598"/>
      <c r="CI150" s="598"/>
      <c r="CJ150" s="598"/>
      <c r="CK150" s="598"/>
      <c r="CL150" s="598"/>
      <c r="CM150" s="598"/>
      <c r="CN150" s="598"/>
      <c r="CO150" s="598"/>
      <c r="CP150" s="598"/>
      <c r="CQ150" s="598"/>
      <c r="CR150" s="598"/>
      <c r="CS150" s="598"/>
      <c r="CT150" s="598"/>
      <c r="CU150" s="598"/>
      <c r="CV150" s="598"/>
      <c r="CW150" s="598"/>
      <c r="CX150" s="598"/>
      <c r="CY150" s="598"/>
      <c r="CZ150" s="598"/>
      <c r="DA150" s="598"/>
      <c r="DB150" s="598"/>
      <c r="DC150" s="598"/>
      <c r="DD150" s="598"/>
      <c r="DE150" s="598"/>
      <c r="DF150" s="598"/>
      <c r="DG150" s="598"/>
      <c r="DH150" s="598"/>
      <c r="DI150" s="598"/>
      <c r="DJ150" s="598"/>
      <c r="DK150" s="598"/>
      <c r="DL150" s="598"/>
      <c r="DM150" s="598"/>
      <c r="DN150" s="598"/>
      <c r="DO150" s="598"/>
      <c r="DP150" s="598"/>
      <c r="DQ150" s="598"/>
      <c r="DR150" s="598"/>
      <c r="DS150" s="598"/>
      <c r="DT150" s="598"/>
      <c r="DU150" s="598"/>
      <c r="DV150" s="598"/>
      <c r="DW150" s="598"/>
      <c r="DX150" s="598"/>
      <c r="DY150" s="598"/>
      <c r="DZ150" s="598"/>
      <c r="EA150" s="598"/>
      <c r="EB150" s="598"/>
      <c r="EC150" s="598"/>
      <c r="ED150" s="598"/>
      <c r="EE150" s="598"/>
      <c r="EF150" s="598"/>
      <c r="EG150" s="598"/>
      <c r="EH150" s="598"/>
      <c r="EI150" s="598"/>
      <c r="EJ150" s="598"/>
      <c r="EK150" s="598"/>
      <c r="EL150" s="598"/>
      <c r="EM150" s="598"/>
      <c r="EN150" s="598"/>
      <c r="EO150" s="598"/>
      <c r="EP150" s="598"/>
      <c r="EQ150" s="598"/>
      <c r="ER150" s="598"/>
      <c r="ES150" s="598"/>
      <c r="ET150" s="598"/>
      <c r="EU150" s="598"/>
      <c r="EV150" s="598"/>
      <c r="EW150" s="598"/>
      <c r="EX150" s="598"/>
      <c r="EY150" s="598"/>
      <c r="EZ150" s="598"/>
      <c r="FA150" s="598"/>
      <c r="FB150" s="598"/>
      <c r="FC150" s="598"/>
      <c r="FD150" s="598"/>
      <c r="FE150" s="598"/>
      <c r="FF150" s="598"/>
      <c r="FG150" s="598"/>
      <c r="FH150" s="598"/>
      <c r="FI150" s="598"/>
      <c r="FJ150" s="598"/>
      <c r="FK150" s="598"/>
      <c r="FL150" s="598"/>
      <c r="FM150" s="598"/>
      <c r="FN150" s="598"/>
      <c r="FO150" s="598"/>
      <c r="FP150" s="598"/>
      <c r="FQ150" s="598"/>
      <c r="FR150" s="598"/>
      <c r="FS150" s="598"/>
      <c r="FT150" s="598"/>
      <c r="FU150" s="598"/>
      <c r="FV150" s="598"/>
      <c r="FW150" s="598"/>
      <c r="FX150" s="598"/>
      <c r="FY150" s="598"/>
      <c r="FZ150" s="598"/>
      <c r="GA150" s="598"/>
      <c r="GB150" s="598"/>
      <c r="GC150" s="598"/>
      <c r="GD150" s="598"/>
      <c r="GE150" s="598"/>
      <c r="GF150" s="598"/>
      <c r="GG150" s="598"/>
      <c r="GH150" s="598"/>
      <c r="GI150" s="598"/>
      <c r="GJ150" s="598"/>
      <c r="GK150" s="598"/>
      <c r="GL150" s="598"/>
      <c r="GM150" s="598"/>
      <c r="GN150" s="598"/>
      <c r="GO150" s="598"/>
      <c r="GP150" s="598"/>
      <c r="GQ150" s="598"/>
      <c r="GR150" s="598"/>
      <c r="GS150" s="598"/>
      <c r="GT150" s="598"/>
      <c r="GU150" s="598"/>
      <c r="GV150" s="598"/>
      <c r="GW150" s="598"/>
      <c r="GX150" s="598"/>
      <c r="GY150" s="598"/>
      <c r="GZ150" s="598"/>
      <c r="HA150" s="598"/>
      <c r="HB150" s="598"/>
      <c r="HC150" s="598"/>
      <c r="HD150" s="598"/>
      <c r="HE150" s="598"/>
      <c r="HF150" s="598"/>
      <c r="HG150" s="598"/>
      <c r="HH150" s="598"/>
      <c r="HI150" s="598"/>
      <c r="HJ150" s="598"/>
      <c r="HK150" s="598"/>
      <c r="HL150" s="598"/>
      <c r="HM150" s="598"/>
      <c r="HN150" s="598"/>
      <c r="HO150" s="598"/>
      <c r="HP150" s="598"/>
      <c r="HQ150" s="598"/>
      <c r="HR150" s="598"/>
      <c r="HS150" s="598"/>
      <c r="HT150" s="598"/>
      <c r="HU150" s="598"/>
      <c r="HV150" s="598"/>
      <c r="HW150" s="598"/>
      <c r="HX150" s="598"/>
      <c r="HY150" s="598"/>
      <c r="HZ150" s="598"/>
      <c r="IA150" s="598"/>
      <c r="IB150" s="598"/>
      <c r="IC150" s="598"/>
      <c r="ID150" s="598"/>
      <c r="IE150" s="598"/>
      <c r="IF150" s="598"/>
      <c r="IG150" s="598"/>
      <c r="IH150" s="598"/>
      <c r="II150" s="598"/>
      <c r="IJ150" s="598"/>
      <c r="IK150" s="598"/>
      <c r="IL150" s="598"/>
      <c r="IM150" s="598"/>
      <c r="IN150" s="598"/>
      <c r="IO150" s="598"/>
      <c r="IP150" s="598"/>
      <c r="IQ150" s="598"/>
      <c r="IR150" s="598"/>
      <c r="IS150" s="598"/>
      <c r="IT150" s="598"/>
      <c r="IU150" s="598"/>
      <c r="IV150" s="598"/>
      <c r="IW150" s="598"/>
      <c r="IX150" s="598"/>
      <c r="IY150" s="598"/>
      <c r="IZ150" s="598"/>
      <c r="JA150" s="598"/>
      <c r="JB150" s="598"/>
      <c r="JC150" s="598"/>
      <c r="JD150" s="598"/>
      <c r="JE150" s="598"/>
      <c r="JF150" s="598"/>
      <c r="JG150" s="598"/>
      <c r="JH150" s="598"/>
      <c r="JI150" s="598"/>
      <c r="JJ150" s="598"/>
      <c r="JK150" s="598"/>
      <c r="JL150" s="598"/>
      <c r="JM150" s="598"/>
      <c r="JN150" s="598"/>
      <c r="JO150" s="598"/>
      <c r="JP150" s="598"/>
      <c r="JQ150" s="598"/>
      <c r="JR150" s="598"/>
      <c r="JS150" s="598"/>
      <c r="JT150" s="598"/>
      <c r="JU150" s="598"/>
      <c r="JV150" s="598"/>
    </row>
    <row r="151" spans="1:282" s="21" customFormat="1" ht="50.1" customHeight="1" x14ac:dyDescent="0.2">
      <c r="A151" s="702"/>
      <c r="B151" s="69" t="s">
        <v>1137</v>
      </c>
      <c r="C151" s="69"/>
      <c r="D151" s="69"/>
      <c r="E151" s="69" t="s">
        <v>331</v>
      </c>
      <c r="F151" s="104" t="s">
        <v>304</v>
      </c>
      <c r="G151" s="29" t="s">
        <v>294</v>
      </c>
      <c r="H151" s="29" t="s">
        <v>295</v>
      </c>
      <c r="I151" s="29"/>
      <c r="J151" s="29" t="s">
        <v>296</v>
      </c>
      <c r="K151" s="29" t="s">
        <v>1393</v>
      </c>
      <c r="L151" s="29" t="s">
        <v>18</v>
      </c>
      <c r="M151" s="29" t="s">
        <v>1528</v>
      </c>
      <c r="N151" s="74">
        <v>40856</v>
      </c>
      <c r="O151" s="69" t="s">
        <v>330</v>
      </c>
      <c r="P151" s="69"/>
      <c r="Q151" s="69"/>
      <c r="R151" s="69"/>
      <c r="S151" s="69"/>
      <c r="T151" s="597"/>
      <c r="U151" s="597"/>
      <c r="V151" s="597"/>
      <c r="W151" s="597"/>
      <c r="X151" s="597"/>
      <c r="Y151" s="597"/>
      <c r="Z151" s="597"/>
      <c r="AA151" s="597"/>
      <c r="AB151" s="597"/>
      <c r="AC151" s="597"/>
      <c r="AD151" s="597"/>
      <c r="AE151" s="597"/>
      <c r="AF151" s="597"/>
      <c r="AG151" s="597"/>
      <c r="AH151" s="597"/>
      <c r="AI151" s="597"/>
      <c r="AJ151" s="73">
        <v>41463</v>
      </c>
      <c r="AK151" s="741"/>
      <c r="AL151" s="171"/>
      <c r="AM151" s="598"/>
      <c r="AN151" s="598"/>
      <c r="AO151" s="598"/>
      <c r="AP151" s="598"/>
      <c r="AQ151" s="598"/>
      <c r="AR151" s="598"/>
      <c r="AS151" s="598"/>
      <c r="AT151" s="598"/>
      <c r="AU151" s="598"/>
      <c r="AV151" s="598"/>
      <c r="AW151" s="598"/>
      <c r="AX151" s="598"/>
      <c r="AY151" s="598"/>
      <c r="AZ151" s="598"/>
      <c r="BA151" s="598"/>
      <c r="BB151" s="598"/>
      <c r="BC151" s="598"/>
      <c r="BD151" s="598"/>
      <c r="BE151" s="598"/>
      <c r="BF151" s="598"/>
      <c r="BG151" s="598"/>
      <c r="BH151" s="598"/>
      <c r="BI151" s="598"/>
      <c r="BJ151" s="598"/>
      <c r="BK151" s="598"/>
      <c r="BL151" s="598"/>
      <c r="BM151" s="598"/>
      <c r="BN151" s="598"/>
      <c r="BO151" s="598"/>
      <c r="BP151" s="598"/>
      <c r="BQ151" s="598"/>
      <c r="BR151" s="598"/>
      <c r="BS151" s="598"/>
      <c r="BT151" s="598"/>
      <c r="BU151" s="598"/>
      <c r="BV151" s="598"/>
      <c r="BW151" s="598"/>
      <c r="BX151" s="598"/>
      <c r="BY151" s="598"/>
      <c r="BZ151" s="598"/>
      <c r="CA151" s="598"/>
      <c r="CB151" s="598"/>
      <c r="CC151" s="598"/>
      <c r="CD151" s="598"/>
      <c r="CE151" s="598"/>
      <c r="CF151" s="598"/>
      <c r="CG151" s="598"/>
      <c r="CH151" s="598"/>
      <c r="CI151" s="598"/>
      <c r="CJ151" s="598"/>
      <c r="CK151" s="598"/>
      <c r="CL151" s="598"/>
      <c r="CM151" s="598"/>
      <c r="CN151" s="598"/>
      <c r="CO151" s="598"/>
      <c r="CP151" s="598"/>
      <c r="CQ151" s="598"/>
      <c r="CR151" s="598"/>
      <c r="CS151" s="598"/>
      <c r="CT151" s="598"/>
      <c r="CU151" s="598"/>
      <c r="CV151" s="598"/>
      <c r="CW151" s="598"/>
      <c r="CX151" s="598"/>
      <c r="CY151" s="598"/>
      <c r="CZ151" s="598"/>
      <c r="DA151" s="598"/>
      <c r="DB151" s="598"/>
      <c r="DC151" s="598"/>
      <c r="DD151" s="598"/>
      <c r="DE151" s="598"/>
      <c r="DF151" s="598"/>
      <c r="DG151" s="598"/>
      <c r="DH151" s="598"/>
      <c r="DI151" s="598"/>
      <c r="DJ151" s="598"/>
      <c r="DK151" s="598"/>
      <c r="DL151" s="598"/>
      <c r="DM151" s="598"/>
      <c r="DN151" s="598"/>
      <c r="DO151" s="598"/>
      <c r="DP151" s="598"/>
      <c r="DQ151" s="598"/>
      <c r="DR151" s="598"/>
      <c r="DS151" s="598"/>
      <c r="DT151" s="598"/>
      <c r="DU151" s="598"/>
      <c r="DV151" s="598"/>
      <c r="DW151" s="598"/>
      <c r="DX151" s="598"/>
      <c r="DY151" s="598"/>
      <c r="DZ151" s="598"/>
      <c r="EA151" s="598"/>
      <c r="EB151" s="598"/>
      <c r="EC151" s="598"/>
      <c r="ED151" s="598"/>
      <c r="EE151" s="598"/>
      <c r="EF151" s="598"/>
      <c r="EG151" s="598"/>
      <c r="EH151" s="598"/>
      <c r="EI151" s="598"/>
      <c r="EJ151" s="598"/>
      <c r="EK151" s="598"/>
      <c r="EL151" s="598"/>
      <c r="EM151" s="598"/>
      <c r="EN151" s="598"/>
      <c r="EO151" s="598"/>
      <c r="EP151" s="598"/>
      <c r="EQ151" s="598"/>
      <c r="ER151" s="598"/>
      <c r="ES151" s="598"/>
      <c r="ET151" s="598"/>
      <c r="EU151" s="598"/>
      <c r="EV151" s="598"/>
      <c r="EW151" s="598"/>
      <c r="EX151" s="598"/>
      <c r="EY151" s="598"/>
      <c r="EZ151" s="598"/>
      <c r="FA151" s="598"/>
      <c r="FB151" s="598"/>
      <c r="FC151" s="598"/>
      <c r="FD151" s="598"/>
      <c r="FE151" s="598"/>
      <c r="FF151" s="598"/>
      <c r="FG151" s="598"/>
      <c r="FH151" s="598"/>
      <c r="FI151" s="598"/>
      <c r="FJ151" s="598"/>
      <c r="FK151" s="598"/>
      <c r="FL151" s="598"/>
      <c r="FM151" s="598"/>
      <c r="FN151" s="598"/>
      <c r="FO151" s="598"/>
      <c r="FP151" s="598"/>
      <c r="FQ151" s="598"/>
      <c r="FR151" s="598"/>
      <c r="FS151" s="598"/>
      <c r="FT151" s="598"/>
      <c r="FU151" s="598"/>
      <c r="FV151" s="598"/>
      <c r="FW151" s="598"/>
      <c r="FX151" s="598"/>
      <c r="FY151" s="598"/>
      <c r="FZ151" s="598"/>
      <c r="GA151" s="598"/>
      <c r="GB151" s="598"/>
      <c r="GC151" s="598"/>
      <c r="GD151" s="598"/>
      <c r="GE151" s="598"/>
      <c r="GF151" s="598"/>
      <c r="GG151" s="598"/>
      <c r="GH151" s="598"/>
      <c r="GI151" s="598"/>
      <c r="GJ151" s="598"/>
      <c r="GK151" s="598"/>
      <c r="GL151" s="598"/>
      <c r="GM151" s="598"/>
      <c r="GN151" s="598"/>
      <c r="GO151" s="598"/>
      <c r="GP151" s="598"/>
      <c r="GQ151" s="598"/>
      <c r="GR151" s="598"/>
      <c r="GS151" s="598"/>
      <c r="GT151" s="598"/>
      <c r="GU151" s="598"/>
      <c r="GV151" s="598"/>
      <c r="GW151" s="598"/>
      <c r="GX151" s="598"/>
      <c r="GY151" s="598"/>
      <c r="GZ151" s="598"/>
      <c r="HA151" s="598"/>
      <c r="HB151" s="598"/>
      <c r="HC151" s="598"/>
      <c r="HD151" s="598"/>
      <c r="HE151" s="598"/>
      <c r="HF151" s="598"/>
      <c r="HG151" s="598"/>
      <c r="HH151" s="598"/>
      <c r="HI151" s="598"/>
      <c r="HJ151" s="598"/>
      <c r="HK151" s="598"/>
      <c r="HL151" s="598"/>
      <c r="HM151" s="598"/>
      <c r="HN151" s="598"/>
      <c r="HO151" s="598"/>
      <c r="HP151" s="598"/>
      <c r="HQ151" s="598"/>
      <c r="HR151" s="598"/>
      <c r="HS151" s="598"/>
      <c r="HT151" s="598"/>
      <c r="HU151" s="598"/>
      <c r="HV151" s="598"/>
      <c r="HW151" s="598"/>
      <c r="HX151" s="598"/>
      <c r="HY151" s="598"/>
      <c r="HZ151" s="598"/>
      <c r="IA151" s="598"/>
      <c r="IB151" s="598"/>
      <c r="IC151" s="598"/>
      <c r="ID151" s="598"/>
      <c r="IE151" s="598"/>
      <c r="IF151" s="598"/>
      <c r="IG151" s="598"/>
      <c r="IH151" s="598"/>
      <c r="II151" s="598"/>
      <c r="IJ151" s="598"/>
      <c r="IK151" s="598"/>
      <c r="IL151" s="598"/>
      <c r="IM151" s="598"/>
      <c r="IN151" s="598"/>
      <c r="IO151" s="598"/>
      <c r="IP151" s="598"/>
      <c r="IQ151" s="598"/>
      <c r="IR151" s="598"/>
      <c r="IS151" s="598"/>
      <c r="IT151" s="598"/>
      <c r="IU151" s="598"/>
      <c r="IV151" s="598"/>
      <c r="IW151" s="598"/>
      <c r="IX151" s="598"/>
      <c r="IY151" s="598"/>
      <c r="IZ151" s="598"/>
      <c r="JA151" s="598"/>
      <c r="JB151" s="598"/>
      <c r="JC151" s="598"/>
      <c r="JD151" s="598"/>
      <c r="JE151" s="598"/>
      <c r="JF151" s="598"/>
      <c r="JG151" s="598"/>
      <c r="JH151" s="598"/>
      <c r="JI151" s="598"/>
      <c r="JJ151" s="598"/>
      <c r="JK151" s="598"/>
      <c r="JL151" s="598"/>
      <c r="JM151" s="598"/>
      <c r="JN151" s="598"/>
      <c r="JO151" s="598"/>
      <c r="JP151" s="598"/>
      <c r="JQ151" s="598"/>
      <c r="JR151" s="598"/>
      <c r="JS151" s="598"/>
      <c r="JT151" s="598"/>
      <c r="JU151" s="598"/>
      <c r="JV151" s="598"/>
    </row>
    <row r="152" spans="1:282" s="21" customFormat="1" ht="50.1" customHeight="1" x14ac:dyDescent="0.2">
      <c r="A152" s="702"/>
      <c r="B152" s="69" t="s">
        <v>1137</v>
      </c>
      <c r="C152" s="69"/>
      <c r="D152" s="69"/>
      <c r="E152" s="69" t="s">
        <v>242</v>
      </c>
      <c r="F152" s="104" t="s">
        <v>240</v>
      </c>
      <c r="G152" s="29" t="s">
        <v>240</v>
      </c>
      <c r="H152" s="29" t="s">
        <v>241</v>
      </c>
      <c r="I152" s="29"/>
      <c r="J152" s="29" t="s">
        <v>763</v>
      </c>
      <c r="K152" s="30" t="s">
        <v>1394</v>
      </c>
      <c r="L152" s="29" t="s">
        <v>12</v>
      </c>
      <c r="M152" s="29" t="s">
        <v>1528</v>
      </c>
      <c r="N152" s="74">
        <v>40716</v>
      </c>
      <c r="O152" s="69" t="s">
        <v>243</v>
      </c>
      <c r="P152" s="69"/>
      <c r="Q152" s="69"/>
      <c r="R152" s="69"/>
      <c r="S152" s="69"/>
      <c r="T152" s="597"/>
      <c r="U152" s="597"/>
      <c r="V152" s="597"/>
      <c r="W152" s="597"/>
      <c r="X152" s="597"/>
      <c r="Y152" s="597"/>
      <c r="Z152" s="597"/>
      <c r="AA152" s="597"/>
      <c r="AB152" s="597"/>
      <c r="AC152" s="597"/>
      <c r="AD152" s="597"/>
      <c r="AE152" s="597"/>
      <c r="AF152" s="597"/>
      <c r="AG152" s="597"/>
      <c r="AH152" s="597"/>
      <c r="AI152" s="597"/>
      <c r="AJ152" s="73">
        <v>41484</v>
      </c>
      <c r="AK152" s="720"/>
      <c r="AL152" s="603"/>
      <c r="AM152" s="598"/>
      <c r="AN152" s="598"/>
      <c r="AO152" s="598"/>
      <c r="AP152" s="598"/>
      <c r="AQ152" s="598"/>
      <c r="AR152" s="598"/>
      <c r="AS152" s="598"/>
      <c r="AT152" s="598"/>
      <c r="AU152" s="598"/>
      <c r="AV152" s="598"/>
      <c r="AW152" s="598"/>
      <c r="AX152" s="598"/>
      <c r="AY152" s="598"/>
      <c r="AZ152" s="598"/>
      <c r="BA152" s="598"/>
      <c r="BB152" s="598"/>
      <c r="BC152" s="598"/>
      <c r="BD152" s="598"/>
      <c r="BE152" s="598"/>
      <c r="BF152" s="598"/>
      <c r="BG152" s="598"/>
      <c r="BH152" s="598"/>
      <c r="BI152" s="598"/>
      <c r="BJ152" s="598"/>
      <c r="BK152" s="598"/>
      <c r="BL152" s="598"/>
      <c r="BM152" s="598"/>
      <c r="BN152" s="598"/>
      <c r="BO152" s="598"/>
      <c r="BP152" s="598"/>
      <c r="BQ152" s="598"/>
      <c r="BR152" s="598"/>
      <c r="BS152" s="598"/>
      <c r="BT152" s="598"/>
      <c r="BU152" s="598"/>
      <c r="BV152" s="598"/>
      <c r="BW152" s="598"/>
      <c r="BX152" s="598"/>
      <c r="BY152" s="598"/>
      <c r="BZ152" s="598"/>
      <c r="CA152" s="598"/>
      <c r="CB152" s="598"/>
      <c r="CC152" s="598"/>
      <c r="CD152" s="598"/>
      <c r="CE152" s="598"/>
      <c r="CF152" s="598"/>
      <c r="CG152" s="598"/>
      <c r="CH152" s="598"/>
      <c r="CI152" s="598"/>
      <c r="CJ152" s="598"/>
      <c r="CK152" s="598"/>
      <c r="CL152" s="598"/>
      <c r="CM152" s="598"/>
      <c r="CN152" s="598"/>
      <c r="CO152" s="598"/>
      <c r="CP152" s="598"/>
      <c r="CQ152" s="598"/>
      <c r="CR152" s="598"/>
      <c r="CS152" s="598"/>
      <c r="CT152" s="598"/>
      <c r="CU152" s="598"/>
      <c r="CV152" s="598"/>
      <c r="CW152" s="598"/>
      <c r="CX152" s="598"/>
      <c r="CY152" s="598"/>
      <c r="CZ152" s="598"/>
      <c r="DA152" s="598"/>
      <c r="DB152" s="598"/>
      <c r="DC152" s="598"/>
      <c r="DD152" s="598"/>
      <c r="DE152" s="598"/>
      <c r="DF152" s="598"/>
      <c r="DG152" s="598"/>
      <c r="DH152" s="598"/>
      <c r="DI152" s="598"/>
      <c r="DJ152" s="598"/>
      <c r="DK152" s="598"/>
      <c r="DL152" s="598"/>
      <c r="DM152" s="598"/>
      <c r="DN152" s="598"/>
      <c r="DO152" s="598"/>
      <c r="DP152" s="598"/>
      <c r="DQ152" s="598"/>
      <c r="DR152" s="598"/>
      <c r="DS152" s="598"/>
      <c r="DT152" s="598"/>
      <c r="DU152" s="598"/>
      <c r="DV152" s="598"/>
      <c r="DW152" s="598"/>
      <c r="DX152" s="598"/>
      <c r="DY152" s="598"/>
      <c r="DZ152" s="598"/>
      <c r="EA152" s="598"/>
      <c r="EB152" s="598"/>
      <c r="EC152" s="598"/>
      <c r="ED152" s="598"/>
      <c r="EE152" s="598"/>
      <c r="EF152" s="598"/>
      <c r="EG152" s="598"/>
      <c r="EH152" s="598"/>
      <c r="EI152" s="598"/>
      <c r="EJ152" s="598"/>
      <c r="EK152" s="598"/>
      <c r="EL152" s="598"/>
      <c r="EM152" s="598"/>
      <c r="EN152" s="598"/>
      <c r="EO152" s="598"/>
      <c r="EP152" s="598"/>
      <c r="EQ152" s="598"/>
      <c r="ER152" s="598"/>
      <c r="ES152" s="598"/>
      <c r="ET152" s="598"/>
      <c r="EU152" s="598"/>
      <c r="EV152" s="598"/>
      <c r="EW152" s="598"/>
      <c r="EX152" s="598"/>
      <c r="EY152" s="598"/>
      <c r="EZ152" s="598"/>
      <c r="FA152" s="598"/>
      <c r="FB152" s="598"/>
      <c r="FC152" s="598"/>
      <c r="FD152" s="598"/>
      <c r="FE152" s="598"/>
      <c r="FF152" s="598"/>
      <c r="FG152" s="598"/>
      <c r="FH152" s="598"/>
      <c r="FI152" s="598"/>
      <c r="FJ152" s="598"/>
      <c r="FK152" s="598"/>
      <c r="FL152" s="598"/>
      <c r="FM152" s="598"/>
      <c r="FN152" s="598"/>
      <c r="FO152" s="598"/>
      <c r="FP152" s="598"/>
      <c r="FQ152" s="598"/>
      <c r="FR152" s="598"/>
      <c r="FS152" s="598"/>
      <c r="FT152" s="598"/>
      <c r="FU152" s="598"/>
      <c r="FV152" s="598"/>
      <c r="FW152" s="598"/>
      <c r="FX152" s="598"/>
      <c r="FY152" s="598"/>
      <c r="FZ152" s="598"/>
      <c r="GA152" s="598"/>
      <c r="GB152" s="598"/>
      <c r="GC152" s="598"/>
      <c r="GD152" s="598"/>
      <c r="GE152" s="598"/>
      <c r="GF152" s="598"/>
      <c r="GG152" s="598"/>
      <c r="GH152" s="598"/>
      <c r="GI152" s="598"/>
      <c r="GJ152" s="598"/>
      <c r="GK152" s="598"/>
      <c r="GL152" s="598"/>
      <c r="GM152" s="598"/>
      <c r="GN152" s="598"/>
      <c r="GO152" s="598"/>
      <c r="GP152" s="598"/>
      <c r="GQ152" s="598"/>
      <c r="GR152" s="598"/>
      <c r="GS152" s="598"/>
      <c r="GT152" s="598"/>
      <c r="GU152" s="598"/>
      <c r="GV152" s="598"/>
      <c r="GW152" s="598"/>
      <c r="GX152" s="598"/>
      <c r="GY152" s="598"/>
      <c r="GZ152" s="598"/>
      <c r="HA152" s="598"/>
      <c r="HB152" s="598"/>
      <c r="HC152" s="598"/>
      <c r="HD152" s="598"/>
      <c r="HE152" s="598"/>
      <c r="HF152" s="598"/>
      <c r="HG152" s="598"/>
      <c r="HH152" s="598"/>
      <c r="HI152" s="598"/>
      <c r="HJ152" s="598"/>
      <c r="HK152" s="598"/>
      <c r="HL152" s="598"/>
      <c r="HM152" s="598"/>
      <c r="HN152" s="598"/>
      <c r="HO152" s="598"/>
      <c r="HP152" s="598"/>
      <c r="HQ152" s="598"/>
      <c r="HR152" s="598"/>
      <c r="HS152" s="598"/>
      <c r="HT152" s="598"/>
      <c r="HU152" s="598"/>
      <c r="HV152" s="598"/>
      <c r="HW152" s="598"/>
      <c r="HX152" s="598"/>
      <c r="HY152" s="598"/>
      <c r="HZ152" s="598"/>
      <c r="IA152" s="598"/>
      <c r="IB152" s="598"/>
      <c r="IC152" s="598"/>
      <c r="ID152" s="598"/>
      <c r="IE152" s="598"/>
      <c r="IF152" s="598"/>
      <c r="IG152" s="598"/>
      <c r="IH152" s="598"/>
      <c r="II152" s="598"/>
      <c r="IJ152" s="598"/>
      <c r="IK152" s="598"/>
      <c r="IL152" s="598"/>
      <c r="IM152" s="598"/>
      <c r="IN152" s="598"/>
      <c r="IO152" s="598"/>
      <c r="IP152" s="598"/>
      <c r="IQ152" s="598"/>
      <c r="IR152" s="598"/>
      <c r="IS152" s="598"/>
      <c r="IT152" s="598"/>
      <c r="IU152" s="598"/>
      <c r="IV152" s="598"/>
      <c r="IW152" s="598"/>
      <c r="IX152" s="598"/>
      <c r="IY152" s="598"/>
      <c r="IZ152" s="598"/>
      <c r="JA152" s="598"/>
      <c r="JB152" s="598"/>
      <c r="JC152" s="598"/>
      <c r="JD152" s="598"/>
      <c r="JE152" s="598"/>
      <c r="JF152" s="598"/>
      <c r="JG152" s="598"/>
      <c r="JH152" s="598"/>
      <c r="JI152" s="598"/>
      <c r="JJ152" s="598"/>
      <c r="JK152" s="598"/>
      <c r="JL152" s="598"/>
      <c r="JM152" s="598"/>
      <c r="JN152" s="598"/>
      <c r="JO152" s="598"/>
      <c r="JP152" s="598"/>
      <c r="JQ152" s="598"/>
      <c r="JR152" s="598"/>
      <c r="JS152" s="598"/>
      <c r="JT152" s="598"/>
      <c r="JU152" s="598"/>
      <c r="JV152" s="598"/>
    </row>
    <row r="153" spans="1:282" s="21" customFormat="1" ht="50.1" customHeight="1" x14ac:dyDescent="0.2">
      <c r="A153" s="702"/>
      <c r="B153" s="68" t="s">
        <v>584</v>
      </c>
      <c r="C153" s="68"/>
      <c r="D153" s="68"/>
      <c r="E153" s="188" t="s">
        <v>483</v>
      </c>
      <c r="F153" s="189" t="s">
        <v>484</v>
      </c>
      <c r="G153" s="188" t="s">
        <v>33</v>
      </c>
      <c r="H153" s="188"/>
      <c r="I153" s="188"/>
      <c r="J153" s="188" t="s">
        <v>2313</v>
      </c>
      <c r="K153" s="29" t="s">
        <v>1393</v>
      </c>
      <c r="L153" s="29" t="s">
        <v>18</v>
      </c>
      <c r="M153" s="188" t="s">
        <v>2399</v>
      </c>
      <c r="N153" s="73">
        <v>41089</v>
      </c>
      <c r="O153" s="69" t="s">
        <v>560</v>
      </c>
      <c r="P153" s="69"/>
      <c r="Q153" s="69"/>
      <c r="R153" s="69"/>
      <c r="S153" s="69"/>
      <c r="T153" s="597"/>
      <c r="U153" s="597"/>
      <c r="V153" s="597"/>
      <c r="W153" s="597"/>
      <c r="X153" s="597"/>
      <c r="Y153" s="597"/>
      <c r="Z153" s="597"/>
      <c r="AA153" s="597"/>
      <c r="AB153" s="597"/>
      <c r="AC153" s="597"/>
      <c r="AD153" s="597"/>
      <c r="AE153" s="597"/>
      <c r="AF153" s="597"/>
      <c r="AG153" s="597"/>
      <c r="AH153" s="597"/>
      <c r="AI153" s="597"/>
      <c r="AJ153" s="281">
        <v>41484</v>
      </c>
      <c r="AK153" s="648"/>
      <c r="AL153" s="174"/>
      <c r="AM153" s="598"/>
      <c r="AN153" s="598"/>
      <c r="AO153" s="598"/>
      <c r="AP153" s="598"/>
      <c r="AQ153" s="598"/>
      <c r="AR153" s="598"/>
      <c r="AS153" s="598"/>
      <c r="AT153" s="598"/>
      <c r="AU153" s="598"/>
      <c r="AV153" s="598"/>
      <c r="AW153" s="598"/>
      <c r="AX153" s="598"/>
      <c r="AY153" s="598"/>
      <c r="AZ153" s="598"/>
      <c r="BA153" s="598"/>
      <c r="BB153" s="598"/>
      <c r="BC153" s="598"/>
      <c r="BD153" s="598"/>
      <c r="BE153" s="598"/>
      <c r="BF153" s="598"/>
      <c r="BG153" s="598"/>
      <c r="BH153" s="598"/>
      <c r="BI153" s="598"/>
      <c r="BJ153" s="598"/>
      <c r="BK153" s="598"/>
      <c r="BL153" s="598"/>
      <c r="BM153" s="598"/>
      <c r="BN153" s="598"/>
      <c r="BO153" s="598"/>
      <c r="BP153" s="598"/>
      <c r="BQ153" s="598"/>
      <c r="BR153" s="598"/>
      <c r="BS153" s="598"/>
      <c r="BT153" s="598"/>
      <c r="BU153" s="598"/>
      <c r="BV153" s="598"/>
      <c r="BW153" s="598"/>
      <c r="BX153" s="598"/>
      <c r="BY153" s="598"/>
      <c r="BZ153" s="598"/>
      <c r="CA153" s="598"/>
      <c r="CB153" s="598"/>
      <c r="CC153" s="598"/>
      <c r="CD153" s="598"/>
      <c r="CE153" s="598"/>
      <c r="CF153" s="598"/>
      <c r="CG153" s="598"/>
      <c r="CH153" s="598"/>
      <c r="CI153" s="598"/>
      <c r="CJ153" s="598"/>
      <c r="CK153" s="598"/>
      <c r="CL153" s="598"/>
      <c r="CM153" s="598"/>
      <c r="CN153" s="598"/>
      <c r="CO153" s="598"/>
      <c r="CP153" s="598"/>
      <c r="CQ153" s="598"/>
      <c r="CR153" s="598"/>
      <c r="CS153" s="598"/>
      <c r="CT153" s="598"/>
      <c r="CU153" s="598"/>
      <c r="CV153" s="598"/>
      <c r="CW153" s="598"/>
      <c r="CX153" s="598"/>
      <c r="CY153" s="598"/>
      <c r="CZ153" s="598"/>
      <c r="DA153" s="598"/>
      <c r="DB153" s="598"/>
      <c r="DC153" s="598"/>
      <c r="DD153" s="598"/>
      <c r="DE153" s="598"/>
      <c r="DF153" s="598"/>
      <c r="DG153" s="598"/>
      <c r="DH153" s="598"/>
      <c r="DI153" s="598"/>
      <c r="DJ153" s="598"/>
      <c r="DK153" s="598"/>
      <c r="DL153" s="598"/>
      <c r="DM153" s="598"/>
      <c r="DN153" s="598"/>
      <c r="DO153" s="598"/>
      <c r="DP153" s="598"/>
      <c r="DQ153" s="598"/>
      <c r="DR153" s="598"/>
      <c r="DS153" s="598"/>
      <c r="DT153" s="598"/>
      <c r="DU153" s="598"/>
      <c r="DV153" s="598"/>
      <c r="DW153" s="598"/>
      <c r="DX153" s="598"/>
      <c r="DY153" s="598"/>
      <c r="DZ153" s="598"/>
      <c r="EA153" s="598"/>
      <c r="EB153" s="598"/>
      <c r="EC153" s="598"/>
      <c r="ED153" s="598"/>
      <c r="EE153" s="598"/>
      <c r="EF153" s="598"/>
      <c r="EG153" s="598"/>
      <c r="EH153" s="598"/>
      <c r="EI153" s="598"/>
      <c r="EJ153" s="598"/>
      <c r="EK153" s="598"/>
      <c r="EL153" s="598"/>
      <c r="EM153" s="598"/>
      <c r="EN153" s="598"/>
      <c r="EO153" s="598"/>
      <c r="EP153" s="598"/>
      <c r="EQ153" s="598"/>
      <c r="ER153" s="598"/>
      <c r="ES153" s="598"/>
      <c r="ET153" s="598"/>
      <c r="EU153" s="598"/>
      <c r="EV153" s="598"/>
      <c r="EW153" s="598"/>
      <c r="EX153" s="598"/>
      <c r="EY153" s="598"/>
      <c r="EZ153" s="598"/>
      <c r="FA153" s="598"/>
      <c r="FB153" s="598"/>
      <c r="FC153" s="598"/>
      <c r="FD153" s="598"/>
      <c r="FE153" s="598"/>
      <c r="FF153" s="598"/>
      <c r="FG153" s="598"/>
      <c r="FH153" s="598"/>
      <c r="FI153" s="598"/>
      <c r="FJ153" s="598"/>
      <c r="FK153" s="598"/>
      <c r="FL153" s="598"/>
      <c r="FM153" s="598"/>
      <c r="FN153" s="598"/>
      <c r="FO153" s="598"/>
      <c r="FP153" s="598"/>
      <c r="FQ153" s="598"/>
      <c r="FR153" s="598"/>
      <c r="FS153" s="598"/>
      <c r="FT153" s="598"/>
      <c r="FU153" s="598"/>
      <c r="FV153" s="598"/>
      <c r="FW153" s="598"/>
      <c r="FX153" s="598"/>
      <c r="FY153" s="598"/>
      <c r="FZ153" s="598"/>
      <c r="GA153" s="598"/>
      <c r="GB153" s="598"/>
      <c r="GC153" s="598"/>
      <c r="GD153" s="598"/>
      <c r="GE153" s="598"/>
      <c r="GF153" s="598"/>
      <c r="GG153" s="598"/>
      <c r="GH153" s="598"/>
      <c r="GI153" s="598"/>
      <c r="GJ153" s="598"/>
      <c r="GK153" s="598"/>
      <c r="GL153" s="598"/>
      <c r="GM153" s="598"/>
      <c r="GN153" s="598"/>
      <c r="GO153" s="598"/>
      <c r="GP153" s="598"/>
      <c r="GQ153" s="598"/>
      <c r="GR153" s="598"/>
      <c r="GS153" s="598"/>
      <c r="GT153" s="598"/>
      <c r="GU153" s="598"/>
      <c r="GV153" s="598"/>
      <c r="GW153" s="598"/>
      <c r="GX153" s="598"/>
      <c r="GY153" s="598"/>
      <c r="GZ153" s="598"/>
      <c r="HA153" s="598"/>
      <c r="HB153" s="598"/>
      <c r="HC153" s="598"/>
      <c r="HD153" s="598"/>
      <c r="HE153" s="598"/>
      <c r="HF153" s="598"/>
      <c r="HG153" s="598"/>
      <c r="HH153" s="598"/>
      <c r="HI153" s="598"/>
      <c r="HJ153" s="598"/>
      <c r="HK153" s="598"/>
      <c r="HL153" s="598"/>
      <c r="HM153" s="598"/>
      <c r="HN153" s="598"/>
      <c r="HO153" s="598"/>
      <c r="HP153" s="598"/>
      <c r="HQ153" s="598"/>
      <c r="HR153" s="598"/>
      <c r="HS153" s="598"/>
      <c r="HT153" s="598"/>
      <c r="HU153" s="598"/>
      <c r="HV153" s="598"/>
      <c r="HW153" s="598"/>
      <c r="HX153" s="598"/>
      <c r="HY153" s="598"/>
      <c r="HZ153" s="598"/>
      <c r="IA153" s="598"/>
      <c r="IB153" s="598"/>
      <c r="IC153" s="598"/>
      <c r="ID153" s="598"/>
      <c r="IE153" s="598"/>
      <c r="IF153" s="598"/>
      <c r="IG153" s="598"/>
      <c r="IH153" s="598"/>
      <c r="II153" s="598"/>
      <c r="IJ153" s="598"/>
      <c r="IK153" s="598"/>
      <c r="IL153" s="598"/>
      <c r="IM153" s="598"/>
      <c r="IN153" s="598"/>
      <c r="IO153" s="598"/>
      <c r="IP153" s="598"/>
      <c r="IQ153" s="598"/>
      <c r="IR153" s="598"/>
      <c r="IS153" s="598"/>
      <c r="IT153" s="598"/>
      <c r="IU153" s="598"/>
      <c r="IV153" s="598"/>
      <c r="IW153" s="598"/>
      <c r="IX153" s="598"/>
      <c r="IY153" s="598"/>
      <c r="IZ153" s="598"/>
      <c r="JA153" s="598"/>
      <c r="JB153" s="598"/>
      <c r="JC153" s="598"/>
      <c r="JD153" s="598"/>
      <c r="JE153" s="598"/>
      <c r="JF153" s="598"/>
      <c r="JG153" s="598"/>
      <c r="JH153" s="598"/>
      <c r="JI153" s="598"/>
      <c r="JJ153" s="598"/>
      <c r="JK153" s="598"/>
      <c r="JL153" s="598"/>
      <c r="JM153" s="598"/>
      <c r="JN153" s="598"/>
      <c r="JO153" s="598"/>
      <c r="JP153" s="598"/>
      <c r="JQ153" s="598"/>
      <c r="JR153" s="598"/>
      <c r="JS153" s="598"/>
      <c r="JT153" s="598"/>
      <c r="JU153" s="598"/>
      <c r="JV153" s="598"/>
    </row>
    <row r="154" spans="1:282" s="21" customFormat="1" ht="50.1" customHeight="1" x14ac:dyDescent="0.2">
      <c r="A154" s="702"/>
      <c r="B154" s="69" t="s">
        <v>1137</v>
      </c>
      <c r="C154" s="69"/>
      <c r="D154" s="69"/>
      <c r="E154" s="69" t="s">
        <v>447</v>
      </c>
      <c r="F154" s="198" t="s">
        <v>436</v>
      </c>
      <c r="G154" s="74" t="s">
        <v>436</v>
      </c>
      <c r="H154" s="29" t="s">
        <v>438</v>
      </c>
      <c r="I154" s="29"/>
      <c r="J154" s="74" t="s">
        <v>437</v>
      </c>
      <c r="K154" s="30" t="s">
        <v>1394</v>
      </c>
      <c r="L154" s="29" t="s">
        <v>12</v>
      </c>
      <c r="M154" s="29" t="s">
        <v>1528</v>
      </c>
      <c r="N154" s="74">
        <v>41163</v>
      </c>
      <c r="O154" s="69" t="s">
        <v>448</v>
      </c>
      <c r="P154" s="69"/>
      <c r="Q154" s="69"/>
      <c r="R154" s="69"/>
      <c r="S154" s="69"/>
      <c r="T154" s="597"/>
      <c r="U154" s="597"/>
      <c r="V154" s="597"/>
      <c r="W154" s="597"/>
      <c r="X154" s="597"/>
      <c r="Y154" s="597"/>
      <c r="Z154" s="597"/>
      <c r="AA154" s="597"/>
      <c r="AB154" s="597"/>
      <c r="AC154" s="597"/>
      <c r="AD154" s="597"/>
      <c r="AE154" s="597"/>
      <c r="AF154" s="597"/>
      <c r="AG154" s="597"/>
      <c r="AH154" s="597"/>
      <c r="AI154" s="597"/>
      <c r="AJ154" s="281">
        <v>41491</v>
      </c>
      <c r="AK154" s="648"/>
      <c r="AL154" s="174"/>
      <c r="AM154" s="598"/>
      <c r="AN154" s="598"/>
      <c r="AO154" s="598"/>
      <c r="AP154" s="598"/>
      <c r="AQ154" s="598"/>
      <c r="AR154" s="598"/>
      <c r="AS154" s="598"/>
      <c r="AT154" s="598"/>
      <c r="AU154" s="598"/>
      <c r="AV154" s="598"/>
      <c r="AW154" s="598"/>
      <c r="AX154" s="598"/>
      <c r="AY154" s="598"/>
      <c r="AZ154" s="598"/>
      <c r="BA154" s="598"/>
      <c r="BB154" s="598"/>
      <c r="BC154" s="598"/>
      <c r="BD154" s="598"/>
      <c r="BE154" s="598"/>
      <c r="BF154" s="598"/>
      <c r="BG154" s="598"/>
      <c r="BH154" s="598"/>
      <c r="BI154" s="598"/>
      <c r="BJ154" s="598"/>
      <c r="BK154" s="598"/>
      <c r="BL154" s="598"/>
      <c r="BM154" s="598"/>
      <c r="BN154" s="598"/>
      <c r="BO154" s="598"/>
      <c r="BP154" s="598"/>
      <c r="BQ154" s="598"/>
      <c r="BR154" s="598"/>
      <c r="BS154" s="598"/>
      <c r="BT154" s="598"/>
      <c r="BU154" s="598"/>
      <c r="BV154" s="598"/>
      <c r="BW154" s="598"/>
      <c r="BX154" s="598"/>
      <c r="BY154" s="598"/>
      <c r="BZ154" s="598"/>
      <c r="CA154" s="598"/>
      <c r="CB154" s="598"/>
      <c r="CC154" s="598"/>
      <c r="CD154" s="598"/>
      <c r="CE154" s="598"/>
      <c r="CF154" s="598"/>
      <c r="CG154" s="598"/>
      <c r="CH154" s="598"/>
      <c r="CI154" s="598"/>
      <c r="CJ154" s="598"/>
      <c r="CK154" s="598"/>
      <c r="CL154" s="598"/>
      <c r="CM154" s="598"/>
      <c r="CN154" s="598"/>
      <c r="CO154" s="598"/>
      <c r="CP154" s="598"/>
      <c r="CQ154" s="598"/>
      <c r="CR154" s="598"/>
      <c r="CS154" s="598"/>
      <c r="CT154" s="598"/>
      <c r="CU154" s="598"/>
      <c r="CV154" s="598"/>
      <c r="CW154" s="598"/>
      <c r="CX154" s="598"/>
      <c r="CY154" s="598"/>
      <c r="CZ154" s="598"/>
      <c r="DA154" s="598"/>
      <c r="DB154" s="598"/>
      <c r="DC154" s="598"/>
      <c r="DD154" s="598"/>
      <c r="DE154" s="598"/>
      <c r="DF154" s="598"/>
      <c r="DG154" s="598"/>
      <c r="DH154" s="598"/>
      <c r="DI154" s="598"/>
      <c r="DJ154" s="598"/>
      <c r="DK154" s="598"/>
      <c r="DL154" s="598"/>
      <c r="DM154" s="598"/>
      <c r="DN154" s="598"/>
      <c r="DO154" s="598"/>
      <c r="DP154" s="598"/>
      <c r="DQ154" s="598"/>
      <c r="DR154" s="598"/>
      <c r="DS154" s="598"/>
      <c r="DT154" s="598"/>
      <c r="DU154" s="598"/>
      <c r="DV154" s="598"/>
      <c r="DW154" s="598"/>
      <c r="DX154" s="598"/>
      <c r="DY154" s="598"/>
      <c r="DZ154" s="598"/>
      <c r="EA154" s="598"/>
      <c r="EB154" s="598"/>
      <c r="EC154" s="598"/>
      <c r="ED154" s="598"/>
      <c r="EE154" s="598"/>
      <c r="EF154" s="598"/>
      <c r="EG154" s="598"/>
      <c r="EH154" s="598"/>
      <c r="EI154" s="598"/>
      <c r="EJ154" s="598"/>
      <c r="EK154" s="598"/>
      <c r="EL154" s="598"/>
      <c r="EM154" s="598"/>
      <c r="EN154" s="598"/>
      <c r="EO154" s="598"/>
      <c r="EP154" s="598"/>
      <c r="EQ154" s="598"/>
      <c r="ER154" s="598"/>
      <c r="ES154" s="598"/>
      <c r="ET154" s="598"/>
      <c r="EU154" s="598"/>
      <c r="EV154" s="598"/>
      <c r="EW154" s="598"/>
      <c r="EX154" s="598"/>
      <c r="EY154" s="598"/>
      <c r="EZ154" s="598"/>
      <c r="FA154" s="598"/>
      <c r="FB154" s="598"/>
      <c r="FC154" s="598"/>
      <c r="FD154" s="598"/>
      <c r="FE154" s="598"/>
      <c r="FF154" s="598"/>
      <c r="FG154" s="598"/>
      <c r="FH154" s="598"/>
      <c r="FI154" s="598"/>
      <c r="FJ154" s="598"/>
      <c r="FK154" s="598"/>
      <c r="FL154" s="598"/>
      <c r="FM154" s="598"/>
      <c r="FN154" s="598"/>
      <c r="FO154" s="598"/>
      <c r="FP154" s="598"/>
      <c r="FQ154" s="598"/>
      <c r="FR154" s="598"/>
      <c r="FS154" s="598"/>
      <c r="FT154" s="598"/>
      <c r="FU154" s="598"/>
      <c r="FV154" s="598"/>
      <c r="FW154" s="598"/>
      <c r="FX154" s="598"/>
      <c r="FY154" s="598"/>
      <c r="FZ154" s="598"/>
      <c r="GA154" s="598"/>
      <c r="GB154" s="598"/>
      <c r="GC154" s="598"/>
      <c r="GD154" s="598"/>
      <c r="GE154" s="598"/>
      <c r="GF154" s="598"/>
      <c r="GG154" s="598"/>
      <c r="GH154" s="598"/>
      <c r="GI154" s="598"/>
      <c r="GJ154" s="598"/>
      <c r="GK154" s="598"/>
      <c r="GL154" s="598"/>
      <c r="GM154" s="598"/>
      <c r="GN154" s="598"/>
      <c r="GO154" s="598"/>
      <c r="GP154" s="598"/>
      <c r="GQ154" s="598"/>
      <c r="GR154" s="598"/>
      <c r="GS154" s="598"/>
      <c r="GT154" s="598"/>
      <c r="GU154" s="598"/>
      <c r="GV154" s="598"/>
      <c r="GW154" s="598"/>
      <c r="GX154" s="598"/>
      <c r="GY154" s="598"/>
      <c r="GZ154" s="598"/>
      <c r="HA154" s="598"/>
      <c r="HB154" s="598"/>
      <c r="HC154" s="598"/>
      <c r="HD154" s="598"/>
      <c r="HE154" s="598"/>
      <c r="HF154" s="598"/>
      <c r="HG154" s="598"/>
      <c r="HH154" s="598"/>
      <c r="HI154" s="598"/>
      <c r="HJ154" s="598"/>
      <c r="HK154" s="598"/>
      <c r="HL154" s="598"/>
      <c r="HM154" s="598"/>
      <c r="HN154" s="598"/>
      <c r="HO154" s="598"/>
      <c r="HP154" s="598"/>
      <c r="HQ154" s="598"/>
      <c r="HR154" s="598"/>
      <c r="HS154" s="598"/>
      <c r="HT154" s="598"/>
      <c r="HU154" s="598"/>
      <c r="HV154" s="598"/>
      <c r="HW154" s="598"/>
      <c r="HX154" s="598"/>
      <c r="HY154" s="598"/>
      <c r="HZ154" s="598"/>
      <c r="IA154" s="598"/>
      <c r="IB154" s="598"/>
      <c r="IC154" s="598"/>
      <c r="ID154" s="598"/>
      <c r="IE154" s="598"/>
      <c r="IF154" s="598"/>
      <c r="IG154" s="598"/>
      <c r="IH154" s="598"/>
      <c r="II154" s="598"/>
      <c r="IJ154" s="598"/>
      <c r="IK154" s="598"/>
      <c r="IL154" s="598"/>
      <c r="IM154" s="598"/>
      <c r="IN154" s="598"/>
      <c r="IO154" s="598"/>
      <c r="IP154" s="598"/>
      <c r="IQ154" s="598"/>
      <c r="IR154" s="598"/>
      <c r="IS154" s="598"/>
      <c r="IT154" s="598"/>
      <c r="IU154" s="598"/>
      <c r="IV154" s="598"/>
      <c r="IW154" s="598"/>
      <c r="IX154" s="598"/>
      <c r="IY154" s="598"/>
      <c r="IZ154" s="598"/>
      <c r="JA154" s="598"/>
      <c r="JB154" s="598"/>
      <c r="JC154" s="598"/>
      <c r="JD154" s="598"/>
      <c r="JE154" s="598"/>
      <c r="JF154" s="598"/>
      <c r="JG154" s="598"/>
      <c r="JH154" s="598"/>
      <c r="JI154" s="598"/>
      <c r="JJ154" s="598"/>
      <c r="JK154" s="598"/>
      <c r="JL154" s="598"/>
      <c r="JM154" s="598"/>
      <c r="JN154" s="598"/>
      <c r="JO154" s="598"/>
      <c r="JP154" s="598"/>
      <c r="JQ154" s="598"/>
      <c r="JR154" s="598"/>
      <c r="JS154" s="598"/>
      <c r="JT154" s="598"/>
      <c r="JU154" s="598"/>
      <c r="JV154" s="598"/>
    </row>
    <row r="155" spans="1:282" s="21" customFormat="1" ht="50.1" customHeight="1" x14ac:dyDescent="0.2">
      <c r="A155" s="702"/>
      <c r="B155" s="68" t="s">
        <v>584</v>
      </c>
      <c r="C155" s="68"/>
      <c r="D155" s="68"/>
      <c r="E155" s="188" t="s">
        <v>505</v>
      </c>
      <c r="F155" s="189" t="s">
        <v>506</v>
      </c>
      <c r="G155" s="188" t="s">
        <v>507</v>
      </c>
      <c r="H155" s="188"/>
      <c r="I155" s="188"/>
      <c r="J155" s="188" t="s">
        <v>40</v>
      </c>
      <c r="K155" s="29" t="s">
        <v>1393</v>
      </c>
      <c r="L155" s="29" t="s">
        <v>12</v>
      </c>
      <c r="M155" s="29" t="s">
        <v>1528</v>
      </c>
      <c r="N155" s="73">
        <v>40426</v>
      </c>
      <c r="O155" s="32" t="s">
        <v>555</v>
      </c>
      <c r="P155" s="32"/>
      <c r="Q155" s="32"/>
      <c r="R155" s="32"/>
      <c r="S155" s="32"/>
      <c r="T155" s="174" t="s">
        <v>1001</v>
      </c>
      <c r="U155" s="174"/>
      <c r="V155" s="174"/>
      <c r="W155" s="174"/>
      <c r="X155" s="174"/>
      <c r="Y155" s="174"/>
      <c r="Z155" s="174"/>
      <c r="AA155" s="174"/>
      <c r="AB155" s="174"/>
      <c r="AC155" s="174"/>
      <c r="AD155" s="174"/>
      <c r="AE155" s="174"/>
      <c r="AF155" s="174"/>
      <c r="AG155" s="174"/>
      <c r="AH155" s="174"/>
      <c r="AI155" s="174"/>
      <c r="AJ155" s="74">
        <v>41533</v>
      </c>
      <c r="AK155" s="733"/>
      <c r="AL155" s="174"/>
      <c r="AM155" s="598"/>
      <c r="AN155" s="598"/>
      <c r="AO155" s="598"/>
      <c r="AP155" s="598"/>
      <c r="AQ155" s="598"/>
      <c r="AR155" s="598"/>
      <c r="AS155" s="598"/>
      <c r="AT155" s="598"/>
      <c r="AU155" s="598"/>
      <c r="AV155" s="598"/>
      <c r="AW155" s="598"/>
      <c r="AX155" s="598"/>
      <c r="AY155" s="598"/>
      <c r="AZ155" s="598"/>
      <c r="BA155" s="598"/>
      <c r="BB155" s="598"/>
      <c r="BC155" s="598"/>
      <c r="BD155" s="598"/>
      <c r="BE155" s="598"/>
      <c r="BF155" s="598"/>
      <c r="BG155" s="598"/>
      <c r="BH155" s="598"/>
      <c r="BI155" s="598"/>
      <c r="BJ155" s="598"/>
      <c r="BK155" s="598"/>
      <c r="BL155" s="598"/>
      <c r="BM155" s="598"/>
      <c r="BN155" s="598"/>
      <c r="BO155" s="598"/>
      <c r="BP155" s="598"/>
      <c r="BQ155" s="598"/>
      <c r="BR155" s="598"/>
      <c r="BS155" s="598"/>
      <c r="BT155" s="598"/>
      <c r="BU155" s="598"/>
      <c r="BV155" s="598"/>
      <c r="BW155" s="598"/>
      <c r="BX155" s="598"/>
      <c r="BY155" s="598"/>
      <c r="BZ155" s="598"/>
      <c r="CA155" s="598"/>
      <c r="CB155" s="598"/>
      <c r="CC155" s="598"/>
      <c r="CD155" s="598"/>
      <c r="CE155" s="598"/>
      <c r="CF155" s="598"/>
      <c r="CG155" s="598"/>
      <c r="CH155" s="598"/>
      <c r="CI155" s="598"/>
      <c r="CJ155" s="598"/>
      <c r="CK155" s="598"/>
      <c r="CL155" s="598"/>
      <c r="CM155" s="598"/>
      <c r="CN155" s="598"/>
      <c r="CO155" s="598"/>
      <c r="CP155" s="598"/>
      <c r="CQ155" s="598"/>
      <c r="CR155" s="598"/>
      <c r="CS155" s="598"/>
      <c r="CT155" s="598"/>
      <c r="CU155" s="598"/>
      <c r="CV155" s="598"/>
      <c r="CW155" s="598"/>
      <c r="CX155" s="598"/>
      <c r="CY155" s="598"/>
      <c r="CZ155" s="598"/>
      <c r="DA155" s="598"/>
      <c r="DB155" s="598"/>
      <c r="DC155" s="598"/>
      <c r="DD155" s="598"/>
      <c r="DE155" s="598"/>
      <c r="DF155" s="598"/>
      <c r="DG155" s="598"/>
      <c r="DH155" s="598"/>
      <c r="DI155" s="598"/>
      <c r="DJ155" s="598"/>
      <c r="DK155" s="598"/>
      <c r="DL155" s="598"/>
      <c r="DM155" s="598"/>
      <c r="DN155" s="598"/>
      <c r="DO155" s="598"/>
      <c r="DP155" s="598"/>
      <c r="DQ155" s="598"/>
      <c r="DR155" s="598"/>
      <c r="DS155" s="598"/>
      <c r="DT155" s="598"/>
      <c r="DU155" s="598"/>
      <c r="DV155" s="598"/>
      <c r="DW155" s="598"/>
      <c r="DX155" s="598"/>
      <c r="DY155" s="598"/>
      <c r="DZ155" s="598"/>
      <c r="EA155" s="598"/>
      <c r="EB155" s="598"/>
      <c r="EC155" s="598"/>
      <c r="ED155" s="598"/>
      <c r="EE155" s="598"/>
      <c r="EF155" s="598"/>
      <c r="EG155" s="598"/>
      <c r="EH155" s="598"/>
      <c r="EI155" s="598"/>
      <c r="EJ155" s="598"/>
      <c r="EK155" s="598"/>
      <c r="EL155" s="598"/>
      <c r="EM155" s="598"/>
      <c r="EN155" s="598"/>
      <c r="EO155" s="598"/>
      <c r="EP155" s="598"/>
      <c r="EQ155" s="598"/>
      <c r="ER155" s="598"/>
      <c r="ES155" s="598"/>
      <c r="ET155" s="598"/>
      <c r="EU155" s="598"/>
      <c r="EV155" s="598"/>
      <c r="EW155" s="598"/>
      <c r="EX155" s="598"/>
      <c r="EY155" s="598"/>
      <c r="EZ155" s="598"/>
      <c r="FA155" s="598"/>
      <c r="FB155" s="598"/>
      <c r="FC155" s="598"/>
      <c r="FD155" s="598"/>
      <c r="FE155" s="598"/>
      <c r="FF155" s="598"/>
      <c r="FG155" s="598"/>
      <c r="FH155" s="598"/>
      <c r="FI155" s="598"/>
      <c r="FJ155" s="598"/>
      <c r="FK155" s="598"/>
      <c r="FL155" s="598"/>
      <c r="FM155" s="598"/>
      <c r="FN155" s="598"/>
      <c r="FO155" s="598"/>
      <c r="FP155" s="598"/>
      <c r="FQ155" s="598"/>
      <c r="FR155" s="598"/>
      <c r="FS155" s="598"/>
      <c r="FT155" s="598"/>
      <c r="FU155" s="598"/>
      <c r="FV155" s="598"/>
      <c r="FW155" s="598"/>
      <c r="FX155" s="598"/>
      <c r="FY155" s="598"/>
      <c r="FZ155" s="598"/>
      <c r="GA155" s="598"/>
      <c r="GB155" s="598"/>
      <c r="GC155" s="598"/>
      <c r="GD155" s="598"/>
      <c r="GE155" s="598"/>
      <c r="GF155" s="598"/>
      <c r="GG155" s="598"/>
      <c r="GH155" s="598"/>
      <c r="GI155" s="598"/>
      <c r="GJ155" s="598"/>
      <c r="GK155" s="598"/>
      <c r="GL155" s="598"/>
      <c r="GM155" s="598"/>
      <c r="GN155" s="598"/>
      <c r="GO155" s="598"/>
      <c r="GP155" s="598"/>
      <c r="GQ155" s="598"/>
      <c r="GR155" s="598"/>
      <c r="GS155" s="598"/>
      <c r="GT155" s="598"/>
      <c r="GU155" s="598"/>
      <c r="GV155" s="598"/>
      <c r="GW155" s="598"/>
      <c r="GX155" s="598"/>
      <c r="GY155" s="598"/>
      <c r="GZ155" s="598"/>
      <c r="HA155" s="598"/>
      <c r="HB155" s="598"/>
      <c r="HC155" s="598"/>
      <c r="HD155" s="598"/>
      <c r="HE155" s="598"/>
      <c r="HF155" s="598"/>
      <c r="HG155" s="598"/>
      <c r="HH155" s="598"/>
      <c r="HI155" s="598"/>
      <c r="HJ155" s="598"/>
      <c r="HK155" s="598"/>
      <c r="HL155" s="598"/>
      <c r="HM155" s="598"/>
      <c r="HN155" s="598"/>
      <c r="HO155" s="598"/>
      <c r="HP155" s="598"/>
      <c r="HQ155" s="598"/>
      <c r="HR155" s="598"/>
      <c r="HS155" s="598"/>
      <c r="HT155" s="598"/>
      <c r="HU155" s="598"/>
      <c r="HV155" s="598"/>
      <c r="HW155" s="598"/>
      <c r="HX155" s="598"/>
      <c r="HY155" s="598"/>
      <c r="HZ155" s="598"/>
      <c r="IA155" s="598"/>
      <c r="IB155" s="598"/>
      <c r="IC155" s="598"/>
      <c r="ID155" s="598"/>
      <c r="IE155" s="598"/>
      <c r="IF155" s="598"/>
      <c r="IG155" s="598"/>
      <c r="IH155" s="598"/>
      <c r="II155" s="598"/>
      <c r="IJ155" s="598"/>
      <c r="IK155" s="598"/>
      <c r="IL155" s="598"/>
      <c r="IM155" s="598"/>
      <c r="IN155" s="598"/>
      <c r="IO155" s="598"/>
      <c r="IP155" s="598"/>
      <c r="IQ155" s="598"/>
      <c r="IR155" s="598"/>
      <c r="IS155" s="598"/>
      <c r="IT155" s="598"/>
      <c r="IU155" s="598"/>
      <c r="IV155" s="598"/>
      <c r="IW155" s="598"/>
      <c r="IX155" s="598"/>
      <c r="IY155" s="598"/>
      <c r="IZ155" s="598"/>
      <c r="JA155" s="598"/>
      <c r="JB155" s="598"/>
      <c r="JC155" s="598"/>
      <c r="JD155" s="598"/>
      <c r="JE155" s="598"/>
      <c r="JF155" s="598"/>
      <c r="JG155" s="598"/>
      <c r="JH155" s="598"/>
      <c r="JI155" s="598"/>
      <c r="JJ155" s="598"/>
      <c r="JK155" s="598"/>
      <c r="JL155" s="598"/>
      <c r="JM155" s="598"/>
      <c r="JN155" s="598"/>
      <c r="JO155" s="598"/>
      <c r="JP155" s="598"/>
      <c r="JQ155" s="598"/>
      <c r="JR155" s="598"/>
      <c r="JS155" s="598"/>
      <c r="JT155" s="598"/>
      <c r="JU155" s="598"/>
      <c r="JV155" s="598"/>
    </row>
    <row r="156" spans="1:282" s="21" customFormat="1" ht="50.1" customHeight="1" x14ac:dyDescent="0.2">
      <c r="A156" s="702"/>
      <c r="B156" s="69" t="s">
        <v>1137</v>
      </c>
      <c r="C156" s="69"/>
      <c r="D156" s="69"/>
      <c r="E156" s="69" t="s">
        <v>645</v>
      </c>
      <c r="F156" s="247" t="s">
        <v>1212</v>
      </c>
      <c r="G156" s="74" t="s">
        <v>2502</v>
      </c>
      <c r="H156" s="29" t="s">
        <v>112</v>
      </c>
      <c r="I156" s="29"/>
      <c r="J156" s="29" t="s">
        <v>25</v>
      </c>
      <c r="K156" s="38" t="s">
        <v>1392</v>
      </c>
      <c r="L156" s="29" t="s">
        <v>685</v>
      </c>
      <c r="M156" s="29" t="s">
        <v>1528</v>
      </c>
      <c r="N156" s="74">
        <v>41347</v>
      </c>
      <c r="O156" s="69" t="s">
        <v>644</v>
      </c>
      <c r="P156" s="69"/>
      <c r="Q156" s="69"/>
      <c r="R156" s="69"/>
      <c r="S156" s="69"/>
      <c r="T156" s="597"/>
      <c r="U156" s="597"/>
      <c r="V156" s="597"/>
      <c r="W156" s="597"/>
      <c r="X156" s="597"/>
      <c r="Y156" s="597"/>
      <c r="Z156" s="597"/>
      <c r="AA156" s="597"/>
      <c r="AB156" s="597"/>
      <c r="AC156" s="597"/>
      <c r="AD156" s="597"/>
      <c r="AE156" s="597"/>
      <c r="AF156" s="597"/>
      <c r="AG156" s="597"/>
      <c r="AH156" s="597"/>
      <c r="AI156" s="597"/>
      <c r="AJ156" s="74">
        <v>41534</v>
      </c>
      <c r="AK156" s="648"/>
      <c r="AL156" s="174"/>
      <c r="AM156" s="598"/>
      <c r="AN156" s="598"/>
      <c r="AO156" s="598"/>
      <c r="AP156" s="598"/>
      <c r="AQ156" s="598"/>
      <c r="AR156" s="598"/>
      <c r="AS156" s="598"/>
      <c r="AT156" s="598"/>
      <c r="AU156" s="598"/>
      <c r="AV156" s="598"/>
      <c r="AW156" s="598"/>
      <c r="AX156" s="598"/>
      <c r="AY156" s="598"/>
      <c r="AZ156" s="598"/>
      <c r="BA156" s="598"/>
      <c r="BB156" s="598"/>
      <c r="BC156" s="598"/>
      <c r="BD156" s="598"/>
      <c r="BE156" s="598"/>
      <c r="BF156" s="598"/>
      <c r="BG156" s="598"/>
      <c r="BH156" s="598"/>
      <c r="BI156" s="598"/>
      <c r="BJ156" s="598"/>
      <c r="BK156" s="598"/>
      <c r="BL156" s="598"/>
      <c r="BM156" s="598"/>
      <c r="BN156" s="598"/>
      <c r="BO156" s="598"/>
      <c r="BP156" s="598"/>
      <c r="BQ156" s="598"/>
      <c r="BR156" s="598"/>
      <c r="BS156" s="598"/>
      <c r="BT156" s="598"/>
      <c r="BU156" s="598"/>
      <c r="BV156" s="598"/>
      <c r="BW156" s="598"/>
      <c r="BX156" s="598"/>
      <c r="BY156" s="598"/>
      <c r="BZ156" s="598"/>
      <c r="CA156" s="598"/>
      <c r="CB156" s="598"/>
      <c r="CC156" s="598"/>
      <c r="CD156" s="598"/>
      <c r="CE156" s="598"/>
      <c r="CF156" s="598"/>
      <c r="CG156" s="598"/>
      <c r="CH156" s="598"/>
      <c r="CI156" s="598"/>
      <c r="CJ156" s="598"/>
      <c r="CK156" s="598"/>
      <c r="CL156" s="598"/>
      <c r="CM156" s="598"/>
      <c r="CN156" s="598"/>
      <c r="CO156" s="598"/>
      <c r="CP156" s="598"/>
      <c r="CQ156" s="598"/>
      <c r="CR156" s="598"/>
      <c r="CS156" s="598"/>
      <c r="CT156" s="598"/>
      <c r="CU156" s="598"/>
      <c r="CV156" s="598"/>
      <c r="CW156" s="598"/>
      <c r="CX156" s="598"/>
      <c r="CY156" s="598"/>
      <c r="CZ156" s="598"/>
      <c r="DA156" s="598"/>
      <c r="DB156" s="598"/>
      <c r="DC156" s="598"/>
      <c r="DD156" s="598"/>
      <c r="DE156" s="598"/>
      <c r="DF156" s="598"/>
      <c r="DG156" s="598"/>
      <c r="DH156" s="598"/>
      <c r="DI156" s="598"/>
      <c r="DJ156" s="598"/>
      <c r="DK156" s="598"/>
      <c r="DL156" s="598"/>
      <c r="DM156" s="598"/>
      <c r="DN156" s="598"/>
      <c r="DO156" s="598"/>
      <c r="DP156" s="598"/>
      <c r="DQ156" s="598"/>
      <c r="DR156" s="598"/>
      <c r="DS156" s="598"/>
      <c r="DT156" s="598"/>
      <c r="DU156" s="598"/>
      <c r="DV156" s="598"/>
      <c r="DW156" s="598"/>
      <c r="DX156" s="598"/>
      <c r="DY156" s="598"/>
      <c r="DZ156" s="598"/>
      <c r="EA156" s="598"/>
      <c r="EB156" s="598"/>
      <c r="EC156" s="598"/>
      <c r="ED156" s="598"/>
      <c r="EE156" s="598"/>
      <c r="EF156" s="598"/>
      <c r="EG156" s="598"/>
      <c r="EH156" s="598"/>
      <c r="EI156" s="598"/>
      <c r="EJ156" s="598"/>
      <c r="EK156" s="598"/>
      <c r="EL156" s="598"/>
      <c r="EM156" s="598"/>
      <c r="EN156" s="598"/>
      <c r="EO156" s="598"/>
      <c r="EP156" s="598"/>
      <c r="EQ156" s="598"/>
      <c r="ER156" s="598"/>
      <c r="ES156" s="598"/>
      <c r="ET156" s="598"/>
      <c r="EU156" s="598"/>
      <c r="EV156" s="598"/>
      <c r="EW156" s="598"/>
      <c r="EX156" s="598"/>
      <c r="EY156" s="598"/>
      <c r="EZ156" s="598"/>
      <c r="FA156" s="598"/>
      <c r="FB156" s="598"/>
      <c r="FC156" s="598"/>
      <c r="FD156" s="598"/>
      <c r="FE156" s="598"/>
      <c r="FF156" s="598"/>
      <c r="FG156" s="598"/>
      <c r="FH156" s="598"/>
      <c r="FI156" s="598"/>
      <c r="FJ156" s="598"/>
      <c r="FK156" s="598"/>
      <c r="FL156" s="598"/>
      <c r="FM156" s="598"/>
      <c r="FN156" s="598"/>
      <c r="FO156" s="598"/>
      <c r="FP156" s="598"/>
      <c r="FQ156" s="598"/>
      <c r="FR156" s="598"/>
      <c r="FS156" s="598"/>
      <c r="FT156" s="598"/>
      <c r="FU156" s="598"/>
      <c r="FV156" s="598"/>
      <c r="FW156" s="598"/>
      <c r="FX156" s="598"/>
      <c r="FY156" s="598"/>
      <c r="FZ156" s="598"/>
      <c r="GA156" s="598"/>
      <c r="GB156" s="598"/>
      <c r="GC156" s="598"/>
      <c r="GD156" s="598"/>
      <c r="GE156" s="598"/>
      <c r="GF156" s="598"/>
      <c r="GG156" s="598"/>
      <c r="GH156" s="598"/>
      <c r="GI156" s="598"/>
      <c r="GJ156" s="598"/>
      <c r="GK156" s="598"/>
      <c r="GL156" s="598"/>
      <c r="GM156" s="598"/>
      <c r="GN156" s="598"/>
      <c r="GO156" s="598"/>
      <c r="GP156" s="598"/>
      <c r="GQ156" s="598"/>
      <c r="GR156" s="598"/>
      <c r="GS156" s="598"/>
      <c r="GT156" s="598"/>
      <c r="GU156" s="598"/>
      <c r="GV156" s="598"/>
      <c r="GW156" s="598"/>
      <c r="GX156" s="598"/>
      <c r="GY156" s="598"/>
      <c r="GZ156" s="598"/>
      <c r="HA156" s="598"/>
      <c r="HB156" s="598"/>
      <c r="HC156" s="598"/>
      <c r="HD156" s="598"/>
      <c r="HE156" s="598"/>
      <c r="HF156" s="598"/>
      <c r="HG156" s="598"/>
      <c r="HH156" s="598"/>
      <c r="HI156" s="598"/>
      <c r="HJ156" s="598"/>
      <c r="HK156" s="598"/>
      <c r="HL156" s="598"/>
      <c r="HM156" s="598"/>
      <c r="HN156" s="598"/>
      <c r="HO156" s="598"/>
      <c r="HP156" s="598"/>
      <c r="HQ156" s="598"/>
      <c r="HR156" s="598"/>
      <c r="HS156" s="598"/>
      <c r="HT156" s="598"/>
      <c r="HU156" s="598"/>
      <c r="HV156" s="598"/>
      <c r="HW156" s="598"/>
      <c r="HX156" s="598"/>
      <c r="HY156" s="598"/>
      <c r="HZ156" s="598"/>
      <c r="IA156" s="598"/>
      <c r="IB156" s="598"/>
      <c r="IC156" s="598"/>
      <c r="ID156" s="598"/>
      <c r="IE156" s="598"/>
      <c r="IF156" s="598"/>
      <c r="IG156" s="598"/>
      <c r="IH156" s="598"/>
      <c r="II156" s="598"/>
      <c r="IJ156" s="598"/>
      <c r="IK156" s="598"/>
      <c r="IL156" s="598"/>
      <c r="IM156" s="598"/>
      <c r="IN156" s="598"/>
      <c r="IO156" s="598"/>
      <c r="IP156" s="598"/>
      <c r="IQ156" s="598"/>
      <c r="IR156" s="598"/>
      <c r="IS156" s="598"/>
      <c r="IT156" s="598"/>
      <c r="IU156" s="598"/>
      <c r="IV156" s="598"/>
      <c r="IW156" s="598"/>
      <c r="IX156" s="598"/>
      <c r="IY156" s="598"/>
      <c r="IZ156" s="598"/>
      <c r="JA156" s="598"/>
      <c r="JB156" s="598"/>
      <c r="JC156" s="598"/>
      <c r="JD156" s="598"/>
      <c r="JE156" s="598"/>
      <c r="JF156" s="598"/>
      <c r="JG156" s="598"/>
      <c r="JH156" s="598"/>
      <c r="JI156" s="598"/>
      <c r="JJ156" s="598"/>
      <c r="JK156" s="598"/>
      <c r="JL156" s="598"/>
      <c r="JM156" s="598"/>
      <c r="JN156" s="598"/>
      <c r="JO156" s="598"/>
      <c r="JP156" s="598"/>
      <c r="JQ156" s="598"/>
      <c r="JR156" s="598"/>
      <c r="JS156" s="598"/>
      <c r="JT156" s="598"/>
      <c r="JU156" s="598"/>
      <c r="JV156" s="598"/>
    </row>
    <row r="157" spans="1:282" s="21" customFormat="1" ht="50.1" customHeight="1" x14ac:dyDescent="0.2">
      <c r="A157" s="702"/>
      <c r="B157" s="69" t="s">
        <v>1137</v>
      </c>
      <c r="C157" s="69"/>
      <c r="D157" s="69"/>
      <c r="E157" s="29" t="s">
        <v>137</v>
      </c>
      <c r="F157" s="104" t="s">
        <v>1724</v>
      </c>
      <c r="G157" s="29" t="s">
        <v>129</v>
      </c>
      <c r="H157" s="29" t="s">
        <v>130</v>
      </c>
      <c r="I157" s="29"/>
      <c r="J157" s="29" t="s">
        <v>2275</v>
      </c>
      <c r="K157" s="29" t="s">
        <v>1393</v>
      </c>
      <c r="L157" s="29" t="s">
        <v>685</v>
      </c>
      <c r="M157" s="29" t="s">
        <v>1528</v>
      </c>
      <c r="N157" s="74">
        <v>40508</v>
      </c>
      <c r="O157" s="69" t="s">
        <v>201</v>
      </c>
      <c r="P157" s="69"/>
      <c r="Q157" s="69"/>
      <c r="R157" s="69"/>
      <c r="S157" s="69"/>
      <c r="T157" s="597"/>
      <c r="U157" s="597"/>
      <c r="V157" s="597"/>
      <c r="W157" s="597"/>
      <c r="X157" s="597"/>
      <c r="Y157" s="597"/>
      <c r="Z157" s="597"/>
      <c r="AA157" s="597"/>
      <c r="AB157" s="597"/>
      <c r="AC157" s="597"/>
      <c r="AD157" s="597"/>
      <c r="AE157" s="597"/>
      <c r="AF157" s="597"/>
      <c r="AG157" s="597"/>
      <c r="AH157" s="597"/>
      <c r="AI157" s="597"/>
      <c r="AJ157" s="74">
        <v>41540</v>
      </c>
      <c r="AK157" s="732"/>
      <c r="AL157" s="593"/>
      <c r="AM157" s="598"/>
      <c r="AN157" s="598"/>
      <c r="AO157" s="598"/>
      <c r="AP157" s="598"/>
      <c r="AQ157" s="598"/>
      <c r="AR157" s="598"/>
      <c r="AS157" s="598"/>
      <c r="AT157" s="598"/>
      <c r="AU157" s="598"/>
      <c r="AV157" s="598"/>
      <c r="AW157" s="598"/>
      <c r="AX157" s="598"/>
      <c r="AY157" s="598"/>
      <c r="AZ157" s="598"/>
      <c r="BA157" s="598"/>
      <c r="BB157" s="598"/>
      <c r="BC157" s="598"/>
      <c r="BD157" s="598"/>
      <c r="BE157" s="598"/>
      <c r="BF157" s="598"/>
      <c r="BG157" s="598"/>
      <c r="BH157" s="598"/>
      <c r="BI157" s="598"/>
      <c r="BJ157" s="598"/>
      <c r="BK157" s="598"/>
      <c r="BL157" s="598"/>
      <c r="BM157" s="598"/>
      <c r="BN157" s="598"/>
      <c r="BO157" s="598"/>
      <c r="BP157" s="598"/>
      <c r="BQ157" s="598"/>
      <c r="BR157" s="598"/>
      <c r="BS157" s="598"/>
      <c r="BT157" s="598"/>
      <c r="BU157" s="598"/>
      <c r="BV157" s="598"/>
      <c r="BW157" s="598"/>
      <c r="BX157" s="598"/>
      <c r="BY157" s="598"/>
      <c r="BZ157" s="598"/>
      <c r="CA157" s="598"/>
      <c r="CB157" s="598"/>
      <c r="CC157" s="598"/>
      <c r="CD157" s="598"/>
      <c r="CE157" s="598"/>
      <c r="CF157" s="598"/>
      <c r="CG157" s="598"/>
      <c r="CH157" s="598"/>
      <c r="CI157" s="598"/>
      <c r="CJ157" s="598"/>
      <c r="CK157" s="598"/>
      <c r="CL157" s="598"/>
      <c r="CM157" s="598"/>
      <c r="CN157" s="598"/>
      <c r="CO157" s="598"/>
      <c r="CP157" s="598"/>
      <c r="CQ157" s="598"/>
      <c r="CR157" s="598"/>
      <c r="CS157" s="598"/>
      <c r="CT157" s="598"/>
      <c r="CU157" s="598"/>
      <c r="CV157" s="598"/>
      <c r="CW157" s="598"/>
      <c r="CX157" s="598"/>
      <c r="CY157" s="598"/>
      <c r="CZ157" s="598"/>
      <c r="DA157" s="598"/>
      <c r="DB157" s="598"/>
      <c r="DC157" s="598"/>
      <c r="DD157" s="598"/>
      <c r="DE157" s="598"/>
      <c r="DF157" s="598"/>
      <c r="DG157" s="598"/>
      <c r="DH157" s="598"/>
      <c r="DI157" s="598"/>
      <c r="DJ157" s="598"/>
      <c r="DK157" s="598"/>
      <c r="DL157" s="598"/>
      <c r="DM157" s="598"/>
      <c r="DN157" s="598"/>
      <c r="DO157" s="598"/>
      <c r="DP157" s="598"/>
      <c r="DQ157" s="598"/>
      <c r="DR157" s="598"/>
      <c r="DS157" s="598"/>
      <c r="DT157" s="598"/>
      <c r="DU157" s="598"/>
      <c r="DV157" s="598"/>
      <c r="DW157" s="598"/>
      <c r="DX157" s="598"/>
      <c r="DY157" s="598"/>
      <c r="DZ157" s="598"/>
      <c r="EA157" s="598"/>
      <c r="EB157" s="598"/>
      <c r="EC157" s="598"/>
      <c r="ED157" s="598"/>
      <c r="EE157" s="598"/>
      <c r="EF157" s="598"/>
      <c r="EG157" s="598"/>
      <c r="EH157" s="598"/>
      <c r="EI157" s="598"/>
      <c r="EJ157" s="598"/>
      <c r="EK157" s="598"/>
      <c r="EL157" s="598"/>
      <c r="EM157" s="598"/>
      <c r="EN157" s="598"/>
      <c r="EO157" s="598"/>
      <c r="EP157" s="598"/>
      <c r="EQ157" s="598"/>
      <c r="ER157" s="598"/>
      <c r="ES157" s="598"/>
      <c r="ET157" s="598"/>
      <c r="EU157" s="598"/>
      <c r="EV157" s="598"/>
      <c r="EW157" s="598"/>
      <c r="EX157" s="598"/>
      <c r="EY157" s="598"/>
      <c r="EZ157" s="598"/>
      <c r="FA157" s="598"/>
      <c r="FB157" s="598"/>
      <c r="FC157" s="598"/>
      <c r="FD157" s="598"/>
      <c r="FE157" s="598"/>
      <c r="FF157" s="598"/>
      <c r="FG157" s="598"/>
      <c r="FH157" s="598"/>
      <c r="FI157" s="598"/>
      <c r="FJ157" s="598"/>
      <c r="FK157" s="598"/>
      <c r="FL157" s="598"/>
      <c r="FM157" s="598"/>
      <c r="FN157" s="598"/>
      <c r="FO157" s="598"/>
      <c r="FP157" s="598"/>
      <c r="FQ157" s="598"/>
      <c r="FR157" s="598"/>
      <c r="FS157" s="598"/>
      <c r="FT157" s="598"/>
      <c r="FU157" s="598"/>
      <c r="FV157" s="598"/>
      <c r="FW157" s="598"/>
      <c r="FX157" s="598"/>
      <c r="FY157" s="598"/>
      <c r="FZ157" s="598"/>
      <c r="GA157" s="598"/>
      <c r="GB157" s="598"/>
      <c r="GC157" s="598"/>
      <c r="GD157" s="598"/>
      <c r="GE157" s="598"/>
      <c r="GF157" s="598"/>
      <c r="GG157" s="598"/>
      <c r="GH157" s="598"/>
      <c r="GI157" s="598"/>
      <c r="GJ157" s="598"/>
      <c r="GK157" s="598"/>
      <c r="GL157" s="598"/>
      <c r="GM157" s="598"/>
      <c r="GN157" s="598"/>
      <c r="GO157" s="598"/>
      <c r="GP157" s="598"/>
      <c r="GQ157" s="598"/>
      <c r="GR157" s="598"/>
      <c r="GS157" s="598"/>
      <c r="GT157" s="598"/>
      <c r="GU157" s="598"/>
      <c r="GV157" s="598"/>
      <c r="GW157" s="598"/>
      <c r="GX157" s="598"/>
      <c r="GY157" s="598"/>
      <c r="GZ157" s="598"/>
      <c r="HA157" s="598"/>
      <c r="HB157" s="598"/>
      <c r="HC157" s="598"/>
      <c r="HD157" s="598"/>
      <c r="HE157" s="598"/>
      <c r="HF157" s="598"/>
      <c r="HG157" s="598"/>
      <c r="HH157" s="598"/>
      <c r="HI157" s="598"/>
      <c r="HJ157" s="598"/>
      <c r="HK157" s="598"/>
      <c r="HL157" s="598"/>
      <c r="HM157" s="598"/>
      <c r="HN157" s="598"/>
      <c r="HO157" s="598"/>
      <c r="HP157" s="598"/>
      <c r="HQ157" s="598"/>
      <c r="HR157" s="598"/>
      <c r="HS157" s="598"/>
      <c r="HT157" s="598"/>
      <c r="HU157" s="598"/>
      <c r="HV157" s="598"/>
      <c r="HW157" s="598"/>
      <c r="HX157" s="598"/>
      <c r="HY157" s="598"/>
      <c r="HZ157" s="598"/>
      <c r="IA157" s="598"/>
      <c r="IB157" s="598"/>
      <c r="IC157" s="598"/>
      <c r="ID157" s="598"/>
      <c r="IE157" s="598"/>
      <c r="IF157" s="598"/>
      <c r="IG157" s="598"/>
      <c r="IH157" s="598"/>
      <c r="II157" s="598"/>
      <c r="IJ157" s="598"/>
      <c r="IK157" s="598"/>
      <c r="IL157" s="598"/>
      <c r="IM157" s="598"/>
      <c r="IN157" s="598"/>
      <c r="IO157" s="598"/>
      <c r="IP157" s="598"/>
      <c r="IQ157" s="598"/>
      <c r="IR157" s="598"/>
      <c r="IS157" s="598"/>
      <c r="IT157" s="598"/>
      <c r="IU157" s="598"/>
      <c r="IV157" s="598"/>
      <c r="IW157" s="598"/>
      <c r="IX157" s="598"/>
      <c r="IY157" s="598"/>
      <c r="IZ157" s="598"/>
      <c r="JA157" s="598"/>
      <c r="JB157" s="598"/>
      <c r="JC157" s="598"/>
      <c r="JD157" s="598"/>
      <c r="JE157" s="598"/>
      <c r="JF157" s="598"/>
      <c r="JG157" s="598"/>
      <c r="JH157" s="598"/>
      <c r="JI157" s="598"/>
      <c r="JJ157" s="598"/>
      <c r="JK157" s="598"/>
      <c r="JL157" s="598"/>
      <c r="JM157" s="598"/>
      <c r="JN157" s="598"/>
      <c r="JO157" s="598"/>
      <c r="JP157" s="598"/>
      <c r="JQ157" s="598"/>
      <c r="JR157" s="598"/>
      <c r="JS157" s="598"/>
      <c r="JT157" s="598"/>
      <c r="JU157" s="598"/>
      <c r="JV157" s="598"/>
    </row>
    <row r="158" spans="1:282" s="21" customFormat="1" ht="50.1" customHeight="1" x14ac:dyDescent="0.2">
      <c r="A158" s="702"/>
      <c r="B158" s="69" t="s">
        <v>1137</v>
      </c>
      <c r="C158" s="69"/>
      <c r="D158" s="69"/>
      <c r="E158" s="29" t="s">
        <v>138</v>
      </c>
      <c r="F158" s="104" t="s">
        <v>129</v>
      </c>
      <c r="G158" s="29" t="s">
        <v>129</v>
      </c>
      <c r="H158" s="29" t="s">
        <v>130</v>
      </c>
      <c r="I158" s="29"/>
      <c r="J158" s="29" t="s">
        <v>2275</v>
      </c>
      <c r="K158" s="30" t="s">
        <v>1394</v>
      </c>
      <c r="L158" s="29" t="s">
        <v>685</v>
      </c>
      <c r="M158" s="29" t="s">
        <v>1528</v>
      </c>
      <c r="N158" s="74">
        <v>40508</v>
      </c>
      <c r="O158" s="69" t="s">
        <v>200</v>
      </c>
      <c r="P158" s="69"/>
      <c r="Q158" s="69"/>
      <c r="R158" s="69"/>
      <c r="S158" s="69"/>
      <c r="T158" s="597"/>
      <c r="U158" s="597"/>
      <c r="V158" s="597"/>
      <c r="W158" s="597"/>
      <c r="X158" s="597"/>
      <c r="Y158" s="597"/>
      <c r="Z158" s="597"/>
      <c r="AA158" s="597"/>
      <c r="AB158" s="597"/>
      <c r="AC158" s="597"/>
      <c r="AD158" s="597"/>
      <c r="AE158" s="597"/>
      <c r="AF158" s="597"/>
      <c r="AG158" s="597"/>
      <c r="AH158" s="597"/>
      <c r="AI158" s="597"/>
      <c r="AJ158" s="74">
        <v>41540</v>
      </c>
      <c r="AK158" s="732"/>
      <c r="AL158" s="593"/>
      <c r="AM158" s="598"/>
      <c r="AN158" s="598"/>
      <c r="AO158" s="598"/>
      <c r="AP158" s="598"/>
      <c r="AQ158" s="598"/>
      <c r="AR158" s="598"/>
      <c r="AS158" s="598"/>
      <c r="AT158" s="598"/>
      <c r="AU158" s="598"/>
      <c r="AV158" s="598"/>
      <c r="AW158" s="598"/>
      <c r="AX158" s="598"/>
      <c r="AY158" s="598"/>
      <c r="AZ158" s="598"/>
      <c r="BA158" s="598"/>
      <c r="BB158" s="598"/>
      <c r="BC158" s="598"/>
      <c r="BD158" s="598"/>
      <c r="BE158" s="598"/>
      <c r="BF158" s="598"/>
      <c r="BG158" s="598"/>
      <c r="BH158" s="598"/>
      <c r="BI158" s="598"/>
      <c r="BJ158" s="598"/>
      <c r="BK158" s="598"/>
      <c r="BL158" s="598"/>
      <c r="BM158" s="598"/>
      <c r="BN158" s="598"/>
      <c r="BO158" s="598"/>
      <c r="BP158" s="598"/>
      <c r="BQ158" s="598"/>
      <c r="BR158" s="598"/>
      <c r="BS158" s="598"/>
      <c r="BT158" s="598"/>
      <c r="BU158" s="598"/>
      <c r="BV158" s="598"/>
      <c r="BW158" s="598"/>
      <c r="BX158" s="598"/>
      <c r="BY158" s="598"/>
      <c r="BZ158" s="598"/>
      <c r="CA158" s="598"/>
      <c r="CB158" s="598"/>
      <c r="CC158" s="598"/>
      <c r="CD158" s="598"/>
      <c r="CE158" s="598"/>
      <c r="CF158" s="598"/>
      <c r="CG158" s="598"/>
      <c r="CH158" s="598"/>
      <c r="CI158" s="598"/>
      <c r="CJ158" s="598"/>
      <c r="CK158" s="598"/>
      <c r="CL158" s="598"/>
      <c r="CM158" s="598"/>
      <c r="CN158" s="598"/>
      <c r="CO158" s="598"/>
      <c r="CP158" s="598"/>
      <c r="CQ158" s="598"/>
      <c r="CR158" s="598"/>
      <c r="CS158" s="598"/>
      <c r="CT158" s="598"/>
      <c r="CU158" s="598"/>
      <c r="CV158" s="598"/>
      <c r="CW158" s="598"/>
      <c r="CX158" s="598"/>
      <c r="CY158" s="598"/>
      <c r="CZ158" s="598"/>
      <c r="DA158" s="598"/>
      <c r="DB158" s="598"/>
      <c r="DC158" s="598"/>
      <c r="DD158" s="598"/>
      <c r="DE158" s="598"/>
      <c r="DF158" s="598"/>
      <c r="DG158" s="598"/>
      <c r="DH158" s="598"/>
      <c r="DI158" s="598"/>
      <c r="DJ158" s="598"/>
      <c r="DK158" s="598"/>
      <c r="DL158" s="598"/>
      <c r="DM158" s="598"/>
      <c r="DN158" s="598"/>
      <c r="DO158" s="598"/>
      <c r="DP158" s="598"/>
      <c r="DQ158" s="598"/>
      <c r="DR158" s="598"/>
      <c r="DS158" s="598"/>
      <c r="DT158" s="598"/>
      <c r="DU158" s="598"/>
      <c r="DV158" s="598"/>
      <c r="DW158" s="598"/>
      <c r="DX158" s="598"/>
      <c r="DY158" s="598"/>
      <c r="DZ158" s="598"/>
      <c r="EA158" s="598"/>
      <c r="EB158" s="598"/>
      <c r="EC158" s="598"/>
      <c r="ED158" s="598"/>
      <c r="EE158" s="598"/>
      <c r="EF158" s="598"/>
      <c r="EG158" s="598"/>
      <c r="EH158" s="598"/>
      <c r="EI158" s="598"/>
      <c r="EJ158" s="598"/>
      <c r="EK158" s="598"/>
      <c r="EL158" s="598"/>
      <c r="EM158" s="598"/>
      <c r="EN158" s="598"/>
      <c r="EO158" s="598"/>
      <c r="EP158" s="598"/>
      <c r="EQ158" s="598"/>
      <c r="ER158" s="598"/>
      <c r="ES158" s="598"/>
      <c r="ET158" s="598"/>
      <c r="EU158" s="598"/>
      <c r="EV158" s="598"/>
      <c r="EW158" s="598"/>
      <c r="EX158" s="598"/>
      <c r="EY158" s="598"/>
      <c r="EZ158" s="598"/>
      <c r="FA158" s="598"/>
      <c r="FB158" s="598"/>
      <c r="FC158" s="598"/>
      <c r="FD158" s="598"/>
      <c r="FE158" s="598"/>
      <c r="FF158" s="598"/>
      <c r="FG158" s="598"/>
      <c r="FH158" s="598"/>
      <c r="FI158" s="598"/>
      <c r="FJ158" s="598"/>
      <c r="FK158" s="598"/>
      <c r="FL158" s="598"/>
      <c r="FM158" s="598"/>
      <c r="FN158" s="598"/>
      <c r="FO158" s="598"/>
      <c r="FP158" s="598"/>
      <c r="FQ158" s="598"/>
      <c r="FR158" s="598"/>
      <c r="FS158" s="598"/>
      <c r="FT158" s="598"/>
      <c r="FU158" s="598"/>
      <c r="FV158" s="598"/>
      <c r="FW158" s="598"/>
      <c r="FX158" s="598"/>
      <c r="FY158" s="598"/>
      <c r="FZ158" s="598"/>
      <c r="GA158" s="598"/>
      <c r="GB158" s="598"/>
      <c r="GC158" s="598"/>
      <c r="GD158" s="598"/>
      <c r="GE158" s="598"/>
      <c r="GF158" s="598"/>
      <c r="GG158" s="598"/>
      <c r="GH158" s="598"/>
      <c r="GI158" s="598"/>
      <c r="GJ158" s="598"/>
      <c r="GK158" s="598"/>
      <c r="GL158" s="598"/>
      <c r="GM158" s="598"/>
      <c r="GN158" s="598"/>
      <c r="GO158" s="598"/>
      <c r="GP158" s="598"/>
      <c r="GQ158" s="598"/>
      <c r="GR158" s="598"/>
      <c r="GS158" s="598"/>
      <c r="GT158" s="598"/>
      <c r="GU158" s="598"/>
      <c r="GV158" s="598"/>
      <c r="GW158" s="598"/>
      <c r="GX158" s="598"/>
      <c r="GY158" s="598"/>
      <c r="GZ158" s="598"/>
      <c r="HA158" s="598"/>
      <c r="HB158" s="598"/>
      <c r="HC158" s="598"/>
      <c r="HD158" s="598"/>
      <c r="HE158" s="598"/>
      <c r="HF158" s="598"/>
      <c r="HG158" s="598"/>
      <c r="HH158" s="598"/>
      <c r="HI158" s="598"/>
      <c r="HJ158" s="598"/>
      <c r="HK158" s="598"/>
      <c r="HL158" s="598"/>
      <c r="HM158" s="598"/>
      <c r="HN158" s="598"/>
      <c r="HO158" s="598"/>
      <c r="HP158" s="598"/>
      <c r="HQ158" s="598"/>
      <c r="HR158" s="598"/>
      <c r="HS158" s="598"/>
      <c r="HT158" s="598"/>
      <c r="HU158" s="598"/>
      <c r="HV158" s="598"/>
      <c r="HW158" s="598"/>
      <c r="HX158" s="598"/>
      <c r="HY158" s="598"/>
      <c r="HZ158" s="598"/>
      <c r="IA158" s="598"/>
      <c r="IB158" s="598"/>
      <c r="IC158" s="598"/>
      <c r="ID158" s="598"/>
      <c r="IE158" s="598"/>
      <c r="IF158" s="598"/>
      <c r="IG158" s="598"/>
      <c r="IH158" s="598"/>
      <c r="II158" s="598"/>
      <c r="IJ158" s="598"/>
      <c r="IK158" s="598"/>
      <c r="IL158" s="598"/>
      <c r="IM158" s="598"/>
      <c r="IN158" s="598"/>
      <c r="IO158" s="598"/>
      <c r="IP158" s="598"/>
      <c r="IQ158" s="598"/>
      <c r="IR158" s="598"/>
      <c r="IS158" s="598"/>
      <c r="IT158" s="598"/>
      <c r="IU158" s="598"/>
      <c r="IV158" s="598"/>
      <c r="IW158" s="598"/>
      <c r="IX158" s="598"/>
      <c r="IY158" s="598"/>
      <c r="IZ158" s="598"/>
      <c r="JA158" s="598"/>
      <c r="JB158" s="598"/>
      <c r="JC158" s="598"/>
      <c r="JD158" s="598"/>
      <c r="JE158" s="598"/>
      <c r="JF158" s="598"/>
      <c r="JG158" s="598"/>
      <c r="JH158" s="598"/>
      <c r="JI158" s="598"/>
      <c r="JJ158" s="598"/>
      <c r="JK158" s="598"/>
      <c r="JL158" s="598"/>
      <c r="JM158" s="598"/>
      <c r="JN158" s="598"/>
      <c r="JO158" s="598"/>
      <c r="JP158" s="598"/>
      <c r="JQ158" s="598"/>
      <c r="JR158" s="598"/>
      <c r="JS158" s="598"/>
      <c r="JT158" s="598"/>
      <c r="JU158" s="598"/>
      <c r="JV158" s="598"/>
    </row>
    <row r="159" spans="1:282" s="21" customFormat="1" ht="50.1" customHeight="1" x14ac:dyDescent="0.2">
      <c r="A159" s="702"/>
      <c r="B159" s="69" t="s">
        <v>1137</v>
      </c>
      <c r="C159" s="69"/>
      <c r="D159" s="69"/>
      <c r="E159" s="69" t="s">
        <v>287</v>
      </c>
      <c r="F159" s="104" t="s">
        <v>282</v>
      </c>
      <c r="G159" s="29" t="s">
        <v>282</v>
      </c>
      <c r="H159" s="29" t="s">
        <v>283</v>
      </c>
      <c r="I159" s="29"/>
      <c r="J159" s="29" t="s">
        <v>1220</v>
      </c>
      <c r="K159" s="30" t="s">
        <v>1394</v>
      </c>
      <c r="L159" s="29" t="s">
        <v>12</v>
      </c>
      <c r="M159" s="29" t="s">
        <v>1528</v>
      </c>
      <c r="N159" s="74">
        <v>40809</v>
      </c>
      <c r="O159" s="69" t="s">
        <v>286</v>
      </c>
      <c r="P159" s="69"/>
      <c r="Q159" s="69"/>
      <c r="R159" s="69"/>
      <c r="S159" s="69"/>
      <c r="T159" s="597"/>
      <c r="U159" s="597"/>
      <c r="V159" s="597"/>
      <c r="W159" s="597"/>
      <c r="X159" s="597"/>
      <c r="Y159" s="597"/>
      <c r="Z159" s="597"/>
      <c r="AA159" s="597"/>
      <c r="AB159" s="597"/>
      <c r="AC159" s="597"/>
      <c r="AD159" s="597"/>
      <c r="AE159" s="597"/>
      <c r="AF159" s="597"/>
      <c r="AG159" s="597"/>
      <c r="AH159" s="597"/>
      <c r="AI159" s="597"/>
      <c r="AJ159" s="74">
        <v>41540</v>
      </c>
      <c r="AK159" s="720"/>
      <c r="AL159" s="155"/>
      <c r="AM159" s="598"/>
      <c r="AN159" s="598"/>
      <c r="AO159" s="598"/>
      <c r="AP159" s="598"/>
      <c r="AQ159" s="598"/>
      <c r="AR159" s="598"/>
      <c r="AS159" s="598"/>
      <c r="AT159" s="598"/>
      <c r="AU159" s="598"/>
      <c r="AV159" s="598"/>
      <c r="AW159" s="598"/>
      <c r="AX159" s="598"/>
      <c r="AY159" s="598"/>
      <c r="AZ159" s="598"/>
      <c r="BA159" s="598"/>
      <c r="BB159" s="598"/>
      <c r="BC159" s="598"/>
      <c r="BD159" s="598"/>
      <c r="BE159" s="598"/>
      <c r="BF159" s="598"/>
      <c r="BG159" s="598"/>
      <c r="BH159" s="598"/>
      <c r="BI159" s="598"/>
      <c r="BJ159" s="598"/>
      <c r="BK159" s="598"/>
      <c r="BL159" s="598"/>
      <c r="BM159" s="598"/>
      <c r="BN159" s="598"/>
      <c r="BO159" s="598"/>
      <c r="BP159" s="598"/>
      <c r="BQ159" s="598"/>
      <c r="BR159" s="598"/>
      <c r="BS159" s="598"/>
      <c r="BT159" s="598"/>
      <c r="BU159" s="598"/>
      <c r="BV159" s="598"/>
      <c r="BW159" s="598"/>
      <c r="BX159" s="598"/>
      <c r="BY159" s="598"/>
      <c r="BZ159" s="598"/>
      <c r="CA159" s="598"/>
      <c r="CB159" s="598"/>
      <c r="CC159" s="598"/>
      <c r="CD159" s="598"/>
      <c r="CE159" s="598"/>
      <c r="CF159" s="598"/>
      <c r="CG159" s="598"/>
      <c r="CH159" s="598"/>
      <c r="CI159" s="598"/>
      <c r="CJ159" s="598"/>
      <c r="CK159" s="598"/>
      <c r="CL159" s="598"/>
      <c r="CM159" s="598"/>
      <c r="CN159" s="598"/>
      <c r="CO159" s="598"/>
      <c r="CP159" s="598"/>
      <c r="CQ159" s="598"/>
      <c r="CR159" s="598"/>
      <c r="CS159" s="598"/>
      <c r="CT159" s="598"/>
      <c r="CU159" s="598"/>
      <c r="CV159" s="598"/>
      <c r="CW159" s="598"/>
      <c r="CX159" s="598"/>
      <c r="CY159" s="598"/>
      <c r="CZ159" s="598"/>
      <c r="DA159" s="598"/>
      <c r="DB159" s="598"/>
      <c r="DC159" s="598"/>
      <c r="DD159" s="598"/>
      <c r="DE159" s="598"/>
      <c r="DF159" s="598"/>
      <c r="DG159" s="598"/>
      <c r="DH159" s="598"/>
      <c r="DI159" s="598"/>
      <c r="DJ159" s="598"/>
      <c r="DK159" s="598"/>
      <c r="DL159" s="598"/>
      <c r="DM159" s="598"/>
      <c r="DN159" s="598"/>
      <c r="DO159" s="598"/>
      <c r="DP159" s="598"/>
      <c r="DQ159" s="598"/>
      <c r="DR159" s="598"/>
      <c r="DS159" s="598"/>
      <c r="DT159" s="598"/>
      <c r="DU159" s="598"/>
      <c r="DV159" s="598"/>
      <c r="DW159" s="598"/>
      <c r="DX159" s="598"/>
      <c r="DY159" s="598"/>
      <c r="DZ159" s="598"/>
      <c r="EA159" s="598"/>
      <c r="EB159" s="598"/>
      <c r="EC159" s="598"/>
      <c r="ED159" s="598"/>
      <c r="EE159" s="598"/>
      <c r="EF159" s="598"/>
      <c r="EG159" s="598"/>
      <c r="EH159" s="598"/>
      <c r="EI159" s="598"/>
      <c r="EJ159" s="598"/>
      <c r="EK159" s="598"/>
      <c r="EL159" s="598"/>
      <c r="EM159" s="598"/>
      <c r="EN159" s="598"/>
      <c r="EO159" s="598"/>
      <c r="EP159" s="598"/>
      <c r="EQ159" s="598"/>
      <c r="ER159" s="598"/>
      <c r="ES159" s="598"/>
      <c r="ET159" s="598"/>
      <c r="EU159" s="598"/>
      <c r="EV159" s="598"/>
      <c r="EW159" s="598"/>
      <c r="EX159" s="598"/>
      <c r="EY159" s="598"/>
      <c r="EZ159" s="598"/>
      <c r="FA159" s="598"/>
      <c r="FB159" s="598"/>
      <c r="FC159" s="598"/>
      <c r="FD159" s="598"/>
      <c r="FE159" s="598"/>
      <c r="FF159" s="598"/>
      <c r="FG159" s="598"/>
      <c r="FH159" s="598"/>
      <c r="FI159" s="598"/>
      <c r="FJ159" s="598"/>
      <c r="FK159" s="598"/>
      <c r="FL159" s="598"/>
      <c r="FM159" s="598"/>
      <c r="FN159" s="598"/>
      <c r="FO159" s="598"/>
      <c r="FP159" s="598"/>
      <c r="FQ159" s="598"/>
      <c r="FR159" s="598"/>
      <c r="FS159" s="598"/>
      <c r="FT159" s="598"/>
      <c r="FU159" s="598"/>
      <c r="FV159" s="598"/>
      <c r="FW159" s="598"/>
      <c r="FX159" s="598"/>
      <c r="FY159" s="598"/>
      <c r="FZ159" s="598"/>
      <c r="GA159" s="598"/>
      <c r="GB159" s="598"/>
      <c r="GC159" s="598"/>
      <c r="GD159" s="598"/>
      <c r="GE159" s="598"/>
      <c r="GF159" s="598"/>
      <c r="GG159" s="598"/>
      <c r="GH159" s="598"/>
      <c r="GI159" s="598"/>
      <c r="GJ159" s="598"/>
      <c r="GK159" s="598"/>
      <c r="GL159" s="598"/>
      <c r="GM159" s="598"/>
      <c r="GN159" s="598"/>
      <c r="GO159" s="598"/>
      <c r="GP159" s="598"/>
      <c r="GQ159" s="598"/>
      <c r="GR159" s="598"/>
      <c r="GS159" s="598"/>
      <c r="GT159" s="598"/>
      <c r="GU159" s="598"/>
      <c r="GV159" s="598"/>
      <c r="GW159" s="598"/>
      <c r="GX159" s="598"/>
      <c r="GY159" s="598"/>
      <c r="GZ159" s="598"/>
      <c r="HA159" s="598"/>
      <c r="HB159" s="598"/>
      <c r="HC159" s="598"/>
      <c r="HD159" s="598"/>
      <c r="HE159" s="598"/>
      <c r="HF159" s="598"/>
      <c r="HG159" s="598"/>
      <c r="HH159" s="598"/>
      <c r="HI159" s="598"/>
      <c r="HJ159" s="598"/>
      <c r="HK159" s="598"/>
      <c r="HL159" s="598"/>
      <c r="HM159" s="598"/>
      <c r="HN159" s="598"/>
      <c r="HO159" s="598"/>
      <c r="HP159" s="598"/>
      <c r="HQ159" s="598"/>
      <c r="HR159" s="598"/>
      <c r="HS159" s="598"/>
      <c r="HT159" s="598"/>
      <c r="HU159" s="598"/>
      <c r="HV159" s="598"/>
      <c r="HW159" s="598"/>
      <c r="HX159" s="598"/>
      <c r="HY159" s="598"/>
      <c r="HZ159" s="598"/>
      <c r="IA159" s="598"/>
      <c r="IB159" s="598"/>
      <c r="IC159" s="598"/>
      <c r="ID159" s="598"/>
      <c r="IE159" s="598"/>
      <c r="IF159" s="598"/>
      <c r="IG159" s="598"/>
      <c r="IH159" s="598"/>
      <c r="II159" s="598"/>
      <c r="IJ159" s="598"/>
      <c r="IK159" s="598"/>
      <c r="IL159" s="598"/>
      <c r="IM159" s="598"/>
      <c r="IN159" s="598"/>
      <c r="IO159" s="598"/>
      <c r="IP159" s="598"/>
      <c r="IQ159" s="598"/>
      <c r="IR159" s="598"/>
      <c r="IS159" s="598"/>
      <c r="IT159" s="598"/>
      <c r="IU159" s="598"/>
      <c r="IV159" s="598"/>
      <c r="IW159" s="598"/>
      <c r="IX159" s="598"/>
      <c r="IY159" s="598"/>
      <c r="IZ159" s="598"/>
      <c r="JA159" s="598"/>
      <c r="JB159" s="598"/>
      <c r="JC159" s="598"/>
      <c r="JD159" s="598"/>
      <c r="JE159" s="598"/>
      <c r="JF159" s="598"/>
      <c r="JG159" s="598"/>
      <c r="JH159" s="598"/>
      <c r="JI159" s="598"/>
      <c r="JJ159" s="598"/>
      <c r="JK159" s="598"/>
      <c r="JL159" s="598"/>
      <c r="JM159" s="598"/>
      <c r="JN159" s="598"/>
      <c r="JO159" s="598"/>
      <c r="JP159" s="598"/>
      <c r="JQ159" s="598"/>
      <c r="JR159" s="598"/>
      <c r="JS159" s="598"/>
      <c r="JT159" s="598"/>
      <c r="JU159" s="598"/>
      <c r="JV159" s="598"/>
    </row>
    <row r="160" spans="1:282" s="21" customFormat="1" ht="50.1" customHeight="1" x14ac:dyDescent="0.2">
      <c r="A160" s="702"/>
      <c r="B160" s="69" t="s">
        <v>1137</v>
      </c>
      <c r="C160" s="69"/>
      <c r="D160" s="69"/>
      <c r="E160" s="69" t="s">
        <v>289</v>
      </c>
      <c r="F160" s="104" t="s">
        <v>1148</v>
      </c>
      <c r="G160" s="29" t="s">
        <v>282</v>
      </c>
      <c r="H160" s="29" t="s">
        <v>283</v>
      </c>
      <c r="I160" s="29"/>
      <c r="J160" s="29" t="s">
        <v>1220</v>
      </c>
      <c r="K160" s="29" t="s">
        <v>1393</v>
      </c>
      <c r="L160" s="29" t="s">
        <v>12</v>
      </c>
      <c r="M160" s="29" t="s">
        <v>1528</v>
      </c>
      <c r="N160" s="74">
        <v>40837</v>
      </c>
      <c r="O160" s="69" t="s">
        <v>290</v>
      </c>
      <c r="P160" s="69"/>
      <c r="Q160" s="69"/>
      <c r="R160" s="69"/>
      <c r="S160" s="69"/>
      <c r="T160" s="597"/>
      <c r="U160" s="597"/>
      <c r="V160" s="597"/>
      <c r="W160" s="597"/>
      <c r="X160" s="597"/>
      <c r="Y160" s="597"/>
      <c r="Z160" s="597"/>
      <c r="AA160" s="597"/>
      <c r="AB160" s="597"/>
      <c r="AC160" s="597"/>
      <c r="AD160" s="597"/>
      <c r="AE160" s="597"/>
      <c r="AF160" s="597"/>
      <c r="AG160" s="597"/>
      <c r="AH160" s="597"/>
      <c r="AI160" s="597"/>
      <c r="AJ160" s="74">
        <v>41540</v>
      </c>
      <c r="AK160" s="648">
        <v>11</v>
      </c>
      <c r="AL160" s="174"/>
      <c r="AM160" s="598"/>
      <c r="AN160" s="598"/>
      <c r="AO160" s="598"/>
      <c r="AP160" s="598"/>
      <c r="AQ160" s="598"/>
      <c r="AR160" s="598"/>
      <c r="AS160" s="598"/>
      <c r="AT160" s="598"/>
      <c r="AU160" s="598"/>
      <c r="AV160" s="598"/>
      <c r="AW160" s="598"/>
      <c r="AX160" s="598"/>
      <c r="AY160" s="598"/>
      <c r="AZ160" s="598"/>
      <c r="BA160" s="598"/>
      <c r="BB160" s="598"/>
      <c r="BC160" s="598"/>
      <c r="BD160" s="598"/>
      <c r="BE160" s="598"/>
      <c r="BF160" s="598"/>
      <c r="BG160" s="598"/>
      <c r="BH160" s="598"/>
      <c r="BI160" s="598"/>
      <c r="BJ160" s="598"/>
      <c r="BK160" s="598"/>
      <c r="BL160" s="598"/>
      <c r="BM160" s="598"/>
      <c r="BN160" s="598"/>
      <c r="BO160" s="598"/>
      <c r="BP160" s="598"/>
      <c r="BQ160" s="598"/>
      <c r="BR160" s="598"/>
      <c r="BS160" s="598"/>
      <c r="BT160" s="598"/>
      <c r="BU160" s="598"/>
      <c r="BV160" s="598"/>
      <c r="BW160" s="598"/>
      <c r="BX160" s="598"/>
      <c r="BY160" s="598"/>
      <c r="BZ160" s="598"/>
      <c r="CA160" s="598"/>
      <c r="CB160" s="598"/>
      <c r="CC160" s="598"/>
      <c r="CD160" s="598"/>
      <c r="CE160" s="598"/>
      <c r="CF160" s="598"/>
      <c r="CG160" s="598"/>
      <c r="CH160" s="598"/>
      <c r="CI160" s="598"/>
      <c r="CJ160" s="598"/>
      <c r="CK160" s="598"/>
      <c r="CL160" s="598"/>
      <c r="CM160" s="598"/>
      <c r="CN160" s="598"/>
      <c r="CO160" s="598"/>
      <c r="CP160" s="598"/>
      <c r="CQ160" s="598"/>
      <c r="CR160" s="598"/>
      <c r="CS160" s="598"/>
      <c r="CT160" s="598"/>
      <c r="CU160" s="598"/>
      <c r="CV160" s="598"/>
      <c r="CW160" s="598"/>
      <c r="CX160" s="598"/>
      <c r="CY160" s="598"/>
      <c r="CZ160" s="598"/>
      <c r="DA160" s="598"/>
      <c r="DB160" s="598"/>
      <c r="DC160" s="598"/>
      <c r="DD160" s="598"/>
      <c r="DE160" s="598"/>
      <c r="DF160" s="598"/>
      <c r="DG160" s="598"/>
      <c r="DH160" s="598"/>
      <c r="DI160" s="598"/>
      <c r="DJ160" s="598"/>
      <c r="DK160" s="598"/>
      <c r="DL160" s="598"/>
      <c r="DM160" s="598"/>
      <c r="DN160" s="598"/>
      <c r="DO160" s="598"/>
      <c r="DP160" s="598"/>
      <c r="DQ160" s="598"/>
      <c r="DR160" s="598"/>
      <c r="DS160" s="598"/>
      <c r="DT160" s="598"/>
      <c r="DU160" s="598"/>
      <c r="DV160" s="598"/>
      <c r="DW160" s="598"/>
      <c r="DX160" s="598"/>
      <c r="DY160" s="598"/>
      <c r="DZ160" s="598"/>
      <c r="EA160" s="598"/>
      <c r="EB160" s="598"/>
      <c r="EC160" s="598"/>
      <c r="ED160" s="598"/>
      <c r="EE160" s="598"/>
      <c r="EF160" s="598"/>
      <c r="EG160" s="598"/>
      <c r="EH160" s="598"/>
      <c r="EI160" s="598"/>
      <c r="EJ160" s="598"/>
      <c r="EK160" s="598"/>
      <c r="EL160" s="598"/>
      <c r="EM160" s="598"/>
      <c r="EN160" s="598"/>
      <c r="EO160" s="598"/>
      <c r="EP160" s="598"/>
      <c r="EQ160" s="598"/>
      <c r="ER160" s="598"/>
      <c r="ES160" s="598"/>
      <c r="ET160" s="598"/>
      <c r="EU160" s="598"/>
      <c r="EV160" s="598"/>
      <c r="EW160" s="598"/>
      <c r="EX160" s="598"/>
      <c r="EY160" s="598"/>
      <c r="EZ160" s="598"/>
      <c r="FA160" s="598"/>
      <c r="FB160" s="598"/>
      <c r="FC160" s="598"/>
      <c r="FD160" s="598"/>
      <c r="FE160" s="598"/>
      <c r="FF160" s="598"/>
      <c r="FG160" s="598"/>
      <c r="FH160" s="598"/>
      <c r="FI160" s="598"/>
      <c r="FJ160" s="598"/>
      <c r="FK160" s="598"/>
      <c r="FL160" s="598"/>
      <c r="FM160" s="598"/>
      <c r="FN160" s="598"/>
      <c r="FO160" s="598"/>
      <c r="FP160" s="598"/>
      <c r="FQ160" s="598"/>
      <c r="FR160" s="598"/>
      <c r="FS160" s="598"/>
      <c r="FT160" s="598"/>
      <c r="FU160" s="598"/>
      <c r="FV160" s="598"/>
      <c r="FW160" s="598"/>
      <c r="FX160" s="598"/>
      <c r="FY160" s="598"/>
      <c r="FZ160" s="598"/>
      <c r="GA160" s="598"/>
      <c r="GB160" s="598"/>
      <c r="GC160" s="598"/>
      <c r="GD160" s="598"/>
      <c r="GE160" s="598"/>
      <c r="GF160" s="598"/>
      <c r="GG160" s="598"/>
      <c r="GH160" s="598"/>
      <c r="GI160" s="598"/>
      <c r="GJ160" s="598"/>
      <c r="GK160" s="598"/>
      <c r="GL160" s="598"/>
      <c r="GM160" s="598"/>
      <c r="GN160" s="598"/>
      <c r="GO160" s="598"/>
      <c r="GP160" s="598"/>
      <c r="GQ160" s="598"/>
      <c r="GR160" s="598"/>
      <c r="GS160" s="598"/>
      <c r="GT160" s="598"/>
      <c r="GU160" s="598"/>
      <c r="GV160" s="598"/>
      <c r="GW160" s="598"/>
      <c r="GX160" s="598"/>
      <c r="GY160" s="598"/>
      <c r="GZ160" s="598"/>
      <c r="HA160" s="598"/>
      <c r="HB160" s="598"/>
      <c r="HC160" s="598"/>
      <c r="HD160" s="598"/>
      <c r="HE160" s="598"/>
      <c r="HF160" s="598"/>
      <c r="HG160" s="598"/>
      <c r="HH160" s="598"/>
      <c r="HI160" s="598"/>
      <c r="HJ160" s="598"/>
      <c r="HK160" s="598"/>
      <c r="HL160" s="598"/>
      <c r="HM160" s="598"/>
      <c r="HN160" s="598"/>
      <c r="HO160" s="598"/>
      <c r="HP160" s="598"/>
      <c r="HQ160" s="598"/>
      <c r="HR160" s="598"/>
      <c r="HS160" s="598"/>
      <c r="HT160" s="598"/>
      <c r="HU160" s="598"/>
      <c r="HV160" s="598"/>
      <c r="HW160" s="598"/>
      <c r="HX160" s="598"/>
      <c r="HY160" s="598"/>
      <c r="HZ160" s="598"/>
      <c r="IA160" s="598"/>
      <c r="IB160" s="598"/>
      <c r="IC160" s="598"/>
      <c r="ID160" s="598"/>
      <c r="IE160" s="598"/>
      <c r="IF160" s="598"/>
      <c r="IG160" s="598"/>
      <c r="IH160" s="598"/>
      <c r="II160" s="598"/>
      <c r="IJ160" s="598"/>
      <c r="IK160" s="598"/>
      <c r="IL160" s="598"/>
      <c r="IM160" s="598"/>
      <c r="IN160" s="598"/>
      <c r="IO160" s="598"/>
      <c r="IP160" s="598"/>
      <c r="IQ160" s="598"/>
      <c r="IR160" s="598"/>
      <c r="IS160" s="598"/>
      <c r="IT160" s="598"/>
      <c r="IU160" s="598"/>
      <c r="IV160" s="598"/>
      <c r="IW160" s="598"/>
      <c r="IX160" s="598"/>
      <c r="IY160" s="598"/>
      <c r="IZ160" s="598"/>
      <c r="JA160" s="598"/>
      <c r="JB160" s="598"/>
      <c r="JC160" s="598"/>
      <c r="JD160" s="598"/>
      <c r="JE160" s="598"/>
      <c r="JF160" s="598"/>
      <c r="JG160" s="598"/>
      <c r="JH160" s="598"/>
      <c r="JI160" s="598"/>
      <c r="JJ160" s="598"/>
      <c r="JK160" s="598"/>
      <c r="JL160" s="598"/>
      <c r="JM160" s="598"/>
      <c r="JN160" s="598"/>
      <c r="JO160" s="598"/>
      <c r="JP160" s="598"/>
      <c r="JQ160" s="598"/>
      <c r="JR160" s="598"/>
      <c r="JS160" s="598"/>
      <c r="JT160" s="598"/>
      <c r="JU160" s="598"/>
      <c r="JV160" s="598"/>
    </row>
    <row r="161" spans="1:282" s="21" customFormat="1" ht="50.1" customHeight="1" x14ac:dyDescent="0.2">
      <c r="A161" s="702"/>
      <c r="B161" s="69" t="s">
        <v>1137</v>
      </c>
      <c r="C161" s="69"/>
      <c r="D161" s="69"/>
      <c r="E161" s="74" t="s">
        <v>21</v>
      </c>
      <c r="F161" s="104" t="s">
        <v>22</v>
      </c>
      <c r="G161" s="29" t="s">
        <v>23</v>
      </c>
      <c r="H161" s="29" t="s">
        <v>85</v>
      </c>
      <c r="I161" s="29"/>
      <c r="J161" s="69" t="s">
        <v>25</v>
      </c>
      <c r="K161" s="30" t="s">
        <v>1394</v>
      </c>
      <c r="L161" s="29" t="s">
        <v>685</v>
      </c>
      <c r="M161" s="29" t="s">
        <v>1528</v>
      </c>
      <c r="N161" s="74">
        <v>39171</v>
      </c>
      <c r="O161" s="69" t="s">
        <v>1939</v>
      </c>
      <c r="P161" s="69"/>
      <c r="Q161" s="69"/>
      <c r="R161" s="69"/>
      <c r="S161" s="69"/>
      <c r="T161" s="597"/>
      <c r="U161" s="597"/>
      <c r="V161" s="597"/>
      <c r="W161" s="597"/>
      <c r="X161" s="597"/>
      <c r="Y161" s="597"/>
      <c r="Z161" s="597"/>
      <c r="AA161" s="597"/>
      <c r="AB161" s="597"/>
      <c r="AC161" s="597"/>
      <c r="AD161" s="597"/>
      <c r="AE161" s="597"/>
      <c r="AF161" s="597"/>
      <c r="AG161" s="597"/>
      <c r="AH161" s="597"/>
      <c r="AI161" s="597"/>
      <c r="AJ161" s="73">
        <v>41561</v>
      </c>
      <c r="AK161" s="742"/>
      <c r="AL161" s="604"/>
      <c r="AM161" s="598"/>
      <c r="AN161" s="598"/>
      <c r="AO161" s="598"/>
      <c r="AP161" s="598"/>
      <c r="AQ161" s="598"/>
      <c r="AR161" s="598"/>
      <c r="AS161" s="598"/>
      <c r="AT161" s="598"/>
      <c r="AU161" s="598"/>
      <c r="AV161" s="598"/>
      <c r="AW161" s="598"/>
      <c r="AX161" s="598"/>
      <c r="AY161" s="598"/>
      <c r="AZ161" s="598"/>
      <c r="BA161" s="598"/>
      <c r="BB161" s="598"/>
      <c r="BC161" s="598"/>
      <c r="BD161" s="598"/>
      <c r="BE161" s="598"/>
      <c r="BF161" s="598"/>
      <c r="BG161" s="598"/>
      <c r="BH161" s="598"/>
      <c r="BI161" s="598"/>
      <c r="BJ161" s="598"/>
      <c r="BK161" s="598"/>
      <c r="BL161" s="598"/>
      <c r="BM161" s="598"/>
      <c r="BN161" s="598"/>
      <c r="BO161" s="598"/>
      <c r="BP161" s="598"/>
      <c r="BQ161" s="598"/>
      <c r="BR161" s="598"/>
      <c r="BS161" s="598"/>
      <c r="BT161" s="598"/>
      <c r="BU161" s="598"/>
      <c r="BV161" s="598"/>
      <c r="BW161" s="598"/>
      <c r="BX161" s="598"/>
      <c r="BY161" s="598"/>
      <c r="BZ161" s="598"/>
      <c r="CA161" s="598"/>
      <c r="CB161" s="598"/>
      <c r="CC161" s="598"/>
      <c r="CD161" s="598"/>
      <c r="CE161" s="598"/>
      <c r="CF161" s="598"/>
      <c r="CG161" s="598"/>
      <c r="CH161" s="598"/>
      <c r="CI161" s="598"/>
      <c r="CJ161" s="598"/>
      <c r="CK161" s="598"/>
      <c r="CL161" s="598"/>
      <c r="CM161" s="598"/>
      <c r="CN161" s="598"/>
      <c r="CO161" s="598"/>
      <c r="CP161" s="598"/>
      <c r="CQ161" s="598"/>
      <c r="CR161" s="598"/>
      <c r="CS161" s="598"/>
      <c r="CT161" s="598"/>
      <c r="CU161" s="598"/>
      <c r="CV161" s="598"/>
      <c r="CW161" s="598"/>
      <c r="CX161" s="598"/>
      <c r="CY161" s="598"/>
      <c r="CZ161" s="598"/>
      <c r="DA161" s="598"/>
      <c r="DB161" s="598"/>
      <c r="DC161" s="598"/>
      <c r="DD161" s="598"/>
      <c r="DE161" s="598"/>
      <c r="DF161" s="598"/>
      <c r="DG161" s="598"/>
      <c r="DH161" s="598"/>
      <c r="DI161" s="598"/>
      <c r="DJ161" s="598"/>
      <c r="DK161" s="598"/>
      <c r="DL161" s="598"/>
      <c r="DM161" s="598"/>
      <c r="DN161" s="598"/>
      <c r="DO161" s="598"/>
      <c r="DP161" s="598"/>
      <c r="DQ161" s="598"/>
      <c r="DR161" s="598"/>
      <c r="DS161" s="598"/>
      <c r="DT161" s="598"/>
      <c r="DU161" s="598"/>
      <c r="DV161" s="598"/>
      <c r="DW161" s="598"/>
      <c r="DX161" s="598"/>
      <c r="DY161" s="598"/>
      <c r="DZ161" s="598"/>
      <c r="EA161" s="598"/>
      <c r="EB161" s="598"/>
      <c r="EC161" s="598"/>
      <c r="ED161" s="598"/>
      <c r="EE161" s="598"/>
      <c r="EF161" s="598"/>
      <c r="EG161" s="598"/>
      <c r="EH161" s="598"/>
      <c r="EI161" s="598"/>
      <c r="EJ161" s="598"/>
      <c r="EK161" s="598"/>
      <c r="EL161" s="598"/>
      <c r="EM161" s="598"/>
      <c r="EN161" s="598"/>
      <c r="EO161" s="598"/>
      <c r="EP161" s="598"/>
      <c r="EQ161" s="598"/>
      <c r="ER161" s="598"/>
      <c r="ES161" s="598"/>
      <c r="ET161" s="598"/>
      <c r="EU161" s="598"/>
      <c r="EV161" s="598"/>
      <c r="EW161" s="598"/>
      <c r="EX161" s="598"/>
      <c r="EY161" s="598"/>
      <c r="EZ161" s="598"/>
      <c r="FA161" s="598"/>
      <c r="FB161" s="598"/>
      <c r="FC161" s="598"/>
      <c r="FD161" s="598"/>
      <c r="FE161" s="598"/>
      <c r="FF161" s="598"/>
      <c r="FG161" s="598"/>
      <c r="FH161" s="598"/>
      <c r="FI161" s="598"/>
      <c r="FJ161" s="598"/>
      <c r="FK161" s="598"/>
      <c r="FL161" s="598"/>
      <c r="FM161" s="598"/>
      <c r="FN161" s="598"/>
      <c r="FO161" s="598"/>
      <c r="FP161" s="598"/>
      <c r="FQ161" s="598"/>
      <c r="FR161" s="598"/>
      <c r="FS161" s="598"/>
      <c r="FT161" s="598"/>
      <c r="FU161" s="598"/>
      <c r="FV161" s="598"/>
      <c r="FW161" s="598"/>
      <c r="FX161" s="598"/>
      <c r="FY161" s="598"/>
      <c r="FZ161" s="598"/>
      <c r="GA161" s="598"/>
      <c r="GB161" s="598"/>
      <c r="GC161" s="598"/>
      <c r="GD161" s="598"/>
      <c r="GE161" s="598"/>
      <c r="GF161" s="598"/>
      <c r="GG161" s="598"/>
      <c r="GH161" s="598"/>
      <c r="GI161" s="598"/>
      <c r="GJ161" s="598"/>
      <c r="GK161" s="598"/>
      <c r="GL161" s="598"/>
      <c r="GM161" s="598"/>
      <c r="GN161" s="598"/>
      <c r="GO161" s="598"/>
      <c r="GP161" s="598"/>
      <c r="GQ161" s="598"/>
      <c r="GR161" s="598"/>
      <c r="GS161" s="598"/>
      <c r="GT161" s="598"/>
      <c r="GU161" s="598"/>
      <c r="GV161" s="598"/>
      <c r="GW161" s="598"/>
      <c r="GX161" s="598"/>
      <c r="GY161" s="598"/>
      <c r="GZ161" s="598"/>
      <c r="HA161" s="598"/>
      <c r="HB161" s="598"/>
      <c r="HC161" s="598"/>
      <c r="HD161" s="598"/>
      <c r="HE161" s="598"/>
      <c r="HF161" s="598"/>
      <c r="HG161" s="598"/>
      <c r="HH161" s="598"/>
      <c r="HI161" s="598"/>
      <c r="HJ161" s="598"/>
      <c r="HK161" s="598"/>
      <c r="HL161" s="598"/>
      <c r="HM161" s="598"/>
      <c r="HN161" s="598"/>
      <c r="HO161" s="598"/>
      <c r="HP161" s="598"/>
      <c r="HQ161" s="598"/>
      <c r="HR161" s="598"/>
      <c r="HS161" s="598"/>
      <c r="HT161" s="598"/>
      <c r="HU161" s="598"/>
      <c r="HV161" s="598"/>
      <c r="HW161" s="598"/>
      <c r="HX161" s="598"/>
      <c r="HY161" s="598"/>
      <c r="HZ161" s="598"/>
      <c r="IA161" s="598"/>
      <c r="IB161" s="598"/>
      <c r="IC161" s="598"/>
      <c r="ID161" s="598"/>
      <c r="IE161" s="598"/>
      <c r="IF161" s="598"/>
      <c r="IG161" s="598"/>
      <c r="IH161" s="598"/>
      <c r="II161" s="598"/>
      <c r="IJ161" s="598"/>
      <c r="IK161" s="598"/>
      <c r="IL161" s="598"/>
      <c r="IM161" s="598"/>
      <c r="IN161" s="598"/>
      <c r="IO161" s="598"/>
      <c r="IP161" s="598"/>
      <c r="IQ161" s="598"/>
      <c r="IR161" s="598"/>
      <c r="IS161" s="598"/>
      <c r="IT161" s="598"/>
      <c r="IU161" s="598"/>
      <c r="IV161" s="598"/>
      <c r="IW161" s="598"/>
      <c r="IX161" s="598"/>
      <c r="IY161" s="598"/>
      <c r="IZ161" s="598"/>
      <c r="JA161" s="598"/>
      <c r="JB161" s="598"/>
      <c r="JC161" s="598"/>
      <c r="JD161" s="598"/>
      <c r="JE161" s="598"/>
      <c r="JF161" s="598"/>
      <c r="JG161" s="598"/>
      <c r="JH161" s="598"/>
      <c r="JI161" s="598"/>
      <c r="JJ161" s="598"/>
      <c r="JK161" s="598"/>
      <c r="JL161" s="598"/>
      <c r="JM161" s="598"/>
      <c r="JN161" s="598"/>
      <c r="JO161" s="598"/>
      <c r="JP161" s="598"/>
      <c r="JQ161" s="598"/>
      <c r="JR161" s="598"/>
      <c r="JS161" s="598"/>
      <c r="JT161" s="598"/>
      <c r="JU161" s="598"/>
      <c r="JV161" s="598"/>
    </row>
    <row r="162" spans="1:282" s="21" customFormat="1" ht="50.1" customHeight="1" x14ac:dyDescent="0.2">
      <c r="A162" s="702"/>
      <c r="B162" s="68" t="s">
        <v>584</v>
      </c>
      <c r="C162" s="68"/>
      <c r="D162" s="68"/>
      <c r="E162" s="743" t="s">
        <v>528</v>
      </c>
      <c r="F162" s="744" t="s">
        <v>529</v>
      </c>
      <c r="G162" s="745" t="s">
        <v>530</v>
      </c>
      <c r="H162" s="188"/>
      <c r="I162" s="188"/>
      <c r="J162" s="188" t="s">
        <v>34</v>
      </c>
      <c r="K162" s="29" t="s">
        <v>1393</v>
      </c>
      <c r="L162" s="29" t="s">
        <v>18</v>
      </c>
      <c r="M162" s="188" t="s">
        <v>2399</v>
      </c>
      <c r="N162" s="73">
        <v>41561</v>
      </c>
      <c r="O162" s="69" t="s">
        <v>563</v>
      </c>
      <c r="P162" s="69"/>
      <c r="Q162" s="69"/>
      <c r="R162" s="69"/>
      <c r="S162" s="69"/>
      <c r="T162" s="597"/>
      <c r="U162" s="597"/>
      <c r="V162" s="597"/>
      <c r="W162" s="597"/>
      <c r="X162" s="597"/>
      <c r="Y162" s="597"/>
      <c r="Z162" s="597"/>
      <c r="AA162" s="597"/>
      <c r="AB162" s="597"/>
      <c r="AC162" s="597"/>
      <c r="AD162" s="597"/>
      <c r="AE162" s="597"/>
      <c r="AF162" s="597"/>
      <c r="AG162" s="597"/>
      <c r="AH162" s="597"/>
      <c r="AI162" s="597"/>
      <c r="AJ162" s="74">
        <v>41561</v>
      </c>
      <c r="AK162" s="741"/>
      <c r="AL162" s="171"/>
      <c r="AM162" s="598"/>
      <c r="AN162" s="598"/>
      <c r="AO162" s="598"/>
      <c r="AP162" s="598"/>
      <c r="AQ162" s="598"/>
      <c r="AR162" s="598"/>
      <c r="AS162" s="598"/>
      <c r="AT162" s="598"/>
      <c r="AU162" s="598"/>
      <c r="AV162" s="598"/>
      <c r="AW162" s="598"/>
      <c r="AX162" s="598"/>
      <c r="AY162" s="598"/>
      <c r="AZ162" s="598"/>
      <c r="BA162" s="598"/>
      <c r="BB162" s="598"/>
      <c r="BC162" s="598"/>
      <c r="BD162" s="598"/>
      <c r="BE162" s="598"/>
      <c r="BF162" s="598"/>
      <c r="BG162" s="598"/>
      <c r="BH162" s="598"/>
      <c r="BI162" s="598"/>
      <c r="BJ162" s="598"/>
      <c r="BK162" s="598"/>
      <c r="BL162" s="598"/>
      <c r="BM162" s="598"/>
      <c r="BN162" s="598"/>
      <c r="BO162" s="598"/>
      <c r="BP162" s="598"/>
      <c r="BQ162" s="598"/>
      <c r="BR162" s="598"/>
      <c r="BS162" s="598"/>
      <c r="BT162" s="598"/>
      <c r="BU162" s="598"/>
      <c r="BV162" s="598"/>
      <c r="BW162" s="598"/>
      <c r="BX162" s="598"/>
      <c r="BY162" s="598"/>
      <c r="BZ162" s="598"/>
      <c r="CA162" s="598"/>
      <c r="CB162" s="598"/>
      <c r="CC162" s="598"/>
      <c r="CD162" s="598"/>
      <c r="CE162" s="598"/>
      <c r="CF162" s="598"/>
      <c r="CG162" s="598"/>
      <c r="CH162" s="598"/>
      <c r="CI162" s="598"/>
      <c r="CJ162" s="598"/>
      <c r="CK162" s="598"/>
      <c r="CL162" s="598"/>
      <c r="CM162" s="598"/>
      <c r="CN162" s="598"/>
      <c r="CO162" s="598"/>
      <c r="CP162" s="598"/>
      <c r="CQ162" s="598"/>
      <c r="CR162" s="598"/>
      <c r="CS162" s="598"/>
      <c r="CT162" s="598"/>
      <c r="CU162" s="598"/>
      <c r="CV162" s="598"/>
      <c r="CW162" s="598"/>
      <c r="CX162" s="598"/>
      <c r="CY162" s="598"/>
      <c r="CZ162" s="598"/>
      <c r="DA162" s="598"/>
      <c r="DB162" s="598"/>
      <c r="DC162" s="598"/>
      <c r="DD162" s="598"/>
      <c r="DE162" s="598"/>
      <c r="DF162" s="598"/>
      <c r="DG162" s="598"/>
      <c r="DH162" s="598"/>
      <c r="DI162" s="598"/>
      <c r="DJ162" s="598"/>
      <c r="DK162" s="598"/>
      <c r="DL162" s="598"/>
      <c r="DM162" s="598"/>
      <c r="DN162" s="598"/>
      <c r="DO162" s="598"/>
      <c r="DP162" s="598"/>
      <c r="DQ162" s="598"/>
      <c r="DR162" s="598"/>
      <c r="DS162" s="598"/>
      <c r="DT162" s="598"/>
      <c r="DU162" s="598"/>
      <c r="DV162" s="598"/>
      <c r="DW162" s="598"/>
      <c r="DX162" s="598"/>
      <c r="DY162" s="598"/>
      <c r="DZ162" s="598"/>
      <c r="EA162" s="598"/>
      <c r="EB162" s="598"/>
      <c r="EC162" s="598"/>
      <c r="ED162" s="598"/>
      <c r="EE162" s="598"/>
      <c r="EF162" s="598"/>
      <c r="EG162" s="598"/>
      <c r="EH162" s="598"/>
      <c r="EI162" s="598"/>
      <c r="EJ162" s="598"/>
      <c r="EK162" s="598"/>
      <c r="EL162" s="598"/>
      <c r="EM162" s="598"/>
      <c r="EN162" s="598"/>
      <c r="EO162" s="598"/>
      <c r="EP162" s="598"/>
      <c r="EQ162" s="598"/>
      <c r="ER162" s="598"/>
      <c r="ES162" s="598"/>
      <c r="ET162" s="598"/>
      <c r="EU162" s="598"/>
      <c r="EV162" s="598"/>
      <c r="EW162" s="598"/>
      <c r="EX162" s="598"/>
      <c r="EY162" s="598"/>
      <c r="EZ162" s="598"/>
      <c r="FA162" s="598"/>
      <c r="FB162" s="598"/>
      <c r="FC162" s="598"/>
      <c r="FD162" s="598"/>
      <c r="FE162" s="598"/>
      <c r="FF162" s="598"/>
      <c r="FG162" s="598"/>
      <c r="FH162" s="598"/>
      <c r="FI162" s="598"/>
      <c r="FJ162" s="598"/>
      <c r="FK162" s="598"/>
      <c r="FL162" s="598"/>
      <c r="FM162" s="598"/>
      <c r="FN162" s="598"/>
      <c r="FO162" s="598"/>
      <c r="FP162" s="598"/>
      <c r="FQ162" s="598"/>
      <c r="FR162" s="598"/>
      <c r="FS162" s="598"/>
      <c r="FT162" s="598"/>
      <c r="FU162" s="598"/>
      <c r="FV162" s="598"/>
      <c r="FW162" s="598"/>
      <c r="FX162" s="598"/>
      <c r="FY162" s="598"/>
      <c r="FZ162" s="598"/>
      <c r="GA162" s="598"/>
      <c r="GB162" s="598"/>
      <c r="GC162" s="598"/>
      <c r="GD162" s="598"/>
      <c r="GE162" s="598"/>
      <c r="GF162" s="598"/>
      <c r="GG162" s="598"/>
      <c r="GH162" s="598"/>
      <c r="GI162" s="598"/>
      <c r="GJ162" s="598"/>
      <c r="GK162" s="598"/>
      <c r="GL162" s="598"/>
      <c r="GM162" s="598"/>
      <c r="GN162" s="598"/>
      <c r="GO162" s="598"/>
      <c r="GP162" s="598"/>
      <c r="GQ162" s="598"/>
      <c r="GR162" s="598"/>
      <c r="GS162" s="598"/>
      <c r="GT162" s="598"/>
      <c r="GU162" s="598"/>
      <c r="GV162" s="598"/>
      <c r="GW162" s="598"/>
      <c r="GX162" s="598"/>
      <c r="GY162" s="598"/>
      <c r="GZ162" s="598"/>
      <c r="HA162" s="598"/>
      <c r="HB162" s="598"/>
      <c r="HC162" s="598"/>
      <c r="HD162" s="598"/>
      <c r="HE162" s="598"/>
      <c r="HF162" s="598"/>
      <c r="HG162" s="598"/>
      <c r="HH162" s="598"/>
      <c r="HI162" s="598"/>
      <c r="HJ162" s="598"/>
      <c r="HK162" s="598"/>
      <c r="HL162" s="598"/>
      <c r="HM162" s="598"/>
      <c r="HN162" s="598"/>
      <c r="HO162" s="598"/>
      <c r="HP162" s="598"/>
      <c r="HQ162" s="598"/>
      <c r="HR162" s="598"/>
      <c r="HS162" s="598"/>
      <c r="HT162" s="598"/>
      <c r="HU162" s="598"/>
      <c r="HV162" s="598"/>
      <c r="HW162" s="598"/>
      <c r="HX162" s="598"/>
      <c r="HY162" s="598"/>
      <c r="HZ162" s="598"/>
      <c r="IA162" s="598"/>
      <c r="IB162" s="598"/>
      <c r="IC162" s="598"/>
      <c r="ID162" s="598"/>
      <c r="IE162" s="598"/>
      <c r="IF162" s="598"/>
      <c r="IG162" s="598"/>
      <c r="IH162" s="598"/>
      <c r="II162" s="598"/>
      <c r="IJ162" s="598"/>
      <c r="IK162" s="598"/>
      <c r="IL162" s="598"/>
      <c r="IM162" s="598"/>
      <c r="IN162" s="598"/>
      <c r="IO162" s="598"/>
      <c r="IP162" s="598"/>
      <c r="IQ162" s="598"/>
      <c r="IR162" s="598"/>
      <c r="IS162" s="598"/>
      <c r="IT162" s="598"/>
      <c r="IU162" s="598"/>
      <c r="IV162" s="598"/>
      <c r="IW162" s="598"/>
      <c r="IX162" s="598"/>
      <c r="IY162" s="598"/>
      <c r="IZ162" s="598"/>
      <c r="JA162" s="598"/>
      <c r="JB162" s="598"/>
      <c r="JC162" s="598"/>
      <c r="JD162" s="598"/>
      <c r="JE162" s="598"/>
      <c r="JF162" s="598"/>
      <c r="JG162" s="598"/>
      <c r="JH162" s="598"/>
      <c r="JI162" s="598"/>
      <c r="JJ162" s="598"/>
      <c r="JK162" s="598"/>
      <c r="JL162" s="598"/>
      <c r="JM162" s="598"/>
      <c r="JN162" s="598"/>
      <c r="JO162" s="598"/>
      <c r="JP162" s="598"/>
      <c r="JQ162" s="598"/>
      <c r="JR162" s="598"/>
      <c r="JS162" s="598"/>
      <c r="JT162" s="598"/>
      <c r="JU162" s="598"/>
      <c r="JV162" s="598"/>
    </row>
    <row r="163" spans="1:282" s="21" customFormat="1" ht="50.1" customHeight="1" x14ac:dyDescent="0.2">
      <c r="A163" s="702"/>
      <c r="B163" s="68" t="s">
        <v>584</v>
      </c>
      <c r="C163" s="68"/>
      <c r="D163" s="68"/>
      <c r="E163" s="29" t="s">
        <v>616</v>
      </c>
      <c r="F163" s="198" t="s">
        <v>597</v>
      </c>
      <c r="G163" s="29" t="s">
        <v>2031</v>
      </c>
      <c r="H163" s="29" t="s">
        <v>112</v>
      </c>
      <c r="I163" s="29"/>
      <c r="J163" s="29" t="s">
        <v>602</v>
      </c>
      <c r="K163" s="38" t="s">
        <v>1392</v>
      </c>
      <c r="L163" s="29" t="s">
        <v>685</v>
      </c>
      <c r="M163" s="29" t="s">
        <v>2445</v>
      </c>
      <c r="N163" s="74">
        <v>41271</v>
      </c>
      <c r="O163" s="69" t="s">
        <v>617</v>
      </c>
      <c r="P163" s="69"/>
      <c r="Q163" s="69"/>
      <c r="R163" s="69"/>
      <c r="S163" s="69"/>
      <c r="T163" s="597"/>
      <c r="U163" s="597"/>
      <c r="V163" s="597"/>
      <c r="W163" s="597"/>
      <c r="X163" s="597"/>
      <c r="Y163" s="597"/>
      <c r="Z163" s="597"/>
      <c r="AA163" s="597"/>
      <c r="AB163" s="597"/>
      <c r="AC163" s="597"/>
      <c r="AD163" s="597"/>
      <c r="AE163" s="597"/>
      <c r="AF163" s="597"/>
      <c r="AG163" s="597"/>
      <c r="AH163" s="597"/>
      <c r="AI163" s="597"/>
      <c r="AJ163" s="281">
        <v>41561</v>
      </c>
      <c r="AK163" s="648"/>
      <c r="AL163" s="174"/>
      <c r="AM163" s="598"/>
      <c r="AN163" s="598"/>
      <c r="AO163" s="598"/>
      <c r="AP163" s="598"/>
      <c r="AQ163" s="598"/>
      <c r="AR163" s="598"/>
      <c r="AS163" s="598"/>
      <c r="AT163" s="598"/>
      <c r="AU163" s="598"/>
      <c r="AV163" s="598"/>
      <c r="AW163" s="598"/>
      <c r="AX163" s="598"/>
      <c r="AY163" s="598"/>
      <c r="AZ163" s="598"/>
      <c r="BA163" s="598"/>
      <c r="BB163" s="598"/>
      <c r="BC163" s="598"/>
      <c r="BD163" s="598"/>
      <c r="BE163" s="598"/>
      <c r="BF163" s="598"/>
      <c r="BG163" s="598"/>
      <c r="BH163" s="598"/>
      <c r="BI163" s="598"/>
      <c r="BJ163" s="598"/>
      <c r="BK163" s="598"/>
      <c r="BL163" s="598"/>
      <c r="BM163" s="598"/>
      <c r="BN163" s="598"/>
      <c r="BO163" s="598"/>
      <c r="BP163" s="598"/>
      <c r="BQ163" s="598"/>
      <c r="BR163" s="598"/>
      <c r="BS163" s="598"/>
      <c r="BT163" s="598"/>
      <c r="BU163" s="598"/>
      <c r="BV163" s="598"/>
      <c r="BW163" s="598"/>
      <c r="BX163" s="598"/>
      <c r="BY163" s="598"/>
      <c r="BZ163" s="598"/>
      <c r="CA163" s="598"/>
      <c r="CB163" s="598"/>
      <c r="CC163" s="598"/>
      <c r="CD163" s="598"/>
      <c r="CE163" s="598"/>
      <c r="CF163" s="598"/>
      <c r="CG163" s="598"/>
      <c r="CH163" s="598"/>
      <c r="CI163" s="598"/>
      <c r="CJ163" s="598"/>
      <c r="CK163" s="598"/>
      <c r="CL163" s="598"/>
      <c r="CM163" s="598"/>
      <c r="CN163" s="598"/>
      <c r="CO163" s="598"/>
      <c r="CP163" s="598"/>
      <c r="CQ163" s="598"/>
      <c r="CR163" s="598"/>
      <c r="CS163" s="598"/>
      <c r="CT163" s="598"/>
      <c r="CU163" s="598"/>
      <c r="CV163" s="598"/>
      <c r="CW163" s="598"/>
      <c r="CX163" s="598"/>
      <c r="CY163" s="598"/>
      <c r="CZ163" s="598"/>
      <c r="DA163" s="598"/>
      <c r="DB163" s="598"/>
      <c r="DC163" s="598"/>
      <c r="DD163" s="598"/>
      <c r="DE163" s="598"/>
      <c r="DF163" s="598"/>
      <c r="DG163" s="598"/>
      <c r="DH163" s="598"/>
      <c r="DI163" s="598"/>
      <c r="DJ163" s="598"/>
      <c r="DK163" s="598"/>
      <c r="DL163" s="598"/>
      <c r="DM163" s="598"/>
      <c r="DN163" s="598"/>
      <c r="DO163" s="598"/>
      <c r="DP163" s="598"/>
      <c r="DQ163" s="598"/>
      <c r="DR163" s="598"/>
      <c r="DS163" s="598"/>
      <c r="DT163" s="598"/>
      <c r="DU163" s="598"/>
      <c r="DV163" s="598"/>
      <c r="DW163" s="598"/>
      <c r="DX163" s="598"/>
      <c r="DY163" s="598"/>
      <c r="DZ163" s="598"/>
      <c r="EA163" s="598"/>
      <c r="EB163" s="598"/>
      <c r="EC163" s="598"/>
      <c r="ED163" s="598"/>
      <c r="EE163" s="598"/>
      <c r="EF163" s="598"/>
      <c r="EG163" s="598"/>
      <c r="EH163" s="598"/>
      <c r="EI163" s="598"/>
      <c r="EJ163" s="598"/>
      <c r="EK163" s="598"/>
      <c r="EL163" s="598"/>
      <c r="EM163" s="598"/>
      <c r="EN163" s="598"/>
      <c r="EO163" s="598"/>
      <c r="EP163" s="598"/>
      <c r="EQ163" s="598"/>
      <c r="ER163" s="598"/>
      <c r="ES163" s="598"/>
      <c r="ET163" s="598"/>
      <c r="EU163" s="598"/>
      <c r="EV163" s="598"/>
      <c r="EW163" s="598"/>
      <c r="EX163" s="598"/>
      <c r="EY163" s="598"/>
      <c r="EZ163" s="598"/>
      <c r="FA163" s="598"/>
      <c r="FB163" s="598"/>
      <c r="FC163" s="598"/>
      <c r="FD163" s="598"/>
      <c r="FE163" s="598"/>
      <c r="FF163" s="598"/>
      <c r="FG163" s="598"/>
      <c r="FH163" s="598"/>
      <c r="FI163" s="598"/>
      <c r="FJ163" s="598"/>
      <c r="FK163" s="598"/>
      <c r="FL163" s="598"/>
      <c r="FM163" s="598"/>
      <c r="FN163" s="598"/>
      <c r="FO163" s="598"/>
      <c r="FP163" s="598"/>
      <c r="FQ163" s="598"/>
      <c r="FR163" s="598"/>
      <c r="FS163" s="598"/>
      <c r="FT163" s="598"/>
      <c r="FU163" s="598"/>
      <c r="FV163" s="598"/>
      <c r="FW163" s="598"/>
      <c r="FX163" s="598"/>
      <c r="FY163" s="598"/>
      <c r="FZ163" s="598"/>
      <c r="GA163" s="598"/>
      <c r="GB163" s="598"/>
      <c r="GC163" s="598"/>
      <c r="GD163" s="598"/>
      <c r="GE163" s="598"/>
      <c r="GF163" s="598"/>
      <c r="GG163" s="598"/>
      <c r="GH163" s="598"/>
      <c r="GI163" s="598"/>
      <c r="GJ163" s="598"/>
      <c r="GK163" s="598"/>
      <c r="GL163" s="598"/>
      <c r="GM163" s="598"/>
      <c r="GN163" s="598"/>
      <c r="GO163" s="598"/>
      <c r="GP163" s="598"/>
      <c r="GQ163" s="598"/>
      <c r="GR163" s="598"/>
      <c r="GS163" s="598"/>
      <c r="GT163" s="598"/>
      <c r="GU163" s="598"/>
      <c r="GV163" s="598"/>
      <c r="GW163" s="598"/>
      <c r="GX163" s="598"/>
      <c r="GY163" s="598"/>
      <c r="GZ163" s="598"/>
      <c r="HA163" s="598"/>
      <c r="HB163" s="598"/>
      <c r="HC163" s="598"/>
      <c r="HD163" s="598"/>
      <c r="HE163" s="598"/>
      <c r="HF163" s="598"/>
      <c r="HG163" s="598"/>
      <c r="HH163" s="598"/>
      <c r="HI163" s="598"/>
      <c r="HJ163" s="598"/>
      <c r="HK163" s="598"/>
      <c r="HL163" s="598"/>
      <c r="HM163" s="598"/>
      <c r="HN163" s="598"/>
      <c r="HO163" s="598"/>
      <c r="HP163" s="598"/>
      <c r="HQ163" s="598"/>
      <c r="HR163" s="598"/>
      <c r="HS163" s="598"/>
      <c r="HT163" s="598"/>
      <c r="HU163" s="598"/>
      <c r="HV163" s="598"/>
      <c r="HW163" s="598"/>
      <c r="HX163" s="598"/>
      <c r="HY163" s="598"/>
      <c r="HZ163" s="598"/>
      <c r="IA163" s="598"/>
      <c r="IB163" s="598"/>
      <c r="IC163" s="598"/>
      <c r="ID163" s="598"/>
      <c r="IE163" s="598"/>
      <c r="IF163" s="598"/>
      <c r="IG163" s="598"/>
      <c r="IH163" s="598"/>
      <c r="II163" s="598"/>
      <c r="IJ163" s="598"/>
      <c r="IK163" s="598"/>
      <c r="IL163" s="598"/>
      <c r="IM163" s="598"/>
      <c r="IN163" s="598"/>
      <c r="IO163" s="598"/>
      <c r="IP163" s="598"/>
      <c r="IQ163" s="598"/>
      <c r="IR163" s="598"/>
      <c r="IS163" s="598"/>
      <c r="IT163" s="598"/>
      <c r="IU163" s="598"/>
      <c r="IV163" s="598"/>
      <c r="IW163" s="598"/>
      <c r="IX163" s="598"/>
      <c r="IY163" s="598"/>
      <c r="IZ163" s="598"/>
      <c r="JA163" s="598"/>
      <c r="JB163" s="598"/>
      <c r="JC163" s="598"/>
      <c r="JD163" s="598"/>
      <c r="JE163" s="598"/>
      <c r="JF163" s="598"/>
      <c r="JG163" s="598"/>
      <c r="JH163" s="598"/>
      <c r="JI163" s="598"/>
      <c r="JJ163" s="598"/>
      <c r="JK163" s="598"/>
      <c r="JL163" s="598"/>
      <c r="JM163" s="598"/>
      <c r="JN163" s="598"/>
      <c r="JO163" s="598"/>
      <c r="JP163" s="598"/>
      <c r="JQ163" s="598"/>
      <c r="JR163" s="598"/>
      <c r="JS163" s="598"/>
      <c r="JT163" s="598"/>
      <c r="JU163" s="598"/>
      <c r="JV163" s="598"/>
    </row>
    <row r="164" spans="1:282" s="21" customFormat="1" ht="50.1" customHeight="1" x14ac:dyDescent="0.2">
      <c r="A164" s="702"/>
      <c r="B164" s="151" t="s">
        <v>1174</v>
      </c>
      <c r="C164" s="151"/>
      <c r="D164" s="151"/>
      <c r="E164" s="151" t="s">
        <v>1175</v>
      </c>
      <c r="F164" s="249" t="s">
        <v>1176</v>
      </c>
      <c r="G164" s="151" t="s">
        <v>1177</v>
      </c>
      <c r="H164" s="151" t="s">
        <v>1178</v>
      </c>
      <c r="I164" s="151"/>
      <c r="J164" s="151" t="s">
        <v>2270</v>
      </c>
      <c r="K164" s="29" t="s">
        <v>1393</v>
      </c>
      <c r="L164" s="29" t="s">
        <v>685</v>
      </c>
      <c r="M164" s="29" t="s">
        <v>1528</v>
      </c>
      <c r="N164" s="250">
        <v>41319</v>
      </c>
      <c r="O164" s="151">
        <v>107938137</v>
      </c>
      <c r="P164" s="151"/>
      <c r="Q164" s="151"/>
      <c r="R164" s="151"/>
      <c r="S164" s="151"/>
      <c r="T164" s="597"/>
      <c r="U164" s="597"/>
      <c r="V164" s="597"/>
      <c r="W164" s="597"/>
      <c r="X164" s="597"/>
      <c r="Y164" s="597"/>
      <c r="Z164" s="597"/>
      <c r="AA164" s="597"/>
      <c r="AB164" s="597"/>
      <c r="AC164" s="597"/>
      <c r="AD164" s="597"/>
      <c r="AE164" s="597"/>
      <c r="AF164" s="597"/>
      <c r="AG164" s="597"/>
      <c r="AH164" s="597"/>
      <c r="AI164" s="597"/>
      <c r="AJ164" s="74">
        <v>41568</v>
      </c>
      <c r="AK164" s="648">
        <v>10</v>
      </c>
      <c r="AL164" s="174"/>
      <c r="AM164" s="598"/>
      <c r="AN164" s="598"/>
      <c r="AO164" s="598"/>
      <c r="AP164" s="598"/>
      <c r="AQ164" s="598"/>
      <c r="AR164" s="598"/>
      <c r="AS164" s="598"/>
      <c r="AT164" s="598"/>
      <c r="AU164" s="598"/>
      <c r="AV164" s="598"/>
      <c r="AW164" s="598"/>
      <c r="AX164" s="598"/>
      <c r="AY164" s="598"/>
      <c r="AZ164" s="598"/>
      <c r="BA164" s="598"/>
      <c r="BB164" s="598"/>
      <c r="BC164" s="598"/>
      <c r="BD164" s="598"/>
      <c r="BE164" s="598"/>
      <c r="BF164" s="598"/>
      <c r="BG164" s="598"/>
      <c r="BH164" s="598"/>
      <c r="BI164" s="598"/>
      <c r="BJ164" s="598"/>
      <c r="BK164" s="598"/>
      <c r="BL164" s="598"/>
      <c r="BM164" s="598"/>
      <c r="BN164" s="598"/>
      <c r="BO164" s="598"/>
      <c r="BP164" s="598"/>
      <c r="BQ164" s="598"/>
      <c r="BR164" s="598"/>
      <c r="BS164" s="598"/>
      <c r="BT164" s="598"/>
      <c r="BU164" s="598"/>
      <c r="BV164" s="598"/>
      <c r="BW164" s="598"/>
      <c r="BX164" s="598"/>
      <c r="BY164" s="598"/>
      <c r="BZ164" s="598"/>
      <c r="CA164" s="598"/>
      <c r="CB164" s="598"/>
      <c r="CC164" s="598"/>
      <c r="CD164" s="598"/>
      <c r="CE164" s="598"/>
      <c r="CF164" s="598"/>
      <c r="CG164" s="598"/>
      <c r="CH164" s="598"/>
      <c r="CI164" s="598"/>
      <c r="CJ164" s="598"/>
      <c r="CK164" s="598"/>
      <c r="CL164" s="598"/>
      <c r="CM164" s="598"/>
      <c r="CN164" s="598"/>
      <c r="CO164" s="598"/>
      <c r="CP164" s="598"/>
      <c r="CQ164" s="598"/>
      <c r="CR164" s="598"/>
      <c r="CS164" s="598"/>
      <c r="CT164" s="598"/>
      <c r="CU164" s="598"/>
      <c r="CV164" s="598"/>
      <c r="CW164" s="598"/>
      <c r="CX164" s="598"/>
      <c r="CY164" s="598"/>
      <c r="CZ164" s="598"/>
      <c r="DA164" s="598"/>
      <c r="DB164" s="598"/>
      <c r="DC164" s="598"/>
      <c r="DD164" s="598"/>
      <c r="DE164" s="598"/>
      <c r="DF164" s="598"/>
      <c r="DG164" s="598"/>
      <c r="DH164" s="598"/>
      <c r="DI164" s="598"/>
      <c r="DJ164" s="598"/>
      <c r="DK164" s="598"/>
      <c r="DL164" s="598"/>
      <c r="DM164" s="598"/>
      <c r="DN164" s="598"/>
      <c r="DO164" s="598"/>
      <c r="DP164" s="598"/>
      <c r="DQ164" s="598"/>
      <c r="DR164" s="598"/>
      <c r="DS164" s="598"/>
      <c r="DT164" s="598"/>
      <c r="DU164" s="598"/>
      <c r="DV164" s="598"/>
      <c r="DW164" s="598"/>
      <c r="DX164" s="598"/>
      <c r="DY164" s="598"/>
      <c r="DZ164" s="598"/>
      <c r="EA164" s="598"/>
      <c r="EB164" s="598"/>
      <c r="EC164" s="598"/>
      <c r="ED164" s="598"/>
      <c r="EE164" s="598"/>
      <c r="EF164" s="598"/>
      <c r="EG164" s="598"/>
      <c r="EH164" s="598"/>
      <c r="EI164" s="598"/>
      <c r="EJ164" s="598"/>
      <c r="EK164" s="598"/>
      <c r="EL164" s="598"/>
      <c r="EM164" s="598"/>
      <c r="EN164" s="598"/>
      <c r="EO164" s="598"/>
      <c r="EP164" s="598"/>
      <c r="EQ164" s="598"/>
      <c r="ER164" s="598"/>
      <c r="ES164" s="598"/>
      <c r="ET164" s="598"/>
      <c r="EU164" s="598"/>
      <c r="EV164" s="598"/>
      <c r="EW164" s="598"/>
      <c r="EX164" s="598"/>
      <c r="EY164" s="598"/>
      <c r="EZ164" s="598"/>
      <c r="FA164" s="598"/>
      <c r="FB164" s="598"/>
      <c r="FC164" s="598"/>
      <c r="FD164" s="598"/>
      <c r="FE164" s="598"/>
      <c r="FF164" s="598"/>
      <c r="FG164" s="598"/>
      <c r="FH164" s="598"/>
      <c r="FI164" s="598"/>
      <c r="FJ164" s="598"/>
      <c r="FK164" s="598"/>
      <c r="FL164" s="598"/>
      <c r="FM164" s="598"/>
      <c r="FN164" s="598"/>
      <c r="FO164" s="598"/>
      <c r="FP164" s="598"/>
      <c r="FQ164" s="598"/>
      <c r="FR164" s="598"/>
      <c r="FS164" s="598"/>
      <c r="FT164" s="598"/>
      <c r="FU164" s="598"/>
      <c r="FV164" s="598"/>
      <c r="FW164" s="598"/>
      <c r="FX164" s="598"/>
      <c r="FY164" s="598"/>
      <c r="FZ164" s="598"/>
      <c r="GA164" s="598"/>
      <c r="GB164" s="598"/>
      <c r="GC164" s="598"/>
      <c r="GD164" s="598"/>
      <c r="GE164" s="598"/>
      <c r="GF164" s="598"/>
      <c r="GG164" s="598"/>
      <c r="GH164" s="598"/>
      <c r="GI164" s="598"/>
      <c r="GJ164" s="598"/>
      <c r="GK164" s="598"/>
      <c r="GL164" s="598"/>
      <c r="GM164" s="598"/>
      <c r="GN164" s="598"/>
      <c r="GO164" s="598"/>
      <c r="GP164" s="598"/>
      <c r="GQ164" s="598"/>
      <c r="GR164" s="598"/>
      <c r="GS164" s="598"/>
      <c r="GT164" s="598"/>
      <c r="GU164" s="598"/>
      <c r="GV164" s="598"/>
      <c r="GW164" s="598"/>
      <c r="GX164" s="598"/>
      <c r="GY164" s="598"/>
      <c r="GZ164" s="598"/>
      <c r="HA164" s="598"/>
      <c r="HB164" s="598"/>
      <c r="HC164" s="598"/>
      <c r="HD164" s="598"/>
      <c r="HE164" s="598"/>
      <c r="HF164" s="598"/>
      <c r="HG164" s="598"/>
      <c r="HH164" s="598"/>
      <c r="HI164" s="598"/>
      <c r="HJ164" s="598"/>
      <c r="HK164" s="598"/>
      <c r="HL164" s="598"/>
      <c r="HM164" s="598"/>
      <c r="HN164" s="598"/>
      <c r="HO164" s="598"/>
      <c r="HP164" s="598"/>
      <c r="HQ164" s="598"/>
      <c r="HR164" s="598"/>
      <c r="HS164" s="598"/>
      <c r="HT164" s="598"/>
      <c r="HU164" s="598"/>
      <c r="HV164" s="598"/>
      <c r="HW164" s="598"/>
      <c r="HX164" s="598"/>
      <c r="HY164" s="598"/>
      <c r="HZ164" s="598"/>
      <c r="IA164" s="598"/>
      <c r="IB164" s="598"/>
      <c r="IC164" s="598"/>
      <c r="ID164" s="598"/>
      <c r="IE164" s="598"/>
      <c r="IF164" s="598"/>
      <c r="IG164" s="598"/>
      <c r="IH164" s="598"/>
      <c r="II164" s="598"/>
      <c r="IJ164" s="598"/>
      <c r="IK164" s="598"/>
      <c r="IL164" s="598"/>
      <c r="IM164" s="598"/>
      <c r="IN164" s="598"/>
      <c r="IO164" s="598"/>
      <c r="IP164" s="598"/>
      <c r="IQ164" s="598"/>
      <c r="IR164" s="598"/>
      <c r="IS164" s="598"/>
      <c r="IT164" s="598"/>
      <c r="IU164" s="598"/>
      <c r="IV164" s="598"/>
      <c r="IW164" s="598"/>
      <c r="IX164" s="598"/>
      <c r="IY164" s="598"/>
      <c r="IZ164" s="598"/>
      <c r="JA164" s="598"/>
      <c r="JB164" s="598"/>
      <c r="JC164" s="598"/>
      <c r="JD164" s="598"/>
      <c r="JE164" s="598"/>
      <c r="JF164" s="598"/>
      <c r="JG164" s="598"/>
      <c r="JH164" s="598"/>
      <c r="JI164" s="598"/>
      <c r="JJ164" s="598"/>
      <c r="JK164" s="598"/>
      <c r="JL164" s="598"/>
      <c r="JM164" s="598"/>
      <c r="JN164" s="598"/>
      <c r="JO164" s="598"/>
      <c r="JP164" s="598"/>
      <c r="JQ164" s="598"/>
      <c r="JR164" s="598"/>
      <c r="JS164" s="598"/>
      <c r="JT164" s="598"/>
      <c r="JU164" s="598"/>
      <c r="JV164" s="598"/>
    </row>
    <row r="165" spans="1:282" s="21" customFormat="1" ht="50.1" customHeight="1" x14ac:dyDescent="0.2">
      <c r="A165" s="702"/>
      <c r="B165" s="69" t="s">
        <v>1137</v>
      </c>
      <c r="C165" s="69"/>
      <c r="D165" s="69"/>
      <c r="E165" s="29" t="s">
        <v>217</v>
      </c>
      <c r="F165" s="104" t="s">
        <v>210</v>
      </c>
      <c r="G165" s="29" t="s">
        <v>210</v>
      </c>
      <c r="H165" s="29" t="s">
        <v>1214</v>
      </c>
      <c r="I165" s="29"/>
      <c r="J165" s="29" t="s">
        <v>2272</v>
      </c>
      <c r="K165" s="30" t="s">
        <v>1394</v>
      </c>
      <c r="L165" s="29" t="s">
        <v>685</v>
      </c>
      <c r="M165" s="29" t="s">
        <v>1528</v>
      </c>
      <c r="N165" s="74">
        <v>40643</v>
      </c>
      <c r="O165" s="69" t="s">
        <v>218</v>
      </c>
      <c r="P165" s="69"/>
      <c r="Q165" s="69"/>
      <c r="R165" s="69"/>
      <c r="S165" s="69"/>
      <c r="T165" s="597"/>
      <c r="U165" s="597"/>
      <c r="V165" s="597"/>
      <c r="W165" s="597"/>
      <c r="X165" s="597"/>
      <c r="Y165" s="597"/>
      <c r="Z165" s="597"/>
      <c r="AA165" s="597"/>
      <c r="AB165" s="597"/>
      <c r="AC165" s="597"/>
      <c r="AD165" s="597"/>
      <c r="AE165" s="597"/>
      <c r="AF165" s="597"/>
      <c r="AG165" s="597"/>
      <c r="AH165" s="597"/>
      <c r="AI165" s="597"/>
      <c r="AJ165" s="74">
        <v>41610</v>
      </c>
      <c r="AK165" s="648">
        <v>10</v>
      </c>
      <c r="AL165" s="174"/>
      <c r="AM165" s="598"/>
      <c r="AN165" s="598"/>
      <c r="AO165" s="598"/>
      <c r="AP165" s="598"/>
      <c r="AQ165" s="598"/>
      <c r="AR165" s="598"/>
      <c r="AS165" s="598"/>
      <c r="AT165" s="598"/>
      <c r="AU165" s="598"/>
      <c r="AV165" s="598"/>
      <c r="AW165" s="598"/>
      <c r="AX165" s="598"/>
      <c r="AY165" s="598"/>
      <c r="AZ165" s="598"/>
      <c r="BA165" s="598"/>
      <c r="BB165" s="598"/>
      <c r="BC165" s="598"/>
      <c r="BD165" s="598"/>
      <c r="BE165" s="598"/>
      <c r="BF165" s="598"/>
      <c r="BG165" s="598"/>
      <c r="BH165" s="598"/>
      <c r="BI165" s="598"/>
      <c r="BJ165" s="598"/>
      <c r="BK165" s="598"/>
      <c r="BL165" s="598"/>
      <c r="BM165" s="598"/>
      <c r="BN165" s="598"/>
      <c r="BO165" s="598"/>
      <c r="BP165" s="598"/>
      <c r="BQ165" s="598"/>
      <c r="BR165" s="598"/>
      <c r="BS165" s="598"/>
      <c r="BT165" s="598"/>
      <c r="BU165" s="598"/>
      <c r="BV165" s="598"/>
      <c r="BW165" s="598"/>
      <c r="BX165" s="598"/>
      <c r="BY165" s="598"/>
      <c r="BZ165" s="598"/>
      <c r="CA165" s="598"/>
      <c r="CB165" s="598"/>
      <c r="CC165" s="598"/>
      <c r="CD165" s="598"/>
      <c r="CE165" s="598"/>
      <c r="CF165" s="598"/>
      <c r="CG165" s="598"/>
      <c r="CH165" s="598"/>
      <c r="CI165" s="598"/>
      <c r="CJ165" s="598"/>
      <c r="CK165" s="598"/>
      <c r="CL165" s="598"/>
      <c r="CM165" s="598"/>
      <c r="CN165" s="598"/>
      <c r="CO165" s="598"/>
      <c r="CP165" s="598"/>
      <c r="CQ165" s="598"/>
      <c r="CR165" s="598"/>
      <c r="CS165" s="598"/>
      <c r="CT165" s="598"/>
      <c r="CU165" s="598"/>
      <c r="CV165" s="598"/>
      <c r="CW165" s="598"/>
      <c r="CX165" s="598"/>
      <c r="CY165" s="598"/>
      <c r="CZ165" s="598"/>
      <c r="DA165" s="598"/>
      <c r="DB165" s="598"/>
      <c r="DC165" s="598"/>
      <c r="DD165" s="598"/>
      <c r="DE165" s="598"/>
      <c r="DF165" s="598"/>
      <c r="DG165" s="598"/>
      <c r="DH165" s="598"/>
      <c r="DI165" s="598"/>
      <c r="DJ165" s="598"/>
      <c r="DK165" s="598"/>
      <c r="DL165" s="598"/>
      <c r="DM165" s="598"/>
      <c r="DN165" s="598"/>
      <c r="DO165" s="598"/>
      <c r="DP165" s="598"/>
      <c r="DQ165" s="598"/>
      <c r="DR165" s="598"/>
      <c r="DS165" s="598"/>
      <c r="DT165" s="598"/>
      <c r="DU165" s="598"/>
      <c r="DV165" s="598"/>
      <c r="DW165" s="598"/>
      <c r="DX165" s="598"/>
      <c r="DY165" s="598"/>
      <c r="DZ165" s="598"/>
      <c r="EA165" s="598"/>
      <c r="EB165" s="598"/>
      <c r="EC165" s="598"/>
      <c r="ED165" s="598"/>
      <c r="EE165" s="598"/>
      <c r="EF165" s="598"/>
      <c r="EG165" s="598"/>
      <c r="EH165" s="598"/>
      <c r="EI165" s="598"/>
      <c r="EJ165" s="598"/>
      <c r="EK165" s="598"/>
      <c r="EL165" s="598"/>
      <c r="EM165" s="598"/>
      <c r="EN165" s="598"/>
      <c r="EO165" s="598"/>
      <c r="EP165" s="598"/>
      <c r="EQ165" s="598"/>
      <c r="ER165" s="598"/>
      <c r="ES165" s="598"/>
      <c r="ET165" s="598"/>
      <c r="EU165" s="598"/>
      <c r="EV165" s="598"/>
      <c r="EW165" s="598"/>
      <c r="EX165" s="598"/>
      <c r="EY165" s="598"/>
      <c r="EZ165" s="598"/>
      <c r="FA165" s="598"/>
      <c r="FB165" s="598"/>
      <c r="FC165" s="598"/>
      <c r="FD165" s="598"/>
      <c r="FE165" s="598"/>
      <c r="FF165" s="598"/>
      <c r="FG165" s="598"/>
      <c r="FH165" s="598"/>
      <c r="FI165" s="598"/>
      <c r="FJ165" s="598"/>
      <c r="FK165" s="598"/>
      <c r="FL165" s="598"/>
      <c r="FM165" s="598"/>
      <c r="FN165" s="598"/>
      <c r="FO165" s="598"/>
      <c r="FP165" s="598"/>
      <c r="FQ165" s="598"/>
      <c r="FR165" s="598"/>
      <c r="FS165" s="598"/>
      <c r="FT165" s="598"/>
      <c r="FU165" s="598"/>
      <c r="FV165" s="598"/>
      <c r="FW165" s="598"/>
      <c r="FX165" s="598"/>
      <c r="FY165" s="598"/>
      <c r="FZ165" s="598"/>
      <c r="GA165" s="598"/>
      <c r="GB165" s="598"/>
      <c r="GC165" s="598"/>
      <c r="GD165" s="598"/>
      <c r="GE165" s="598"/>
      <c r="GF165" s="598"/>
      <c r="GG165" s="598"/>
      <c r="GH165" s="598"/>
      <c r="GI165" s="598"/>
      <c r="GJ165" s="598"/>
      <c r="GK165" s="598"/>
      <c r="GL165" s="598"/>
      <c r="GM165" s="598"/>
      <c r="GN165" s="598"/>
      <c r="GO165" s="598"/>
      <c r="GP165" s="598"/>
      <c r="GQ165" s="598"/>
      <c r="GR165" s="598"/>
      <c r="GS165" s="598"/>
      <c r="GT165" s="598"/>
      <c r="GU165" s="598"/>
      <c r="GV165" s="598"/>
      <c r="GW165" s="598"/>
      <c r="GX165" s="598"/>
      <c r="GY165" s="598"/>
      <c r="GZ165" s="598"/>
      <c r="HA165" s="598"/>
      <c r="HB165" s="598"/>
      <c r="HC165" s="598"/>
      <c r="HD165" s="598"/>
      <c r="HE165" s="598"/>
      <c r="HF165" s="598"/>
      <c r="HG165" s="598"/>
      <c r="HH165" s="598"/>
      <c r="HI165" s="598"/>
      <c r="HJ165" s="598"/>
      <c r="HK165" s="598"/>
      <c r="HL165" s="598"/>
      <c r="HM165" s="598"/>
      <c r="HN165" s="598"/>
      <c r="HO165" s="598"/>
      <c r="HP165" s="598"/>
      <c r="HQ165" s="598"/>
      <c r="HR165" s="598"/>
      <c r="HS165" s="598"/>
      <c r="HT165" s="598"/>
      <c r="HU165" s="598"/>
      <c r="HV165" s="598"/>
      <c r="HW165" s="598"/>
      <c r="HX165" s="598"/>
      <c r="HY165" s="598"/>
      <c r="HZ165" s="598"/>
      <c r="IA165" s="598"/>
      <c r="IB165" s="598"/>
      <c r="IC165" s="598"/>
      <c r="ID165" s="598"/>
      <c r="IE165" s="598"/>
      <c r="IF165" s="598"/>
      <c r="IG165" s="598"/>
      <c r="IH165" s="598"/>
      <c r="II165" s="598"/>
      <c r="IJ165" s="598"/>
      <c r="IK165" s="598"/>
      <c r="IL165" s="598"/>
      <c r="IM165" s="598"/>
      <c r="IN165" s="598"/>
      <c r="IO165" s="598"/>
      <c r="IP165" s="598"/>
      <c r="IQ165" s="598"/>
      <c r="IR165" s="598"/>
      <c r="IS165" s="598"/>
      <c r="IT165" s="598"/>
      <c r="IU165" s="598"/>
      <c r="IV165" s="598"/>
      <c r="IW165" s="598"/>
      <c r="IX165" s="598"/>
      <c r="IY165" s="598"/>
      <c r="IZ165" s="598"/>
      <c r="JA165" s="598"/>
      <c r="JB165" s="598"/>
      <c r="JC165" s="598"/>
      <c r="JD165" s="598"/>
      <c r="JE165" s="598"/>
      <c r="JF165" s="598"/>
      <c r="JG165" s="598"/>
      <c r="JH165" s="598"/>
      <c r="JI165" s="598"/>
      <c r="JJ165" s="598"/>
      <c r="JK165" s="598"/>
      <c r="JL165" s="598"/>
      <c r="JM165" s="598"/>
      <c r="JN165" s="598"/>
      <c r="JO165" s="598"/>
      <c r="JP165" s="598"/>
      <c r="JQ165" s="598"/>
      <c r="JR165" s="598"/>
      <c r="JS165" s="598"/>
      <c r="JT165" s="598"/>
      <c r="JU165" s="598"/>
      <c r="JV165" s="598"/>
    </row>
    <row r="166" spans="1:282" ht="50.1" customHeight="1" x14ac:dyDescent="0.2">
      <c r="A166" s="298"/>
      <c r="B166" s="68" t="s">
        <v>584</v>
      </c>
      <c r="C166" s="68"/>
      <c r="D166" s="68"/>
      <c r="E166" s="188" t="s">
        <v>495</v>
      </c>
      <c r="F166" s="189" t="s">
        <v>496</v>
      </c>
      <c r="G166" s="188" t="s">
        <v>497</v>
      </c>
      <c r="H166" s="188"/>
      <c r="I166" s="188"/>
      <c r="J166" s="188" t="s">
        <v>2388</v>
      </c>
      <c r="K166" s="29" t="s">
        <v>1393</v>
      </c>
      <c r="L166" s="29" t="s">
        <v>18</v>
      </c>
      <c r="M166" s="188" t="s">
        <v>2399</v>
      </c>
      <c r="N166" s="73">
        <v>41089</v>
      </c>
      <c r="O166" s="69" t="s">
        <v>561</v>
      </c>
      <c r="P166" s="69"/>
      <c r="Q166" s="69"/>
      <c r="R166" s="69"/>
      <c r="S166" s="69"/>
      <c r="T166" s="560"/>
      <c r="U166" s="560"/>
      <c r="V166" s="560"/>
      <c r="W166" s="560"/>
      <c r="X166" s="560"/>
      <c r="Y166" s="560"/>
      <c r="Z166" s="560"/>
      <c r="AA166" s="560"/>
      <c r="AB166" s="560"/>
      <c r="AC166" s="560"/>
      <c r="AD166" s="560"/>
      <c r="AE166" s="560"/>
      <c r="AF166" s="560"/>
      <c r="AG166" s="560"/>
      <c r="AH166" s="560"/>
      <c r="AI166" s="560"/>
      <c r="AJ166" s="74">
        <v>41580</v>
      </c>
      <c r="AK166" s="648"/>
      <c r="AL166" s="174"/>
      <c r="AM166" s="564"/>
      <c r="AN166" s="564"/>
      <c r="AO166" s="564"/>
      <c r="AP166" s="564"/>
      <c r="AQ166" s="564"/>
      <c r="AR166" s="564"/>
      <c r="AS166" s="564"/>
      <c r="AT166" s="564"/>
      <c r="AU166" s="564"/>
      <c r="AV166" s="564"/>
      <c r="AW166" s="564"/>
      <c r="AX166" s="564"/>
      <c r="AY166" s="564"/>
      <c r="AZ166" s="564"/>
      <c r="BA166" s="564"/>
      <c r="BB166" s="564"/>
      <c r="BC166" s="564"/>
      <c r="BD166" s="564"/>
      <c r="BE166" s="564"/>
      <c r="BF166" s="564"/>
      <c r="BG166" s="564"/>
      <c r="BH166" s="564"/>
      <c r="BI166" s="564"/>
      <c r="BJ166" s="564"/>
      <c r="BK166" s="564"/>
      <c r="BL166" s="564"/>
      <c r="BM166" s="564"/>
      <c r="BN166" s="564"/>
      <c r="BO166" s="564"/>
      <c r="BP166" s="564"/>
      <c r="BQ166" s="564"/>
      <c r="BR166" s="564"/>
      <c r="BS166" s="564"/>
      <c r="BT166" s="564"/>
      <c r="BU166" s="564"/>
      <c r="BV166" s="564"/>
      <c r="BW166" s="564"/>
      <c r="BX166" s="564"/>
      <c r="BY166" s="564"/>
      <c r="BZ166" s="564"/>
      <c r="CA166" s="564"/>
      <c r="CB166" s="564"/>
      <c r="CC166" s="564"/>
      <c r="CD166" s="564"/>
      <c r="CE166" s="564"/>
      <c r="CF166" s="564"/>
      <c r="CG166" s="564"/>
      <c r="CH166" s="564"/>
      <c r="CI166" s="564"/>
      <c r="CJ166" s="564"/>
      <c r="CK166" s="564"/>
      <c r="CL166" s="564"/>
      <c r="CM166" s="564"/>
      <c r="CN166" s="564"/>
      <c r="CO166" s="564"/>
      <c r="CP166" s="564"/>
      <c r="CQ166" s="564"/>
      <c r="CR166" s="564"/>
      <c r="CS166" s="564"/>
      <c r="CT166" s="564"/>
      <c r="CU166" s="564"/>
      <c r="CV166" s="564"/>
      <c r="CW166" s="564"/>
      <c r="CX166" s="564"/>
      <c r="CY166" s="564"/>
      <c r="CZ166" s="564"/>
      <c r="DA166" s="564"/>
      <c r="DB166" s="564"/>
      <c r="DC166" s="564"/>
      <c r="DD166" s="564"/>
      <c r="DE166" s="564"/>
      <c r="DF166" s="564"/>
      <c r="DG166" s="564"/>
      <c r="DH166" s="564"/>
      <c r="DI166" s="564"/>
      <c r="DJ166" s="564"/>
      <c r="DK166" s="564"/>
      <c r="DL166" s="564"/>
      <c r="DM166" s="564"/>
      <c r="DN166" s="564"/>
      <c r="DO166" s="564"/>
      <c r="DP166" s="564"/>
      <c r="DQ166" s="564"/>
      <c r="DR166" s="564"/>
      <c r="DS166" s="564"/>
      <c r="DT166" s="564"/>
      <c r="DU166" s="564"/>
      <c r="DV166" s="564"/>
      <c r="DW166" s="564"/>
      <c r="DX166" s="564"/>
      <c r="DY166" s="564"/>
      <c r="DZ166" s="564"/>
      <c r="EA166" s="564"/>
      <c r="EB166" s="564"/>
      <c r="EC166" s="564"/>
      <c r="ED166" s="564"/>
      <c r="EE166" s="564"/>
      <c r="EF166" s="564"/>
      <c r="EG166" s="564"/>
      <c r="EH166" s="564"/>
      <c r="EI166" s="564"/>
      <c r="EJ166" s="564"/>
      <c r="EK166" s="564"/>
      <c r="EL166" s="564"/>
      <c r="EM166" s="564"/>
      <c r="EN166" s="564"/>
      <c r="EO166" s="564"/>
      <c r="EP166" s="564"/>
      <c r="EQ166" s="564"/>
      <c r="ER166" s="564"/>
      <c r="ES166" s="564"/>
      <c r="ET166" s="564"/>
      <c r="EU166" s="564"/>
      <c r="EV166" s="564"/>
      <c r="EW166" s="564"/>
      <c r="EX166" s="564"/>
      <c r="EY166" s="564"/>
      <c r="EZ166" s="564"/>
      <c r="FA166" s="564"/>
      <c r="FB166" s="564"/>
      <c r="FC166" s="564"/>
      <c r="FD166" s="564"/>
      <c r="FE166" s="564"/>
      <c r="FF166" s="564"/>
      <c r="FG166" s="564"/>
      <c r="FH166" s="564"/>
      <c r="FI166" s="564"/>
      <c r="FJ166" s="564"/>
      <c r="FK166" s="564"/>
      <c r="FL166" s="564"/>
      <c r="FM166" s="564"/>
      <c r="FN166" s="564"/>
      <c r="FO166" s="564"/>
      <c r="FP166" s="564"/>
      <c r="FQ166" s="564"/>
      <c r="FR166" s="564"/>
      <c r="FS166" s="564"/>
      <c r="FT166" s="564"/>
      <c r="FU166" s="564"/>
      <c r="FV166" s="564"/>
      <c r="FW166" s="564"/>
      <c r="FX166" s="564"/>
      <c r="FY166" s="564"/>
      <c r="FZ166" s="564"/>
      <c r="GA166" s="564"/>
      <c r="GB166" s="564"/>
      <c r="GC166" s="564"/>
      <c r="GD166" s="564"/>
      <c r="GE166" s="564"/>
      <c r="GF166" s="564"/>
      <c r="GG166" s="564"/>
      <c r="GH166" s="564"/>
      <c r="GI166" s="564"/>
      <c r="GJ166" s="564"/>
      <c r="GK166" s="564"/>
      <c r="GL166" s="564"/>
      <c r="GM166" s="564"/>
      <c r="GN166" s="564"/>
      <c r="GO166" s="564"/>
      <c r="GP166" s="564"/>
      <c r="GQ166" s="564"/>
      <c r="GR166" s="564"/>
      <c r="GS166" s="564"/>
      <c r="GT166" s="564"/>
      <c r="GU166" s="564"/>
      <c r="GV166" s="564"/>
      <c r="GW166" s="564"/>
      <c r="GX166" s="564"/>
      <c r="GY166" s="564"/>
      <c r="GZ166" s="564"/>
      <c r="HA166" s="564"/>
      <c r="HB166" s="564"/>
      <c r="HC166" s="564"/>
      <c r="HD166" s="564"/>
      <c r="HE166" s="564"/>
      <c r="HF166" s="564"/>
      <c r="HG166" s="564"/>
      <c r="HH166" s="564"/>
      <c r="HI166" s="564"/>
      <c r="HJ166" s="564"/>
      <c r="HK166" s="564"/>
      <c r="HL166" s="564"/>
      <c r="HM166" s="564"/>
      <c r="HN166" s="564"/>
      <c r="HO166" s="564"/>
      <c r="HP166" s="564"/>
      <c r="HQ166" s="564"/>
      <c r="HR166" s="564"/>
      <c r="HS166" s="564"/>
      <c r="HT166" s="564"/>
      <c r="HU166" s="564"/>
      <c r="HV166" s="564"/>
      <c r="HW166" s="564"/>
      <c r="HX166" s="564"/>
      <c r="HY166" s="564"/>
      <c r="HZ166" s="564"/>
      <c r="IA166" s="564"/>
      <c r="IB166" s="564"/>
      <c r="IC166" s="564"/>
      <c r="ID166" s="564"/>
      <c r="IE166" s="564"/>
      <c r="IF166" s="564"/>
      <c r="IG166" s="564"/>
      <c r="IH166" s="564"/>
      <c r="II166" s="564"/>
      <c r="IJ166" s="564"/>
      <c r="IK166" s="564"/>
      <c r="IL166" s="564"/>
      <c r="IM166" s="564"/>
      <c r="IN166" s="564"/>
      <c r="IO166" s="564"/>
      <c r="IP166" s="564"/>
      <c r="IQ166" s="564"/>
      <c r="IR166" s="564"/>
      <c r="IS166" s="564"/>
      <c r="IT166" s="564"/>
      <c r="IU166" s="564"/>
      <c r="IV166" s="564"/>
      <c r="IW166" s="564"/>
      <c r="IX166" s="564"/>
      <c r="IY166" s="564"/>
      <c r="IZ166" s="564"/>
      <c r="JA166" s="564"/>
      <c r="JB166" s="564"/>
      <c r="JC166" s="564"/>
      <c r="JD166" s="564"/>
      <c r="JE166" s="564"/>
      <c r="JF166" s="564"/>
      <c r="JG166" s="564"/>
      <c r="JH166" s="564"/>
      <c r="JI166" s="564"/>
      <c r="JJ166" s="564"/>
      <c r="JK166" s="564"/>
      <c r="JL166" s="564"/>
      <c r="JM166" s="564"/>
      <c r="JN166" s="564"/>
      <c r="JO166" s="564"/>
      <c r="JP166" s="564"/>
      <c r="JQ166" s="564"/>
      <c r="JR166" s="564"/>
      <c r="JS166" s="564"/>
      <c r="JT166" s="564"/>
      <c r="JU166" s="564"/>
      <c r="JV166" s="564"/>
    </row>
    <row r="167" spans="1:282" s="21" customFormat="1" ht="50.1" customHeight="1" x14ac:dyDescent="0.2">
      <c r="A167" s="702"/>
      <c r="B167" s="68" t="s">
        <v>584</v>
      </c>
      <c r="C167" s="68"/>
      <c r="D167" s="68"/>
      <c r="E167" s="188" t="s">
        <v>521</v>
      </c>
      <c r="F167" s="189" t="s">
        <v>522</v>
      </c>
      <c r="G167" s="188" t="s">
        <v>523</v>
      </c>
      <c r="H167" s="188"/>
      <c r="I167" s="188"/>
      <c r="J167" s="188" t="s">
        <v>524</v>
      </c>
      <c r="K167" s="29" t="s">
        <v>1393</v>
      </c>
      <c r="L167" s="29" t="s">
        <v>18</v>
      </c>
      <c r="M167" s="188" t="s">
        <v>2399</v>
      </c>
      <c r="N167" s="73">
        <v>41109</v>
      </c>
      <c r="O167" s="69" t="s">
        <v>567</v>
      </c>
      <c r="P167" s="69"/>
      <c r="Q167" s="69"/>
      <c r="R167" s="69"/>
      <c r="S167" s="69"/>
      <c r="T167" s="597"/>
      <c r="U167" s="597"/>
      <c r="V167" s="597"/>
      <c r="W167" s="597"/>
      <c r="X167" s="597"/>
      <c r="Y167" s="597"/>
      <c r="Z167" s="597"/>
      <c r="AA167" s="597"/>
      <c r="AB167" s="597"/>
      <c r="AC167" s="597"/>
      <c r="AD167" s="597"/>
      <c r="AE167" s="597"/>
      <c r="AF167" s="597"/>
      <c r="AG167" s="597"/>
      <c r="AH167" s="597"/>
      <c r="AI167" s="597"/>
      <c r="AJ167" s="74">
        <v>41580</v>
      </c>
      <c r="AK167" s="648">
        <v>10</v>
      </c>
      <c r="AL167" s="174"/>
      <c r="AM167" s="598"/>
      <c r="AN167" s="598"/>
      <c r="AO167" s="598"/>
      <c r="AP167" s="598"/>
      <c r="AQ167" s="598"/>
      <c r="AR167" s="598"/>
      <c r="AS167" s="598"/>
      <c r="AT167" s="598"/>
      <c r="AU167" s="598"/>
      <c r="AV167" s="598"/>
      <c r="AW167" s="598"/>
      <c r="AX167" s="598"/>
      <c r="AY167" s="598"/>
      <c r="AZ167" s="598"/>
      <c r="BA167" s="598"/>
      <c r="BB167" s="598"/>
      <c r="BC167" s="598"/>
      <c r="BD167" s="598"/>
      <c r="BE167" s="598"/>
      <c r="BF167" s="598"/>
      <c r="BG167" s="598"/>
      <c r="BH167" s="598"/>
      <c r="BI167" s="598"/>
      <c r="BJ167" s="598"/>
      <c r="BK167" s="598"/>
      <c r="BL167" s="598"/>
      <c r="BM167" s="598"/>
      <c r="BN167" s="598"/>
      <c r="BO167" s="598"/>
      <c r="BP167" s="598"/>
      <c r="BQ167" s="598"/>
      <c r="BR167" s="598"/>
      <c r="BS167" s="598"/>
      <c r="BT167" s="598"/>
      <c r="BU167" s="598"/>
      <c r="BV167" s="598"/>
      <c r="BW167" s="598"/>
      <c r="BX167" s="598"/>
      <c r="BY167" s="598"/>
      <c r="BZ167" s="598"/>
      <c r="CA167" s="598"/>
      <c r="CB167" s="598"/>
      <c r="CC167" s="598"/>
      <c r="CD167" s="598"/>
      <c r="CE167" s="598"/>
      <c r="CF167" s="598"/>
      <c r="CG167" s="598"/>
      <c r="CH167" s="598"/>
      <c r="CI167" s="598"/>
      <c r="CJ167" s="598"/>
      <c r="CK167" s="598"/>
      <c r="CL167" s="598"/>
      <c r="CM167" s="598"/>
      <c r="CN167" s="598"/>
      <c r="CO167" s="598"/>
      <c r="CP167" s="598"/>
      <c r="CQ167" s="598"/>
      <c r="CR167" s="598"/>
      <c r="CS167" s="598"/>
      <c r="CT167" s="598"/>
      <c r="CU167" s="598"/>
      <c r="CV167" s="598"/>
      <c r="CW167" s="598"/>
      <c r="CX167" s="598"/>
      <c r="CY167" s="598"/>
      <c r="CZ167" s="598"/>
      <c r="DA167" s="598"/>
      <c r="DB167" s="598"/>
      <c r="DC167" s="598"/>
      <c r="DD167" s="598"/>
      <c r="DE167" s="598"/>
      <c r="DF167" s="598"/>
      <c r="DG167" s="598"/>
      <c r="DH167" s="598"/>
      <c r="DI167" s="598"/>
      <c r="DJ167" s="598"/>
      <c r="DK167" s="598"/>
      <c r="DL167" s="598"/>
      <c r="DM167" s="598"/>
      <c r="DN167" s="598"/>
      <c r="DO167" s="598"/>
      <c r="DP167" s="598"/>
      <c r="DQ167" s="598"/>
      <c r="DR167" s="598"/>
      <c r="DS167" s="598"/>
      <c r="DT167" s="598"/>
      <c r="DU167" s="598"/>
      <c r="DV167" s="598"/>
      <c r="DW167" s="598"/>
      <c r="DX167" s="598"/>
      <c r="DY167" s="598"/>
      <c r="DZ167" s="598"/>
      <c r="EA167" s="598"/>
      <c r="EB167" s="598"/>
      <c r="EC167" s="598"/>
      <c r="ED167" s="598"/>
      <c r="EE167" s="598"/>
      <c r="EF167" s="598"/>
      <c r="EG167" s="598"/>
      <c r="EH167" s="598"/>
      <c r="EI167" s="598"/>
      <c r="EJ167" s="598"/>
      <c r="EK167" s="598"/>
      <c r="EL167" s="598"/>
      <c r="EM167" s="598"/>
      <c r="EN167" s="598"/>
      <c r="EO167" s="598"/>
      <c r="EP167" s="598"/>
      <c r="EQ167" s="598"/>
      <c r="ER167" s="598"/>
      <c r="ES167" s="598"/>
      <c r="ET167" s="598"/>
      <c r="EU167" s="598"/>
      <c r="EV167" s="598"/>
      <c r="EW167" s="598"/>
      <c r="EX167" s="598"/>
      <c r="EY167" s="598"/>
      <c r="EZ167" s="598"/>
      <c r="FA167" s="598"/>
      <c r="FB167" s="598"/>
      <c r="FC167" s="598"/>
      <c r="FD167" s="598"/>
      <c r="FE167" s="598"/>
      <c r="FF167" s="598"/>
      <c r="FG167" s="598"/>
      <c r="FH167" s="598"/>
      <c r="FI167" s="598"/>
      <c r="FJ167" s="598"/>
      <c r="FK167" s="598"/>
      <c r="FL167" s="598"/>
      <c r="FM167" s="598"/>
      <c r="FN167" s="598"/>
      <c r="FO167" s="598"/>
      <c r="FP167" s="598"/>
      <c r="FQ167" s="598"/>
      <c r="FR167" s="598"/>
      <c r="FS167" s="598"/>
      <c r="FT167" s="598"/>
      <c r="FU167" s="598"/>
      <c r="FV167" s="598"/>
      <c r="FW167" s="598"/>
      <c r="FX167" s="598"/>
      <c r="FY167" s="598"/>
      <c r="FZ167" s="598"/>
      <c r="GA167" s="598"/>
      <c r="GB167" s="598"/>
      <c r="GC167" s="598"/>
      <c r="GD167" s="598"/>
      <c r="GE167" s="598"/>
      <c r="GF167" s="598"/>
      <c r="GG167" s="598"/>
      <c r="GH167" s="598"/>
      <c r="GI167" s="598"/>
      <c r="GJ167" s="598"/>
      <c r="GK167" s="598"/>
      <c r="GL167" s="598"/>
      <c r="GM167" s="598"/>
      <c r="GN167" s="598"/>
      <c r="GO167" s="598"/>
      <c r="GP167" s="598"/>
      <c r="GQ167" s="598"/>
      <c r="GR167" s="598"/>
      <c r="GS167" s="598"/>
      <c r="GT167" s="598"/>
      <c r="GU167" s="598"/>
      <c r="GV167" s="598"/>
      <c r="GW167" s="598"/>
      <c r="GX167" s="598"/>
      <c r="GY167" s="598"/>
      <c r="GZ167" s="598"/>
      <c r="HA167" s="598"/>
      <c r="HB167" s="598"/>
      <c r="HC167" s="598"/>
      <c r="HD167" s="598"/>
      <c r="HE167" s="598"/>
      <c r="HF167" s="598"/>
      <c r="HG167" s="598"/>
      <c r="HH167" s="598"/>
      <c r="HI167" s="598"/>
      <c r="HJ167" s="598"/>
      <c r="HK167" s="598"/>
      <c r="HL167" s="598"/>
      <c r="HM167" s="598"/>
      <c r="HN167" s="598"/>
      <c r="HO167" s="598"/>
      <c r="HP167" s="598"/>
      <c r="HQ167" s="598"/>
      <c r="HR167" s="598"/>
      <c r="HS167" s="598"/>
      <c r="HT167" s="598"/>
      <c r="HU167" s="598"/>
      <c r="HV167" s="598"/>
      <c r="HW167" s="598"/>
      <c r="HX167" s="598"/>
      <c r="HY167" s="598"/>
      <c r="HZ167" s="598"/>
      <c r="IA167" s="598"/>
      <c r="IB167" s="598"/>
      <c r="IC167" s="598"/>
      <c r="ID167" s="598"/>
      <c r="IE167" s="598"/>
      <c r="IF167" s="598"/>
      <c r="IG167" s="598"/>
      <c r="IH167" s="598"/>
      <c r="II167" s="598"/>
      <c r="IJ167" s="598"/>
      <c r="IK167" s="598"/>
      <c r="IL167" s="598"/>
      <c r="IM167" s="598"/>
      <c r="IN167" s="598"/>
      <c r="IO167" s="598"/>
      <c r="IP167" s="598"/>
      <c r="IQ167" s="598"/>
      <c r="IR167" s="598"/>
      <c r="IS167" s="598"/>
      <c r="IT167" s="598"/>
      <c r="IU167" s="598"/>
      <c r="IV167" s="598"/>
      <c r="IW167" s="598"/>
      <c r="IX167" s="598"/>
      <c r="IY167" s="598"/>
      <c r="IZ167" s="598"/>
      <c r="JA167" s="598"/>
      <c r="JB167" s="598"/>
      <c r="JC167" s="598"/>
      <c r="JD167" s="598"/>
      <c r="JE167" s="598"/>
      <c r="JF167" s="598"/>
      <c r="JG167" s="598"/>
      <c r="JH167" s="598"/>
      <c r="JI167" s="598"/>
      <c r="JJ167" s="598"/>
      <c r="JK167" s="598"/>
      <c r="JL167" s="598"/>
      <c r="JM167" s="598"/>
      <c r="JN167" s="598"/>
      <c r="JO167" s="598"/>
      <c r="JP167" s="598"/>
      <c r="JQ167" s="598"/>
      <c r="JR167" s="598"/>
      <c r="JS167" s="598"/>
      <c r="JT167" s="598"/>
      <c r="JU167" s="598"/>
      <c r="JV167" s="598"/>
    </row>
    <row r="168" spans="1:282" s="21" customFormat="1" ht="50.1" customHeight="1" x14ac:dyDescent="0.2">
      <c r="A168" s="702"/>
      <c r="B168" s="68" t="s">
        <v>584</v>
      </c>
      <c r="C168" s="68"/>
      <c r="D168" s="68"/>
      <c r="E168" s="743" t="s">
        <v>508</v>
      </c>
      <c r="F168" s="744" t="s">
        <v>509</v>
      </c>
      <c r="G168" s="745" t="s">
        <v>510</v>
      </c>
      <c r="H168" s="188"/>
      <c r="I168" s="188"/>
      <c r="J168" s="188" t="s">
        <v>511</v>
      </c>
      <c r="K168" s="29" t="s">
        <v>1393</v>
      </c>
      <c r="L168" s="29" t="s">
        <v>18</v>
      </c>
      <c r="M168" s="188" t="s">
        <v>2399</v>
      </c>
      <c r="N168" s="73">
        <v>41110</v>
      </c>
      <c r="O168" s="69" t="s">
        <v>568</v>
      </c>
      <c r="P168" s="69"/>
      <c r="Q168" s="69"/>
      <c r="R168" s="69"/>
      <c r="S168" s="69"/>
      <c r="T168" s="597"/>
      <c r="U168" s="597"/>
      <c r="V168" s="597"/>
      <c r="W168" s="597"/>
      <c r="X168" s="597"/>
      <c r="Y168" s="597"/>
      <c r="Z168" s="597"/>
      <c r="AA168" s="597"/>
      <c r="AB168" s="597"/>
      <c r="AC168" s="597"/>
      <c r="AD168" s="597"/>
      <c r="AE168" s="597"/>
      <c r="AF168" s="597"/>
      <c r="AG168" s="597"/>
      <c r="AH168" s="597"/>
      <c r="AI168" s="597"/>
      <c r="AJ168" s="74">
        <v>41580</v>
      </c>
      <c r="AK168" s="648">
        <v>10</v>
      </c>
      <c r="AL168" s="174"/>
      <c r="AM168" s="598"/>
      <c r="AN168" s="598"/>
      <c r="AO168" s="598"/>
      <c r="AP168" s="598"/>
      <c r="AQ168" s="598"/>
      <c r="AR168" s="598"/>
      <c r="AS168" s="598"/>
      <c r="AT168" s="598"/>
      <c r="AU168" s="598"/>
      <c r="AV168" s="598"/>
      <c r="AW168" s="598"/>
      <c r="AX168" s="598"/>
      <c r="AY168" s="598"/>
      <c r="AZ168" s="598"/>
      <c r="BA168" s="598"/>
      <c r="BB168" s="598"/>
      <c r="BC168" s="598"/>
      <c r="BD168" s="598"/>
      <c r="BE168" s="598"/>
      <c r="BF168" s="598"/>
      <c r="BG168" s="598"/>
      <c r="BH168" s="598"/>
      <c r="BI168" s="598"/>
      <c r="BJ168" s="598"/>
      <c r="BK168" s="598"/>
      <c r="BL168" s="598"/>
      <c r="BM168" s="598"/>
      <c r="BN168" s="598"/>
      <c r="BO168" s="598"/>
      <c r="BP168" s="598"/>
      <c r="BQ168" s="598"/>
      <c r="BR168" s="598"/>
      <c r="BS168" s="598"/>
      <c r="BT168" s="598"/>
      <c r="BU168" s="598"/>
      <c r="BV168" s="598"/>
      <c r="BW168" s="598"/>
      <c r="BX168" s="598"/>
      <c r="BY168" s="598"/>
      <c r="BZ168" s="598"/>
      <c r="CA168" s="598"/>
      <c r="CB168" s="598"/>
      <c r="CC168" s="598"/>
      <c r="CD168" s="598"/>
      <c r="CE168" s="598"/>
      <c r="CF168" s="598"/>
      <c r="CG168" s="598"/>
      <c r="CH168" s="598"/>
      <c r="CI168" s="598"/>
      <c r="CJ168" s="598"/>
      <c r="CK168" s="598"/>
      <c r="CL168" s="598"/>
      <c r="CM168" s="598"/>
      <c r="CN168" s="598"/>
      <c r="CO168" s="598"/>
      <c r="CP168" s="598"/>
      <c r="CQ168" s="598"/>
      <c r="CR168" s="598"/>
      <c r="CS168" s="598"/>
      <c r="CT168" s="598"/>
      <c r="CU168" s="598"/>
      <c r="CV168" s="598"/>
      <c r="CW168" s="598"/>
      <c r="CX168" s="598"/>
      <c r="CY168" s="598"/>
      <c r="CZ168" s="598"/>
      <c r="DA168" s="598"/>
      <c r="DB168" s="598"/>
      <c r="DC168" s="598"/>
      <c r="DD168" s="598"/>
      <c r="DE168" s="598"/>
      <c r="DF168" s="598"/>
      <c r="DG168" s="598"/>
      <c r="DH168" s="598"/>
      <c r="DI168" s="598"/>
      <c r="DJ168" s="598"/>
      <c r="DK168" s="598"/>
      <c r="DL168" s="598"/>
      <c r="DM168" s="598"/>
      <c r="DN168" s="598"/>
      <c r="DO168" s="598"/>
      <c r="DP168" s="598"/>
      <c r="DQ168" s="598"/>
      <c r="DR168" s="598"/>
      <c r="DS168" s="598"/>
      <c r="DT168" s="598"/>
      <c r="DU168" s="598"/>
      <c r="DV168" s="598"/>
      <c r="DW168" s="598"/>
      <c r="DX168" s="598"/>
      <c r="DY168" s="598"/>
      <c r="DZ168" s="598"/>
      <c r="EA168" s="598"/>
      <c r="EB168" s="598"/>
      <c r="EC168" s="598"/>
      <c r="ED168" s="598"/>
      <c r="EE168" s="598"/>
      <c r="EF168" s="598"/>
      <c r="EG168" s="598"/>
      <c r="EH168" s="598"/>
      <c r="EI168" s="598"/>
      <c r="EJ168" s="598"/>
      <c r="EK168" s="598"/>
      <c r="EL168" s="598"/>
      <c r="EM168" s="598"/>
      <c r="EN168" s="598"/>
      <c r="EO168" s="598"/>
      <c r="EP168" s="598"/>
      <c r="EQ168" s="598"/>
      <c r="ER168" s="598"/>
      <c r="ES168" s="598"/>
      <c r="ET168" s="598"/>
      <c r="EU168" s="598"/>
      <c r="EV168" s="598"/>
      <c r="EW168" s="598"/>
      <c r="EX168" s="598"/>
      <c r="EY168" s="598"/>
      <c r="EZ168" s="598"/>
      <c r="FA168" s="598"/>
      <c r="FB168" s="598"/>
      <c r="FC168" s="598"/>
      <c r="FD168" s="598"/>
      <c r="FE168" s="598"/>
      <c r="FF168" s="598"/>
      <c r="FG168" s="598"/>
      <c r="FH168" s="598"/>
      <c r="FI168" s="598"/>
      <c r="FJ168" s="598"/>
      <c r="FK168" s="598"/>
      <c r="FL168" s="598"/>
      <c r="FM168" s="598"/>
      <c r="FN168" s="598"/>
      <c r="FO168" s="598"/>
      <c r="FP168" s="598"/>
      <c r="FQ168" s="598"/>
      <c r="FR168" s="598"/>
      <c r="FS168" s="598"/>
      <c r="FT168" s="598"/>
      <c r="FU168" s="598"/>
      <c r="FV168" s="598"/>
      <c r="FW168" s="598"/>
      <c r="FX168" s="598"/>
      <c r="FY168" s="598"/>
      <c r="FZ168" s="598"/>
      <c r="GA168" s="598"/>
      <c r="GB168" s="598"/>
      <c r="GC168" s="598"/>
      <c r="GD168" s="598"/>
      <c r="GE168" s="598"/>
      <c r="GF168" s="598"/>
      <c r="GG168" s="598"/>
      <c r="GH168" s="598"/>
      <c r="GI168" s="598"/>
      <c r="GJ168" s="598"/>
      <c r="GK168" s="598"/>
      <c r="GL168" s="598"/>
      <c r="GM168" s="598"/>
      <c r="GN168" s="598"/>
      <c r="GO168" s="598"/>
      <c r="GP168" s="598"/>
      <c r="GQ168" s="598"/>
      <c r="GR168" s="598"/>
      <c r="GS168" s="598"/>
      <c r="GT168" s="598"/>
      <c r="GU168" s="598"/>
      <c r="GV168" s="598"/>
      <c r="GW168" s="598"/>
      <c r="GX168" s="598"/>
      <c r="GY168" s="598"/>
      <c r="GZ168" s="598"/>
      <c r="HA168" s="598"/>
      <c r="HB168" s="598"/>
      <c r="HC168" s="598"/>
      <c r="HD168" s="598"/>
      <c r="HE168" s="598"/>
      <c r="HF168" s="598"/>
      <c r="HG168" s="598"/>
      <c r="HH168" s="598"/>
      <c r="HI168" s="598"/>
      <c r="HJ168" s="598"/>
      <c r="HK168" s="598"/>
      <c r="HL168" s="598"/>
      <c r="HM168" s="598"/>
      <c r="HN168" s="598"/>
      <c r="HO168" s="598"/>
      <c r="HP168" s="598"/>
      <c r="HQ168" s="598"/>
      <c r="HR168" s="598"/>
      <c r="HS168" s="598"/>
      <c r="HT168" s="598"/>
      <c r="HU168" s="598"/>
      <c r="HV168" s="598"/>
      <c r="HW168" s="598"/>
      <c r="HX168" s="598"/>
      <c r="HY168" s="598"/>
      <c r="HZ168" s="598"/>
      <c r="IA168" s="598"/>
      <c r="IB168" s="598"/>
      <c r="IC168" s="598"/>
      <c r="ID168" s="598"/>
      <c r="IE168" s="598"/>
      <c r="IF168" s="598"/>
      <c r="IG168" s="598"/>
      <c r="IH168" s="598"/>
      <c r="II168" s="598"/>
      <c r="IJ168" s="598"/>
      <c r="IK168" s="598"/>
      <c r="IL168" s="598"/>
      <c r="IM168" s="598"/>
      <c r="IN168" s="598"/>
      <c r="IO168" s="598"/>
      <c r="IP168" s="598"/>
      <c r="IQ168" s="598"/>
      <c r="IR168" s="598"/>
      <c r="IS168" s="598"/>
      <c r="IT168" s="598"/>
      <c r="IU168" s="598"/>
      <c r="IV168" s="598"/>
      <c r="IW168" s="598"/>
      <c r="IX168" s="598"/>
      <c r="IY168" s="598"/>
      <c r="IZ168" s="598"/>
      <c r="JA168" s="598"/>
      <c r="JB168" s="598"/>
      <c r="JC168" s="598"/>
      <c r="JD168" s="598"/>
      <c r="JE168" s="598"/>
      <c r="JF168" s="598"/>
      <c r="JG168" s="598"/>
      <c r="JH168" s="598"/>
      <c r="JI168" s="598"/>
      <c r="JJ168" s="598"/>
      <c r="JK168" s="598"/>
      <c r="JL168" s="598"/>
      <c r="JM168" s="598"/>
      <c r="JN168" s="598"/>
      <c r="JO168" s="598"/>
      <c r="JP168" s="598"/>
      <c r="JQ168" s="598"/>
      <c r="JR168" s="598"/>
      <c r="JS168" s="598"/>
      <c r="JT168" s="598"/>
      <c r="JU168" s="598"/>
      <c r="JV168" s="598"/>
    </row>
    <row r="169" spans="1:282" s="21" customFormat="1" ht="50.1" customHeight="1" x14ac:dyDescent="0.2">
      <c r="A169" s="702"/>
      <c r="B169" s="69" t="s">
        <v>1137</v>
      </c>
      <c r="C169" s="69"/>
      <c r="D169" s="69"/>
      <c r="E169" s="29" t="s">
        <v>1141</v>
      </c>
      <c r="F169" s="104" t="s">
        <v>1138</v>
      </c>
      <c r="G169" s="29" t="s">
        <v>2262</v>
      </c>
      <c r="H169" s="29" t="s">
        <v>112</v>
      </c>
      <c r="I169" s="29"/>
      <c r="J169" s="29" t="s">
        <v>2263</v>
      </c>
      <c r="K169" s="29" t="s">
        <v>1393</v>
      </c>
      <c r="L169" s="29" t="s">
        <v>685</v>
      </c>
      <c r="M169" s="29" t="s">
        <v>2446</v>
      </c>
      <c r="N169" s="74">
        <v>41381</v>
      </c>
      <c r="O169" s="69" t="s">
        <v>1140</v>
      </c>
      <c r="P169" s="69"/>
      <c r="Q169" s="69"/>
      <c r="R169" s="69"/>
      <c r="S169" s="69"/>
      <c r="T169" s="597"/>
      <c r="U169" s="597"/>
      <c r="V169" s="597"/>
      <c r="W169" s="597"/>
      <c r="X169" s="597"/>
      <c r="Y169" s="597"/>
      <c r="Z169" s="597"/>
      <c r="AA169" s="597"/>
      <c r="AB169" s="597"/>
      <c r="AC169" s="597"/>
      <c r="AD169" s="597"/>
      <c r="AE169" s="597"/>
      <c r="AF169" s="597"/>
      <c r="AG169" s="597"/>
      <c r="AH169" s="597"/>
      <c r="AI169" s="597"/>
      <c r="AJ169" s="74">
        <v>41580</v>
      </c>
      <c r="AK169" s="648">
        <v>10</v>
      </c>
      <c r="AL169" s="174"/>
      <c r="AM169" s="598"/>
      <c r="AN169" s="598"/>
      <c r="AO169" s="598"/>
      <c r="AP169" s="598"/>
      <c r="AQ169" s="598"/>
      <c r="AR169" s="598"/>
      <c r="AS169" s="598"/>
      <c r="AT169" s="598"/>
      <c r="AU169" s="598"/>
      <c r="AV169" s="598"/>
      <c r="AW169" s="598"/>
      <c r="AX169" s="598"/>
      <c r="AY169" s="598"/>
      <c r="AZ169" s="598"/>
      <c r="BA169" s="598"/>
      <c r="BB169" s="598"/>
      <c r="BC169" s="598"/>
      <c r="BD169" s="598"/>
      <c r="BE169" s="598"/>
      <c r="BF169" s="598"/>
      <c r="BG169" s="598"/>
      <c r="BH169" s="598"/>
      <c r="BI169" s="598"/>
      <c r="BJ169" s="598"/>
      <c r="BK169" s="598"/>
      <c r="BL169" s="598"/>
      <c r="BM169" s="598"/>
      <c r="BN169" s="598"/>
      <c r="BO169" s="598"/>
      <c r="BP169" s="598"/>
      <c r="BQ169" s="598"/>
      <c r="BR169" s="598"/>
      <c r="BS169" s="598"/>
      <c r="BT169" s="598"/>
      <c r="BU169" s="598"/>
      <c r="BV169" s="598"/>
      <c r="BW169" s="598"/>
      <c r="BX169" s="598"/>
      <c r="BY169" s="598"/>
      <c r="BZ169" s="598"/>
      <c r="CA169" s="598"/>
      <c r="CB169" s="598"/>
      <c r="CC169" s="598"/>
      <c r="CD169" s="598"/>
      <c r="CE169" s="598"/>
      <c r="CF169" s="598"/>
      <c r="CG169" s="598"/>
      <c r="CH169" s="598"/>
      <c r="CI169" s="598"/>
      <c r="CJ169" s="598"/>
      <c r="CK169" s="598"/>
      <c r="CL169" s="598"/>
      <c r="CM169" s="598"/>
      <c r="CN169" s="598"/>
      <c r="CO169" s="598"/>
      <c r="CP169" s="598"/>
      <c r="CQ169" s="598"/>
      <c r="CR169" s="598"/>
      <c r="CS169" s="598"/>
      <c r="CT169" s="598"/>
      <c r="CU169" s="598"/>
      <c r="CV169" s="598"/>
      <c r="CW169" s="598"/>
      <c r="CX169" s="598"/>
      <c r="CY169" s="598"/>
      <c r="CZ169" s="598"/>
      <c r="DA169" s="598"/>
      <c r="DB169" s="598"/>
      <c r="DC169" s="598"/>
      <c r="DD169" s="598"/>
      <c r="DE169" s="598"/>
      <c r="DF169" s="598"/>
      <c r="DG169" s="598"/>
      <c r="DH169" s="598"/>
      <c r="DI169" s="598"/>
      <c r="DJ169" s="598"/>
      <c r="DK169" s="598"/>
      <c r="DL169" s="598"/>
      <c r="DM169" s="598"/>
      <c r="DN169" s="598"/>
      <c r="DO169" s="598"/>
      <c r="DP169" s="598"/>
      <c r="DQ169" s="598"/>
      <c r="DR169" s="598"/>
      <c r="DS169" s="598"/>
      <c r="DT169" s="598"/>
      <c r="DU169" s="598"/>
      <c r="DV169" s="598"/>
      <c r="DW169" s="598"/>
      <c r="DX169" s="598"/>
      <c r="DY169" s="598"/>
      <c r="DZ169" s="598"/>
      <c r="EA169" s="598"/>
      <c r="EB169" s="598"/>
      <c r="EC169" s="598"/>
      <c r="ED169" s="598"/>
      <c r="EE169" s="598"/>
      <c r="EF169" s="598"/>
      <c r="EG169" s="598"/>
      <c r="EH169" s="598"/>
      <c r="EI169" s="598"/>
      <c r="EJ169" s="598"/>
      <c r="EK169" s="598"/>
      <c r="EL169" s="598"/>
      <c r="EM169" s="598"/>
      <c r="EN169" s="598"/>
      <c r="EO169" s="598"/>
      <c r="EP169" s="598"/>
      <c r="EQ169" s="598"/>
      <c r="ER169" s="598"/>
      <c r="ES169" s="598"/>
      <c r="ET169" s="598"/>
      <c r="EU169" s="598"/>
      <c r="EV169" s="598"/>
      <c r="EW169" s="598"/>
      <c r="EX169" s="598"/>
      <c r="EY169" s="598"/>
      <c r="EZ169" s="598"/>
      <c r="FA169" s="598"/>
      <c r="FB169" s="598"/>
      <c r="FC169" s="598"/>
      <c r="FD169" s="598"/>
      <c r="FE169" s="598"/>
      <c r="FF169" s="598"/>
      <c r="FG169" s="598"/>
      <c r="FH169" s="598"/>
      <c r="FI169" s="598"/>
      <c r="FJ169" s="598"/>
      <c r="FK169" s="598"/>
      <c r="FL169" s="598"/>
      <c r="FM169" s="598"/>
      <c r="FN169" s="598"/>
      <c r="FO169" s="598"/>
      <c r="FP169" s="598"/>
      <c r="FQ169" s="598"/>
      <c r="FR169" s="598"/>
      <c r="FS169" s="598"/>
      <c r="FT169" s="598"/>
      <c r="FU169" s="598"/>
      <c r="FV169" s="598"/>
      <c r="FW169" s="598"/>
      <c r="FX169" s="598"/>
      <c r="FY169" s="598"/>
      <c r="FZ169" s="598"/>
      <c r="GA169" s="598"/>
      <c r="GB169" s="598"/>
      <c r="GC169" s="598"/>
      <c r="GD169" s="598"/>
      <c r="GE169" s="598"/>
      <c r="GF169" s="598"/>
      <c r="GG169" s="598"/>
      <c r="GH169" s="598"/>
      <c r="GI169" s="598"/>
      <c r="GJ169" s="598"/>
      <c r="GK169" s="598"/>
      <c r="GL169" s="598"/>
      <c r="GM169" s="598"/>
      <c r="GN169" s="598"/>
      <c r="GO169" s="598"/>
      <c r="GP169" s="598"/>
      <c r="GQ169" s="598"/>
      <c r="GR169" s="598"/>
      <c r="GS169" s="598"/>
      <c r="GT169" s="598"/>
      <c r="GU169" s="598"/>
      <c r="GV169" s="598"/>
      <c r="GW169" s="598"/>
      <c r="GX169" s="598"/>
      <c r="GY169" s="598"/>
      <c r="GZ169" s="598"/>
      <c r="HA169" s="598"/>
      <c r="HB169" s="598"/>
      <c r="HC169" s="598"/>
      <c r="HD169" s="598"/>
      <c r="HE169" s="598"/>
      <c r="HF169" s="598"/>
      <c r="HG169" s="598"/>
      <c r="HH169" s="598"/>
      <c r="HI169" s="598"/>
      <c r="HJ169" s="598"/>
      <c r="HK169" s="598"/>
      <c r="HL169" s="598"/>
      <c r="HM169" s="598"/>
      <c r="HN169" s="598"/>
      <c r="HO169" s="598"/>
      <c r="HP169" s="598"/>
      <c r="HQ169" s="598"/>
      <c r="HR169" s="598"/>
      <c r="HS169" s="598"/>
      <c r="HT169" s="598"/>
      <c r="HU169" s="598"/>
      <c r="HV169" s="598"/>
      <c r="HW169" s="598"/>
      <c r="HX169" s="598"/>
      <c r="HY169" s="598"/>
      <c r="HZ169" s="598"/>
      <c r="IA169" s="598"/>
      <c r="IB169" s="598"/>
      <c r="IC169" s="598"/>
      <c r="ID169" s="598"/>
      <c r="IE169" s="598"/>
      <c r="IF169" s="598"/>
      <c r="IG169" s="598"/>
      <c r="IH169" s="598"/>
      <c r="II169" s="598"/>
      <c r="IJ169" s="598"/>
      <c r="IK169" s="598"/>
      <c r="IL169" s="598"/>
      <c r="IM169" s="598"/>
      <c r="IN169" s="598"/>
      <c r="IO169" s="598"/>
      <c r="IP169" s="598"/>
      <c r="IQ169" s="598"/>
      <c r="IR169" s="598"/>
      <c r="IS169" s="598"/>
      <c r="IT169" s="598"/>
      <c r="IU169" s="598"/>
      <c r="IV169" s="598"/>
      <c r="IW169" s="598"/>
      <c r="IX169" s="598"/>
      <c r="IY169" s="598"/>
      <c r="IZ169" s="598"/>
      <c r="JA169" s="598"/>
      <c r="JB169" s="598"/>
      <c r="JC169" s="598"/>
      <c r="JD169" s="598"/>
      <c r="JE169" s="598"/>
      <c r="JF169" s="598"/>
      <c r="JG169" s="598"/>
      <c r="JH169" s="598"/>
      <c r="JI169" s="598"/>
      <c r="JJ169" s="598"/>
      <c r="JK169" s="598"/>
      <c r="JL169" s="598"/>
      <c r="JM169" s="598"/>
      <c r="JN169" s="598"/>
      <c r="JO169" s="598"/>
      <c r="JP169" s="598"/>
      <c r="JQ169" s="598"/>
      <c r="JR169" s="598"/>
      <c r="JS169" s="598"/>
      <c r="JT169" s="598"/>
      <c r="JU169" s="598"/>
      <c r="JV169" s="598"/>
    </row>
    <row r="170" spans="1:282" s="21" customFormat="1" ht="50.1" customHeight="1" x14ac:dyDescent="0.2">
      <c r="A170" s="702"/>
      <c r="B170" s="68" t="s">
        <v>584</v>
      </c>
      <c r="C170" s="68"/>
      <c r="D170" s="68"/>
      <c r="E170" s="188" t="s">
        <v>515</v>
      </c>
      <c r="F170" s="189" t="s">
        <v>516</v>
      </c>
      <c r="G170" s="188" t="s">
        <v>517</v>
      </c>
      <c r="H170" s="188"/>
      <c r="I170" s="188"/>
      <c r="J170" s="188" t="s">
        <v>518</v>
      </c>
      <c r="K170" s="29" t="s">
        <v>1393</v>
      </c>
      <c r="L170" s="29" t="s">
        <v>18</v>
      </c>
      <c r="M170" s="188" t="s">
        <v>2399</v>
      </c>
      <c r="N170" s="73">
        <v>41089</v>
      </c>
      <c r="O170" s="69" t="s">
        <v>565</v>
      </c>
      <c r="P170" s="69"/>
      <c r="Q170" s="69"/>
      <c r="R170" s="69"/>
      <c r="S170" s="69"/>
      <c r="T170" s="597"/>
      <c r="U170" s="597"/>
      <c r="V170" s="597"/>
      <c r="W170" s="597"/>
      <c r="X170" s="597"/>
      <c r="Y170" s="597"/>
      <c r="Z170" s="597"/>
      <c r="AA170" s="597"/>
      <c r="AB170" s="597"/>
      <c r="AC170" s="597"/>
      <c r="AD170" s="597"/>
      <c r="AE170" s="597"/>
      <c r="AF170" s="597"/>
      <c r="AG170" s="597"/>
      <c r="AH170" s="597"/>
      <c r="AI170" s="597"/>
      <c r="AJ170" s="281">
        <v>41582</v>
      </c>
      <c r="AK170" s="648">
        <v>10</v>
      </c>
      <c r="AL170" s="174"/>
      <c r="AM170" s="598"/>
      <c r="AN170" s="598"/>
      <c r="AO170" s="598"/>
      <c r="AP170" s="598"/>
      <c r="AQ170" s="598"/>
      <c r="AR170" s="598"/>
      <c r="AS170" s="598"/>
      <c r="AT170" s="598"/>
      <c r="AU170" s="598"/>
      <c r="AV170" s="598"/>
      <c r="AW170" s="598"/>
      <c r="AX170" s="598"/>
      <c r="AY170" s="598"/>
      <c r="AZ170" s="598"/>
      <c r="BA170" s="598"/>
      <c r="BB170" s="598"/>
      <c r="BC170" s="598"/>
      <c r="BD170" s="598"/>
      <c r="BE170" s="598"/>
      <c r="BF170" s="598"/>
      <c r="BG170" s="598"/>
      <c r="BH170" s="598"/>
      <c r="BI170" s="598"/>
      <c r="BJ170" s="598"/>
      <c r="BK170" s="598"/>
      <c r="BL170" s="598"/>
      <c r="BM170" s="598"/>
      <c r="BN170" s="598"/>
      <c r="BO170" s="598"/>
      <c r="BP170" s="598"/>
      <c r="BQ170" s="598"/>
      <c r="BR170" s="598"/>
      <c r="BS170" s="598"/>
      <c r="BT170" s="598"/>
      <c r="BU170" s="598"/>
      <c r="BV170" s="598"/>
      <c r="BW170" s="598"/>
      <c r="BX170" s="598"/>
      <c r="BY170" s="598"/>
      <c r="BZ170" s="598"/>
      <c r="CA170" s="598"/>
      <c r="CB170" s="598"/>
      <c r="CC170" s="598"/>
      <c r="CD170" s="598"/>
      <c r="CE170" s="598"/>
      <c r="CF170" s="598"/>
      <c r="CG170" s="598"/>
      <c r="CH170" s="598"/>
      <c r="CI170" s="598"/>
      <c r="CJ170" s="598"/>
      <c r="CK170" s="598"/>
      <c r="CL170" s="598"/>
      <c r="CM170" s="598"/>
      <c r="CN170" s="598"/>
      <c r="CO170" s="598"/>
      <c r="CP170" s="598"/>
      <c r="CQ170" s="598"/>
      <c r="CR170" s="598"/>
      <c r="CS170" s="598"/>
      <c r="CT170" s="598"/>
      <c r="CU170" s="598"/>
      <c r="CV170" s="598"/>
      <c r="CW170" s="598"/>
      <c r="CX170" s="598"/>
      <c r="CY170" s="598"/>
      <c r="CZ170" s="598"/>
      <c r="DA170" s="598"/>
      <c r="DB170" s="598"/>
      <c r="DC170" s="598"/>
      <c r="DD170" s="598"/>
      <c r="DE170" s="598"/>
      <c r="DF170" s="598"/>
      <c r="DG170" s="598"/>
      <c r="DH170" s="598"/>
      <c r="DI170" s="598"/>
      <c r="DJ170" s="598"/>
      <c r="DK170" s="598"/>
      <c r="DL170" s="598"/>
      <c r="DM170" s="598"/>
      <c r="DN170" s="598"/>
      <c r="DO170" s="598"/>
      <c r="DP170" s="598"/>
      <c r="DQ170" s="598"/>
      <c r="DR170" s="598"/>
      <c r="DS170" s="598"/>
      <c r="DT170" s="598"/>
      <c r="DU170" s="598"/>
      <c r="DV170" s="598"/>
      <c r="DW170" s="598"/>
      <c r="DX170" s="598"/>
      <c r="DY170" s="598"/>
      <c r="DZ170" s="598"/>
      <c r="EA170" s="598"/>
      <c r="EB170" s="598"/>
      <c r="EC170" s="598"/>
      <c r="ED170" s="598"/>
      <c r="EE170" s="598"/>
      <c r="EF170" s="598"/>
      <c r="EG170" s="598"/>
      <c r="EH170" s="598"/>
      <c r="EI170" s="598"/>
      <c r="EJ170" s="598"/>
      <c r="EK170" s="598"/>
      <c r="EL170" s="598"/>
      <c r="EM170" s="598"/>
      <c r="EN170" s="598"/>
      <c r="EO170" s="598"/>
      <c r="EP170" s="598"/>
      <c r="EQ170" s="598"/>
      <c r="ER170" s="598"/>
      <c r="ES170" s="598"/>
      <c r="ET170" s="598"/>
      <c r="EU170" s="598"/>
      <c r="EV170" s="598"/>
      <c r="EW170" s="598"/>
      <c r="EX170" s="598"/>
      <c r="EY170" s="598"/>
      <c r="EZ170" s="598"/>
      <c r="FA170" s="598"/>
      <c r="FB170" s="598"/>
      <c r="FC170" s="598"/>
      <c r="FD170" s="598"/>
      <c r="FE170" s="598"/>
      <c r="FF170" s="598"/>
      <c r="FG170" s="598"/>
      <c r="FH170" s="598"/>
      <c r="FI170" s="598"/>
      <c r="FJ170" s="598"/>
      <c r="FK170" s="598"/>
      <c r="FL170" s="598"/>
      <c r="FM170" s="598"/>
      <c r="FN170" s="598"/>
      <c r="FO170" s="598"/>
      <c r="FP170" s="598"/>
      <c r="FQ170" s="598"/>
      <c r="FR170" s="598"/>
      <c r="FS170" s="598"/>
      <c r="FT170" s="598"/>
      <c r="FU170" s="598"/>
      <c r="FV170" s="598"/>
      <c r="FW170" s="598"/>
      <c r="FX170" s="598"/>
      <c r="FY170" s="598"/>
      <c r="FZ170" s="598"/>
      <c r="GA170" s="598"/>
      <c r="GB170" s="598"/>
      <c r="GC170" s="598"/>
      <c r="GD170" s="598"/>
      <c r="GE170" s="598"/>
      <c r="GF170" s="598"/>
      <c r="GG170" s="598"/>
      <c r="GH170" s="598"/>
      <c r="GI170" s="598"/>
      <c r="GJ170" s="598"/>
      <c r="GK170" s="598"/>
      <c r="GL170" s="598"/>
      <c r="GM170" s="598"/>
      <c r="GN170" s="598"/>
      <c r="GO170" s="598"/>
      <c r="GP170" s="598"/>
      <c r="GQ170" s="598"/>
      <c r="GR170" s="598"/>
      <c r="GS170" s="598"/>
      <c r="GT170" s="598"/>
      <c r="GU170" s="598"/>
      <c r="GV170" s="598"/>
      <c r="GW170" s="598"/>
      <c r="GX170" s="598"/>
      <c r="GY170" s="598"/>
      <c r="GZ170" s="598"/>
      <c r="HA170" s="598"/>
      <c r="HB170" s="598"/>
      <c r="HC170" s="598"/>
      <c r="HD170" s="598"/>
      <c r="HE170" s="598"/>
      <c r="HF170" s="598"/>
      <c r="HG170" s="598"/>
      <c r="HH170" s="598"/>
      <c r="HI170" s="598"/>
      <c r="HJ170" s="598"/>
      <c r="HK170" s="598"/>
      <c r="HL170" s="598"/>
      <c r="HM170" s="598"/>
      <c r="HN170" s="598"/>
      <c r="HO170" s="598"/>
      <c r="HP170" s="598"/>
      <c r="HQ170" s="598"/>
      <c r="HR170" s="598"/>
      <c r="HS170" s="598"/>
      <c r="HT170" s="598"/>
      <c r="HU170" s="598"/>
      <c r="HV170" s="598"/>
      <c r="HW170" s="598"/>
      <c r="HX170" s="598"/>
      <c r="HY170" s="598"/>
      <c r="HZ170" s="598"/>
      <c r="IA170" s="598"/>
      <c r="IB170" s="598"/>
      <c r="IC170" s="598"/>
      <c r="ID170" s="598"/>
      <c r="IE170" s="598"/>
      <c r="IF170" s="598"/>
      <c r="IG170" s="598"/>
      <c r="IH170" s="598"/>
      <c r="II170" s="598"/>
      <c r="IJ170" s="598"/>
      <c r="IK170" s="598"/>
      <c r="IL170" s="598"/>
      <c r="IM170" s="598"/>
      <c r="IN170" s="598"/>
      <c r="IO170" s="598"/>
      <c r="IP170" s="598"/>
      <c r="IQ170" s="598"/>
      <c r="IR170" s="598"/>
      <c r="IS170" s="598"/>
      <c r="IT170" s="598"/>
      <c r="IU170" s="598"/>
      <c r="IV170" s="598"/>
      <c r="IW170" s="598"/>
      <c r="IX170" s="598"/>
      <c r="IY170" s="598"/>
      <c r="IZ170" s="598"/>
      <c r="JA170" s="598"/>
      <c r="JB170" s="598"/>
      <c r="JC170" s="598"/>
      <c r="JD170" s="598"/>
      <c r="JE170" s="598"/>
      <c r="JF170" s="598"/>
      <c r="JG170" s="598"/>
      <c r="JH170" s="598"/>
      <c r="JI170" s="598"/>
      <c r="JJ170" s="598"/>
      <c r="JK170" s="598"/>
      <c r="JL170" s="598"/>
      <c r="JM170" s="598"/>
      <c r="JN170" s="598"/>
      <c r="JO170" s="598"/>
      <c r="JP170" s="598"/>
      <c r="JQ170" s="598"/>
      <c r="JR170" s="598"/>
      <c r="JS170" s="598"/>
      <c r="JT170" s="598"/>
      <c r="JU170" s="598"/>
      <c r="JV170" s="598"/>
    </row>
    <row r="171" spans="1:282" s="21" customFormat="1" ht="50.1" customHeight="1" x14ac:dyDescent="0.2">
      <c r="A171" s="702"/>
      <c r="B171" s="68" t="s">
        <v>584</v>
      </c>
      <c r="C171" s="68"/>
      <c r="D171" s="68"/>
      <c r="E171" s="188" t="s">
        <v>461</v>
      </c>
      <c r="F171" s="189" t="s">
        <v>1246</v>
      </c>
      <c r="G171" s="188" t="s">
        <v>462</v>
      </c>
      <c r="H171" s="188"/>
      <c r="I171" s="188"/>
      <c r="J171" s="188" t="s">
        <v>2270</v>
      </c>
      <c r="K171" s="29" t="s">
        <v>1393</v>
      </c>
      <c r="L171" s="29" t="s">
        <v>12</v>
      </c>
      <c r="M171" s="188" t="s">
        <v>2399</v>
      </c>
      <c r="N171" s="73">
        <v>41180</v>
      </c>
      <c r="O171" s="69" t="s">
        <v>553</v>
      </c>
      <c r="P171" s="69"/>
      <c r="Q171" s="69"/>
      <c r="R171" s="69"/>
      <c r="S171" s="69"/>
      <c r="T171" s="597"/>
      <c r="U171" s="597"/>
      <c r="V171" s="597"/>
      <c r="W171" s="597"/>
      <c r="X171" s="597"/>
      <c r="Y171" s="597"/>
      <c r="Z171" s="597"/>
      <c r="AA171" s="597"/>
      <c r="AB171" s="597"/>
      <c r="AC171" s="597"/>
      <c r="AD171" s="597"/>
      <c r="AE171" s="597"/>
      <c r="AF171" s="597"/>
      <c r="AG171" s="597"/>
      <c r="AH171" s="597"/>
      <c r="AI171" s="597"/>
      <c r="AJ171" s="73">
        <v>41603</v>
      </c>
      <c r="AK171" s="740"/>
      <c r="AL171" s="191"/>
      <c r="AM171" s="598"/>
      <c r="AN171" s="598"/>
      <c r="AO171" s="598"/>
      <c r="AP171" s="598"/>
      <c r="AQ171" s="598"/>
      <c r="AR171" s="598"/>
      <c r="AS171" s="598"/>
      <c r="AT171" s="598"/>
      <c r="AU171" s="598"/>
      <c r="AV171" s="598"/>
      <c r="AW171" s="598"/>
      <c r="AX171" s="598"/>
      <c r="AY171" s="598"/>
      <c r="AZ171" s="598"/>
      <c r="BA171" s="598"/>
      <c r="BB171" s="598"/>
      <c r="BC171" s="598"/>
      <c r="BD171" s="598"/>
      <c r="BE171" s="598"/>
      <c r="BF171" s="598"/>
      <c r="BG171" s="598"/>
      <c r="BH171" s="598"/>
      <c r="BI171" s="598"/>
      <c r="BJ171" s="598"/>
      <c r="BK171" s="598"/>
      <c r="BL171" s="598"/>
      <c r="BM171" s="598"/>
      <c r="BN171" s="598"/>
      <c r="BO171" s="598"/>
      <c r="BP171" s="598"/>
      <c r="BQ171" s="598"/>
      <c r="BR171" s="598"/>
      <c r="BS171" s="598"/>
      <c r="BT171" s="598"/>
      <c r="BU171" s="598"/>
      <c r="BV171" s="598"/>
      <c r="BW171" s="598"/>
      <c r="BX171" s="598"/>
      <c r="BY171" s="598"/>
      <c r="BZ171" s="598"/>
      <c r="CA171" s="598"/>
      <c r="CB171" s="598"/>
      <c r="CC171" s="598"/>
      <c r="CD171" s="598"/>
      <c r="CE171" s="598"/>
      <c r="CF171" s="598"/>
      <c r="CG171" s="598"/>
      <c r="CH171" s="598"/>
      <c r="CI171" s="598"/>
      <c r="CJ171" s="598"/>
      <c r="CK171" s="598"/>
      <c r="CL171" s="598"/>
      <c r="CM171" s="598"/>
      <c r="CN171" s="598"/>
      <c r="CO171" s="598"/>
      <c r="CP171" s="598"/>
      <c r="CQ171" s="598"/>
      <c r="CR171" s="598"/>
      <c r="CS171" s="598"/>
      <c r="CT171" s="598"/>
      <c r="CU171" s="598"/>
      <c r="CV171" s="598"/>
      <c r="CW171" s="598"/>
      <c r="CX171" s="598"/>
      <c r="CY171" s="598"/>
      <c r="CZ171" s="598"/>
      <c r="DA171" s="598"/>
      <c r="DB171" s="598"/>
      <c r="DC171" s="598"/>
      <c r="DD171" s="598"/>
      <c r="DE171" s="598"/>
      <c r="DF171" s="598"/>
      <c r="DG171" s="598"/>
      <c r="DH171" s="598"/>
      <c r="DI171" s="598"/>
      <c r="DJ171" s="598"/>
      <c r="DK171" s="598"/>
      <c r="DL171" s="598"/>
      <c r="DM171" s="598"/>
      <c r="DN171" s="598"/>
      <c r="DO171" s="598"/>
      <c r="DP171" s="598"/>
      <c r="DQ171" s="598"/>
      <c r="DR171" s="598"/>
      <c r="DS171" s="598"/>
      <c r="DT171" s="598"/>
      <c r="DU171" s="598"/>
      <c r="DV171" s="598"/>
      <c r="DW171" s="598"/>
      <c r="DX171" s="598"/>
      <c r="DY171" s="598"/>
      <c r="DZ171" s="598"/>
      <c r="EA171" s="598"/>
      <c r="EB171" s="598"/>
      <c r="EC171" s="598"/>
      <c r="ED171" s="598"/>
      <c r="EE171" s="598"/>
      <c r="EF171" s="598"/>
      <c r="EG171" s="598"/>
      <c r="EH171" s="598"/>
      <c r="EI171" s="598"/>
      <c r="EJ171" s="598"/>
      <c r="EK171" s="598"/>
      <c r="EL171" s="598"/>
      <c r="EM171" s="598"/>
      <c r="EN171" s="598"/>
      <c r="EO171" s="598"/>
      <c r="EP171" s="598"/>
      <c r="EQ171" s="598"/>
      <c r="ER171" s="598"/>
      <c r="ES171" s="598"/>
      <c r="ET171" s="598"/>
      <c r="EU171" s="598"/>
      <c r="EV171" s="598"/>
      <c r="EW171" s="598"/>
      <c r="EX171" s="598"/>
      <c r="EY171" s="598"/>
      <c r="EZ171" s="598"/>
      <c r="FA171" s="598"/>
      <c r="FB171" s="598"/>
      <c r="FC171" s="598"/>
      <c r="FD171" s="598"/>
      <c r="FE171" s="598"/>
      <c r="FF171" s="598"/>
      <c r="FG171" s="598"/>
      <c r="FH171" s="598"/>
      <c r="FI171" s="598"/>
      <c r="FJ171" s="598"/>
      <c r="FK171" s="598"/>
      <c r="FL171" s="598"/>
      <c r="FM171" s="598"/>
      <c r="FN171" s="598"/>
      <c r="FO171" s="598"/>
      <c r="FP171" s="598"/>
      <c r="FQ171" s="598"/>
      <c r="FR171" s="598"/>
      <c r="FS171" s="598"/>
      <c r="FT171" s="598"/>
      <c r="FU171" s="598"/>
      <c r="FV171" s="598"/>
      <c r="FW171" s="598"/>
      <c r="FX171" s="598"/>
      <c r="FY171" s="598"/>
      <c r="FZ171" s="598"/>
      <c r="GA171" s="598"/>
      <c r="GB171" s="598"/>
      <c r="GC171" s="598"/>
      <c r="GD171" s="598"/>
      <c r="GE171" s="598"/>
      <c r="GF171" s="598"/>
      <c r="GG171" s="598"/>
      <c r="GH171" s="598"/>
      <c r="GI171" s="598"/>
      <c r="GJ171" s="598"/>
      <c r="GK171" s="598"/>
      <c r="GL171" s="598"/>
      <c r="GM171" s="598"/>
      <c r="GN171" s="598"/>
      <c r="GO171" s="598"/>
      <c r="GP171" s="598"/>
      <c r="GQ171" s="598"/>
      <c r="GR171" s="598"/>
      <c r="GS171" s="598"/>
      <c r="GT171" s="598"/>
      <c r="GU171" s="598"/>
      <c r="GV171" s="598"/>
      <c r="GW171" s="598"/>
      <c r="GX171" s="598"/>
      <c r="GY171" s="598"/>
      <c r="GZ171" s="598"/>
      <c r="HA171" s="598"/>
      <c r="HB171" s="598"/>
      <c r="HC171" s="598"/>
      <c r="HD171" s="598"/>
      <c r="HE171" s="598"/>
      <c r="HF171" s="598"/>
      <c r="HG171" s="598"/>
      <c r="HH171" s="598"/>
      <c r="HI171" s="598"/>
      <c r="HJ171" s="598"/>
      <c r="HK171" s="598"/>
      <c r="HL171" s="598"/>
      <c r="HM171" s="598"/>
      <c r="HN171" s="598"/>
      <c r="HO171" s="598"/>
      <c r="HP171" s="598"/>
      <c r="HQ171" s="598"/>
      <c r="HR171" s="598"/>
      <c r="HS171" s="598"/>
      <c r="HT171" s="598"/>
      <c r="HU171" s="598"/>
      <c r="HV171" s="598"/>
      <c r="HW171" s="598"/>
      <c r="HX171" s="598"/>
      <c r="HY171" s="598"/>
      <c r="HZ171" s="598"/>
      <c r="IA171" s="598"/>
      <c r="IB171" s="598"/>
      <c r="IC171" s="598"/>
      <c r="ID171" s="598"/>
      <c r="IE171" s="598"/>
      <c r="IF171" s="598"/>
      <c r="IG171" s="598"/>
      <c r="IH171" s="598"/>
      <c r="II171" s="598"/>
      <c r="IJ171" s="598"/>
      <c r="IK171" s="598"/>
      <c r="IL171" s="598"/>
      <c r="IM171" s="598"/>
      <c r="IN171" s="598"/>
      <c r="IO171" s="598"/>
      <c r="IP171" s="598"/>
      <c r="IQ171" s="598"/>
      <c r="IR171" s="598"/>
      <c r="IS171" s="598"/>
      <c r="IT171" s="598"/>
      <c r="IU171" s="598"/>
      <c r="IV171" s="598"/>
      <c r="IW171" s="598"/>
      <c r="IX171" s="598"/>
      <c r="IY171" s="598"/>
      <c r="IZ171" s="598"/>
      <c r="JA171" s="598"/>
      <c r="JB171" s="598"/>
      <c r="JC171" s="598"/>
      <c r="JD171" s="598"/>
      <c r="JE171" s="598"/>
      <c r="JF171" s="598"/>
      <c r="JG171" s="598"/>
      <c r="JH171" s="598"/>
      <c r="JI171" s="598"/>
      <c r="JJ171" s="598"/>
      <c r="JK171" s="598"/>
      <c r="JL171" s="598"/>
      <c r="JM171" s="598"/>
      <c r="JN171" s="598"/>
      <c r="JO171" s="598"/>
      <c r="JP171" s="598"/>
      <c r="JQ171" s="598"/>
      <c r="JR171" s="598"/>
      <c r="JS171" s="598"/>
      <c r="JT171" s="598"/>
      <c r="JU171" s="598"/>
      <c r="JV171" s="598"/>
    </row>
    <row r="172" spans="1:282" s="21" customFormat="1" ht="50.1" customHeight="1" x14ac:dyDescent="0.2">
      <c r="A172" s="702"/>
      <c r="B172" s="68" t="s">
        <v>584</v>
      </c>
      <c r="C172" s="68"/>
      <c r="D172" s="68"/>
      <c r="E172" s="188" t="s">
        <v>501</v>
      </c>
      <c r="F172" s="189" t="s">
        <v>502</v>
      </c>
      <c r="G172" s="188" t="s">
        <v>503</v>
      </c>
      <c r="H172" s="188"/>
      <c r="I172" s="188"/>
      <c r="J172" s="188" t="s">
        <v>2612</v>
      </c>
      <c r="K172" s="29" t="s">
        <v>1393</v>
      </c>
      <c r="L172" s="29" t="s">
        <v>18</v>
      </c>
      <c r="M172" s="188" t="s">
        <v>2399</v>
      </c>
      <c r="N172" s="73">
        <v>41089</v>
      </c>
      <c r="O172" s="69" t="s">
        <v>562</v>
      </c>
      <c r="P172" s="69"/>
      <c r="Q172" s="69"/>
      <c r="R172" s="69"/>
      <c r="S172" s="69"/>
      <c r="T172" s="597"/>
      <c r="U172" s="597"/>
      <c r="V172" s="597"/>
      <c r="W172" s="597"/>
      <c r="X172" s="597"/>
      <c r="Y172" s="597"/>
      <c r="Z172" s="597"/>
      <c r="AA172" s="597"/>
      <c r="AB172" s="597"/>
      <c r="AC172" s="597"/>
      <c r="AD172" s="597"/>
      <c r="AE172" s="597"/>
      <c r="AF172" s="597"/>
      <c r="AG172" s="597"/>
      <c r="AH172" s="597"/>
      <c r="AI172" s="597"/>
      <c r="AJ172" s="74">
        <v>41631</v>
      </c>
      <c r="AK172" s="746"/>
      <c r="AL172" s="605"/>
      <c r="AM172" s="598"/>
      <c r="AN172" s="598"/>
      <c r="AO172" s="598"/>
      <c r="AP172" s="598"/>
      <c r="AQ172" s="598"/>
      <c r="AR172" s="598"/>
      <c r="AS172" s="598"/>
      <c r="AT172" s="598"/>
      <c r="AU172" s="598"/>
      <c r="AV172" s="598"/>
      <c r="AW172" s="598"/>
      <c r="AX172" s="598"/>
      <c r="AY172" s="598"/>
      <c r="AZ172" s="598"/>
      <c r="BA172" s="598"/>
      <c r="BB172" s="598"/>
      <c r="BC172" s="598"/>
      <c r="BD172" s="598"/>
      <c r="BE172" s="598"/>
      <c r="BF172" s="598"/>
      <c r="BG172" s="598"/>
      <c r="BH172" s="598"/>
      <c r="BI172" s="598"/>
      <c r="BJ172" s="598"/>
      <c r="BK172" s="598"/>
      <c r="BL172" s="598"/>
      <c r="BM172" s="598"/>
      <c r="BN172" s="598"/>
      <c r="BO172" s="598"/>
      <c r="BP172" s="598"/>
      <c r="BQ172" s="598"/>
      <c r="BR172" s="598"/>
      <c r="BS172" s="598"/>
      <c r="BT172" s="598"/>
      <c r="BU172" s="598"/>
      <c r="BV172" s="598"/>
      <c r="BW172" s="598"/>
      <c r="BX172" s="598"/>
      <c r="BY172" s="598"/>
      <c r="BZ172" s="598"/>
      <c r="CA172" s="598"/>
      <c r="CB172" s="598"/>
      <c r="CC172" s="598"/>
      <c r="CD172" s="598"/>
      <c r="CE172" s="598"/>
      <c r="CF172" s="598"/>
      <c r="CG172" s="598"/>
      <c r="CH172" s="598"/>
      <c r="CI172" s="598"/>
      <c r="CJ172" s="598"/>
      <c r="CK172" s="598"/>
      <c r="CL172" s="598"/>
      <c r="CM172" s="598"/>
      <c r="CN172" s="598"/>
      <c r="CO172" s="598"/>
      <c r="CP172" s="598"/>
      <c r="CQ172" s="598"/>
      <c r="CR172" s="598"/>
      <c r="CS172" s="598"/>
      <c r="CT172" s="598"/>
      <c r="CU172" s="598"/>
      <c r="CV172" s="598"/>
      <c r="CW172" s="598"/>
      <c r="CX172" s="598"/>
      <c r="CY172" s="598"/>
      <c r="CZ172" s="598"/>
      <c r="DA172" s="598"/>
      <c r="DB172" s="598"/>
      <c r="DC172" s="598"/>
      <c r="DD172" s="598"/>
      <c r="DE172" s="598"/>
      <c r="DF172" s="598"/>
      <c r="DG172" s="598"/>
      <c r="DH172" s="598"/>
      <c r="DI172" s="598"/>
      <c r="DJ172" s="598"/>
      <c r="DK172" s="598"/>
      <c r="DL172" s="598"/>
      <c r="DM172" s="598"/>
      <c r="DN172" s="598"/>
      <c r="DO172" s="598"/>
      <c r="DP172" s="598"/>
      <c r="DQ172" s="598"/>
      <c r="DR172" s="598"/>
      <c r="DS172" s="598"/>
      <c r="DT172" s="598"/>
      <c r="DU172" s="598"/>
      <c r="DV172" s="598"/>
      <c r="DW172" s="598"/>
      <c r="DX172" s="598"/>
      <c r="DY172" s="598"/>
      <c r="DZ172" s="598"/>
      <c r="EA172" s="598"/>
      <c r="EB172" s="598"/>
      <c r="EC172" s="598"/>
      <c r="ED172" s="598"/>
      <c r="EE172" s="598"/>
      <c r="EF172" s="598"/>
      <c r="EG172" s="598"/>
      <c r="EH172" s="598"/>
      <c r="EI172" s="598"/>
      <c r="EJ172" s="598"/>
      <c r="EK172" s="598"/>
      <c r="EL172" s="598"/>
      <c r="EM172" s="598"/>
      <c r="EN172" s="598"/>
      <c r="EO172" s="598"/>
      <c r="EP172" s="598"/>
      <c r="EQ172" s="598"/>
      <c r="ER172" s="598"/>
      <c r="ES172" s="598"/>
      <c r="ET172" s="598"/>
      <c r="EU172" s="598"/>
      <c r="EV172" s="598"/>
      <c r="EW172" s="598"/>
      <c r="EX172" s="598"/>
      <c r="EY172" s="598"/>
      <c r="EZ172" s="598"/>
      <c r="FA172" s="598"/>
      <c r="FB172" s="598"/>
      <c r="FC172" s="598"/>
      <c r="FD172" s="598"/>
      <c r="FE172" s="598"/>
      <c r="FF172" s="598"/>
      <c r="FG172" s="598"/>
      <c r="FH172" s="598"/>
      <c r="FI172" s="598"/>
      <c r="FJ172" s="598"/>
      <c r="FK172" s="598"/>
      <c r="FL172" s="598"/>
      <c r="FM172" s="598"/>
      <c r="FN172" s="598"/>
      <c r="FO172" s="598"/>
      <c r="FP172" s="598"/>
      <c r="FQ172" s="598"/>
      <c r="FR172" s="598"/>
      <c r="FS172" s="598"/>
      <c r="FT172" s="598"/>
      <c r="FU172" s="598"/>
      <c r="FV172" s="598"/>
      <c r="FW172" s="598"/>
      <c r="FX172" s="598"/>
      <c r="FY172" s="598"/>
      <c r="FZ172" s="598"/>
      <c r="GA172" s="598"/>
      <c r="GB172" s="598"/>
      <c r="GC172" s="598"/>
      <c r="GD172" s="598"/>
      <c r="GE172" s="598"/>
      <c r="GF172" s="598"/>
      <c r="GG172" s="598"/>
      <c r="GH172" s="598"/>
      <c r="GI172" s="598"/>
      <c r="GJ172" s="598"/>
      <c r="GK172" s="598"/>
      <c r="GL172" s="598"/>
      <c r="GM172" s="598"/>
      <c r="GN172" s="598"/>
      <c r="GO172" s="598"/>
      <c r="GP172" s="598"/>
      <c r="GQ172" s="598"/>
      <c r="GR172" s="598"/>
      <c r="GS172" s="598"/>
      <c r="GT172" s="598"/>
      <c r="GU172" s="598"/>
      <c r="GV172" s="598"/>
      <c r="GW172" s="598"/>
      <c r="GX172" s="598"/>
      <c r="GY172" s="598"/>
      <c r="GZ172" s="598"/>
      <c r="HA172" s="598"/>
      <c r="HB172" s="598"/>
      <c r="HC172" s="598"/>
      <c r="HD172" s="598"/>
      <c r="HE172" s="598"/>
      <c r="HF172" s="598"/>
      <c r="HG172" s="598"/>
      <c r="HH172" s="598"/>
      <c r="HI172" s="598"/>
      <c r="HJ172" s="598"/>
      <c r="HK172" s="598"/>
      <c r="HL172" s="598"/>
      <c r="HM172" s="598"/>
      <c r="HN172" s="598"/>
      <c r="HO172" s="598"/>
      <c r="HP172" s="598"/>
      <c r="HQ172" s="598"/>
      <c r="HR172" s="598"/>
      <c r="HS172" s="598"/>
      <c r="HT172" s="598"/>
      <c r="HU172" s="598"/>
      <c r="HV172" s="598"/>
      <c r="HW172" s="598"/>
      <c r="HX172" s="598"/>
      <c r="HY172" s="598"/>
      <c r="HZ172" s="598"/>
      <c r="IA172" s="598"/>
      <c r="IB172" s="598"/>
      <c r="IC172" s="598"/>
      <c r="ID172" s="598"/>
      <c r="IE172" s="598"/>
      <c r="IF172" s="598"/>
      <c r="IG172" s="598"/>
      <c r="IH172" s="598"/>
      <c r="II172" s="598"/>
      <c r="IJ172" s="598"/>
      <c r="IK172" s="598"/>
      <c r="IL172" s="598"/>
      <c r="IM172" s="598"/>
      <c r="IN172" s="598"/>
      <c r="IO172" s="598"/>
      <c r="IP172" s="598"/>
      <c r="IQ172" s="598"/>
      <c r="IR172" s="598"/>
      <c r="IS172" s="598"/>
      <c r="IT172" s="598"/>
      <c r="IU172" s="598"/>
      <c r="IV172" s="598"/>
      <c r="IW172" s="598"/>
      <c r="IX172" s="598"/>
      <c r="IY172" s="598"/>
      <c r="IZ172" s="598"/>
      <c r="JA172" s="598"/>
      <c r="JB172" s="598"/>
      <c r="JC172" s="598"/>
      <c r="JD172" s="598"/>
      <c r="JE172" s="598"/>
      <c r="JF172" s="598"/>
      <c r="JG172" s="598"/>
      <c r="JH172" s="598"/>
      <c r="JI172" s="598"/>
      <c r="JJ172" s="598"/>
      <c r="JK172" s="598"/>
      <c r="JL172" s="598"/>
      <c r="JM172" s="598"/>
      <c r="JN172" s="598"/>
      <c r="JO172" s="598"/>
      <c r="JP172" s="598"/>
      <c r="JQ172" s="598"/>
      <c r="JR172" s="598"/>
      <c r="JS172" s="598"/>
      <c r="JT172" s="598"/>
      <c r="JU172" s="598"/>
      <c r="JV172" s="598"/>
    </row>
    <row r="173" spans="1:282" s="21" customFormat="1" ht="50.1" customHeight="1" x14ac:dyDescent="0.2">
      <c r="A173" s="702"/>
      <c r="B173" s="43" t="s">
        <v>584</v>
      </c>
      <c r="C173" s="43"/>
      <c r="D173" s="43"/>
      <c r="E173" s="69" t="s">
        <v>1156</v>
      </c>
      <c r="F173" s="198" t="s">
        <v>1149</v>
      </c>
      <c r="G173" s="74" t="s">
        <v>1150</v>
      </c>
      <c r="H173" s="43" t="s">
        <v>112</v>
      </c>
      <c r="I173" s="43"/>
      <c r="J173" s="43" t="s">
        <v>1152</v>
      </c>
      <c r="K173" s="38" t="s">
        <v>1392</v>
      </c>
      <c r="L173" s="29" t="s">
        <v>2428</v>
      </c>
      <c r="M173" s="29" t="s">
        <v>2446</v>
      </c>
      <c r="N173" s="74">
        <v>41491</v>
      </c>
      <c r="O173" s="747" t="s">
        <v>1229</v>
      </c>
      <c r="P173" s="747"/>
      <c r="Q173" s="747"/>
      <c r="R173" s="747"/>
      <c r="S173" s="747"/>
      <c r="T173" s="597"/>
      <c r="U173" s="597"/>
      <c r="V173" s="597"/>
      <c r="W173" s="597"/>
      <c r="X173" s="597"/>
      <c r="Y173" s="597"/>
      <c r="Z173" s="597"/>
      <c r="AA173" s="597"/>
      <c r="AB173" s="597"/>
      <c r="AC173" s="597"/>
      <c r="AD173" s="597"/>
      <c r="AE173" s="597"/>
      <c r="AF173" s="597"/>
      <c r="AG173" s="597"/>
      <c r="AH173" s="597"/>
      <c r="AI173" s="597"/>
      <c r="AJ173" s="74">
        <v>41687</v>
      </c>
      <c r="AK173" s="746"/>
      <c r="AL173" s="605"/>
      <c r="AM173" s="598"/>
      <c r="AN173" s="598"/>
      <c r="AO173" s="598"/>
      <c r="AP173" s="598"/>
      <c r="AQ173" s="598"/>
      <c r="AR173" s="598"/>
      <c r="AS173" s="598"/>
      <c r="AT173" s="598"/>
      <c r="AU173" s="598"/>
      <c r="AV173" s="598"/>
      <c r="AW173" s="598"/>
      <c r="AX173" s="598"/>
      <c r="AY173" s="598"/>
      <c r="AZ173" s="598"/>
      <c r="BA173" s="598"/>
      <c r="BB173" s="598"/>
      <c r="BC173" s="598"/>
      <c r="BD173" s="598"/>
      <c r="BE173" s="598"/>
      <c r="BF173" s="598"/>
      <c r="BG173" s="598"/>
      <c r="BH173" s="598"/>
      <c r="BI173" s="598"/>
      <c r="BJ173" s="598"/>
      <c r="BK173" s="598"/>
      <c r="BL173" s="598"/>
      <c r="BM173" s="598"/>
      <c r="BN173" s="598"/>
      <c r="BO173" s="598"/>
      <c r="BP173" s="598"/>
      <c r="BQ173" s="598"/>
      <c r="BR173" s="598"/>
      <c r="BS173" s="598"/>
      <c r="BT173" s="598"/>
      <c r="BU173" s="598"/>
      <c r="BV173" s="598"/>
      <c r="BW173" s="598"/>
      <c r="BX173" s="598"/>
      <c r="BY173" s="598"/>
      <c r="BZ173" s="598"/>
      <c r="CA173" s="598"/>
      <c r="CB173" s="598"/>
      <c r="CC173" s="598"/>
      <c r="CD173" s="598"/>
      <c r="CE173" s="598"/>
      <c r="CF173" s="598"/>
      <c r="CG173" s="598"/>
      <c r="CH173" s="598"/>
      <c r="CI173" s="598"/>
      <c r="CJ173" s="598"/>
      <c r="CK173" s="598"/>
      <c r="CL173" s="598"/>
      <c r="CM173" s="598"/>
      <c r="CN173" s="598"/>
      <c r="CO173" s="598"/>
      <c r="CP173" s="598"/>
      <c r="CQ173" s="598"/>
      <c r="CR173" s="598"/>
      <c r="CS173" s="598"/>
      <c r="CT173" s="598"/>
      <c r="CU173" s="598"/>
      <c r="CV173" s="598"/>
      <c r="CW173" s="598"/>
      <c r="CX173" s="598"/>
      <c r="CY173" s="598"/>
      <c r="CZ173" s="598"/>
      <c r="DA173" s="598"/>
      <c r="DB173" s="598"/>
      <c r="DC173" s="598"/>
      <c r="DD173" s="598"/>
      <c r="DE173" s="598"/>
      <c r="DF173" s="598"/>
      <c r="DG173" s="598"/>
      <c r="DH173" s="598"/>
      <c r="DI173" s="598"/>
      <c r="DJ173" s="598"/>
      <c r="DK173" s="598"/>
      <c r="DL173" s="598"/>
      <c r="DM173" s="598"/>
      <c r="DN173" s="598"/>
      <c r="DO173" s="598"/>
      <c r="DP173" s="598"/>
      <c r="DQ173" s="598"/>
      <c r="DR173" s="598"/>
      <c r="DS173" s="598"/>
      <c r="DT173" s="598"/>
      <c r="DU173" s="598"/>
      <c r="DV173" s="598"/>
      <c r="DW173" s="598"/>
      <c r="DX173" s="598"/>
      <c r="DY173" s="598"/>
      <c r="DZ173" s="598"/>
      <c r="EA173" s="598"/>
      <c r="EB173" s="598"/>
      <c r="EC173" s="598"/>
      <c r="ED173" s="598"/>
      <c r="EE173" s="598"/>
      <c r="EF173" s="598"/>
      <c r="EG173" s="598"/>
      <c r="EH173" s="598"/>
      <c r="EI173" s="598"/>
      <c r="EJ173" s="598"/>
      <c r="EK173" s="598"/>
      <c r="EL173" s="598"/>
      <c r="EM173" s="598"/>
      <c r="EN173" s="598"/>
      <c r="EO173" s="598"/>
      <c r="EP173" s="598"/>
      <c r="EQ173" s="598"/>
      <c r="ER173" s="598"/>
      <c r="ES173" s="598"/>
      <c r="ET173" s="598"/>
      <c r="EU173" s="598"/>
      <c r="EV173" s="598"/>
      <c r="EW173" s="598"/>
      <c r="EX173" s="598"/>
      <c r="EY173" s="598"/>
      <c r="EZ173" s="598"/>
      <c r="FA173" s="598"/>
      <c r="FB173" s="598"/>
      <c r="FC173" s="598"/>
      <c r="FD173" s="598"/>
      <c r="FE173" s="598"/>
      <c r="FF173" s="598"/>
      <c r="FG173" s="598"/>
      <c r="FH173" s="598"/>
      <c r="FI173" s="598"/>
      <c r="FJ173" s="598"/>
      <c r="FK173" s="598"/>
      <c r="FL173" s="598"/>
      <c r="FM173" s="598"/>
      <c r="FN173" s="598"/>
      <c r="FO173" s="598"/>
      <c r="FP173" s="598"/>
      <c r="FQ173" s="598"/>
      <c r="FR173" s="598"/>
      <c r="FS173" s="598"/>
      <c r="FT173" s="598"/>
      <c r="FU173" s="598"/>
      <c r="FV173" s="598"/>
      <c r="FW173" s="598"/>
      <c r="FX173" s="598"/>
      <c r="FY173" s="598"/>
      <c r="FZ173" s="598"/>
      <c r="GA173" s="598"/>
      <c r="GB173" s="598"/>
      <c r="GC173" s="598"/>
      <c r="GD173" s="598"/>
      <c r="GE173" s="598"/>
      <c r="GF173" s="598"/>
      <c r="GG173" s="598"/>
      <c r="GH173" s="598"/>
      <c r="GI173" s="598"/>
      <c r="GJ173" s="598"/>
      <c r="GK173" s="598"/>
      <c r="GL173" s="598"/>
      <c r="GM173" s="598"/>
      <c r="GN173" s="598"/>
      <c r="GO173" s="598"/>
      <c r="GP173" s="598"/>
      <c r="GQ173" s="598"/>
      <c r="GR173" s="598"/>
      <c r="GS173" s="598"/>
      <c r="GT173" s="598"/>
      <c r="GU173" s="598"/>
      <c r="GV173" s="598"/>
      <c r="GW173" s="598"/>
      <c r="GX173" s="598"/>
      <c r="GY173" s="598"/>
      <c r="GZ173" s="598"/>
      <c r="HA173" s="598"/>
      <c r="HB173" s="598"/>
      <c r="HC173" s="598"/>
      <c r="HD173" s="598"/>
      <c r="HE173" s="598"/>
      <c r="HF173" s="598"/>
      <c r="HG173" s="598"/>
      <c r="HH173" s="598"/>
      <c r="HI173" s="598"/>
      <c r="HJ173" s="598"/>
      <c r="HK173" s="598"/>
      <c r="HL173" s="598"/>
      <c r="HM173" s="598"/>
      <c r="HN173" s="598"/>
      <c r="HO173" s="598"/>
      <c r="HP173" s="598"/>
      <c r="HQ173" s="598"/>
      <c r="HR173" s="598"/>
      <c r="HS173" s="598"/>
      <c r="HT173" s="598"/>
      <c r="HU173" s="598"/>
      <c r="HV173" s="598"/>
      <c r="HW173" s="598"/>
      <c r="HX173" s="598"/>
      <c r="HY173" s="598"/>
      <c r="HZ173" s="598"/>
      <c r="IA173" s="598"/>
      <c r="IB173" s="598"/>
      <c r="IC173" s="598"/>
      <c r="ID173" s="598"/>
      <c r="IE173" s="598"/>
      <c r="IF173" s="598"/>
      <c r="IG173" s="598"/>
      <c r="IH173" s="598"/>
      <c r="II173" s="598"/>
      <c r="IJ173" s="598"/>
      <c r="IK173" s="598"/>
      <c r="IL173" s="598"/>
      <c r="IM173" s="598"/>
      <c r="IN173" s="598"/>
      <c r="IO173" s="598"/>
      <c r="IP173" s="598"/>
      <c r="IQ173" s="598"/>
      <c r="IR173" s="598"/>
      <c r="IS173" s="598"/>
      <c r="IT173" s="598"/>
      <c r="IU173" s="598"/>
      <c r="IV173" s="598"/>
      <c r="IW173" s="598"/>
      <c r="IX173" s="598"/>
      <c r="IY173" s="598"/>
      <c r="IZ173" s="598"/>
      <c r="JA173" s="598"/>
      <c r="JB173" s="598"/>
      <c r="JC173" s="598"/>
      <c r="JD173" s="598"/>
      <c r="JE173" s="598"/>
      <c r="JF173" s="598"/>
      <c r="JG173" s="598"/>
      <c r="JH173" s="598"/>
      <c r="JI173" s="598"/>
      <c r="JJ173" s="598"/>
      <c r="JK173" s="598"/>
      <c r="JL173" s="598"/>
      <c r="JM173" s="598"/>
      <c r="JN173" s="598"/>
      <c r="JO173" s="598"/>
      <c r="JP173" s="598"/>
      <c r="JQ173" s="598"/>
      <c r="JR173" s="598"/>
      <c r="JS173" s="598"/>
      <c r="JT173" s="598"/>
      <c r="JU173" s="598"/>
      <c r="JV173" s="598"/>
    </row>
    <row r="174" spans="1:282" s="21" customFormat="1" ht="50.1" customHeight="1" x14ac:dyDescent="0.2">
      <c r="A174" s="702"/>
      <c r="B174" s="69" t="s">
        <v>1137</v>
      </c>
      <c r="C174" s="69"/>
      <c r="D174" s="69"/>
      <c r="E174" s="30" t="s">
        <v>21</v>
      </c>
      <c r="F174" s="196" t="s">
        <v>22</v>
      </c>
      <c r="G174" s="30" t="s">
        <v>23</v>
      </c>
      <c r="H174" s="30" t="s">
        <v>85</v>
      </c>
      <c r="I174" s="30"/>
      <c r="J174" s="30" t="s">
        <v>25</v>
      </c>
      <c r="K174" s="30" t="s">
        <v>1394</v>
      </c>
      <c r="L174" s="29" t="s">
        <v>685</v>
      </c>
      <c r="M174" s="30" t="s">
        <v>2442</v>
      </c>
      <c r="N174" s="74">
        <v>41586</v>
      </c>
      <c r="O174" s="30" t="s">
        <v>1368</v>
      </c>
      <c r="P174" s="30"/>
      <c r="Q174" s="30"/>
      <c r="R174" s="30"/>
      <c r="S174" s="30"/>
      <c r="T174" s="597"/>
      <c r="U174" s="597"/>
      <c r="V174" s="597"/>
      <c r="W174" s="597"/>
      <c r="X174" s="597"/>
      <c r="Y174" s="597"/>
      <c r="Z174" s="597"/>
      <c r="AA174" s="597"/>
      <c r="AB174" s="597"/>
      <c r="AC174" s="597"/>
      <c r="AD174" s="597"/>
      <c r="AE174" s="597"/>
      <c r="AF174" s="597"/>
      <c r="AG174" s="597"/>
      <c r="AH174" s="597"/>
      <c r="AI174" s="597"/>
      <c r="AJ174" s="74">
        <v>41710</v>
      </c>
      <c r="AK174" s="746"/>
      <c r="AL174" s="605"/>
      <c r="AM174" s="598"/>
      <c r="AN174" s="598"/>
      <c r="AO174" s="598"/>
      <c r="AP174" s="598"/>
      <c r="AQ174" s="598"/>
      <c r="AR174" s="598"/>
      <c r="AS174" s="598"/>
      <c r="AT174" s="598"/>
      <c r="AU174" s="598"/>
      <c r="AV174" s="598"/>
      <c r="AW174" s="598"/>
      <c r="AX174" s="598"/>
      <c r="AY174" s="598"/>
      <c r="AZ174" s="598"/>
      <c r="BA174" s="598"/>
      <c r="BB174" s="598"/>
      <c r="BC174" s="598"/>
      <c r="BD174" s="598"/>
      <c r="BE174" s="598"/>
      <c r="BF174" s="598"/>
      <c r="BG174" s="598"/>
      <c r="BH174" s="598"/>
      <c r="BI174" s="598"/>
      <c r="BJ174" s="598"/>
      <c r="BK174" s="598"/>
      <c r="BL174" s="598"/>
      <c r="BM174" s="598"/>
      <c r="BN174" s="598"/>
      <c r="BO174" s="598"/>
      <c r="BP174" s="598"/>
      <c r="BQ174" s="598"/>
      <c r="BR174" s="598"/>
      <c r="BS174" s="598"/>
      <c r="BT174" s="598"/>
      <c r="BU174" s="598"/>
      <c r="BV174" s="598"/>
      <c r="BW174" s="598"/>
      <c r="BX174" s="598"/>
      <c r="BY174" s="598"/>
      <c r="BZ174" s="598"/>
      <c r="CA174" s="598"/>
      <c r="CB174" s="598"/>
      <c r="CC174" s="598"/>
      <c r="CD174" s="598"/>
      <c r="CE174" s="598"/>
      <c r="CF174" s="598"/>
      <c r="CG174" s="598"/>
      <c r="CH174" s="598"/>
      <c r="CI174" s="598"/>
      <c r="CJ174" s="598"/>
      <c r="CK174" s="598"/>
      <c r="CL174" s="598"/>
      <c r="CM174" s="598"/>
      <c r="CN174" s="598"/>
      <c r="CO174" s="598"/>
      <c r="CP174" s="598"/>
      <c r="CQ174" s="598"/>
      <c r="CR174" s="598"/>
      <c r="CS174" s="598"/>
      <c r="CT174" s="598"/>
      <c r="CU174" s="598"/>
      <c r="CV174" s="598"/>
      <c r="CW174" s="598"/>
      <c r="CX174" s="598"/>
      <c r="CY174" s="598"/>
      <c r="CZ174" s="598"/>
      <c r="DA174" s="598"/>
      <c r="DB174" s="598"/>
      <c r="DC174" s="598"/>
      <c r="DD174" s="598"/>
      <c r="DE174" s="598"/>
      <c r="DF174" s="598"/>
      <c r="DG174" s="598"/>
      <c r="DH174" s="598"/>
      <c r="DI174" s="598"/>
      <c r="DJ174" s="598"/>
      <c r="DK174" s="598"/>
      <c r="DL174" s="598"/>
      <c r="DM174" s="598"/>
      <c r="DN174" s="598"/>
      <c r="DO174" s="598"/>
      <c r="DP174" s="598"/>
      <c r="DQ174" s="598"/>
      <c r="DR174" s="598"/>
      <c r="DS174" s="598"/>
      <c r="DT174" s="598"/>
      <c r="DU174" s="598"/>
      <c r="DV174" s="598"/>
      <c r="DW174" s="598"/>
      <c r="DX174" s="598"/>
      <c r="DY174" s="598"/>
      <c r="DZ174" s="598"/>
      <c r="EA174" s="598"/>
      <c r="EB174" s="598"/>
      <c r="EC174" s="598"/>
      <c r="ED174" s="598"/>
      <c r="EE174" s="598"/>
      <c r="EF174" s="598"/>
      <c r="EG174" s="598"/>
      <c r="EH174" s="598"/>
      <c r="EI174" s="598"/>
      <c r="EJ174" s="598"/>
      <c r="EK174" s="598"/>
      <c r="EL174" s="598"/>
      <c r="EM174" s="598"/>
      <c r="EN174" s="598"/>
      <c r="EO174" s="598"/>
      <c r="EP174" s="598"/>
      <c r="EQ174" s="598"/>
      <c r="ER174" s="598"/>
      <c r="ES174" s="598"/>
      <c r="ET174" s="598"/>
      <c r="EU174" s="598"/>
      <c r="EV174" s="598"/>
      <c r="EW174" s="598"/>
      <c r="EX174" s="598"/>
      <c r="EY174" s="598"/>
      <c r="EZ174" s="598"/>
      <c r="FA174" s="598"/>
      <c r="FB174" s="598"/>
      <c r="FC174" s="598"/>
      <c r="FD174" s="598"/>
      <c r="FE174" s="598"/>
      <c r="FF174" s="598"/>
      <c r="FG174" s="598"/>
      <c r="FH174" s="598"/>
      <c r="FI174" s="598"/>
      <c r="FJ174" s="598"/>
      <c r="FK174" s="598"/>
      <c r="FL174" s="598"/>
      <c r="FM174" s="598"/>
      <c r="FN174" s="598"/>
      <c r="FO174" s="598"/>
      <c r="FP174" s="598"/>
      <c r="FQ174" s="598"/>
      <c r="FR174" s="598"/>
      <c r="FS174" s="598"/>
      <c r="FT174" s="598"/>
      <c r="FU174" s="598"/>
      <c r="FV174" s="598"/>
      <c r="FW174" s="598"/>
      <c r="FX174" s="598"/>
      <c r="FY174" s="598"/>
      <c r="FZ174" s="598"/>
      <c r="GA174" s="598"/>
      <c r="GB174" s="598"/>
      <c r="GC174" s="598"/>
      <c r="GD174" s="598"/>
      <c r="GE174" s="598"/>
      <c r="GF174" s="598"/>
      <c r="GG174" s="598"/>
      <c r="GH174" s="598"/>
      <c r="GI174" s="598"/>
      <c r="GJ174" s="598"/>
      <c r="GK174" s="598"/>
      <c r="GL174" s="598"/>
      <c r="GM174" s="598"/>
      <c r="GN174" s="598"/>
      <c r="GO174" s="598"/>
      <c r="GP174" s="598"/>
      <c r="GQ174" s="598"/>
      <c r="GR174" s="598"/>
      <c r="GS174" s="598"/>
      <c r="GT174" s="598"/>
      <c r="GU174" s="598"/>
      <c r="GV174" s="598"/>
      <c r="GW174" s="598"/>
      <c r="GX174" s="598"/>
      <c r="GY174" s="598"/>
      <c r="GZ174" s="598"/>
      <c r="HA174" s="598"/>
      <c r="HB174" s="598"/>
      <c r="HC174" s="598"/>
      <c r="HD174" s="598"/>
      <c r="HE174" s="598"/>
      <c r="HF174" s="598"/>
      <c r="HG174" s="598"/>
      <c r="HH174" s="598"/>
      <c r="HI174" s="598"/>
      <c r="HJ174" s="598"/>
      <c r="HK174" s="598"/>
      <c r="HL174" s="598"/>
      <c r="HM174" s="598"/>
      <c r="HN174" s="598"/>
      <c r="HO174" s="598"/>
      <c r="HP174" s="598"/>
      <c r="HQ174" s="598"/>
      <c r="HR174" s="598"/>
      <c r="HS174" s="598"/>
      <c r="HT174" s="598"/>
      <c r="HU174" s="598"/>
      <c r="HV174" s="598"/>
      <c r="HW174" s="598"/>
      <c r="HX174" s="598"/>
      <c r="HY174" s="598"/>
      <c r="HZ174" s="598"/>
      <c r="IA174" s="598"/>
      <c r="IB174" s="598"/>
      <c r="IC174" s="598"/>
      <c r="ID174" s="598"/>
      <c r="IE174" s="598"/>
      <c r="IF174" s="598"/>
      <c r="IG174" s="598"/>
      <c r="IH174" s="598"/>
      <c r="II174" s="598"/>
      <c r="IJ174" s="598"/>
      <c r="IK174" s="598"/>
      <c r="IL174" s="598"/>
      <c r="IM174" s="598"/>
      <c r="IN174" s="598"/>
      <c r="IO174" s="598"/>
      <c r="IP174" s="598"/>
      <c r="IQ174" s="598"/>
      <c r="IR174" s="598"/>
      <c r="IS174" s="598"/>
      <c r="IT174" s="598"/>
      <c r="IU174" s="598"/>
      <c r="IV174" s="598"/>
      <c r="IW174" s="598"/>
      <c r="IX174" s="598"/>
      <c r="IY174" s="598"/>
      <c r="IZ174" s="598"/>
      <c r="JA174" s="598"/>
      <c r="JB174" s="598"/>
      <c r="JC174" s="598"/>
      <c r="JD174" s="598"/>
      <c r="JE174" s="598"/>
      <c r="JF174" s="598"/>
      <c r="JG174" s="598"/>
      <c r="JH174" s="598"/>
      <c r="JI174" s="598"/>
      <c r="JJ174" s="598"/>
      <c r="JK174" s="598"/>
      <c r="JL174" s="598"/>
      <c r="JM174" s="598"/>
      <c r="JN174" s="598"/>
      <c r="JO174" s="598"/>
      <c r="JP174" s="598"/>
      <c r="JQ174" s="598"/>
      <c r="JR174" s="598"/>
      <c r="JS174" s="598"/>
      <c r="JT174" s="598"/>
      <c r="JU174" s="598"/>
      <c r="JV174" s="598"/>
    </row>
    <row r="175" spans="1:282" s="21" customFormat="1" ht="50.1" customHeight="1" x14ac:dyDescent="0.2">
      <c r="A175" s="702"/>
      <c r="B175" s="69" t="s">
        <v>1137</v>
      </c>
      <c r="C175" s="69"/>
      <c r="D175" s="69"/>
      <c r="E175" s="30" t="s">
        <v>642</v>
      </c>
      <c r="F175" s="196" t="s">
        <v>636</v>
      </c>
      <c r="G175" s="30" t="s">
        <v>636</v>
      </c>
      <c r="H175" s="30" t="s">
        <v>112</v>
      </c>
      <c r="I175" s="30"/>
      <c r="J175" s="30" t="s">
        <v>603</v>
      </c>
      <c r="K175" s="30" t="s">
        <v>1394</v>
      </c>
      <c r="L175" s="30" t="s">
        <v>12</v>
      </c>
      <c r="M175" s="29" t="s">
        <v>2446</v>
      </c>
      <c r="N175" s="74">
        <v>39703</v>
      </c>
      <c r="O175" s="30" t="s">
        <v>643</v>
      </c>
      <c r="P175" s="30"/>
      <c r="Q175" s="30"/>
      <c r="R175" s="30"/>
      <c r="S175" s="30"/>
      <c r="T175" s="597"/>
      <c r="U175" s="597"/>
      <c r="V175" s="597"/>
      <c r="W175" s="597"/>
      <c r="X175" s="597"/>
      <c r="Y175" s="597"/>
      <c r="Z175" s="597"/>
      <c r="AA175" s="597"/>
      <c r="AB175" s="597"/>
      <c r="AC175" s="597"/>
      <c r="AD175" s="597"/>
      <c r="AE175" s="597"/>
      <c r="AF175" s="597"/>
      <c r="AG175" s="597"/>
      <c r="AH175" s="597"/>
      <c r="AI175" s="597"/>
      <c r="AJ175" s="73">
        <v>41729</v>
      </c>
      <c r="AK175" s="746"/>
      <c r="AL175" s="605"/>
      <c r="AM175" s="598"/>
      <c r="AN175" s="598"/>
      <c r="AO175" s="598"/>
      <c r="AP175" s="598"/>
      <c r="AQ175" s="598"/>
      <c r="AR175" s="598"/>
      <c r="AS175" s="598"/>
      <c r="AT175" s="598"/>
      <c r="AU175" s="598"/>
      <c r="AV175" s="598"/>
      <c r="AW175" s="598"/>
      <c r="AX175" s="598"/>
      <c r="AY175" s="598"/>
      <c r="AZ175" s="598"/>
      <c r="BA175" s="598"/>
      <c r="BB175" s="598"/>
      <c r="BC175" s="598"/>
      <c r="BD175" s="598"/>
      <c r="BE175" s="598"/>
      <c r="BF175" s="598"/>
      <c r="BG175" s="598"/>
      <c r="BH175" s="598"/>
      <c r="BI175" s="598"/>
      <c r="BJ175" s="598"/>
      <c r="BK175" s="598"/>
      <c r="BL175" s="598"/>
      <c r="BM175" s="598"/>
      <c r="BN175" s="598"/>
      <c r="BO175" s="598"/>
      <c r="BP175" s="598"/>
      <c r="BQ175" s="598"/>
      <c r="BR175" s="598"/>
      <c r="BS175" s="598"/>
      <c r="BT175" s="598"/>
      <c r="BU175" s="598"/>
      <c r="BV175" s="598"/>
      <c r="BW175" s="598"/>
      <c r="BX175" s="598"/>
      <c r="BY175" s="598"/>
      <c r="BZ175" s="598"/>
      <c r="CA175" s="598"/>
      <c r="CB175" s="598"/>
      <c r="CC175" s="598"/>
      <c r="CD175" s="598"/>
      <c r="CE175" s="598"/>
      <c r="CF175" s="598"/>
      <c r="CG175" s="598"/>
      <c r="CH175" s="598"/>
      <c r="CI175" s="598"/>
      <c r="CJ175" s="598"/>
      <c r="CK175" s="598"/>
      <c r="CL175" s="598"/>
      <c r="CM175" s="598"/>
      <c r="CN175" s="598"/>
      <c r="CO175" s="598"/>
      <c r="CP175" s="598"/>
      <c r="CQ175" s="598"/>
      <c r="CR175" s="598"/>
      <c r="CS175" s="598"/>
      <c r="CT175" s="598"/>
      <c r="CU175" s="598"/>
      <c r="CV175" s="598"/>
      <c r="CW175" s="598"/>
      <c r="CX175" s="598"/>
      <c r="CY175" s="598"/>
      <c r="CZ175" s="598"/>
      <c r="DA175" s="598"/>
      <c r="DB175" s="598"/>
      <c r="DC175" s="598"/>
      <c r="DD175" s="598"/>
      <c r="DE175" s="598"/>
      <c r="DF175" s="598"/>
      <c r="DG175" s="598"/>
      <c r="DH175" s="598"/>
      <c r="DI175" s="598"/>
      <c r="DJ175" s="598"/>
      <c r="DK175" s="598"/>
      <c r="DL175" s="598"/>
      <c r="DM175" s="598"/>
      <c r="DN175" s="598"/>
      <c r="DO175" s="598"/>
      <c r="DP175" s="598"/>
      <c r="DQ175" s="598"/>
      <c r="DR175" s="598"/>
      <c r="DS175" s="598"/>
      <c r="DT175" s="598"/>
      <c r="DU175" s="598"/>
      <c r="DV175" s="598"/>
      <c r="DW175" s="598"/>
      <c r="DX175" s="598"/>
      <c r="DY175" s="598"/>
      <c r="DZ175" s="598"/>
      <c r="EA175" s="598"/>
      <c r="EB175" s="598"/>
      <c r="EC175" s="598"/>
      <c r="ED175" s="598"/>
      <c r="EE175" s="598"/>
      <c r="EF175" s="598"/>
      <c r="EG175" s="598"/>
      <c r="EH175" s="598"/>
      <c r="EI175" s="598"/>
      <c r="EJ175" s="598"/>
      <c r="EK175" s="598"/>
      <c r="EL175" s="598"/>
      <c r="EM175" s="598"/>
      <c r="EN175" s="598"/>
      <c r="EO175" s="598"/>
      <c r="EP175" s="598"/>
      <c r="EQ175" s="598"/>
      <c r="ER175" s="598"/>
      <c r="ES175" s="598"/>
      <c r="ET175" s="598"/>
      <c r="EU175" s="598"/>
      <c r="EV175" s="598"/>
      <c r="EW175" s="598"/>
      <c r="EX175" s="598"/>
      <c r="EY175" s="598"/>
      <c r="EZ175" s="598"/>
      <c r="FA175" s="598"/>
      <c r="FB175" s="598"/>
      <c r="FC175" s="598"/>
      <c r="FD175" s="598"/>
      <c r="FE175" s="598"/>
      <c r="FF175" s="598"/>
      <c r="FG175" s="598"/>
      <c r="FH175" s="598"/>
      <c r="FI175" s="598"/>
      <c r="FJ175" s="598"/>
      <c r="FK175" s="598"/>
      <c r="FL175" s="598"/>
      <c r="FM175" s="598"/>
      <c r="FN175" s="598"/>
      <c r="FO175" s="598"/>
      <c r="FP175" s="598"/>
      <c r="FQ175" s="598"/>
      <c r="FR175" s="598"/>
      <c r="FS175" s="598"/>
      <c r="FT175" s="598"/>
      <c r="FU175" s="598"/>
      <c r="FV175" s="598"/>
      <c r="FW175" s="598"/>
      <c r="FX175" s="598"/>
      <c r="FY175" s="598"/>
      <c r="FZ175" s="598"/>
      <c r="GA175" s="598"/>
      <c r="GB175" s="598"/>
      <c r="GC175" s="598"/>
      <c r="GD175" s="598"/>
      <c r="GE175" s="598"/>
      <c r="GF175" s="598"/>
      <c r="GG175" s="598"/>
      <c r="GH175" s="598"/>
      <c r="GI175" s="598"/>
      <c r="GJ175" s="598"/>
      <c r="GK175" s="598"/>
      <c r="GL175" s="598"/>
      <c r="GM175" s="598"/>
      <c r="GN175" s="598"/>
      <c r="GO175" s="598"/>
      <c r="GP175" s="598"/>
      <c r="GQ175" s="598"/>
      <c r="GR175" s="598"/>
      <c r="GS175" s="598"/>
      <c r="GT175" s="598"/>
      <c r="GU175" s="598"/>
      <c r="GV175" s="598"/>
      <c r="GW175" s="598"/>
      <c r="GX175" s="598"/>
      <c r="GY175" s="598"/>
      <c r="GZ175" s="598"/>
      <c r="HA175" s="598"/>
      <c r="HB175" s="598"/>
      <c r="HC175" s="598"/>
      <c r="HD175" s="598"/>
      <c r="HE175" s="598"/>
      <c r="HF175" s="598"/>
      <c r="HG175" s="598"/>
      <c r="HH175" s="598"/>
      <c r="HI175" s="598"/>
      <c r="HJ175" s="598"/>
      <c r="HK175" s="598"/>
      <c r="HL175" s="598"/>
      <c r="HM175" s="598"/>
      <c r="HN175" s="598"/>
      <c r="HO175" s="598"/>
      <c r="HP175" s="598"/>
      <c r="HQ175" s="598"/>
      <c r="HR175" s="598"/>
      <c r="HS175" s="598"/>
      <c r="HT175" s="598"/>
      <c r="HU175" s="598"/>
      <c r="HV175" s="598"/>
      <c r="HW175" s="598"/>
      <c r="HX175" s="598"/>
      <c r="HY175" s="598"/>
      <c r="HZ175" s="598"/>
      <c r="IA175" s="598"/>
      <c r="IB175" s="598"/>
      <c r="IC175" s="598"/>
      <c r="ID175" s="598"/>
      <c r="IE175" s="598"/>
      <c r="IF175" s="598"/>
      <c r="IG175" s="598"/>
      <c r="IH175" s="598"/>
      <c r="II175" s="598"/>
      <c r="IJ175" s="598"/>
      <c r="IK175" s="598"/>
      <c r="IL175" s="598"/>
      <c r="IM175" s="598"/>
      <c r="IN175" s="598"/>
      <c r="IO175" s="598"/>
      <c r="IP175" s="598"/>
      <c r="IQ175" s="598"/>
      <c r="IR175" s="598"/>
      <c r="IS175" s="598"/>
      <c r="IT175" s="598"/>
      <c r="IU175" s="598"/>
      <c r="IV175" s="598"/>
      <c r="IW175" s="598"/>
      <c r="IX175" s="598"/>
      <c r="IY175" s="598"/>
      <c r="IZ175" s="598"/>
      <c r="JA175" s="598"/>
      <c r="JB175" s="598"/>
      <c r="JC175" s="598"/>
      <c r="JD175" s="598"/>
      <c r="JE175" s="598"/>
      <c r="JF175" s="598"/>
      <c r="JG175" s="598"/>
      <c r="JH175" s="598"/>
      <c r="JI175" s="598"/>
      <c r="JJ175" s="598"/>
      <c r="JK175" s="598"/>
      <c r="JL175" s="598"/>
      <c r="JM175" s="598"/>
      <c r="JN175" s="598"/>
      <c r="JO175" s="598"/>
      <c r="JP175" s="598"/>
      <c r="JQ175" s="598"/>
      <c r="JR175" s="598"/>
      <c r="JS175" s="598"/>
      <c r="JT175" s="598"/>
      <c r="JU175" s="598"/>
      <c r="JV175" s="598"/>
    </row>
    <row r="176" spans="1:282" s="21" customFormat="1" ht="50.1" customHeight="1" x14ac:dyDescent="0.2">
      <c r="A176" s="702"/>
      <c r="B176" s="69" t="s">
        <v>1137</v>
      </c>
      <c r="C176" s="69"/>
      <c r="D176" s="69"/>
      <c r="E176" s="30" t="s">
        <v>1310</v>
      </c>
      <c r="F176" s="196" t="s">
        <v>1138</v>
      </c>
      <c r="G176" s="30" t="s">
        <v>1311</v>
      </c>
      <c r="H176" s="30" t="s">
        <v>1193</v>
      </c>
      <c r="I176" s="30"/>
      <c r="J176" s="30" t="s">
        <v>1312</v>
      </c>
      <c r="K176" s="29" t="s">
        <v>1393</v>
      </c>
      <c r="L176" s="29" t="s">
        <v>685</v>
      </c>
      <c r="M176" s="29" t="s">
        <v>2446</v>
      </c>
      <c r="N176" s="74">
        <v>41638</v>
      </c>
      <c r="O176" s="747" t="s">
        <v>2268</v>
      </c>
      <c r="P176" s="747"/>
      <c r="Q176" s="747"/>
      <c r="R176" s="747"/>
      <c r="S176" s="747"/>
      <c r="T176" s="597"/>
      <c r="U176" s="597"/>
      <c r="V176" s="597"/>
      <c r="W176" s="597"/>
      <c r="X176" s="597"/>
      <c r="Y176" s="597"/>
      <c r="Z176" s="597"/>
      <c r="AA176" s="597"/>
      <c r="AB176" s="597"/>
      <c r="AC176" s="597"/>
      <c r="AD176" s="597"/>
      <c r="AE176" s="597"/>
      <c r="AF176" s="597"/>
      <c r="AG176" s="597"/>
      <c r="AH176" s="597"/>
      <c r="AI176" s="597"/>
      <c r="AJ176" s="73">
        <v>41729</v>
      </c>
      <c r="AK176" s="746"/>
      <c r="AL176" s="605"/>
      <c r="AM176" s="598"/>
      <c r="AN176" s="598"/>
      <c r="AO176" s="598"/>
      <c r="AP176" s="598"/>
      <c r="AQ176" s="598"/>
      <c r="AR176" s="598"/>
      <c r="AS176" s="598"/>
      <c r="AT176" s="598"/>
      <c r="AU176" s="598"/>
      <c r="AV176" s="598"/>
      <c r="AW176" s="598"/>
      <c r="AX176" s="598"/>
      <c r="AY176" s="598"/>
      <c r="AZ176" s="598"/>
      <c r="BA176" s="598"/>
      <c r="BB176" s="598"/>
      <c r="BC176" s="598"/>
      <c r="BD176" s="598"/>
      <c r="BE176" s="598"/>
      <c r="BF176" s="598"/>
      <c r="BG176" s="598"/>
      <c r="BH176" s="598"/>
      <c r="BI176" s="598"/>
      <c r="BJ176" s="598"/>
      <c r="BK176" s="598"/>
      <c r="BL176" s="598"/>
      <c r="BM176" s="598"/>
      <c r="BN176" s="598"/>
      <c r="BO176" s="598"/>
      <c r="BP176" s="598"/>
      <c r="BQ176" s="598"/>
      <c r="BR176" s="598"/>
      <c r="BS176" s="598"/>
      <c r="BT176" s="598"/>
      <c r="BU176" s="598"/>
      <c r="BV176" s="598"/>
      <c r="BW176" s="598"/>
      <c r="BX176" s="598"/>
      <c r="BY176" s="598"/>
      <c r="BZ176" s="598"/>
      <c r="CA176" s="598"/>
      <c r="CB176" s="598"/>
      <c r="CC176" s="598"/>
      <c r="CD176" s="598"/>
      <c r="CE176" s="598"/>
      <c r="CF176" s="598"/>
      <c r="CG176" s="598"/>
      <c r="CH176" s="598"/>
      <c r="CI176" s="598"/>
      <c r="CJ176" s="598"/>
      <c r="CK176" s="598"/>
      <c r="CL176" s="598"/>
      <c r="CM176" s="598"/>
      <c r="CN176" s="598"/>
      <c r="CO176" s="598"/>
      <c r="CP176" s="598"/>
      <c r="CQ176" s="598"/>
      <c r="CR176" s="598"/>
      <c r="CS176" s="598"/>
      <c r="CT176" s="598"/>
      <c r="CU176" s="598"/>
      <c r="CV176" s="598"/>
      <c r="CW176" s="598"/>
      <c r="CX176" s="598"/>
      <c r="CY176" s="598"/>
      <c r="CZ176" s="598"/>
      <c r="DA176" s="598"/>
      <c r="DB176" s="598"/>
      <c r="DC176" s="598"/>
      <c r="DD176" s="598"/>
      <c r="DE176" s="598"/>
      <c r="DF176" s="598"/>
      <c r="DG176" s="598"/>
      <c r="DH176" s="598"/>
      <c r="DI176" s="598"/>
      <c r="DJ176" s="598"/>
      <c r="DK176" s="598"/>
      <c r="DL176" s="598"/>
      <c r="DM176" s="598"/>
      <c r="DN176" s="598"/>
      <c r="DO176" s="598"/>
      <c r="DP176" s="598"/>
      <c r="DQ176" s="598"/>
      <c r="DR176" s="598"/>
      <c r="DS176" s="598"/>
      <c r="DT176" s="598"/>
      <c r="DU176" s="598"/>
      <c r="DV176" s="598"/>
      <c r="DW176" s="598"/>
      <c r="DX176" s="598"/>
      <c r="DY176" s="598"/>
      <c r="DZ176" s="598"/>
      <c r="EA176" s="598"/>
      <c r="EB176" s="598"/>
      <c r="EC176" s="598"/>
      <c r="ED176" s="598"/>
      <c r="EE176" s="598"/>
      <c r="EF176" s="598"/>
      <c r="EG176" s="598"/>
      <c r="EH176" s="598"/>
      <c r="EI176" s="598"/>
      <c r="EJ176" s="598"/>
      <c r="EK176" s="598"/>
      <c r="EL176" s="598"/>
      <c r="EM176" s="598"/>
      <c r="EN176" s="598"/>
      <c r="EO176" s="598"/>
      <c r="EP176" s="598"/>
      <c r="EQ176" s="598"/>
      <c r="ER176" s="598"/>
      <c r="ES176" s="598"/>
      <c r="ET176" s="598"/>
      <c r="EU176" s="598"/>
      <c r="EV176" s="598"/>
      <c r="EW176" s="598"/>
      <c r="EX176" s="598"/>
      <c r="EY176" s="598"/>
      <c r="EZ176" s="598"/>
      <c r="FA176" s="598"/>
      <c r="FB176" s="598"/>
      <c r="FC176" s="598"/>
      <c r="FD176" s="598"/>
      <c r="FE176" s="598"/>
      <c r="FF176" s="598"/>
      <c r="FG176" s="598"/>
      <c r="FH176" s="598"/>
      <c r="FI176" s="598"/>
      <c r="FJ176" s="598"/>
      <c r="FK176" s="598"/>
      <c r="FL176" s="598"/>
      <c r="FM176" s="598"/>
      <c r="FN176" s="598"/>
      <c r="FO176" s="598"/>
      <c r="FP176" s="598"/>
      <c r="FQ176" s="598"/>
      <c r="FR176" s="598"/>
      <c r="FS176" s="598"/>
      <c r="FT176" s="598"/>
      <c r="FU176" s="598"/>
      <c r="FV176" s="598"/>
      <c r="FW176" s="598"/>
      <c r="FX176" s="598"/>
      <c r="FY176" s="598"/>
      <c r="FZ176" s="598"/>
      <c r="GA176" s="598"/>
      <c r="GB176" s="598"/>
      <c r="GC176" s="598"/>
      <c r="GD176" s="598"/>
      <c r="GE176" s="598"/>
      <c r="GF176" s="598"/>
      <c r="GG176" s="598"/>
      <c r="GH176" s="598"/>
      <c r="GI176" s="598"/>
      <c r="GJ176" s="598"/>
      <c r="GK176" s="598"/>
      <c r="GL176" s="598"/>
      <c r="GM176" s="598"/>
      <c r="GN176" s="598"/>
      <c r="GO176" s="598"/>
      <c r="GP176" s="598"/>
      <c r="GQ176" s="598"/>
      <c r="GR176" s="598"/>
      <c r="GS176" s="598"/>
      <c r="GT176" s="598"/>
      <c r="GU176" s="598"/>
      <c r="GV176" s="598"/>
      <c r="GW176" s="598"/>
      <c r="GX176" s="598"/>
      <c r="GY176" s="598"/>
      <c r="GZ176" s="598"/>
      <c r="HA176" s="598"/>
      <c r="HB176" s="598"/>
      <c r="HC176" s="598"/>
      <c r="HD176" s="598"/>
      <c r="HE176" s="598"/>
      <c r="HF176" s="598"/>
      <c r="HG176" s="598"/>
      <c r="HH176" s="598"/>
      <c r="HI176" s="598"/>
      <c r="HJ176" s="598"/>
      <c r="HK176" s="598"/>
      <c r="HL176" s="598"/>
      <c r="HM176" s="598"/>
      <c r="HN176" s="598"/>
      <c r="HO176" s="598"/>
      <c r="HP176" s="598"/>
      <c r="HQ176" s="598"/>
      <c r="HR176" s="598"/>
      <c r="HS176" s="598"/>
      <c r="HT176" s="598"/>
      <c r="HU176" s="598"/>
      <c r="HV176" s="598"/>
      <c r="HW176" s="598"/>
      <c r="HX176" s="598"/>
      <c r="HY176" s="598"/>
      <c r="HZ176" s="598"/>
      <c r="IA176" s="598"/>
      <c r="IB176" s="598"/>
      <c r="IC176" s="598"/>
      <c r="ID176" s="598"/>
      <c r="IE176" s="598"/>
      <c r="IF176" s="598"/>
      <c r="IG176" s="598"/>
      <c r="IH176" s="598"/>
      <c r="II176" s="598"/>
      <c r="IJ176" s="598"/>
      <c r="IK176" s="598"/>
      <c r="IL176" s="598"/>
      <c r="IM176" s="598"/>
      <c r="IN176" s="598"/>
      <c r="IO176" s="598"/>
      <c r="IP176" s="598"/>
      <c r="IQ176" s="598"/>
      <c r="IR176" s="598"/>
      <c r="IS176" s="598"/>
      <c r="IT176" s="598"/>
      <c r="IU176" s="598"/>
      <c r="IV176" s="598"/>
      <c r="IW176" s="598"/>
      <c r="IX176" s="598"/>
      <c r="IY176" s="598"/>
      <c r="IZ176" s="598"/>
      <c r="JA176" s="598"/>
      <c r="JB176" s="598"/>
      <c r="JC176" s="598"/>
      <c r="JD176" s="598"/>
      <c r="JE176" s="598"/>
      <c r="JF176" s="598"/>
      <c r="JG176" s="598"/>
      <c r="JH176" s="598"/>
      <c r="JI176" s="598"/>
      <c r="JJ176" s="598"/>
      <c r="JK176" s="598"/>
      <c r="JL176" s="598"/>
      <c r="JM176" s="598"/>
      <c r="JN176" s="598"/>
      <c r="JO176" s="598"/>
      <c r="JP176" s="598"/>
      <c r="JQ176" s="598"/>
      <c r="JR176" s="598"/>
      <c r="JS176" s="598"/>
      <c r="JT176" s="598"/>
      <c r="JU176" s="598"/>
      <c r="JV176" s="598"/>
    </row>
    <row r="177" spans="1:282" s="21" customFormat="1" ht="50.1" customHeight="1" x14ac:dyDescent="0.2">
      <c r="A177" s="702"/>
      <c r="B177" s="68" t="s">
        <v>584</v>
      </c>
      <c r="C177" s="68"/>
      <c r="D177" s="68"/>
      <c r="E177" s="29" t="s">
        <v>1159</v>
      </c>
      <c r="F177" s="104" t="s">
        <v>1160</v>
      </c>
      <c r="G177" s="29" t="s">
        <v>1161</v>
      </c>
      <c r="H177" s="29" t="s">
        <v>1193</v>
      </c>
      <c r="I177" s="29"/>
      <c r="J177" s="38" t="s">
        <v>2269</v>
      </c>
      <c r="K177" s="29" t="s">
        <v>1162</v>
      </c>
      <c r="L177" s="29" t="s">
        <v>685</v>
      </c>
      <c r="M177" s="29" t="s">
        <v>2446</v>
      </c>
      <c r="N177" s="74">
        <v>41297</v>
      </c>
      <c r="O177" s="69" t="s">
        <v>1224</v>
      </c>
      <c r="P177" s="69"/>
      <c r="Q177" s="69"/>
      <c r="R177" s="69"/>
      <c r="S177" s="69"/>
      <c r="T177" s="606" t="s">
        <v>1023</v>
      </c>
      <c r="U177" s="606"/>
      <c r="V177" s="606"/>
      <c r="W177" s="606"/>
      <c r="X177" s="606"/>
      <c r="Y177" s="606"/>
      <c r="Z177" s="606"/>
      <c r="AA177" s="606"/>
      <c r="AB177" s="606"/>
      <c r="AC177" s="606"/>
      <c r="AD177" s="606"/>
      <c r="AE177" s="606"/>
      <c r="AF177" s="606"/>
      <c r="AG177" s="606"/>
      <c r="AH177" s="606"/>
      <c r="AI177" s="606"/>
      <c r="AJ177" s="74">
        <v>41740</v>
      </c>
      <c r="AK177" s="733"/>
      <c r="AL177" s="606"/>
      <c r="AM177" s="598"/>
      <c r="AN177" s="598"/>
      <c r="AO177" s="598"/>
      <c r="AP177" s="598"/>
      <c r="AQ177" s="598"/>
      <c r="AR177" s="598"/>
      <c r="AS177" s="598"/>
      <c r="AT177" s="598"/>
      <c r="AU177" s="598"/>
      <c r="AV177" s="598"/>
      <c r="AW177" s="598"/>
      <c r="AX177" s="598"/>
      <c r="AY177" s="598"/>
      <c r="AZ177" s="598"/>
      <c r="BA177" s="598"/>
      <c r="BB177" s="598"/>
      <c r="BC177" s="598"/>
      <c r="BD177" s="598"/>
      <c r="BE177" s="598"/>
      <c r="BF177" s="598"/>
      <c r="BG177" s="598"/>
      <c r="BH177" s="598"/>
      <c r="BI177" s="598"/>
      <c r="BJ177" s="598"/>
      <c r="BK177" s="598"/>
      <c r="BL177" s="598"/>
      <c r="BM177" s="598"/>
      <c r="BN177" s="598"/>
      <c r="BO177" s="598"/>
      <c r="BP177" s="598"/>
      <c r="BQ177" s="598"/>
      <c r="BR177" s="598"/>
      <c r="BS177" s="598"/>
      <c r="BT177" s="598"/>
      <c r="BU177" s="598"/>
      <c r="BV177" s="598"/>
      <c r="BW177" s="598"/>
      <c r="BX177" s="598"/>
      <c r="BY177" s="598"/>
      <c r="BZ177" s="598"/>
      <c r="CA177" s="598"/>
      <c r="CB177" s="598"/>
      <c r="CC177" s="598"/>
      <c r="CD177" s="598"/>
      <c r="CE177" s="598"/>
      <c r="CF177" s="598"/>
      <c r="CG177" s="598"/>
      <c r="CH177" s="598"/>
      <c r="CI177" s="598"/>
      <c r="CJ177" s="598"/>
      <c r="CK177" s="598"/>
      <c r="CL177" s="598"/>
      <c r="CM177" s="598"/>
      <c r="CN177" s="598"/>
      <c r="CO177" s="598"/>
      <c r="CP177" s="598"/>
      <c r="CQ177" s="598"/>
      <c r="CR177" s="598"/>
      <c r="CS177" s="598"/>
      <c r="CT177" s="598"/>
      <c r="CU177" s="598"/>
      <c r="CV177" s="598"/>
      <c r="CW177" s="598"/>
      <c r="CX177" s="598"/>
      <c r="CY177" s="598"/>
      <c r="CZ177" s="598"/>
      <c r="DA177" s="598"/>
      <c r="DB177" s="598"/>
      <c r="DC177" s="598"/>
      <c r="DD177" s="598"/>
      <c r="DE177" s="598"/>
      <c r="DF177" s="598"/>
      <c r="DG177" s="598"/>
      <c r="DH177" s="598"/>
      <c r="DI177" s="598"/>
      <c r="DJ177" s="598"/>
      <c r="DK177" s="598"/>
      <c r="DL177" s="598"/>
      <c r="DM177" s="598"/>
      <c r="DN177" s="598"/>
      <c r="DO177" s="598"/>
      <c r="DP177" s="598"/>
      <c r="DQ177" s="598"/>
      <c r="DR177" s="598"/>
      <c r="DS177" s="598"/>
      <c r="DT177" s="598"/>
      <c r="DU177" s="598"/>
      <c r="DV177" s="598"/>
      <c r="DW177" s="598"/>
      <c r="DX177" s="598"/>
      <c r="DY177" s="598"/>
      <c r="DZ177" s="598"/>
      <c r="EA177" s="598"/>
      <c r="EB177" s="598"/>
      <c r="EC177" s="598"/>
      <c r="ED177" s="598"/>
      <c r="EE177" s="598"/>
      <c r="EF177" s="598"/>
      <c r="EG177" s="598"/>
      <c r="EH177" s="598"/>
      <c r="EI177" s="598"/>
      <c r="EJ177" s="598"/>
      <c r="EK177" s="598"/>
      <c r="EL177" s="598"/>
      <c r="EM177" s="598"/>
      <c r="EN177" s="598"/>
      <c r="EO177" s="598"/>
      <c r="EP177" s="598"/>
      <c r="EQ177" s="598"/>
      <c r="ER177" s="598"/>
      <c r="ES177" s="598"/>
      <c r="ET177" s="598"/>
      <c r="EU177" s="598"/>
      <c r="EV177" s="598"/>
      <c r="EW177" s="598"/>
      <c r="EX177" s="598"/>
      <c r="EY177" s="598"/>
      <c r="EZ177" s="598"/>
      <c r="FA177" s="598"/>
      <c r="FB177" s="598"/>
      <c r="FC177" s="598"/>
      <c r="FD177" s="598"/>
      <c r="FE177" s="598"/>
      <c r="FF177" s="598"/>
      <c r="FG177" s="598"/>
      <c r="FH177" s="598"/>
      <c r="FI177" s="598"/>
      <c r="FJ177" s="598"/>
      <c r="FK177" s="598"/>
      <c r="FL177" s="598"/>
      <c r="FM177" s="598"/>
      <c r="FN177" s="598"/>
      <c r="FO177" s="598"/>
      <c r="FP177" s="598"/>
      <c r="FQ177" s="598"/>
      <c r="FR177" s="598"/>
      <c r="FS177" s="598"/>
      <c r="FT177" s="598"/>
      <c r="FU177" s="598"/>
      <c r="FV177" s="598"/>
      <c r="FW177" s="598"/>
      <c r="FX177" s="598"/>
      <c r="FY177" s="598"/>
      <c r="FZ177" s="598"/>
      <c r="GA177" s="598"/>
      <c r="GB177" s="598"/>
      <c r="GC177" s="598"/>
      <c r="GD177" s="598"/>
      <c r="GE177" s="598"/>
      <c r="GF177" s="598"/>
      <c r="GG177" s="598"/>
      <c r="GH177" s="598"/>
      <c r="GI177" s="598"/>
      <c r="GJ177" s="598"/>
      <c r="GK177" s="598"/>
      <c r="GL177" s="598"/>
      <c r="GM177" s="598"/>
      <c r="GN177" s="598"/>
      <c r="GO177" s="598"/>
      <c r="GP177" s="598"/>
      <c r="GQ177" s="598"/>
      <c r="GR177" s="598"/>
      <c r="GS177" s="598"/>
      <c r="GT177" s="598"/>
      <c r="GU177" s="598"/>
      <c r="GV177" s="598"/>
      <c r="GW177" s="598"/>
      <c r="GX177" s="598"/>
      <c r="GY177" s="598"/>
      <c r="GZ177" s="598"/>
      <c r="HA177" s="598"/>
      <c r="HB177" s="598"/>
      <c r="HC177" s="598"/>
      <c r="HD177" s="598"/>
      <c r="HE177" s="598"/>
      <c r="HF177" s="598"/>
      <c r="HG177" s="598"/>
      <c r="HH177" s="598"/>
      <c r="HI177" s="598"/>
      <c r="HJ177" s="598"/>
      <c r="HK177" s="598"/>
      <c r="HL177" s="598"/>
      <c r="HM177" s="598"/>
      <c r="HN177" s="598"/>
      <c r="HO177" s="598"/>
      <c r="HP177" s="598"/>
      <c r="HQ177" s="598"/>
      <c r="HR177" s="598"/>
      <c r="HS177" s="598"/>
      <c r="HT177" s="598"/>
      <c r="HU177" s="598"/>
      <c r="HV177" s="598"/>
      <c r="HW177" s="598"/>
      <c r="HX177" s="598"/>
      <c r="HY177" s="598"/>
      <c r="HZ177" s="598"/>
      <c r="IA177" s="598"/>
      <c r="IB177" s="598"/>
      <c r="IC177" s="598"/>
      <c r="ID177" s="598"/>
      <c r="IE177" s="598"/>
      <c r="IF177" s="598"/>
      <c r="IG177" s="598"/>
      <c r="IH177" s="598"/>
      <c r="II177" s="598"/>
      <c r="IJ177" s="598"/>
      <c r="IK177" s="598"/>
      <c r="IL177" s="598"/>
      <c r="IM177" s="598"/>
      <c r="IN177" s="598"/>
      <c r="IO177" s="598"/>
      <c r="IP177" s="598"/>
      <c r="IQ177" s="598"/>
      <c r="IR177" s="598"/>
      <c r="IS177" s="598"/>
      <c r="IT177" s="598"/>
      <c r="IU177" s="598"/>
      <c r="IV177" s="598"/>
      <c r="IW177" s="598"/>
      <c r="IX177" s="598"/>
      <c r="IY177" s="598"/>
      <c r="IZ177" s="598"/>
      <c r="JA177" s="598"/>
      <c r="JB177" s="598"/>
      <c r="JC177" s="598"/>
      <c r="JD177" s="598"/>
      <c r="JE177" s="598"/>
      <c r="JF177" s="598"/>
      <c r="JG177" s="598"/>
      <c r="JH177" s="598"/>
      <c r="JI177" s="598"/>
      <c r="JJ177" s="598"/>
      <c r="JK177" s="598"/>
      <c r="JL177" s="598"/>
      <c r="JM177" s="598"/>
      <c r="JN177" s="598"/>
      <c r="JO177" s="598"/>
      <c r="JP177" s="598"/>
      <c r="JQ177" s="598"/>
      <c r="JR177" s="598"/>
      <c r="JS177" s="598"/>
      <c r="JT177" s="598"/>
      <c r="JU177" s="598"/>
      <c r="JV177" s="598"/>
    </row>
    <row r="178" spans="1:282" s="21" customFormat="1" ht="50.1" customHeight="1" x14ac:dyDescent="0.2">
      <c r="A178" s="702"/>
      <c r="B178" s="68" t="s">
        <v>584</v>
      </c>
      <c r="C178" s="68"/>
      <c r="D178" s="68"/>
      <c r="E178" s="29" t="s">
        <v>2478</v>
      </c>
      <c r="F178" s="104" t="s">
        <v>2479</v>
      </c>
      <c r="G178" s="29" t="s">
        <v>2101</v>
      </c>
      <c r="H178" s="29"/>
      <c r="I178" s="29"/>
      <c r="J178" s="748">
        <v>8.9999999999999993E-3</v>
      </c>
      <c r="K178" s="29" t="s">
        <v>1187</v>
      </c>
      <c r="L178" s="29" t="s">
        <v>800</v>
      </c>
      <c r="M178" s="29" t="s">
        <v>1187</v>
      </c>
      <c r="N178" s="74">
        <v>41766</v>
      </c>
      <c r="O178" s="29" t="s">
        <v>112</v>
      </c>
      <c r="P178" s="29"/>
      <c r="Q178" s="29"/>
      <c r="R178" s="29"/>
      <c r="S178" s="29"/>
      <c r="T178" s="606" t="s">
        <v>1023</v>
      </c>
      <c r="U178" s="606"/>
      <c r="V178" s="606"/>
      <c r="W178" s="606"/>
      <c r="X178" s="606"/>
      <c r="Y178" s="606"/>
      <c r="Z178" s="606"/>
      <c r="AA178" s="606"/>
      <c r="AB178" s="606"/>
      <c r="AC178" s="606"/>
      <c r="AD178" s="606"/>
      <c r="AE178" s="606"/>
      <c r="AF178" s="606"/>
      <c r="AG178" s="606"/>
      <c r="AH178" s="606"/>
      <c r="AI178" s="606"/>
      <c r="AJ178" s="74">
        <v>41766</v>
      </c>
      <c r="AK178" s="733"/>
      <c r="AL178" s="606"/>
      <c r="AM178" s="598"/>
      <c r="AN178" s="598"/>
      <c r="AO178" s="598"/>
      <c r="AP178" s="598"/>
      <c r="AQ178" s="598"/>
      <c r="AR178" s="598"/>
      <c r="AS178" s="598"/>
      <c r="AT178" s="598"/>
      <c r="AU178" s="598"/>
      <c r="AV178" s="598"/>
      <c r="AW178" s="598"/>
      <c r="AX178" s="598"/>
      <c r="AY178" s="598"/>
      <c r="AZ178" s="598"/>
      <c r="BA178" s="598"/>
      <c r="BB178" s="598"/>
      <c r="BC178" s="598"/>
      <c r="BD178" s="598"/>
      <c r="BE178" s="598"/>
      <c r="BF178" s="598"/>
      <c r="BG178" s="598"/>
      <c r="BH178" s="598"/>
      <c r="BI178" s="598"/>
      <c r="BJ178" s="598"/>
      <c r="BK178" s="598"/>
      <c r="BL178" s="598"/>
      <c r="BM178" s="598"/>
      <c r="BN178" s="598"/>
      <c r="BO178" s="598"/>
      <c r="BP178" s="598"/>
      <c r="BQ178" s="598"/>
      <c r="BR178" s="598"/>
      <c r="BS178" s="598"/>
      <c r="BT178" s="598"/>
      <c r="BU178" s="598"/>
      <c r="BV178" s="598"/>
      <c r="BW178" s="598"/>
      <c r="BX178" s="598"/>
      <c r="BY178" s="598"/>
      <c r="BZ178" s="598"/>
      <c r="CA178" s="598"/>
      <c r="CB178" s="598"/>
      <c r="CC178" s="598"/>
      <c r="CD178" s="598"/>
      <c r="CE178" s="598"/>
      <c r="CF178" s="598"/>
      <c r="CG178" s="598"/>
      <c r="CH178" s="598"/>
      <c r="CI178" s="598"/>
      <c r="CJ178" s="598"/>
      <c r="CK178" s="598"/>
      <c r="CL178" s="598"/>
      <c r="CM178" s="598"/>
      <c r="CN178" s="598"/>
      <c r="CO178" s="598"/>
      <c r="CP178" s="598"/>
      <c r="CQ178" s="598"/>
      <c r="CR178" s="598"/>
      <c r="CS178" s="598"/>
      <c r="CT178" s="598"/>
      <c r="CU178" s="598"/>
      <c r="CV178" s="598"/>
      <c r="CW178" s="598"/>
      <c r="CX178" s="598"/>
      <c r="CY178" s="598"/>
      <c r="CZ178" s="598"/>
      <c r="DA178" s="598"/>
      <c r="DB178" s="598"/>
      <c r="DC178" s="598"/>
      <c r="DD178" s="598"/>
      <c r="DE178" s="598"/>
      <c r="DF178" s="598"/>
      <c r="DG178" s="598"/>
      <c r="DH178" s="598"/>
      <c r="DI178" s="598"/>
      <c r="DJ178" s="598"/>
      <c r="DK178" s="598"/>
      <c r="DL178" s="598"/>
      <c r="DM178" s="598"/>
      <c r="DN178" s="598"/>
      <c r="DO178" s="598"/>
      <c r="DP178" s="598"/>
      <c r="DQ178" s="598"/>
      <c r="DR178" s="598"/>
      <c r="DS178" s="598"/>
      <c r="DT178" s="598"/>
      <c r="DU178" s="598"/>
      <c r="DV178" s="598"/>
      <c r="DW178" s="598"/>
      <c r="DX178" s="598"/>
      <c r="DY178" s="598"/>
      <c r="DZ178" s="598"/>
      <c r="EA178" s="598"/>
      <c r="EB178" s="598"/>
      <c r="EC178" s="598"/>
      <c r="ED178" s="598"/>
      <c r="EE178" s="598"/>
      <c r="EF178" s="598"/>
      <c r="EG178" s="598"/>
      <c r="EH178" s="598"/>
      <c r="EI178" s="598"/>
      <c r="EJ178" s="598"/>
      <c r="EK178" s="598"/>
      <c r="EL178" s="598"/>
      <c r="EM178" s="598"/>
      <c r="EN178" s="598"/>
      <c r="EO178" s="598"/>
      <c r="EP178" s="598"/>
      <c r="EQ178" s="598"/>
      <c r="ER178" s="598"/>
      <c r="ES178" s="598"/>
      <c r="ET178" s="598"/>
      <c r="EU178" s="598"/>
      <c r="EV178" s="598"/>
      <c r="EW178" s="598"/>
      <c r="EX178" s="598"/>
      <c r="EY178" s="598"/>
      <c r="EZ178" s="598"/>
      <c r="FA178" s="598"/>
      <c r="FB178" s="598"/>
      <c r="FC178" s="598"/>
      <c r="FD178" s="598"/>
      <c r="FE178" s="598"/>
      <c r="FF178" s="598"/>
      <c r="FG178" s="598"/>
      <c r="FH178" s="598"/>
      <c r="FI178" s="598"/>
      <c r="FJ178" s="598"/>
      <c r="FK178" s="598"/>
      <c r="FL178" s="598"/>
      <c r="FM178" s="598"/>
      <c r="FN178" s="598"/>
      <c r="FO178" s="598"/>
      <c r="FP178" s="598"/>
      <c r="FQ178" s="598"/>
      <c r="FR178" s="598"/>
      <c r="FS178" s="598"/>
      <c r="FT178" s="598"/>
      <c r="FU178" s="598"/>
      <c r="FV178" s="598"/>
      <c r="FW178" s="598"/>
      <c r="FX178" s="598"/>
      <c r="FY178" s="598"/>
      <c r="FZ178" s="598"/>
      <c r="GA178" s="598"/>
      <c r="GB178" s="598"/>
      <c r="GC178" s="598"/>
      <c r="GD178" s="598"/>
      <c r="GE178" s="598"/>
      <c r="GF178" s="598"/>
      <c r="GG178" s="598"/>
      <c r="GH178" s="598"/>
      <c r="GI178" s="598"/>
      <c r="GJ178" s="598"/>
      <c r="GK178" s="598"/>
      <c r="GL178" s="598"/>
      <c r="GM178" s="598"/>
      <c r="GN178" s="598"/>
      <c r="GO178" s="598"/>
      <c r="GP178" s="598"/>
      <c r="GQ178" s="598"/>
      <c r="GR178" s="598"/>
      <c r="GS178" s="598"/>
      <c r="GT178" s="598"/>
      <c r="GU178" s="598"/>
      <c r="GV178" s="598"/>
      <c r="GW178" s="598"/>
      <c r="GX178" s="598"/>
      <c r="GY178" s="598"/>
      <c r="GZ178" s="598"/>
      <c r="HA178" s="598"/>
      <c r="HB178" s="598"/>
      <c r="HC178" s="598"/>
      <c r="HD178" s="598"/>
      <c r="HE178" s="598"/>
      <c r="HF178" s="598"/>
      <c r="HG178" s="598"/>
      <c r="HH178" s="598"/>
      <c r="HI178" s="598"/>
      <c r="HJ178" s="598"/>
      <c r="HK178" s="598"/>
      <c r="HL178" s="598"/>
      <c r="HM178" s="598"/>
      <c r="HN178" s="598"/>
      <c r="HO178" s="598"/>
      <c r="HP178" s="598"/>
      <c r="HQ178" s="598"/>
      <c r="HR178" s="598"/>
      <c r="HS178" s="598"/>
      <c r="HT178" s="598"/>
      <c r="HU178" s="598"/>
      <c r="HV178" s="598"/>
      <c r="HW178" s="598"/>
      <c r="HX178" s="598"/>
      <c r="HY178" s="598"/>
      <c r="HZ178" s="598"/>
      <c r="IA178" s="598"/>
      <c r="IB178" s="598"/>
      <c r="IC178" s="598"/>
      <c r="ID178" s="598"/>
      <c r="IE178" s="598"/>
      <c r="IF178" s="598"/>
      <c r="IG178" s="598"/>
      <c r="IH178" s="598"/>
      <c r="II178" s="598"/>
      <c r="IJ178" s="598"/>
      <c r="IK178" s="598"/>
      <c r="IL178" s="598"/>
      <c r="IM178" s="598"/>
      <c r="IN178" s="598"/>
      <c r="IO178" s="598"/>
      <c r="IP178" s="598"/>
      <c r="IQ178" s="598"/>
      <c r="IR178" s="598"/>
      <c r="IS178" s="598"/>
      <c r="IT178" s="598"/>
      <c r="IU178" s="598"/>
      <c r="IV178" s="598"/>
      <c r="IW178" s="598"/>
      <c r="IX178" s="598"/>
      <c r="IY178" s="598"/>
      <c r="IZ178" s="598"/>
      <c r="JA178" s="598"/>
      <c r="JB178" s="598"/>
      <c r="JC178" s="598"/>
      <c r="JD178" s="598"/>
      <c r="JE178" s="598"/>
      <c r="JF178" s="598"/>
      <c r="JG178" s="598"/>
      <c r="JH178" s="598"/>
      <c r="JI178" s="598"/>
      <c r="JJ178" s="598"/>
      <c r="JK178" s="598"/>
      <c r="JL178" s="598"/>
      <c r="JM178" s="598"/>
      <c r="JN178" s="598"/>
      <c r="JO178" s="598"/>
      <c r="JP178" s="598"/>
      <c r="JQ178" s="598"/>
      <c r="JR178" s="598"/>
      <c r="JS178" s="598"/>
      <c r="JT178" s="598"/>
      <c r="JU178" s="598"/>
      <c r="JV178" s="598"/>
    </row>
    <row r="179" spans="1:282" s="21" customFormat="1" ht="50.1" customHeight="1" x14ac:dyDescent="0.2">
      <c r="A179" s="702"/>
      <c r="B179" s="69" t="s">
        <v>1137</v>
      </c>
      <c r="C179" s="69"/>
      <c r="D179" s="69"/>
      <c r="E179" s="38" t="s">
        <v>1361</v>
      </c>
      <c r="F179" s="196" t="s">
        <v>1138</v>
      </c>
      <c r="G179" s="74" t="s">
        <v>1545</v>
      </c>
      <c r="H179" s="29" t="s">
        <v>1293</v>
      </c>
      <c r="I179" s="29"/>
      <c r="J179" s="29" t="s">
        <v>2266</v>
      </c>
      <c r="K179" s="29" t="s">
        <v>1393</v>
      </c>
      <c r="L179" s="29" t="s">
        <v>685</v>
      </c>
      <c r="M179" s="29" t="s">
        <v>2447</v>
      </c>
      <c r="N179" s="73">
        <v>41745</v>
      </c>
      <c r="O179" s="38">
        <v>296539149</v>
      </c>
      <c r="P179" s="38"/>
      <c r="Q179" s="38"/>
      <c r="R179" s="38"/>
      <c r="S179" s="38"/>
      <c r="T179" s="597"/>
      <c r="U179" s="597"/>
      <c r="V179" s="597"/>
      <c r="W179" s="597"/>
      <c r="X179" s="597"/>
      <c r="Y179" s="597"/>
      <c r="Z179" s="597"/>
      <c r="AA179" s="597"/>
      <c r="AB179" s="597"/>
      <c r="AC179" s="597"/>
      <c r="AD179" s="597"/>
      <c r="AE179" s="597"/>
      <c r="AF179" s="597"/>
      <c r="AG179" s="597"/>
      <c r="AH179" s="597"/>
      <c r="AI179" s="597"/>
      <c r="AJ179" s="73">
        <v>41792</v>
      </c>
      <c r="AK179" s="648"/>
      <c r="AL179" s="174"/>
      <c r="AM179" s="598"/>
      <c r="AN179" s="598"/>
      <c r="AO179" s="598"/>
      <c r="AP179" s="598"/>
      <c r="AQ179" s="598"/>
      <c r="AR179" s="598"/>
      <c r="AS179" s="598"/>
      <c r="AT179" s="598"/>
      <c r="AU179" s="598"/>
      <c r="AV179" s="598"/>
      <c r="AW179" s="598"/>
      <c r="AX179" s="598"/>
      <c r="AY179" s="598"/>
      <c r="AZ179" s="598"/>
      <c r="BA179" s="598"/>
      <c r="BB179" s="598"/>
      <c r="BC179" s="598"/>
      <c r="BD179" s="598"/>
      <c r="BE179" s="598"/>
      <c r="BF179" s="598"/>
      <c r="BG179" s="598"/>
      <c r="BH179" s="598"/>
      <c r="BI179" s="598"/>
      <c r="BJ179" s="598"/>
      <c r="BK179" s="598"/>
      <c r="BL179" s="598"/>
      <c r="BM179" s="598"/>
      <c r="BN179" s="598"/>
      <c r="BO179" s="598"/>
      <c r="BP179" s="598"/>
      <c r="BQ179" s="598"/>
      <c r="BR179" s="598"/>
      <c r="BS179" s="598"/>
      <c r="BT179" s="598"/>
      <c r="BU179" s="598"/>
      <c r="BV179" s="598"/>
      <c r="BW179" s="598"/>
      <c r="BX179" s="598"/>
      <c r="BY179" s="598"/>
      <c r="BZ179" s="598"/>
      <c r="CA179" s="598"/>
      <c r="CB179" s="598"/>
      <c r="CC179" s="598"/>
      <c r="CD179" s="598"/>
      <c r="CE179" s="598"/>
      <c r="CF179" s="598"/>
      <c r="CG179" s="598"/>
      <c r="CH179" s="598"/>
      <c r="CI179" s="598"/>
      <c r="CJ179" s="598"/>
      <c r="CK179" s="598"/>
      <c r="CL179" s="598"/>
      <c r="CM179" s="598"/>
      <c r="CN179" s="598"/>
      <c r="CO179" s="598"/>
      <c r="CP179" s="598"/>
      <c r="CQ179" s="598"/>
      <c r="CR179" s="598"/>
      <c r="CS179" s="598"/>
      <c r="CT179" s="598"/>
      <c r="CU179" s="598"/>
      <c r="CV179" s="598"/>
      <c r="CW179" s="598"/>
      <c r="CX179" s="598"/>
      <c r="CY179" s="598"/>
      <c r="CZ179" s="598"/>
      <c r="DA179" s="598"/>
      <c r="DB179" s="598"/>
      <c r="DC179" s="598"/>
      <c r="DD179" s="598"/>
      <c r="DE179" s="598"/>
      <c r="DF179" s="598"/>
      <c r="DG179" s="598"/>
      <c r="DH179" s="598"/>
      <c r="DI179" s="598"/>
      <c r="DJ179" s="598"/>
      <c r="DK179" s="598"/>
      <c r="DL179" s="598"/>
      <c r="DM179" s="598"/>
      <c r="DN179" s="598"/>
      <c r="DO179" s="598"/>
      <c r="DP179" s="598"/>
      <c r="DQ179" s="598"/>
      <c r="DR179" s="598"/>
      <c r="DS179" s="598"/>
      <c r="DT179" s="598"/>
      <c r="DU179" s="598"/>
      <c r="DV179" s="598"/>
      <c r="DW179" s="598"/>
      <c r="DX179" s="598"/>
      <c r="DY179" s="598"/>
      <c r="DZ179" s="598"/>
      <c r="EA179" s="598"/>
      <c r="EB179" s="598"/>
      <c r="EC179" s="598"/>
      <c r="ED179" s="598"/>
      <c r="EE179" s="598"/>
      <c r="EF179" s="598"/>
      <c r="EG179" s="598"/>
      <c r="EH179" s="598"/>
      <c r="EI179" s="598"/>
      <c r="EJ179" s="598"/>
      <c r="EK179" s="598"/>
      <c r="EL179" s="598"/>
      <c r="EM179" s="598"/>
      <c r="EN179" s="598"/>
      <c r="EO179" s="598"/>
      <c r="EP179" s="598"/>
      <c r="EQ179" s="598"/>
      <c r="ER179" s="598"/>
      <c r="ES179" s="598"/>
      <c r="ET179" s="598"/>
      <c r="EU179" s="598"/>
      <c r="EV179" s="598"/>
      <c r="EW179" s="598"/>
      <c r="EX179" s="598"/>
      <c r="EY179" s="598"/>
      <c r="EZ179" s="598"/>
      <c r="FA179" s="598"/>
      <c r="FB179" s="598"/>
      <c r="FC179" s="598"/>
      <c r="FD179" s="598"/>
      <c r="FE179" s="598"/>
      <c r="FF179" s="598"/>
      <c r="FG179" s="598"/>
      <c r="FH179" s="598"/>
      <c r="FI179" s="598"/>
      <c r="FJ179" s="598"/>
      <c r="FK179" s="598"/>
      <c r="FL179" s="598"/>
      <c r="FM179" s="598"/>
      <c r="FN179" s="598"/>
      <c r="FO179" s="598"/>
      <c r="FP179" s="598"/>
      <c r="FQ179" s="598"/>
      <c r="FR179" s="598"/>
      <c r="FS179" s="598"/>
      <c r="FT179" s="598"/>
      <c r="FU179" s="598"/>
      <c r="FV179" s="598"/>
      <c r="FW179" s="598"/>
      <c r="FX179" s="598"/>
      <c r="FY179" s="598"/>
      <c r="FZ179" s="598"/>
      <c r="GA179" s="598"/>
      <c r="GB179" s="598"/>
      <c r="GC179" s="598"/>
      <c r="GD179" s="598"/>
      <c r="GE179" s="598"/>
      <c r="GF179" s="598"/>
      <c r="GG179" s="598"/>
      <c r="GH179" s="598"/>
      <c r="GI179" s="598"/>
      <c r="GJ179" s="598"/>
      <c r="GK179" s="598"/>
      <c r="GL179" s="598"/>
      <c r="GM179" s="598"/>
      <c r="GN179" s="598"/>
      <c r="GO179" s="598"/>
      <c r="GP179" s="598"/>
      <c r="GQ179" s="598"/>
      <c r="GR179" s="598"/>
      <c r="GS179" s="598"/>
      <c r="GT179" s="598"/>
      <c r="GU179" s="598"/>
      <c r="GV179" s="598"/>
      <c r="GW179" s="598"/>
      <c r="GX179" s="598"/>
      <c r="GY179" s="598"/>
      <c r="GZ179" s="598"/>
      <c r="HA179" s="598"/>
      <c r="HB179" s="598"/>
      <c r="HC179" s="598"/>
      <c r="HD179" s="598"/>
      <c r="HE179" s="598"/>
      <c r="HF179" s="598"/>
      <c r="HG179" s="598"/>
      <c r="HH179" s="598"/>
      <c r="HI179" s="598"/>
      <c r="HJ179" s="598"/>
      <c r="HK179" s="598"/>
      <c r="HL179" s="598"/>
      <c r="HM179" s="598"/>
      <c r="HN179" s="598"/>
      <c r="HO179" s="598"/>
      <c r="HP179" s="598"/>
      <c r="HQ179" s="598"/>
      <c r="HR179" s="598"/>
      <c r="HS179" s="598"/>
      <c r="HT179" s="598"/>
      <c r="HU179" s="598"/>
      <c r="HV179" s="598"/>
      <c r="HW179" s="598"/>
      <c r="HX179" s="598"/>
      <c r="HY179" s="598"/>
      <c r="HZ179" s="598"/>
      <c r="IA179" s="598"/>
      <c r="IB179" s="598"/>
      <c r="IC179" s="598"/>
      <c r="ID179" s="598"/>
      <c r="IE179" s="598"/>
      <c r="IF179" s="598"/>
      <c r="IG179" s="598"/>
      <c r="IH179" s="598"/>
      <c r="II179" s="598"/>
      <c r="IJ179" s="598"/>
      <c r="IK179" s="598"/>
      <c r="IL179" s="598"/>
      <c r="IM179" s="598"/>
      <c r="IN179" s="598"/>
      <c r="IO179" s="598"/>
      <c r="IP179" s="598"/>
      <c r="IQ179" s="598"/>
      <c r="IR179" s="598"/>
      <c r="IS179" s="598"/>
      <c r="IT179" s="598"/>
      <c r="IU179" s="598"/>
      <c r="IV179" s="598"/>
      <c r="IW179" s="598"/>
      <c r="IX179" s="598"/>
      <c r="IY179" s="598"/>
      <c r="IZ179" s="598"/>
      <c r="JA179" s="598"/>
      <c r="JB179" s="598"/>
      <c r="JC179" s="598"/>
      <c r="JD179" s="598"/>
      <c r="JE179" s="598"/>
      <c r="JF179" s="598"/>
      <c r="JG179" s="598"/>
      <c r="JH179" s="598"/>
      <c r="JI179" s="598"/>
      <c r="JJ179" s="598"/>
      <c r="JK179" s="598"/>
      <c r="JL179" s="598"/>
      <c r="JM179" s="598"/>
      <c r="JN179" s="598"/>
      <c r="JO179" s="598"/>
      <c r="JP179" s="598"/>
      <c r="JQ179" s="598"/>
      <c r="JR179" s="598"/>
      <c r="JS179" s="598"/>
      <c r="JT179" s="598"/>
      <c r="JU179" s="598"/>
      <c r="JV179" s="598"/>
    </row>
    <row r="180" spans="1:282" s="21" customFormat="1" ht="50.1" customHeight="1" x14ac:dyDescent="0.2">
      <c r="A180" s="702"/>
      <c r="B180" s="69" t="s">
        <v>1137</v>
      </c>
      <c r="C180" s="69"/>
      <c r="D180" s="69"/>
      <c r="E180" s="74" t="s">
        <v>84</v>
      </c>
      <c r="F180" s="104" t="s">
        <v>82</v>
      </c>
      <c r="G180" s="29" t="s">
        <v>83</v>
      </c>
      <c r="H180" s="29" t="s">
        <v>97</v>
      </c>
      <c r="I180" s="29"/>
      <c r="J180" s="29" t="s">
        <v>2276</v>
      </c>
      <c r="K180" s="29" t="s">
        <v>1393</v>
      </c>
      <c r="L180" s="29" t="s">
        <v>18</v>
      </c>
      <c r="M180" s="29" t="s">
        <v>1528</v>
      </c>
      <c r="N180" s="74">
        <v>40375</v>
      </c>
      <c r="O180" s="30" t="s">
        <v>3023</v>
      </c>
      <c r="P180" s="30"/>
      <c r="Q180" s="30"/>
      <c r="R180" s="30"/>
      <c r="S180" s="30"/>
      <c r="T180" s="597"/>
      <c r="U180" s="597"/>
      <c r="V180" s="597"/>
      <c r="W180" s="597"/>
      <c r="X180" s="597"/>
      <c r="Y180" s="597"/>
      <c r="Z180" s="597"/>
      <c r="AA180" s="597"/>
      <c r="AB180" s="597"/>
      <c r="AC180" s="597"/>
      <c r="AD180" s="597"/>
      <c r="AE180" s="597"/>
      <c r="AF180" s="597"/>
      <c r="AG180" s="597"/>
      <c r="AH180" s="597"/>
      <c r="AI180" s="597"/>
      <c r="AJ180" s="73">
        <v>41800</v>
      </c>
      <c r="AK180" s="648">
        <v>5</v>
      </c>
      <c r="AL180" s="174"/>
      <c r="AM180" s="598"/>
      <c r="AN180" s="598"/>
      <c r="AO180" s="598"/>
      <c r="AP180" s="598"/>
      <c r="AQ180" s="598"/>
      <c r="AR180" s="598"/>
      <c r="AS180" s="598"/>
      <c r="AT180" s="598"/>
      <c r="AU180" s="598"/>
      <c r="AV180" s="598"/>
      <c r="AW180" s="598"/>
      <c r="AX180" s="598"/>
      <c r="AY180" s="598"/>
      <c r="AZ180" s="598"/>
      <c r="BA180" s="598"/>
      <c r="BB180" s="598"/>
      <c r="BC180" s="598"/>
      <c r="BD180" s="598"/>
      <c r="BE180" s="598"/>
      <c r="BF180" s="598"/>
      <c r="BG180" s="598"/>
      <c r="BH180" s="598"/>
      <c r="BI180" s="598"/>
      <c r="BJ180" s="598"/>
      <c r="BK180" s="598"/>
      <c r="BL180" s="598"/>
      <c r="BM180" s="598"/>
      <c r="BN180" s="598"/>
      <c r="BO180" s="598"/>
      <c r="BP180" s="598"/>
      <c r="BQ180" s="598"/>
      <c r="BR180" s="598"/>
      <c r="BS180" s="598"/>
      <c r="BT180" s="598"/>
      <c r="BU180" s="598"/>
      <c r="BV180" s="598"/>
      <c r="BW180" s="598"/>
      <c r="BX180" s="598"/>
      <c r="BY180" s="598"/>
      <c r="BZ180" s="598"/>
      <c r="CA180" s="598"/>
      <c r="CB180" s="598"/>
      <c r="CC180" s="598"/>
      <c r="CD180" s="598"/>
      <c r="CE180" s="598"/>
      <c r="CF180" s="598"/>
      <c r="CG180" s="598"/>
      <c r="CH180" s="598"/>
      <c r="CI180" s="598"/>
      <c r="CJ180" s="598"/>
      <c r="CK180" s="598"/>
      <c r="CL180" s="598"/>
      <c r="CM180" s="598"/>
      <c r="CN180" s="598"/>
      <c r="CO180" s="598"/>
      <c r="CP180" s="598"/>
      <c r="CQ180" s="598"/>
      <c r="CR180" s="598"/>
      <c r="CS180" s="598"/>
      <c r="CT180" s="598"/>
      <c r="CU180" s="598"/>
      <c r="CV180" s="598"/>
      <c r="CW180" s="598"/>
      <c r="CX180" s="598"/>
      <c r="CY180" s="598"/>
      <c r="CZ180" s="598"/>
      <c r="DA180" s="598"/>
      <c r="DB180" s="598"/>
      <c r="DC180" s="598"/>
      <c r="DD180" s="598"/>
      <c r="DE180" s="598"/>
      <c r="DF180" s="598"/>
      <c r="DG180" s="598"/>
      <c r="DH180" s="598"/>
      <c r="DI180" s="598"/>
      <c r="DJ180" s="598"/>
      <c r="DK180" s="598"/>
      <c r="DL180" s="598"/>
      <c r="DM180" s="598"/>
      <c r="DN180" s="598"/>
      <c r="DO180" s="598"/>
      <c r="DP180" s="598"/>
      <c r="DQ180" s="598"/>
      <c r="DR180" s="598"/>
      <c r="DS180" s="598"/>
      <c r="DT180" s="598"/>
      <c r="DU180" s="598"/>
      <c r="DV180" s="598"/>
      <c r="DW180" s="598"/>
      <c r="DX180" s="598"/>
      <c r="DY180" s="598"/>
      <c r="DZ180" s="598"/>
      <c r="EA180" s="598"/>
      <c r="EB180" s="598"/>
      <c r="EC180" s="598"/>
      <c r="ED180" s="598"/>
      <c r="EE180" s="598"/>
      <c r="EF180" s="598"/>
      <c r="EG180" s="598"/>
      <c r="EH180" s="598"/>
      <c r="EI180" s="598"/>
      <c r="EJ180" s="598"/>
      <c r="EK180" s="598"/>
      <c r="EL180" s="598"/>
      <c r="EM180" s="598"/>
      <c r="EN180" s="598"/>
      <c r="EO180" s="598"/>
      <c r="EP180" s="598"/>
      <c r="EQ180" s="598"/>
      <c r="ER180" s="598"/>
      <c r="ES180" s="598"/>
      <c r="ET180" s="598"/>
      <c r="EU180" s="598"/>
      <c r="EV180" s="598"/>
      <c r="EW180" s="598"/>
      <c r="EX180" s="598"/>
      <c r="EY180" s="598"/>
      <c r="EZ180" s="598"/>
      <c r="FA180" s="598"/>
      <c r="FB180" s="598"/>
      <c r="FC180" s="598"/>
      <c r="FD180" s="598"/>
      <c r="FE180" s="598"/>
      <c r="FF180" s="598"/>
      <c r="FG180" s="598"/>
      <c r="FH180" s="598"/>
      <c r="FI180" s="598"/>
      <c r="FJ180" s="598"/>
      <c r="FK180" s="598"/>
      <c r="FL180" s="598"/>
      <c r="FM180" s="598"/>
      <c r="FN180" s="598"/>
      <c r="FO180" s="598"/>
      <c r="FP180" s="598"/>
      <c r="FQ180" s="598"/>
      <c r="FR180" s="598"/>
      <c r="FS180" s="598"/>
      <c r="FT180" s="598"/>
      <c r="FU180" s="598"/>
      <c r="FV180" s="598"/>
      <c r="FW180" s="598"/>
      <c r="FX180" s="598"/>
      <c r="FY180" s="598"/>
      <c r="FZ180" s="598"/>
      <c r="GA180" s="598"/>
      <c r="GB180" s="598"/>
      <c r="GC180" s="598"/>
      <c r="GD180" s="598"/>
      <c r="GE180" s="598"/>
      <c r="GF180" s="598"/>
      <c r="GG180" s="598"/>
      <c r="GH180" s="598"/>
      <c r="GI180" s="598"/>
      <c r="GJ180" s="598"/>
      <c r="GK180" s="598"/>
      <c r="GL180" s="598"/>
      <c r="GM180" s="598"/>
      <c r="GN180" s="598"/>
      <c r="GO180" s="598"/>
      <c r="GP180" s="598"/>
      <c r="GQ180" s="598"/>
      <c r="GR180" s="598"/>
      <c r="GS180" s="598"/>
      <c r="GT180" s="598"/>
      <c r="GU180" s="598"/>
      <c r="GV180" s="598"/>
      <c r="GW180" s="598"/>
      <c r="GX180" s="598"/>
      <c r="GY180" s="598"/>
      <c r="GZ180" s="598"/>
      <c r="HA180" s="598"/>
      <c r="HB180" s="598"/>
      <c r="HC180" s="598"/>
      <c r="HD180" s="598"/>
      <c r="HE180" s="598"/>
      <c r="HF180" s="598"/>
      <c r="HG180" s="598"/>
      <c r="HH180" s="598"/>
      <c r="HI180" s="598"/>
      <c r="HJ180" s="598"/>
      <c r="HK180" s="598"/>
      <c r="HL180" s="598"/>
      <c r="HM180" s="598"/>
      <c r="HN180" s="598"/>
      <c r="HO180" s="598"/>
      <c r="HP180" s="598"/>
      <c r="HQ180" s="598"/>
      <c r="HR180" s="598"/>
      <c r="HS180" s="598"/>
      <c r="HT180" s="598"/>
      <c r="HU180" s="598"/>
      <c r="HV180" s="598"/>
      <c r="HW180" s="598"/>
      <c r="HX180" s="598"/>
      <c r="HY180" s="598"/>
      <c r="HZ180" s="598"/>
      <c r="IA180" s="598"/>
      <c r="IB180" s="598"/>
      <c r="IC180" s="598"/>
      <c r="ID180" s="598"/>
      <c r="IE180" s="598"/>
      <c r="IF180" s="598"/>
      <c r="IG180" s="598"/>
      <c r="IH180" s="598"/>
      <c r="II180" s="598"/>
      <c r="IJ180" s="598"/>
      <c r="IK180" s="598"/>
      <c r="IL180" s="598"/>
      <c r="IM180" s="598"/>
      <c r="IN180" s="598"/>
      <c r="IO180" s="598"/>
      <c r="IP180" s="598"/>
      <c r="IQ180" s="598"/>
      <c r="IR180" s="598"/>
      <c r="IS180" s="598"/>
      <c r="IT180" s="598"/>
      <c r="IU180" s="598"/>
      <c r="IV180" s="598"/>
      <c r="IW180" s="598"/>
      <c r="IX180" s="598"/>
      <c r="IY180" s="598"/>
      <c r="IZ180" s="598"/>
      <c r="JA180" s="598"/>
      <c r="JB180" s="598"/>
      <c r="JC180" s="598"/>
      <c r="JD180" s="598"/>
      <c r="JE180" s="598"/>
      <c r="JF180" s="598"/>
      <c r="JG180" s="598"/>
      <c r="JH180" s="598"/>
      <c r="JI180" s="598"/>
      <c r="JJ180" s="598"/>
      <c r="JK180" s="598"/>
      <c r="JL180" s="598"/>
      <c r="JM180" s="598"/>
      <c r="JN180" s="598"/>
      <c r="JO180" s="598"/>
      <c r="JP180" s="598"/>
      <c r="JQ180" s="598"/>
      <c r="JR180" s="598"/>
      <c r="JS180" s="598"/>
      <c r="JT180" s="598"/>
      <c r="JU180" s="598"/>
      <c r="JV180" s="598"/>
    </row>
    <row r="181" spans="1:282" s="21" customFormat="1" ht="50.1" customHeight="1" x14ac:dyDescent="0.2">
      <c r="A181" s="702"/>
      <c r="B181" s="69" t="s">
        <v>1137</v>
      </c>
      <c r="C181" s="69"/>
      <c r="D181" s="69"/>
      <c r="E181" s="74" t="s">
        <v>29</v>
      </c>
      <c r="F181" s="104" t="s">
        <v>30</v>
      </c>
      <c r="G181" s="29" t="s">
        <v>30</v>
      </c>
      <c r="H181" s="29" t="s">
        <v>91</v>
      </c>
      <c r="I181" s="29"/>
      <c r="J181" s="69" t="s">
        <v>31</v>
      </c>
      <c r="K181" s="30" t="s">
        <v>1394</v>
      </c>
      <c r="L181" s="29" t="s">
        <v>12</v>
      </c>
      <c r="M181" s="29" t="s">
        <v>1528</v>
      </c>
      <c r="N181" s="74">
        <v>40060</v>
      </c>
      <c r="O181" s="69" t="s">
        <v>2370</v>
      </c>
      <c r="P181" s="69"/>
      <c r="Q181" s="69"/>
      <c r="R181" s="69"/>
      <c r="S181" s="69"/>
      <c r="T181" s="597"/>
      <c r="U181" s="597"/>
      <c r="V181" s="597"/>
      <c r="W181" s="597"/>
      <c r="X181" s="597"/>
      <c r="Y181" s="597"/>
      <c r="Z181" s="597"/>
      <c r="AA181" s="597"/>
      <c r="AB181" s="597"/>
      <c r="AC181" s="597"/>
      <c r="AD181" s="597"/>
      <c r="AE181" s="597"/>
      <c r="AF181" s="597"/>
      <c r="AG181" s="597"/>
      <c r="AH181" s="597"/>
      <c r="AI181" s="597"/>
      <c r="AJ181" s="74">
        <v>41827</v>
      </c>
      <c r="AK181" s="648"/>
      <c r="AL181" s="174"/>
      <c r="AM181" s="598"/>
      <c r="AN181" s="598"/>
      <c r="AO181" s="598"/>
      <c r="AP181" s="598"/>
      <c r="AQ181" s="598"/>
      <c r="AR181" s="598"/>
      <c r="AS181" s="598"/>
      <c r="AT181" s="598"/>
      <c r="AU181" s="598"/>
      <c r="AV181" s="598"/>
      <c r="AW181" s="598"/>
      <c r="AX181" s="598"/>
      <c r="AY181" s="598"/>
      <c r="AZ181" s="598"/>
      <c r="BA181" s="598"/>
      <c r="BB181" s="598"/>
      <c r="BC181" s="598"/>
      <c r="BD181" s="598"/>
      <c r="BE181" s="598"/>
      <c r="BF181" s="598"/>
      <c r="BG181" s="598"/>
      <c r="BH181" s="598"/>
      <c r="BI181" s="598"/>
      <c r="BJ181" s="598"/>
      <c r="BK181" s="598"/>
      <c r="BL181" s="598"/>
      <c r="BM181" s="598"/>
      <c r="BN181" s="598"/>
      <c r="BO181" s="598"/>
      <c r="BP181" s="598"/>
      <c r="BQ181" s="598"/>
      <c r="BR181" s="598"/>
      <c r="BS181" s="598"/>
      <c r="BT181" s="598"/>
      <c r="BU181" s="598"/>
      <c r="BV181" s="598"/>
      <c r="BW181" s="598"/>
      <c r="BX181" s="598"/>
      <c r="BY181" s="598"/>
      <c r="BZ181" s="598"/>
      <c r="CA181" s="598"/>
      <c r="CB181" s="598"/>
      <c r="CC181" s="598"/>
      <c r="CD181" s="598"/>
      <c r="CE181" s="598"/>
      <c r="CF181" s="598"/>
      <c r="CG181" s="598"/>
      <c r="CH181" s="598"/>
      <c r="CI181" s="598"/>
      <c r="CJ181" s="598"/>
      <c r="CK181" s="598"/>
      <c r="CL181" s="598"/>
      <c r="CM181" s="598"/>
      <c r="CN181" s="598"/>
      <c r="CO181" s="598"/>
      <c r="CP181" s="598"/>
      <c r="CQ181" s="598"/>
      <c r="CR181" s="598"/>
      <c r="CS181" s="598"/>
      <c r="CT181" s="598"/>
      <c r="CU181" s="598"/>
      <c r="CV181" s="598"/>
      <c r="CW181" s="598"/>
      <c r="CX181" s="598"/>
      <c r="CY181" s="598"/>
      <c r="CZ181" s="598"/>
      <c r="DA181" s="598"/>
      <c r="DB181" s="598"/>
      <c r="DC181" s="598"/>
      <c r="DD181" s="598"/>
      <c r="DE181" s="598"/>
      <c r="DF181" s="598"/>
      <c r="DG181" s="598"/>
      <c r="DH181" s="598"/>
      <c r="DI181" s="598"/>
      <c r="DJ181" s="598"/>
      <c r="DK181" s="598"/>
      <c r="DL181" s="598"/>
      <c r="DM181" s="598"/>
      <c r="DN181" s="598"/>
      <c r="DO181" s="598"/>
      <c r="DP181" s="598"/>
      <c r="DQ181" s="598"/>
      <c r="DR181" s="598"/>
      <c r="DS181" s="598"/>
      <c r="DT181" s="598"/>
      <c r="DU181" s="598"/>
      <c r="DV181" s="598"/>
      <c r="DW181" s="598"/>
      <c r="DX181" s="598"/>
      <c r="DY181" s="598"/>
      <c r="DZ181" s="598"/>
      <c r="EA181" s="598"/>
      <c r="EB181" s="598"/>
      <c r="EC181" s="598"/>
      <c r="ED181" s="598"/>
      <c r="EE181" s="598"/>
      <c r="EF181" s="598"/>
      <c r="EG181" s="598"/>
      <c r="EH181" s="598"/>
      <c r="EI181" s="598"/>
      <c r="EJ181" s="598"/>
      <c r="EK181" s="598"/>
      <c r="EL181" s="598"/>
      <c r="EM181" s="598"/>
      <c r="EN181" s="598"/>
      <c r="EO181" s="598"/>
      <c r="EP181" s="598"/>
      <c r="EQ181" s="598"/>
      <c r="ER181" s="598"/>
      <c r="ES181" s="598"/>
      <c r="ET181" s="598"/>
      <c r="EU181" s="598"/>
      <c r="EV181" s="598"/>
      <c r="EW181" s="598"/>
      <c r="EX181" s="598"/>
      <c r="EY181" s="598"/>
      <c r="EZ181" s="598"/>
      <c r="FA181" s="598"/>
      <c r="FB181" s="598"/>
      <c r="FC181" s="598"/>
      <c r="FD181" s="598"/>
      <c r="FE181" s="598"/>
      <c r="FF181" s="598"/>
      <c r="FG181" s="598"/>
      <c r="FH181" s="598"/>
      <c r="FI181" s="598"/>
      <c r="FJ181" s="598"/>
      <c r="FK181" s="598"/>
      <c r="FL181" s="598"/>
      <c r="FM181" s="598"/>
      <c r="FN181" s="598"/>
      <c r="FO181" s="598"/>
      <c r="FP181" s="598"/>
      <c r="FQ181" s="598"/>
      <c r="FR181" s="598"/>
      <c r="FS181" s="598"/>
      <c r="FT181" s="598"/>
      <c r="FU181" s="598"/>
      <c r="FV181" s="598"/>
      <c r="FW181" s="598"/>
      <c r="FX181" s="598"/>
      <c r="FY181" s="598"/>
      <c r="FZ181" s="598"/>
      <c r="GA181" s="598"/>
      <c r="GB181" s="598"/>
      <c r="GC181" s="598"/>
      <c r="GD181" s="598"/>
      <c r="GE181" s="598"/>
      <c r="GF181" s="598"/>
      <c r="GG181" s="598"/>
      <c r="GH181" s="598"/>
      <c r="GI181" s="598"/>
      <c r="GJ181" s="598"/>
      <c r="GK181" s="598"/>
      <c r="GL181" s="598"/>
      <c r="GM181" s="598"/>
      <c r="GN181" s="598"/>
      <c r="GO181" s="598"/>
      <c r="GP181" s="598"/>
      <c r="GQ181" s="598"/>
      <c r="GR181" s="598"/>
      <c r="GS181" s="598"/>
      <c r="GT181" s="598"/>
      <c r="GU181" s="598"/>
      <c r="GV181" s="598"/>
      <c r="GW181" s="598"/>
      <c r="GX181" s="598"/>
      <c r="GY181" s="598"/>
      <c r="GZ181" s="598"/>
      <c r="HA181" s="598"/>
      <c r="HB181" s="598"/>
      <c r="HC181" s="598"/>
      <c r="HD181" s="598"/>
      <c r="HE181" s="598"/>
      <c r="HF181" s="598"/>
      <c r="HG181" s="598"/>
      <c r="HH181" s="598"/>
      <c r="HI181" s="598"/>
      <c r="HJ181" s="598"/>
      <c r="HK181" s="598"/>
      <c r="HL181" s="598"/>
      <c r="HM181" s="598"/>
      <c r="HN181" s="598"/>
      <c r="HO181" s="598"/>
      <c r="HP181" s="598"/>
      <c r="HQ181" s="598"/>
      <c r="HR181" s="598"/>
      <c r="HS181" s="598"/>
      <c r="HT181" s="598"/>
      <c r="HU181" s="598"/>
      <c r="HV181" s="598"/>
      <c r="HW181" s="598"/>
      <c r="HX181" s="598"/>
      <c r="HY181" s="598"/>
      <c r="HZ181" s="598"/>
      <c r="IA181" s="598"/>
      <c r="IB181" s="598"/>
      <c r="IC181" s="598"/>
      <c r="ID181" s="598"/>
      <c r="IE181" s="598"/>
      <c r="IF181" s="598"/>
      <c r="IG181" s="598"/>
      <c r="IH181" s="598"/>
      <c r="II181" s="598"/>
      <c r="IJ181" s="598"/>
      <c r="IK181" s="598"/>
      <c r="IL181" s="598"/>
      <c r="IM181" s="598"/>
      <c r="IN181" s="598"/>
      <c r="IO181" s="598"/>
      <c r="IP181" s="598"/>
      <c r="IQ181" s="598"/>
      <c r="IR181" s="598"/>
      <c r="IS181" s="598"/>
      <c r="IT181" s="598"/>
      <c r="IU181" s="598"/>
      <c r="IV181" s="598"/>
      <c r="IW181" s="598"/>
      <c r="IX181" s="598"/>
      <c r="IY181" s="598"/>
      <c r="IZ181" s="598"/>
      <c r="JA181" s="598"/>
      <c r="JB181" s="598"/>
      <c r="JC181" s="598"/>
      <c r="JD181" s="598"/>
      <c r="JE181" s="598"/>
      <c r="JF181" s="598"/>
      <c r="JG181" s="598"/>
      <c r="JH181" s="598"/>
      <c r="JI181" s="598"/>
      <c r="JJ181" s="598"/>
      <c r="JK181" s="598"/>
      <c r="JL181" s="598"/>
      <c r="JM181" s="598"/>
      <c r="JN181" s="598"/>
      <c r="JO181" s="598"/>
      <c r="JP181" s="598"/>
      <c r="JQ181" s="598"/>
      <c r="JR181" s="598"/>
      <c r="JS181" s="598"/>
      <c r="JT181" s="598"/>
      <c r="JU181" s="598"/>
      <c r="JV181" s="598"/>
    </row>
    <row r="182" spans="1:282" s="21" customFormat="1" ht="50.1" customHeight="1" x14ac:dyDescent="0.2">
      <c r="A182" s="702"/>
      <c r="B182" s="68" t="s">
        <v>584</v>
      </c>
      <c r="C182" s="68"/>
      <c r="D182" s="68"/>
      <c r="E182" s="188" t="s">
        <v>2000</v>
      </c>
      <c r="F182" s="104" t="s">
        <v>1216</v>
      </c>
      <c r="G182" s="749" t="s">
        <v>1217</v>
      </c>
      <c r="H182" s="29" t="s">
        <v>112</v>
      </c>
      <c r="I182" s="29"/>
      <c r="J182" s="30" t="s">
        <v>1218</v>
      </c>
      <c r="K182" s="29" t="s">
        <v>1219</v>
      </c>
      <c r="L182" s="29" t="s">
        <v>1286</v>
      </c>
      <c r="M182" s="29" t="s">
        <v>2444</v>
      </c>
      <c r="N182" s="74">
        <v>41222</v>
      </c>
      <c r="O182" s="30" t="s">
        <v>2387</v>
      </c>
      <c r="P182" s="30"/>
      <c r="Q182" s="30"/>
      <c r="R182" s="30"/>
      <c r="S182" s="30"/>
      <c r="T182" s="597" t="s">
        <v>2969</v>
      </c>
      <c r="U182" s="597"/>
      <c r="V182" s="597"/>
      <c r="W182" s="597"/>
      <c r="X182" s="597"/>
      <c r="Y182" s="597"/>
      <c r="Z182" s="597"/>
      <c r="AA182" s="597"/>
      <c r="AB182" s="597"/>
      <c r="AC182" s="597"/>
      <c r="AD182" s="597"/>
      <c r="AE182" s="597"/>
      <c r="AF182" s="597"/>
      <c r="AG182" s="597"/>
      <c r="AH182" s="597"/>
      <c r="AI182" s="597"/>
      <c r="AJ182" s="73">
        <v>41855</v>
      </c>
      <c r="AK182" s="720"/>
      <c r="AL182" s="155"/>
      <c r="AM182" s="598"/>
      <c r="AN182" s="598"/>
      <c r="AO182" s="598"/>
      <c r="AP182" s="598"/>
      <c r="AQ182" s="598"/>
      <c r="AR182" s="598"/>
      <c r="AS182" s="598"/>
      <c r="AT182" s="598"/>
      <c r="AU182" s="598"/>
      <c r="AV182" s="598"/>
      <c r="AW182" s="598"/>
      <c r="AX182" s="598"/>
      <c r="AY182" s="598"/>
      <c r="AZ182" s="598"/>
      <c r="BA182" s="598"/>
      <c r="BB182" s="598"/>
      <c r="BC182" s="598"/>
      <c r="BD182" s="598"/>
      <c r="BE182" s="598"/>
      <c r="BF182" s="598"/>
      <c r="BG182" s="598"/>
      <c r="BH182" s="598"/>
      <c r="BI182" s="598"/>
      <c r="BJ182" s="598"/>
      <c r="BK182" s="598"/>
      <c r="BL182" s="598"/>
      <c r="BM182" s="598"/>
      <c r="BN182" s="598"/>
      <c r="BO182" s="598"/>
      <c r="BP182" s="598"/>
      <c r="BQ182" s="598"/>
      <c r="BR182" s="598"/>
      <c r="BS182" s="598"/>
      <c r="BT182" s="598"/>
      <c r="BU182" s="598"/>
      <c r="BV182" s="598"/>
      <c r="BW182" s="598"/>
      <c r="BX182" s="598"/>
      <c r="BY182" s="598"/>
      <c r="BZ182" s="598"/>
      <c r="CA182" s="598"/>
      <c r="CB182" s="598"/>
      <c r="CC182" s="598"/>
      <c r="CD182" s="598"/>
      <c r="CE182" s="598"/>
      <c r="CF182" s="598"/>
      <c r="CG182" s="598"/>
      <c r="CH182" s="598"/>
      <c r="CI182" s="598"/>
      <c r="CJ182" s="598"/>
      <c r="CK182" s="598"/>
      <c r="CL182" s="598"/>
      <c r="CM182" s="598"/>
      <c r="CN182" s="598"/>
      <c r="CO182" s="598"/>
      <c r="CP182" s="598"/>
      <c r="CQ182" s="598"/>
      <c r="CR182" s="598"/>
      <c r="CS182" s="598"/>
      <c r="CT182" s="598"/>
      <c r="CU182" s="598"/>
      <c r="CV182" s="598"/>
      <c r="CW182" s="598"/>
      <c r="CX182" s="598"/>
      <c r="CY182" s="598"/>
      <c r="CZ182" s="598"/>
      <c r="DA182" s="598"/>
      <c r="DB182" s="598"/>
      <c r="DC182" s="598"/>
      <c r="DD182" s="598"/>
      <c r="DE182" s="598"/>
      <c r="DF182" s="598"/>
      <c r="DG182" s="598"/>
      <c r="DH182" s="598"/>
      <c r="DI182" s="598"/>
      <c r="DJ182" s="598"/>
      <c r="DK182" s="598"/>
      <c r="DL182" s="598"/>
      <c r="DM182" s="598"/>
      <c r="DN182" s="598"/>
      <c r="DO182" s="598"/>
      <c r="DP182" s="598"/>
      <c r="DQ182" s="598"/>
      <c r="DR182" s="598"/>
      <c r="DS182" s="598"/>
      <c r="DT182" s="598"/>
      <c r="DU182" s="598"/>
      <c r="DV182" s="598"/>
      <c r="DW182" s="598"/>
      <c r="DX182" s="598"/>
      <c r="DY182" s="598"/>
      <c r="DZ182" s="598"/>
      <c r="EA182" s="598"/>
      <c r="EB182" s="598"/>
      <c r="EC182" s="598"/>
      <c r="ED182" s="598"/>
      <c r="EE182" s="598"/>
      <c r="EF182" s="598"/>
      <c r="EG182" s="598"/>
      <c r="EH182" s="598"/>
      <c r="EI182" s="598"/>
      <c r="EJ182" s="598"/>
      <c r="EK182" s="598"/>
      <c r="EL182" s="598"/>
      <c r="EM182" s="598"/>
      <c r="EN182" s="598"/>
      <c r="EO182" s="598"/>
      <c r="EP182" s="598"/>
      <c r="EQ182" s="598"/>
      <c r="ER182" s="598"/>
      <c r="ES182" s="598"/>
      <c r="ET182" s="598"/>
      <c r="EU182" s="598"/>
      <c r="EV182" s="598"/>
      <c r="EW182" s="598"/>
      <c r="EX182" s="598"/>
      <c r="EY182" s="598"/>
      <c r="EZ182" s="598"/>
      <c r="FA182" s="598"/>
      <c r="FB182" s="598"/>
      <c r="FC182" s="598"/>
      <c r="FD182" s="598"/>
      <c r="FE182" s="598"/>
      <c r="FF182" s="598"/>
      <c r="FG182" s="598"/>
      <c r="FH182" s="598"/>
      <c r="FI182" s="598"/>
      <c r="FJ182" s="598"/>
      <c r="FK182" s="598"/>
      <c r="FL182" s="598"/>
      <c r="FM182" s="598"/>
      <c r="FN182" s="598"/>
      <c r="FO182" s="598"/>
      <c r="FP182" s="598"/>
      <c r="FQ182" s="598"/>
      <c r="FR182" s="598"/>
      <c r="FS182" s="598"/>
      <c r="FT182" s="598"/>
      <c r="FU182" s="598"/>
      <c r="FV182" s="598"/>
      <c r="FW182" s="598"/>
      <c r="FX182" s="598"/>
      <c r="FY182" s="598"/>
      <c r="FZ182" s="598"/>
      <c r="GA182" s="598"/>
      <c r="GB182" s="598"/>
      <c r="GC182" s="598"/>
      <c r="GD182" s="598"/>
      <c r="GE182" s="598"/>
      <c r="GF182" s="598"/>
      <c r="GG182" s="598"/>
      <c r="GH182" s="598"/>
      <c r="GI182" s="598"/>
      <c r="GJ182" s="598"/>
      <c r="GK182" s="598"/>
      <c r="GL182" s="598"/>
      <c r="GM182" s="598"/>
      <c r="GN182" s="598"/>
      <c r="GO182" s="598"/>
      <c r="GP182" s="598"/>
      <c r="GQ182" s="598"/>
      <c r="GR182" s="598"/>
      <c r="GS182" s="598"/>
      <c r="GT182" s="598"/>
      <c r="GU182" s="598"/>
      <c r="GV182" s="598"/>
      <c r="GW182" s="598"/>
      <c r="GX182" s="598"/>
      <c r="GY182" s="598"/>
      <c r="GZ182" s="598"/>
      <c r="HA182" s="598"/>
      <c r="HB182" s="598"/>
      <c r="HC182" s="598"/>
      <c r="HD182" s="598"/>
      <c r="HE182" s="598"/>
      <c r="HF182" s="598"/>
      <c r="HG182" s="598"/>
      <c r="HH182" s="598"/>
      <c r="HI182" s="598"/>
      <c r="HJ182" s="598"/>
      <c r="HK182" s="598"/>
      <c r="HL182" s="598"/>
      <c r="HM182" s="598"/>
      <c r="HN182" s="598"/>
      <c r="HO182" s="598"/>
      <c r="HP182" s="598"/>
      <c r="HQ182" s="598"/>
      <c r="HR182" s="598"/>
      <c r="HS182" s="598"/>
      <c r="HT182" s="598"/>
      <c r="HU182" s="598"/>
      <c r="HV182" s="598"/>
      <c r="HW182" s="598"/>
      <c r="HX182" s="598"/>
      <c r="HY182" s="598"/>
      <c r="HZ182" s="598"/>
      <c r="IA182" s="598"/>
      <c r="IB182" s="598"/>
      <c r="IC182" s="598"/>
      <c r="ID182" s="598"/>
      <c r="IE182" s="598"/>
      <c r="IF182" s="598"/>
      <c r="IG182" s="598"/>
      <c r="IH182" s="598"/>
      <c r="II182" s="598"/>
      <c r="IJ182" s="598"/>
      <c r="IK182" s="598"/>
      <c r="IL182" s="598"/>
      <c r="IM182" s="598"/>
      <c r="IN182" s="598"/>
      <c r="IO182" s="598"/>
      <c r="IP182" s="598"/>
      <c r="IQ182" s="598"/>
      <c r="IR182" s="598"/>
      <c r="IS182" s="598"/>
      <c r="IT182" s="598"/>
      <c r="IU182" s="598"/>
      <c r="IV182" s="598"/>
      <c r="IW182" s="598"/>
      <c r="IX182" s="598"/>
      <c r="IY182" s="598"/>
      <c r="IZ182" s="598"/>
      <c r="JA182" s="598"/>
      <c r="JB182" s="598"/>
      <c r="JC182" s="598"/>
      <c r="JD182" s="598"/>
      <c r="JE182" s="598"/>
      <c r="JF182" s="598"/>
      <c r="JG182" s="598"/>
      <c r="JH182" s="598"/>
      <c r="JI182" s="598"/>
      <c r="JJ182" s="598"/>
      <c r="JK182" s="598"/>
      <c r="JL182" s="598"/>
      <c r="JM182" s="598"/>
      <c r="JN182" s="598"/>
      <c r="JO182" s="598"/>
      <c r="JP182" s="598"/>
      <c r="JQ182" s="598"/>
      <c r="JR182" s="598"/>
      <c r="JS182" s="598"/>
      <c r="JT182" s="598"/>
      <c r="JU182" s="598"/>
      <c r="JV182" s="598"/>
    </row>
    <row r="183" spans="1:282" s="21" customFormat="1" ht="50.1" customHeight="1" x14ac:dyDescent="0.2">
      <c r="A183" s="702"/>
      <c r="B183" s="68" t="s">
        <v>584</v>
      </c>
      <c r="C183" s="68"/>
      <c r="D183" s="68"/>
      <c r="E183" s="188" t="s">
        <v>466</v>
      </c>
      <c r="F183" s="189" t="s">
        <v>532</v>
      </c>
      <c r="G183" s="188" t="s">
        <v>467</v>
      </c>
      <c r="H183" s="69" t="s">
        <v>1193</v>
      </c>
      <c r="I183" s="69"/>
      <c r="J183" s="188" t="s">
        <v>2265</v>
      </c>
      <c r="K183" s="38" t="s">
        <v>1392</v>
      </c>
      <c r="L183" s="188" t="s">
        <v>2429</v>
      </c>
      <c r="M183" s="29" t="s">
        <v>2444</v>
      </c>
      <c r="N183" s="73">
        <v>40984</v>
      </c>
      <c r="O183" s="69" t="s">
        <v>1363</v>
      </c>
      <c r="P183" s="69"/>
      <c r="Q183" s="69"/>
      <c r="R183" s="69"/>
      <c r="S183" s="69"/>
      <c r="T183" s="597"/>
      <c r="U183" s="597"/>
      <c r="V183" s="597"/>
      <c r="W183" s="597"/>
      <c r="X183" s="597"/>
      <c r="Y183" s="597"/>
      <c r="Z183" s="597"/>
      <c r="AA183" s="597"/>
      <c r="AB183" s="597"/>
      <c r="AC183" s="597"/>
      <c r="AD183" s="597"/>
      <c r="AE183" s="597"/>
      <c r="AF183" s="597"/>
      <c r="AG183" s="597"/>
      <c r="AH183" s="597"/>
      <c r="AI183" s="597"/>
      <c r="AJ183" s="74">
        <v>41883</v>
      </c>
      <c r="AK183" s="741">
        <v>11</v>
      </c>
      <c r="AL183" s="171"/>
      <c r="AM183" s="598"/>
      <c r="AN183" s="598"/>
      <c r="AO183" s="598"/>
      <c r="AP183" s="598"/>
      <c r="AQ183" s="598"/>
      <c r="AR183" s="598"/>
      <c r="AS183" s="598"/>
      <c r="AT183" s="598"/>
      <c r="AU183" s="598"/>
      <c r="AV183" s="598"/>
      <c r="AW183" s="598"/>
      <c r="AX183" s="598"/>
      <c r="AY183" s="598"/>
      <c r="AZ183" s="598"/>
      <c r="BA183" s="598"/>
      <c r="BB183" s="598"/>
      <c r="BC183" s="598"/>
      <c r="BD183" s="598"/>
      <c r="BE183" s="598"/>
      <c r="BF183" s="598"/>
      <c r="BG183" s="598"/>
      <c r="BH183" s="598"/>
      <c r="BI183" s="598"/>
      <c r="BJ183" s="598"/>
      <c r="BK183" s="598"/>
      <c r="BL183" s="598"/>
      <c r="BM183" s="598"/>
      <c r="BN183" s="598"/>
      <c r="BO183" s="598"/>
      <c r="BP183" s="598"/>
      <c r="BQ183" s="598"/>
      <c r="BR183" s="598"/>
      <c r="BS183" s="598"/>
      <c r="BT183" s="598"/>
      <c r="BU183" s="598"/>
      <c r="BV183" s="598"/>
      <c r="BW183" s="598"/>
      <c r="BX183" s="598"/>
      <c r="BY183" s="598"/>
      <c r="BZ183" s="598"/>
      <c r="CA183" s="598"/>
      <c r="CB183" s="598"/>
      <c r="CC183" s="598"/>
      <c r="CD183" s="598"/>
      <c r="CE183" s="598"/>
      <c r="CF183" s="598"/>
      <c r="CG183" s="598"/>
      <c r="CH183" s="598"/>
      <c r="CI183" s="598"/>
      <c r="CJ183" s="598"/>
      <c r="CK183" s="598"/>
      <c r="CL183" s="598"/>
      <c r="CM183" s="598"/>
      <c r="CN183" s="598"/>
      <c r="CO183" s="598"/>
      <c r="CP183" s="598"/>
      <c r="CQ183" s="598"/>
      <c r="CR183" s="598"/>
      <c r="CS183" s="598"/>
      <c r="CT183" s="598"/>
      <c r="CU183" s="598"/>
      <c r="CV183" s="598"/>
      <c r="CW183" s="598"/>
      <c r="CX183" s="598"/>
      <c r="CY183" s="598"/>
      <c r="CZ183" s="598"/>
      <c r="DA183" s="598"/>
      <c r="DB183" s="598"/>
      <c r="DC183" s="598"/>
      <c r="DD183" s="598"/>
      <c r="DE183" s="598"/>
      <c r="DF183" s="598"/>
      <c r="DG183" s="598"/>
      <c r="DH183" s="598"/>
      <c r="DI183" s="598"/>
      <c r="DJ183" s="598"/>
      <c r="DK183" s="598"/>
      <c r="DL183" s="598"/>
      <c r="DM183" s="598"/>
      <c r="DN183" s="598"/>
      <c r="DO183" s="598"/>
      <c r="DP183" s="598"/>
      <c r="DQ183" s="598"/>
      <c r="DR183" s="598"/>
      <c r="DS183" s="598"/>
      <c r="DT183" s="598"/>
      <c r="DU183" s="598"/>
      <c r="DV183" s="598"/>
      <c r="DW183" s="598"/>
      <c r="DX183" s="598"/>
      <c r="DY183" s="598"/>
      <c r="DZ183" s="598"/>
      <c r="EA183" s="598"/>
      <c r="EB183" s="598"/>
      <c r="EC183" s="598"/>
      <c r="ED183" s="598"/>
      <c r="EE183" s="598"/>
      <c r="EF183" s="598"/>
      <c r="EG183" s="598"/>
      <c r="EH183" s="598"/>
      <c r="EI183" s="598"/>
      <c r="EJ183" s="598"/>
      <c r="EK183" s="598"/>
      <c r="EL183" s="598"/>
      <c r="EM183" s="598"/>
      <c r="EN183" s="598"/>
      <c r="EO183" s="598"/>
      <c r="EP183" s="598"/>
      <c r="EQ183" s="598"/>
      <c r="ER183" s="598"/>
      <c r="ES183" s="598"/>
      <c r="ET183" s="598"/>
      <c r="EU183" s="598"/>
      <c r="EV183" s="598"/>
      <c r="EW183" s="598"/>
      <c r="EX183" s="598"/>
      <c r="EY183" s="598"/>
      <c r="EZ183" s="598"/>
      <c r="FA183" s="598"/>
      <c r="FB183" s="598"/>
      <c r="FC183" s="598"/>
      <c r="FD183" s="598"/>
      <c r="FE183" s="598"/>
      <c r="FF183" s="598"/>
      <c r="FG183" s="598"/>
      <c r="FH183" s="598"/>
      <c r="FI183" s="598"/>
      <c r="FJ183" s="598"/>
      <c r="FK183" s="598"/>
      <c r="FL183" s="598"/>
      <c r="FM183" s="598"/>
      <c r="FN183" s="598"/>
      <c r="FO183" s="598"/>
      <c r="FP183" s="598"/>
      <c r="FQ183" s="598"/>
      <c r="FR183" s="598"/>
      <c r="FS183" s="598"/>
      <c r="FT183" s="598"/>
      <c r="FU183" s="598"/>
      <c r="FV183" s="598"/>
      <c r="FW183" s="598"/>
      <c r="FX183" s="598"/>
      <c r="FY183" s="598"/>
      <c r="FZ183" s="598"/>
      <c r="GA183" s="598"/>
      <c r="GB183" s="598"/>
      <c r="GC183" s="598"/>
      <c r="GD183" s="598"/>
      <c r="GE183" s="598"/>
      <c r="GF183" s="598"/>
      <c r="GG183" s="598"/>
      <c r="GH183" s="598"/>
      <c r="GI183" s="598"/>
      <c r="GJ183" s="598"/>
      <c r="GK183" s="598"/>
      <c r="GL183" s="598"/>
      <c r="GM183" s="598"/>
      <c r="GN183" s="598"/>
      <c r="GO183" s="598"/>
      <c r="GP183" s="598"/>
      <c r="GQ183" s="598"/>
      <c r="GR183" s="598"/>
      <c r="GS183" s="598"/>
      <c r="GT183" s="598"/>
      <c r="GU183" s="598"/>
      <c r="GV183" s="598"/>
      <c r="GW183" s="598"/>
      <c r="GX183" s="598"/>
      <c r="GY183" s="598"/>
      <c r="GZ183" s="598"/>
      <c r="HA183" s="598"/>
      <c r="HB183" s="598"/>
      <c r="HC183" s="598"/>
      <c r="HD183" s="598"/>
      <c r="HE183" s="598"/>
      <c r="HF183" s="598"/>
      <c r="HG183" s="598"/>
      <c r="HH183" s="598"/>
      <c r="HI183" s="598"/>
      <c r="HJ183" s="598"/>
      <c r="HK183" s="598"/>
      <c r="HL183" s="598"/>
      <c r="HM183" s="598"/>
      <c r="HN183" s="598"/>
      <c r="HO183" s="598"/>
      <c r="HP183" s="598"/>
      <c r="HQ183" s="598"/>
      <c r="HR183" s="598"/>
      <c r="HS183" s="598"/>
      <c r="HT183" s="598"/>
      <c r="HU183" s="598"/>
      <c r="HV183" s="598"/>
      <c r="HW183" s="598"/>
      <c r="HX183" s="598"/>
      <c r="HY183" s="598"/>
      <c r="HZ183" s="598"/>
      <c r="IA183" s="598"/>
      <c r="IB183" s="598"/>
      <c r="IC183" s="598"/>
      <c r="ID183" s="598"/>
      <c r="IE183" s="598"/>
      <c r="IF183" s="598"/>
      <c r="IG183" s="598"/>
      <c r="IH183" s="598"/>
      <c r="II183" s="598"/>
      <c r="IJ183" s="598"/>
      <c r="IK183" s="598"/>
      <c r="IL183" s="598"/>
      <c r="IM183" s="598"/>
      <c r="IN183" s="598"/>
      <c r="IO183" s="598"/>
      <c r="IP183" s="598"/>
      <c r="IQ183" s="598"/>
      <c r="IR183" s="598"/>
      <c r="IS183" s="598"/>
      <c r="IT183" s="598"/>
      <c r="IU183" s="598"/>
      <c r="IV183" s="598"/>
      <c r="IW183" s="598"/>
      <c r="IX183" s="598"/>
      <c r="IY183" s="598"/>
      <c r="IZ183" s="598"/>
      <c r="JA183" s="598"/>
      <c r="JB183" s="598"/>
      <c r="JC183" s="598"/>
      <c r="JD183" s="598"/>
      <c r="JE183" s="598"/>
      <c r="JF183" s="598"/>
      <c r="JG183" s="598"/>
      <c r="JH183" s="598"/>
      <c r="JI183" s="598"/>
      <c r="JJ183" s="598"/>
      <c r="JK183" s="598"/>
      <c r="JL183" s="598"/>
      <c r="JM183" s="598"/>
      <c r="JN183" s="598"/>
      <c r="JO183" s="598"/>
      <c r="JP183" s="598"/>
      <c r="JQ183" s="598"/>
      <c r="JR183" s="598"/>
      <c r="JS183" s="598"/>
      <c r="JT183" s="598"/>
      <c r="JU183" s="598"/>
      <c r="JV183" s="598"/>
    </row>
    <row r="184" spans="1:282" s="21" customFormat="1" ht="50.1" customHeight="1" x14ac:dyDescent="0.2">
      <c r="A184" s="702"/>
      <c r="B184" s="68" t="s">
        <v>584</v>
      </c>
      <c r="C184" s="68"/>
      <c r="D184" s="68"/>
      <c r="E184" s="188" t="s">
        <v>466</v>
      </c>
      <c r="F184" s="189" t="s">
        <v>532</v>
      </c>
      <c r="G184" s="188" t="s">
        <v>467</v>
      </c>
      <c r="H184" s="69" t="s">
        <v>1193</v>
      </c>
      <c r="I184" s="69"/>
      <c r="J184" s="188" t="s">
        <v>2265</v>
      </c>
      <c r="K184" s="38" t="s">
        <v>1392</v>
      </c>
      <c r="L184" s="188" t="s">
        <v>2429</v>
      </c>
      <c r="M184" s="188" t="s">
        <v>2448</v>
      </c>
      <c r="N184" s="73">
        <v>40987</v>
      </c>
      <c r="O184" s="69" t="s">
        <v>1365</v>
      </c>
      <c r="P184" s="69"/>
      <c r="Q184" s="69"/>
      <c r="R184" s="69"/>
      <c r="S184" s="69"/>
      <c r="T184" s="597"/>
      <c r="U184" s="597"/>
      <c r="V184" s="597"/>
      <c r="W184" s="597"/>
      <c r="X184" s="597"/>
      <c r="Y184" s="597"/>
      <c r="Z184" s="597"/>
      <c r="AA184" s="597"/>
      <c r="AB184" s="597"/>
      <c r="AC184" s="597"/>
      <c r="AD184" s="597"/>
      <c r="AE184" s="597"/>
      <c r="AF184" s="597"/>
      <c r="AG184" s="597"/>
      <c r="AH184" s="597"/>
      <c r="AI184" s="597"/>
      <c r="AJ184" s="74">
        <v>41883</v>
      </c>
      <c r="AK184" s="648"/>
      <c r="AL184" s="174"/>
      <c r="AM184" s="598"/>
      <c r="AN184" s="598"/>
      <c r="AO184" s="598"/>
      <c r="AP184" s="598"/>
      <c r="AQ184" s="598"/>
      <c r="AR184" s="598"/>
      <c r="AS184" s="598"/>
      <c r="AT184" s="598"/>
      <c r="AU184" s="598"/>
      <c r="AV184" s="598"/>
      <c r="AW184" s="598"/>
      <c r="AX184" s="598"/>
      <c r="AY184" s="598"/>
      <c r="AZ184" s="598"/>
      <c r="BA184" s="598"/>
      <c r="BB184" s="598"/>
      <c r="BC184" s="598"/>
      <c r="BD184" s="598"/>
      <c r="BE184" s="598"/>
      <c r="BF184" s="598"/>
      <c r="BG184" s="598"/>
      <c r="BH184" s="598"/>
      <c r="BI184" s="598"/>
      <c r="BJ184" s="598"/>
      <c r="BK184" s="598"/>
      <c r="BL184" s="598"/>
      <c r="BM184" s="598"/>
      <c r="BN184" s="598"/>
      <c r="BO184" s="598"/>
      <c r="BP184" s="598"/>
      <c r="BQ184" s="598"/>
      <c r="BR184" s="598"/>
      <c r="BS184" s="598"/>
      <c r="BT184" s="598"/>
      <c r="BU184" s="598"/>
      <c r="BV184" s="598"/>
      <c r="BW184" s="598"/>
      <c r="BX184" s="598"/>
      <c r="BY184" s="598"/>
      <c r="BZ184" s="598"/>
      <c r="CA184" s="598"/>
      <c r="CB184" s="598"/>
      <c r="CC184" s="598"/>
      <c r="CD184" s="598"/>
      <c r="CE184" s="598"/>
      <c r="CF184" s="598"/>
      <c r="CG184" s="598"/>
      <c r="CH184" s="598"/>
      <c r="CI184" s="598"/>
      <c r="CJ184" s="598"/>
      <c r="CK184" s="598"/>
      <c r="CL184" s="598"/>
      <c r="CM184" s="598"/>
      <c r="CN184" s="598"/>
      <c r="CO184" s="598"/>
      <c r="CP184" s="598"/>
      <c r="CQ184" s="598"/>
      <c r="CR184" s="598"/>
      <c r="CS184" s="598"/>
      <c r="CT184" s="598"/>
      <c r="CU184" s="598"/>
      <c r="CV184" s="598"/>
      <c r="CW184" s="598"/>
      <c r="CX184" s="598"/>
      <c r="CY184" s="598"/>
      <c r="CZ184" s="598"/>
      <c r="DA184" s="598"/>
      <c r="DB184" s="598"/>
      <c r="DC184" s="598"/>
      <c r="DD184" s="598"/>
      <c r="DE184" s="598"/>
      <c r="DF184" s="598"/>
      <c r="DG184" s="598"/>
      <c r="DH184" s="598"/>
      <c r="DI184" s="598"/>
      <c r="DJ184" s="598"/>
      <c r="DK184" s="598"/>
      <c r="DL184" s="598"/>
      <c r="DM184" s="598"/>
      <c r="DN184" s="598"/>
      <c r="DO184" s="598"/>
      <c r="DP184" s="598"/>
      <c r="DQ184" s="598"/>
      <c r="DR184" s="598"/>
      <c r="DS184" s="598"/>
      <c r="DT184" s="598"/>
      <c r="DU184" s="598"/>
      <c r="DV184" s="598"/>
      <c r="DW184" s="598"/>
      <c r="DX184" s="598"/>
      <c r="DY184" s="598"/>
      <c r="DZ184" s="598"/>
      <c r="EA184" s="598"/>
      <c r="EB184" s="598"/>
      <c r="EC184" s="598"/>
      <c r="ED184" s="598"/>
      <c r="EE184" s="598"/>
      <c r="EF184" s="598"/>
      <c r="EG184" s="598"/>
      <c r="EH184" s="598"/>
      <c r="EI184" s="598"/>
      <c r="EJ184" s="598"/>
      <c r="EK184" s="598"/>
      <c r="EL184" s="598"/>
      <c r="EM184" s="598"/>
      <c r="EN184" s="598"/>
      <c r="EO184" s="598"/>
      <c r="EP184" s="598"/>
      <c r="EQ184" s="598"/>
      <c r="ER184" s="598"/>
      <c r="ES184" s="598"/>
      <c r="ET184" s="598"/>
      <c r="EU184" s="598"/>
      <c r="EV184" s="598"/>
      <c r="EW184" s="598"/>
      <c r="EX184" s="598"/>
      <c r="EY184" s="598"/>
      <c r="EZ184" s="598"/>
      <c r="FA184" s="598"/>
      <c r="FB184" s="598"/>
      <c r="FC184" s="598"/>
      <c r="FD184" s="598"/>
      <c r="FE184" s="598"/>
      <c r="FF184" s="598"/>
      <c r="FG184" s="598"/>
      <c r="FH184" s="598"/>
      <c r="FI184" s="598"/>
      <c r="FJ184" s="598"/>
      <c r="FK184" s="598"/>
      <c r="FL184" s="598"/>
      <c r="FM184" s="598"/>
      <c r="FN184" s="598"/>
      <c r="FO184" s="598"/>
      <c r="FP184" s="598"/>
      <c r="FQ184" s="598"/>
      <c r="FR184" s="598"/>
      <c r="FS184" s="598"/>
      <c r="FT184" s="598"/>
      <c r="FU184" s="598"/>
      <c r="FV184" s="598"/>
      <c r="FW184" s="598"/>
      <c r="FX184" s="598"/>
      <c r="FY184" s="598"/>
      <c r="FZ184" s="598"/>
      <c r="GA184" s="598"/>
      <c r="GB184" s="598"/>
      <c r="GC184" s="598"/>
      <c r="GD184" s="598"/>
      <c r="GE184" s="598"/>
      <c r="GF184" s="598"/>
      <c r="GG184" s="598"/>
      <c r="GH184" s="598"/>
      <c r="GI184" s="598"/>
      <c r="GJ184" s="598"/>
      <c r="GK184" s="598"/>
      <c r="GL184" s="598"/>
      <c r="GM184" s="598"/>
      <c r="GN184" s="598"/>
      <c r="GO184" s="598"/>
      <c r="GP184" s="598"/>
      <c r="GQ184" s="598"/>
      <c r="GR184" s="598"/>
      <c r="GS184" s="598"/>
      <c r="GT184" s="598"/>
      <c r="GU184" s="598"/>
      <c r="GV184" s="598"/>
      <c r="GW184" s="598"/>
      <c r="GX184" s="598"/>
      <c r="GY184" s="598"/>
      <c r="GZ184" s="598"/>
      <c r="HA184" s="598"/>
      <c r="HB184" s="598"/>
      <c r="HC184" s="598"/>
      <c r="HD184" s="598"/>
      <c r="HE184" s="598"/>
      <c r="HF184" s="598"/>
      <c r="HG184" s="598"/>
      <c r="HH184" s="598"/>
      <c r="HI184" s="598"/>
      <c r="HJ184" s="598"/>
      <c r="HK184" s="598"/>
      <c r="HL184" s="598"/>
      <c r="HM184" s="598"/>
      <c r="HN184" s="598"/>
      <c r="HO184" s="598"/>
      <c r="HP184" s="598"/>
      <c r="HQ184" s="598"/>
      <c r="HR184" s="598"/>
      <c r="HS184" s="598"/>
      <c r="HT184" s="598"/>
      <c r="HU184" s="598"/>
      <c r="HV184" s="598"/>
      <c r="HW184" s="598"/>
      <c r="HX184" s="598"/>
      <c r="HY184" s="598"/>
      <c r="HZ184" s="598"/>
      <c r="IA184" s="598"/>
      <c r="IB184" s="598"/>
      <c r="IC184" s="598"/>
      <c r="ID184" s="598"/>
      <c r="IE184" s="598"/>
      <c r="IF184" s="598"/>
      <c r="IG184" s="598"/>
      <c r="IH184" s="598"/>
      <c r="II184" s="598"/>
      <c r="IJ184" s="598"/>
      <c r="IK184" s="598"/>
      <c r="IL184" s="598"/>
      <c r="IM184" s="598"/>
      <c r="IN184" s="598"/>
      <c r="IO184" s="598"/>
      <c r="IP184" s="598"/>
      <c r="IQ184" s="598"/>
      <c r="IR184" s="598"/>
      <c r="IS184" s="598"/>
      <c r="IT184" s="598"/>
      <c r="IU184" s="598"/>
      <c r="IV184" s="598"/>
      <c r="IW184" s="598"/>
      <c r="IX184" s="598"/>
      <c r="IY184" s="598"/>
      <c r="IZ184" s="598"/>
      <c r="JA184" s="598"/>
      <c r="JB184" s="598"/>
      <c r="JC184" s="598"/>
      <c r="JD184" s="598"/>
      <c r="JE184" s="598"/>
      <c r="JF184" s="598"/>
      <c r="JG184" s="598"/>
      <c r="JH184" s="598"/>
      <c r="JI184" s="598"/>
      <c r="JJ184" s="598"/>
      <c r="JK184" s="598"/>
      <c r="JL184" s="598"/>
      <c r="JM184" s="598"/>
      <c r="JN184" s="598"/>
      <c r="JO184" s="598"/>
      <c r="JP184" s="598"/>
      <c r="JQ184" s="598"/>
      <c r="JR184" s="598"/>
      <c r="JS184" s="598"/>
      <c r="JT184" s="598"/>
      <c r="JU184" s="598"/>
      <c r="JV184" s="598"/>
    </row>
    <row r="185" spans="1:282" s="21" customFormat="1" ht="50.1" customHeight="1" x14ac:dyDescent="0.2">
      <c r="A185" s="702"/>
      <c r="B185" s="69" t="s">
        <v>584</v>
      </c>
      <c r="C185" s="69"/>
      <c r="D185" s="69"/>
      <c r="E185" s="188" t="s">
        <v>466</v>
      </c>
      <c r="F185" s="247" t="s">
        <v>2901</v>
      </c>
      <c r="G185" s="69" t="s">
        <v>2423</v>
      </c>
      <c r="H185" s="69" t="s">
        <v>1193</v>
      </c>
      <c r="I185" s="69"/>
      <c r="J185" s="69" t="s">
        <v>1199</v>
      </c>
      <c r="K185" s="38" t="s">
        <v>1392</v>
      </c>
      <c r="L185" s="188" t="s">
        <v>2429</v>
      </c>
      <c r="M185" s="69" t="s">
        <v>2449</v>
      </c>
      <c r="N185" s="74">
        <v>41530</v>
      </c>
      <c r="O185" s="747" t="s">
        <v>1364</v>
      </c>
      <c r="P185" s="747"/>
      <c r="Q185" s="747"/>
      <c r="R185" s="747"/>
      <c r="S185" s="747"/>
      <c r="T185" s="597"/>
      <c r="U185" s="597"/>
      <c r="V185" s="597"/>
      <c r="W185" s="597"/>
      <c r="X185" s="597"/>
      <c r="Y185" s="597"/>
      <c r="Z185" s="597"/>
      <c r="AA185" s="597"/>
      <c r="AB185" s="597"/>
      <c r="AC185" s="597"/>
      <c r="AD185" s="597"/>
      <c r="AE185" s="597"/>
      <c r="AF185" s="597"/>
      <c r="AG185" s="597"/>
      <c r="AH185" s="597"/>
      <c r="AI185" s="597"/>
      <c r="AJ185" s="74">
        <v>41883</v>
      </c>
      <c r="AK185" s="648"/>
      <c r="AL185" s="174"/>
      <c r="AM185" s="598"/>
      <c r="AN185" s="598"/>
      <c r="AO185" s="598"/>
      <c r="AP185" s="598"/>
      <c r="AQ185" s="598"/>
      <c r="AR185" s="598"/>
      <c r="AS185" s="598"/>
      <c r="AT185" s="598"/>
      <c r="AU185" s="598"/>
      <c r="AV185" s="598"/>
      <c r="AW185" s="598"/>
      <c r="AX185" s="598"/>
      <c r="AY185" s="598"/>
      <c r="AZ185" s="598"/>
      <c r="BA185" s="598"/>
      <c r="BB185" s="598"/>
      <c r="BC185" s="598"/>
      <c r="BD185" s="598"/>
      <c r="BE185" s="598"/>
      <c r="BF185" s="598"/>
      <c r="BG185" s="598"/>
      <c r="BH185" s="598"/>
      <c r="BI185" s="598"/>
      <c r="BJ185" s="598"/>
      <c r="BK185" s="598"/>
      <c r="BL185" s="598"/>
      <c r="BM185" s="598"/>
      <c r="BN185" s="598"/>
      <c r="BO185" s="598"/>
      <c r="BP185" s="598"/>
      <c r="BQ185" s="598"/>
      <c r="BR185" s="598"/>
      <c r="BS185" s="598"/>
      <c r="BT185" s="598"/>
      <c r="BU185" s="598"/>
      <c r="BV185" s="598"/>
      <c r="BW185" s="598"/>
      <c r="BX185" s="598"/>
      <c r="BY185" s="598"/>
      <c r="BZ185" s="598"/>
      <c r="CA185" s="598"/>
      <c r="CB185" s="598"/>
      <c r="CC185" s="598"/>
      <c r="CD185" s="598"/>
      <c r="CE185" s="598"/>
      <c r="CF185" s="598"/>
      <c r="CG185" s="598"/>
      <c r="CH185" s="598"/>
      <c r="CI185" s="598"/>
      <c r="CJ185" s="598"/>
      <c r="CK185" s="598"/>
      <c r="CL185" s="598"/>
      <c r="CM185" s="598"/>
      <c r="CN185" s="598"/>
      <c r="CO185" s="598"/>
      <c r="CP185" s="598"/>
      <c r="CQ185" s="598"/>
      <c r="CR185" s="598"/>
      <c r="CS185" s="598"/>
      <c r="CT185" s="598"/>
      <c r="CU185" s="598"/>
      <c r="CV185" s="598"/>
      <c r="CW185" s="598"/>
      <c r="CX185" s="598"/>
      <c r="CY185" s="598"/>
      <c r="CZ185" s="598"/>
      <c r="DA185" s="598"/>
      <c r="DB185" s="598"/>
      <c r="DC185" s="598"/>
      <c r="DD185" s="598"/>
      <c r="DE185" s="598"/>
      <c r="DF185" s="598"/>
      <c r="DG185" s="598"/>
      <c r="DH185" s="598"/>
      <c r="DI185" s="598"/>
      <c r="DJ185" s="598"/>
      <c r="DK185" s="598"/>
      <c r="DL185" s="598"/>
      <c r="DM185" s="598"/>
      <c r="DN185" s="598"/>
      <c r="DO185" s="598"/>
      <c r="DP185" s="598"/>
      <c r="DQ185" s="598"/>
      <c r="DR185" s="598"/>
      <c r="DS185" s="598"/>
      <c r="DT185" s="598"/>
      <c r="DU185" s="598"/>
      <c r="DV185" s="598"/>
      <c r="DW185" s="598"/>
      <c r="DX185" s="598"/>
      <c r="DY185" s="598"/>
      <c r="DZ185" s="598"/>
      <c r="EA185" s="598"/>
      <c r="EB185" s="598"/>
      <c r="EC185" s="598"/>
      <c r="ED185" s="598"/>
      <c r="EE185" s="598"/>
      <c r="EF185" s="598"/>
      <c r="EG185" s="598"/>
      <c r="EH185" s="598"/>
      <c r="EI185" s="598"/>
      <c r="EJ185" s="598"/>
      <c r="EK185" s="598"/>
      <c r="EL185" s="598"/>
      <c r="EM185" s="598"/>
      <c r="EN185" s="598"/>
      <c r="EO185" s="598"/>
      <c r="EP185" s="598"/>
      <c r="EQ185" s="598"/>
      <c r="ER185" s="598"/>
      <c r="ES185" s="598"/>
      <c r="ET185" s="598"/>
      <c r="EU185" s="598"/>
      <c r="EV185" s="598"/>
      <c r="EW185" s="598"/>
      <c r="EX185" s="598"/>
      <c r="EY185" s="598"/>
      <c r="EZ185" s="598"/>
      <c r="FA185" s="598"/>
      <c r="FB185" s="598"/>
      <c r="FC185" s="598"/>
      <c r="FD185" s="598"/>
      <c r="FE185" s="598"/>
      <c r="FF185" s="598"/>
      <c r="FG185" s="598"/>
      <c r="FH185" s="598"/>
      <c r="FI185" s="598"/>
      <c r="FJ185" s="598"/>
      <c r="FK185" s="598"/>
      <c r="FL185" s="598"/>
      <c r="FM185" s="598"/>
      <c r="FN185" s="598"/>
      <c r="FO185" s="598"/>
      <c r="FP185" s="598"/>
      <c r="FQ185" s="598"/>
      <c r="FR185" s="598"/>
      <c r="FS185" s="598"/>
      <c r="FT185" s="598"/>
      <c r="FU185" s="598"/>
      <c r="FV185" s="598"/>
      <c r="FW185" s="598"/>
      <c r="FX185" s="598"/>
      <c r="FY185" s="598"/>
      <c r="FZ185" s="598"/>
      <c r="GA185" s="598"/>
      <c r="GB185" s="598"/>
      <c r="GC185" s="598"/>
      <c r="GD185" s="598"/>
      <c r="GE185" s="598"/>
      <c r="GF185" s="598"/>
      <c r="GG185" s="598"/>
      <c r="GH185" s="598"/>
      <c r="GI185" s="598"/>
      <c r="GJ185" s="598"/>
      <c r="GK185" s="598"/>
      <c r="GL185" s="598"/>
      <c r="GM185" s="598"/>
      <c r="GN185" s="598"/>
      <c r="GO185" s="598"/>
      <c r="GP185" s="598"/>
      <c r="GQ185" s="598"/>
      <c r="GR185" s="598"/>
      <c r="GS185" s="598"/>
      <c r="GT185" s="598"/>
      <c r="GU185" s="598"/>
      <c r="GV185" s="598"/>
      <c r="GW185" s="598"/>
      <c r="GX185" s="598"/>
      <c r="GY185" s="598"/>
      <c r="GZ185" s="598"/>
      <c r="HA185" s="598"/>
      <c r="HB185" s="598"/>
      <c r="HC185" s="598"/>
      <c r="HD185" s="598"/>
      <c r="HE185" s="598"/>
      <c r="HF185" s="598"/>
      <c r="HG185" s="598"/>
      <c r="HH185" s="598"/>
      <c r="HI185" s="598"/>
      <c r="HJ185" s="598"/>
      <c r="HK185" s="598"/>
      <c r="HL185" s="598"/>
      <c r="HM185" s="598"/>
      <c r="HN185" s="598"/>
      <c r="HO185" s="598"/>
      <c r="HP185" s="598"/>
      <c r="HQ185" s="598"/>
      <c r="HR185" s="598"/>
      <c r="HS185" s="598"/>
      <c r="HT185" s="598"/>
      <c r="HU185" s="598"/>
      <c r="HV185" s="598"/>
      <c r="HW185" s="598"/>
      <c r="HX185" s="598"/>
      <c r="HY185" s="598"/>
      <c r="HZ185" s="598"/>
      <c r="IA185" s="598"/>
      <c r="IB185" s="598"/>
      <c r="IC185" s="598"/>
      <c r="ID185" s="598"/>
      <c r="IE185" s="598"/>
      <c r="IF185" s="598"/>
      <c r="IG185" s="598"/>
      <c r="IH185" s="598"/>
      <c r="II185" s="598"/>
      <c r="IJ185" s="598"/>
      <c r="IK185" s="598"/>
      <c r="IL185" s="598"/>
      <c r="IM185" s="598"/>
      <c r="IN185" s="598"/>
      <c r="IO185" s="598"/>
      <c r="IP185" s="598"/>
      <c r="IQ185" s="598"/>
      <c r="IR185" s="598"/>
      <c r="IS185" s="598"/>
      <c r="IT185" s="598"/>
      <c r="IU185" s="598"/>
      <c r="IV185" s="598"/>
      <c r="IW185" s="598"/>
      <c r="IX185" s="598"/>
      <c r="IY185" s="598"/>
      <c r="IZ185" s="598"/>
      <c r="JA185" s="598"/>
      <c r="JB185" s="598"/>
      <c r="JC185" s="598"/>
      <c r="JD185" s="598"/>
      <c r="JE185" s="598"/>
      <c r="JF185" s="598"/>
      <c r="JG185" s="598"/>
      <c r="JH185" s="598"/>
      <c r="JI185" s="598"/>
      <c r="JJ185" s="598"/>
      <c r="JK185" s="598"/>
      <c r="JL185" s="598"/>
      <c r="JM185" s="598"/>
      <c r="JN185" s="598"/>
      <c r="JO185" s="598"/>
      <c r="JP185" s="598"/>
      <c r="JQ185" s="598"/>
      <c r="JR185" s="598"/>
      <c r="JS185" s="598"/>
      <c r="JT185" s="598"/>
      <c r="JU185" s="598"/>
      <c r="JV185" s="598"/>
    </row>
    <row r="186" spans="1:282" s="21" customFormat="1" ht="50.1" customHeight="1" x14ac:dyDescent="0.2">
      <c r="A186" s="702"/>
      <c r="B186" s="30" t="s">
        <v>584</v>
      </c>
      <c r="C186" s="30"/>
      <c r="D186" s="30"/>
      <c r="E186" s="30" t="s">
        <v>1249</v>
      </c>
      <c r="F186" s="196" t="s">
        <v>2903</v>
      </c>
      <c r="G186" s="30" t="s">
        <v>306</v>
      </c>
      <c r="H186" s="30" t="s">
        <v>1262</v>
      </c>
      <c r="I186" s="30"/>
      <c r="J186" s="30" t="s">
        <v>1248</v>
      </c>
      <c r="K186" s="29" t="s">
        <v>1393</v>
      </c>
      <c r="L186" s="30" t="s">
        <v>12</v>
      </c>
      <c r="M186" s="188" t="s">
        <v>2902</v>
      </c>
      <c r="N186" s="73">
        <v>41597</v>
      </c>
      <c r="O186" s="30">
        <v>968892137</v>
      </c>
      <c r="P186" s="30"/>
      <c r="Q186" s="30"/>
      <c r="R186" s="30"/>
      <c r="S186" s="30"/>
      <c r="T186" s="597"/>
      <c r="U186" s="597"/>
      <c r="V186" s="597"/>
      <c r="W186" s="597"/>
      <c r="X186" s="597"/>
      <c r="Y186" s="597"/>
      <c r="Z186" s="597"/>
      <c r="AA186" s="597"/>
      <c r="AB186" s="597"/>
      <c r="AC186" s="597"/>
      <c r="AD186" s="597"/>
      <c r="AE186" s="597"/>
      <c r="AF186" s="597"/>
      <c r="AG186" s="597"/>
      <c r="AH186" s="597"/>
      <c r="AI186" s="597"/>
      <c r="AJ186" s="74">
        <v>41883</v>
      </c>
      <c r="AK186" s="648"/>
      <c r="AL186" s="174"/>
      <c r="AM186" s="598"/>
      <c r="AN186" s="598"/>
      <c r="AO186" s="598"/>
      <c r="AP186" s="598"/>
      <c r="AQ186" s="598"/>
      <c r="AR186" s="598"/>
      <c r="AS186" s="598"/>
      <c r="AT186" s="598"/>
      <c r="AU186" s="598"/>
      <c r="AV186" s="598"/>
      <c r="AW186" s="598"/>
      <c r="AX186" s="598"/>
      <c r="AY186" s="598"/>
      <c r="AZ186" s="598"/>
      <c r="BA186" s="598"/>
      <c r="BB186" s="598"/>
      <c r="BC186" s="598"/>
      <c r="BD186" s="598"/>
      <c r="BE186" s="598"/>
      <c r="BF186" s="598"/>
      <c r="BG186" s="598"/>
      <c r="BH186" s="598"/>
      <c r="BI186" s="598"/>
      <c r="BJ186" s="598"/>
      <c r="BK186" s="598"/>
      <c r="BL186" s="598"/>
      <c r="BM186" s="598"/>
      <c r="BN186" s="598"/>
      <c r="BO186" s="598"/>
      <c r="BP186" s="598"/>
      <c r="BQ186" s="598"/>
      <c r="BR186" s="598"/>
      <c r="BS186" s="598"/>
      <c r="BT186" s="598"/>
      <c r="BU186" s="598"/>
      <c r="BV186" s="598"/>
      <c r="BW186" s="598"/>
      <c r="BX186" s="598"/>
      <c r="BY186" s="598"/>
      <c r="BZ186" s="598"/>
      <c r="CA186" s="598"/>
      <c r="CB186" s="598"/>
      <c r="CC186" s="598"/>
      <c r="CD186" s="598"/>
      <c r="CE186" s="598"/>
      <c r="CF186" s="598"/>
      <c r="CG186" s="598"/>
      <c r="CH186" s="598"/>
      <c r="CI186" s="598"/>
      <c r="CJ186" s="598"/>
      <c r="CK186" s="598"/>
      <c r="CL186" s="598"/>
      <c r="CM186" s="598"/>
      <c r="CN186" s="598"/>
      <c r="CO186" s="598"/>
      <c r="CP186" s="598"/>
      <c r="CQ186" s="598"/>
      <c r="CR186" s="598"/>
      <c r="CS186" s="598"/>
      <c r="CT186" s="598"/>
      <c r="CU186" s="598"/>
      <c r="CV186" s="598"/>
      <c r="CW186" s="598"/>
      <c r="CX186" s="598"/>
      <c r="CY186" s="598"/>
      <c r="CZ186" s="598"/>
      <c r="DA186" s="598"/>
      <c r="DB186" s="598"/>
      <c r="DC186" s="598"/>
      <c r="DD186" s="598"/>
      <c r="DE186" s="598"/>
      <c r="DF186" s="598"/>
      <c r="DG186" s="598"/>
      <c r="DH186" s="598"/>
      <c r="DI186" s="598"/>
      <c r="DJ186" s="598"/>
      <c r="DK186" s="598"/>
      <c r="DL186" s="598"/>
      <c r="DM186" s="598"/>
      <c r="DN186" s="598"/>
      <c r="DO186" s="598"/>
      <c r="DP186" s="598"/>
      <c r="DQ186" s="598"/>
      <c r="DR186" s="598"/>
      <c r="DS186" s="598"/>
      <c r="DT186" s="598"/>
      <c r="DU186" s="598"/>
      <c r="DV186" s="598"/>
      <c r="DW186" s="598"/>
      <c r="DX186" s="598"/>
      <c r="DY186" s="598"/>
      <c r="DZ186" s="598"/>
      <c r="EA186" s="598"/>
      <c r="EB186" s="598"/>
      <c r="EC186" s="598"/>
      <c r="ED186" s="598"/>
      <c r="EE186" s="598"/>
      <c r="EF186" s="598"/>
      <c r="EG186" s="598"/>
      <c r="EH186" s="598"/>
      <c r="EI186" s="598"/>
      <c r="EJ186" s="598"/>
      <c r="EK186" s="598"/>
      <c r="EL186" s="598"/>
      <c r="EM186" s="598"/>
      <c r="EN186" s="598"/>
      <c r="EO186" s="598"/>
      <c r="EP186" s="598"/>
      <c r="EQ186" s="598"/>
      <c r="ER186" s="598"/>
      <c r="ES186" s="598"/>
      <c r="ET186" s="598"/>
      <c r="EU186" s="598"/>
      <c r="EV186" s="598"/>
      <c r="EW186" s="598"/>
      <c r="EX186" s="598"/>
      <c r="EY186" s="598"/>
      <c r="EZ186" s="598"/>
      <c r="FA186" s="598"/>
      <c r="FB186" s="598"/>
      <c r="FC186" s="598"/>
      <c r="FD186" s="598"/>
      <c r="FE186" s="598"/>
      <c r="FF186" s="598"/>
      <c r="FG186" s="598"/>
      <c r="FH186" s="598"/>
      <c r="FI186" s="598"/>
      <c r="FJ186" s="598"/>
      <c r="FK186" s="598"/>
      <c r="FL186" s="598"/>
      <c r="FM186" s="598"/>
      <c r="FN186" s="598"/>
      <c r="FO186" s="598"/>
      <c r="FP186" s="598"/>
      <c r="FQ186" s="598"/>
      <c r="FR186" s="598"/>
      <c r="FS186" s="598"/>
      <c r="FT186" s="598"/>
      <c r="FU186" s="598"/>
      <c r="FV186" s="598"/>
      <c r="FW186" s="598"/>
      <c r="FX186" s="598"/>
      <c r="FY186" s="598"/>
      <c r="FZ186" s="598"/>
      <c r="GA186" s="598"/>
      <c r="GB186" s="598"/>
      <c r="GC186" s="598"/>
      <c r="GD186" s="598"/>
      <c r="GE186" s="598"/>
      <c r="GF186" s="598"/>
      <c r="GG186" s="598"/>
      <c r="GH186" s="598"/>
      <c r="GI186" s="598"/>
      <c r="GJ186" s="598"/>
      <c r="GK186" s="598"/>
      <c r="GL186" s="598"/>
      <c r="GM186" s="598"/>
      <c r="GN186" s="598"/>
      <c r="GO186" s="598"/>
      <c r="GP186" s="598"/>
      <c r="GQ186" s="598"/>
      <c r="GR186" s="598"/>
      <c r="GS186" s="598"/>
      <c r="GT186" s="598"/>
      <c r="GU186" s="598"/>
      <c r="GV186" s="598"/>
      <c r="GW186" s="598"/>
      <c r="GX186" s="598"/>
      <c r="GY186" s="598"/>
      <c r="GZ186" s="598"/>
      <c r="HA186" s="598"/>
      <c r="HB186" s="598"/>
      <c r="HC186" s="598"/>
      <c r="HD186" s="598"/>
      <c r="HE186" s="598"/>
      <c r="HF186" s="598"/>
      <c r="HG186" s="598"/>
      <c r="HH186" s="598"/>
      <c r="HI186" s="598"/>
      <c r="HJ186" s="598"/>
      <c r="HK186" s="598"/>
      <c r="HL186" s="598"/>
      <c r="HM186" s="598"/>
      <c r="HN186" s="598"/>
      <c r="HO186" s="598"/>
      <c r="HP186" s="598"/>
      <c r="HQ186" s="598"/>
      <c r="HR186" s="598"/>
      <c r="HS186" s="598"/>
      <c r="HT186" s="598"/>
      <c r="HU186" s="598"/>
      <c r="HV186" s="598"/>
      <c r="HW186" s="598"/>
      <c r="HX186" s="598"/>
      <c r="HY186" s="598"/>
      <c r="HZ186" s="598"/>
      <c r="IA186" s="598"/>
      <c r="IB186" s="598"/>
      <c r="IC186" s="598"/>
      <c r="ID186" s="598"/>
      <c r="IE186" s="598"/>
      <c r="IF186" s="598"/>
      <c r="IG186" s="598"/>
      <c r="IH186" s="598"/>
      <c r="II186" s="598"/>
      <c r="IJ186" s="598"/>
      <c r="IK186" s="598"/>
      <c r="IL186" s="598"/>
      <c r="IM186" s="598"/>
      <c r="IN186" s="598"/>
      <c r="IO186" s="598"/>
      <c r="IP186" s="598"/>
      <c r="IQ186" s="598"/>
      <c r="IR186" s="598"/>
      <c r="IS186" s="598"/>
      <c r="IT186" s="598"/>
      <c r="IU186" s="598"/>
      <c r="IV186" s="598"/>
      <c r="IW186" s="598"/>
      <c r="IX186" s="598"/>
      <c r="IY186" s="598"/>
      <c r="IZ186" s="598"/>
      <c r="JA186" s="598"/>
      <c r="JB186" s="598"/>
      <c r="JC186" s="598"/>
      <c r="JD186" s="598"/>
      <c r="JE186" s="598"/>
      <c r="JF186" s="598"/>
      <c r="JG186" s="598"/>
      <c r="JH186" s="598"/>
      <c r="JI186" s="598"/>
      <c r="JJ186" s="598"/>
      <c r="JK186" s="598"/>
      <c r="JL186" s="598"/>
      <c r="JM186" s="598"/>
      <c r="JN186" s="598"/>
      <c r="JO186" s="598"/>
      <c r="JP186" s="598"/>
      <c r="JQ186" s="598"/>
      <c r="JR186" s="598"/>
      <c r="JS186" s="598"/>
      <c r="JT186" s="598"/>
      <c r="JU186" s="598"/>
      <c r="JV186" s="598"/>
    </row>
    <row r="187" spans="1:282" s="21" customFormat="1" ht="50.1" customHeight="1" x14ac:dyDescent="0.2">
      <c r="A187" s="702"/>
      <c r="B187" s="69" t="s">
        <v>1137</v>
      </c>
      <c r="C187" s="69"/>
      <c r="D187" s="69"/>
      <c r="E187" s="30" t="s">
        <v>1901</v>
      </c>
      <c r="F187" s="196" t="s">
        <v>2490</v>
      </c>
      <c r="G187" s="72" t="s">
        <v>774</v>
      </c>
      <c r="H187" s="29" t="s">
        <v>1806</v>
      </c>
      <c r="I187" s="29"/>
      <c r="J187" s="30" t="s">
        <v>775</v>
      </c>
      <c r="K187" s="30" t="s">
        <v>1394</v>
      </c>
      <c r="L187" s="29" t="s">
        <v>685</v>
      </c>
      <c r="M187" s="30" t="s">
        <v>1615</v>
      </c>
      <c r="N187" s="73">
        <v>41801</v>
      </c>
      <c r="O187" s="32" t="s">
        <v>1924</v>
      </c>
      <c r="P187" s="32"/>
      <c r="Q187" s="32"/>
      <c r="R187" s="32"/>
      <c r="S187" s="32"/>
      <c r="T187" s="597"/>
      <c r="U187" s="597"/>
      <c r="V187" s="597"/>
      <c r="W187" s="597"/>
      <c r="X187" s="597"/>
      <c r="Y187" s="597"/>
      <c r="Z187" s="597"/>
      <c r="AA187" s="597"/>
      <c r="AB187" s="597"/>
      <c r="AC187" s="597"/>
      <c r="AD187" s="597"/>
      <c r="AE187" s="597"/>
      <c r="AF187" s="597"/>
      <c r="AG187" s="597"/>
      <c r="AH187" s="597"/>
      <c r="AI187" s="597"/>
      <c r="AJ187" s="73">
        <v>41897</v>
      </c>
      <c r="AK187" s="741"/>
      <c r="AL187" s="171"/>
      <c r="AM187" s="598"/>
      <c r="AN187" s="598"/>
      <c r="AO187" s="598"/>
      <c r="AP187" s="598"/>
      <c r="AQ187" s="598"/>
      <c r="AR187" s="598"/>
      <c r="AS187" s="598"/>
      <c r="AT187" s="598"/>
      <c r="AU187" s="598"/>
      <c r="AV187" s="598"/>
      <c r="AW187" s="598"/>
      <c r="AX187" s="598"/>
      <c r="AY187" s="598"/>
      <c r="AZ187" s="598"/>
      <c r="BA187" s="598"/>
      <c r="BB187" s="598"/>
      <c r="BC187" s="598"/>
      <c r="BD187" s="598"/>
      <c r="BE187" s="598"/>
      <c r="BF187" s="598"/>
      <c r="BG187" s="598"/>
      <c r="BH187" s="598"/>
      <c r="BI187" s="598"/>
      <c r="BJ187" s="598"/>
      <c r="BK187" s="598"/>
      <c r="BL187" s="598"/>
      <c r="BM187" s="598"/>
      <c r="BN187" s="598"/>
      <c r="BO187" s="598"/>
      <c r="BP187" s="598"/>
      <c r="BQ187" s="598"/>
      <c r="BR187" s="598"/>
      <c r="BS187" s="598"/>
      <c r="BT187" s="598"/>
      <c r="BU187" s="598"/>
      <c r="BV187" s="598"/>
      <c r="BW187" s="598"/>
      <c r="BX187" s="598"/>
      <c r="BY187" s="598"/>
      <c r="BZ187" s="598"/>
      <c r="CA187" s="598"/>
      <c r="CB187" s="598"/>
      <c r="CC187" s="598"/>
      <c r="CD187" s="598"/>
      <c r="CE187" s="598"/>
      <c r="CF187" s="598"/>
      <c r="CG187" s="598"/>
      <c r="CH187" s="598"/>
      <c r="CI187" s="598"/>
      <c r="CJ187" s="598"/>
      <c r="CK187" s="598"/>
      <c r="CL187" s="598"/>
      <c r="CM187" s="598"/>
      <c r="CN187" s="598"/>
      <c r="CO187" s="598"/>
      <c r="CP187" s="598"/>
      <c r="CQ187" s="598"/>
      <c r="CR187" s="598"/>
      <c r="CS187" s="598"/>
      <c r="CT187" s="598"/>
      <c r="CU187" s="598"/>
      <c r="CV187" s="598"/>
      <c r="CW187" s="598"/>
      <c r="CX187" s="598"/>
      <c r="CY187" s="598"/>
      <c r="CZ187" s="598"/>
      <c r="DA187" s="598"/>
      <c r="DB187" s="598"/>
      <c r="DC187" s="598"/>
      <c r="DD187" s="598"/>
      <c r="DE187" s="598"/>
      <c r="DF187" s="598"/>
      <c r="DG187" s="598"/>
      <c r="DH187" s="598"/>
      <c r="DI187" s="598"/>
      <c r="DJ187" s="598"/>
      <c r="DK187" s="598"/>
      <c r="DL187" s="598"/>
      <c r="DM187" s="598"/>
      <c r="DN187" s="598"/>
      <c r="DO187" s="598"/>
      <c r="DP187" s="598"/>
      <c r="DQ187" s="598"/>
      <c r="DR187" s="598"/>
      <c r="DS187" s="598"/>
      <c r="DT187" s="598"/>
      <c r="DU187" s="598"/>
      <c r="DV187" s="598"/>
      <c r="DW187" s="598"/>
      <c r="DX187" s="598"/>
      <c r="DY187" s="598"/>
      <c r="DZ187" s="598"/>
      <c r="EA187" s="598"/>
      <c r="EB187" s="598"/>
      <c r="EC187" s="598"/>
      <c r="ED187" s="598"/>
      <c r="EE187" s="598"/>
      <c r="EF187" s="598"/>
      <c r="EG187" s="598"/>
      <c r="EH187" s="598"/>
      <c r="EI187" s="598"/>
      <c r="EJ187" s="598"/>
      <c r="EK187" s="598"/>
      <c r="EL187" s="598"/>
      <c r="EM187" s="598"/>
      <c r="EN187" s="598"/>
      <c r="EO187" s="598"/>
      <c r="EP187" s="598"/>
      <c r="EQ187" s="598"/>
      <c r="ER187" s="598"/>
      <c r="ES187" s="598"/>
      <c r="ET187" s="598"/>
      <c r="EU187" s="598"/>
      <c r="EV187" s="598"/>
      <c r="EW187" s="598"/>
      <c r="EX187" s="598"/>
      <c r="EY187" s="598"/>
      <c r="EZ187" s="598"/>
      <c r="FA187" s="598"/>
      <c r="FB187" s="598"/>
      <c r="FC187" s="598"/>
      <c r="FD187" s="598"/>
      <c r="FE187" s="598"/>
      <c r="FF187" s="598"/>
      <c r="FG187" s="598"/>
      <c r="FH187" s="598"/>
      <c r="FI187" s="598"/>
      <c r="FJ187" s="598"/>
      <c r="FK187" s="598"/>
      <c r="FL187" s="598"/>
      <c r="FM187" s="598"/>
      <c r="FN187" s="598"/>
      <c r="FO187" s="598"/>
      <c r="FP187" s="598"/>
      <c r="FQ187" s="598"/>
      <c r="FR187" s="598"/>
      <c r="FS187" s="598"/>
      <c r="FT187" s="598"/>
      <c r="FU187" s="598"/>
      <c r="FV187" s="598"/>
      <c r="FW187" s="598"/>
      <c r="FX187" s="598"/>
      <c r="FY187" s="598"/>
      <c r="FZ187" s="598"/>
      <c r="GA187" s="598"/>
      <c r="GB187" s="598"/>
      <c r="GC187" s="598"/>
      <c r="GD187" s="598"/>
      <c r="GE187" s="598"/>
      <c r="GF187" s="598"/>
      <c r="GG187" s="598"/>
      <c r="GH187" s="598"/>
      <c r="GI187" s="598"/>
      <c r="GJ187" s="598"/>
      <c r="GK187" s="598"/>
      <c r="GL187" s="598"/>
      <c r="GM187" s="598"/>
      <c r="GN187" s="598"/>
      <c r="GO187" s="598"/>
      <c r="GP187" s="598"/>
      <c r="GQ187" s="598"/>
      <c r="GR187" s="598"/>
      <c r="GS187" s="598"/>
      <c r="GT187" s="598"/>
      <c r="GU187" s="598"/>
      <c r="GV187" s="598"/>
      <c r="GW187" s="598"/>
      <c r="GX187" s="598"/>
      <c r="GY187" s="598"/>
      <c r="GZ187" s="598"/>
      <c r="HA187" s="598"/>
      <c r="HB187" s="598"/>
      <c r="HC187" s="598"/>
      <c r="HD187" s="598"/>
      <c r="HE187" s="598"/>
      <c r="HF187" s="598"/>
      <c r="HG187" s="598"/>
      <c r="HH187" s="598"/>
      <c r="HI187" s="598"/>
      <c r="HJ187" s="598"/>
      <c r="HK187" s="598"/>
      <c r="HL187" s="598"/>
      <c r="HM187" s="598"/>
      <c r="HN187" s="598"/>
      <c r="HO187" s="598"/>
      <c r="HP187" s="598"/>
      <c r="HQ187" s="598"/>
      <c r="HR187" s="598"/>
      <c r="HS187" s="598"/>
      <c r="HT187" s="598"/>
      <c r="HU187" s="598"/>
      <c r="HV187" s="598"/>
      <c r="HW187" s="598"/>
      <c r="HX187" s="598"/>
      <c r="HY187" s="598"/>
      <c r="HZ187" s="598"/>
      <c r="IA187" s="598"/>
      <c r="IB187" s="598"/>
      <c r="IC187" s="598"/>
      <c r="ID187" s="598"/>
      <c r="IE187" s="598"/>
      <c r="IF187" s="598"/>
      <c r="IG187" s="598"/>
      <c r="IH187" s="598"/>
      <c r="II187" s="598"/>
      <c r="IJ187" s="598"/>
      <c r="IK187" s="598"/>
      <c r="IL187" s="598"/>
      <c r="IM187" s="598"/>
      <c r="IN187" s="598"/>
      <c r="IO187" s="598"/>
      <c r="IP187" s="598"/>
      <c r="IQ187" s="598"/>
      <c r="IR187" s="598"/>
      <c r="IS187" s="598"/>
      <c r="IT187" s="598"/>
      <c r="IU187" s="598"/>
      <c r="IV187" s="598"/>
      <c r="IW187" s="598"/>
      <c r="IX187" s="598"/>
      <c r="IY187" s="598"/>
      <c r="IZ187" s="598"/>
      <c r="JA187" s="598"/>
      <c r="JB187" s="598"/>
      <c r="JC187" s="598"/>
      <c r="JD187" s="598"/>
      <c r="JE187" s="598"/>
      <c r="JF187" s="598"/>
      <c r="JG187" s="598"/>
      <c r="JH187" s="598"/>
      <c r="JI187" s="598"/>
      <c r="JJ187" s="598"/>
      <c r="JK187" s="598"/>
      <c r="JL187" s="598"/>
      <c r="JM187" s="598"/>
      <c r="JN187" s="598"/>
      <c r="JO187" s="598"/>
      <c r="JP187" s="598"/>
      <c r="JQ187" s="598"/>
      <c r="JR187" s="598"/>
      <c r="JS187" s="598"/>
      <c r="JT187" s="598"/>
      <c r="JU187" s="598"/>
      <c r="JV187" s="598"/>
    </row>
    <row r="188" spans="1:282" s="21" customFormat="1" ht="50.1" customHeight="1" x14ac:dyDescent="0.2">
      <c r="A188" s="702"/>
      <c r="B188" s="68" t="s">
        <v>584</v>
      </c>
      <c r="C188" s="68"/>
      <c r="D188" s="68"/>
      <c r="E188" s="68" t="s">
        <v>1156</v>
      </c>
      <c r="F188" s="750" t="s">
        <v>1373</v>
      </c>
      <c r="G188" s="68" t="s">
        <v>2264</v>
      </c>
      <c r="H188" s="68"/>
      <c r="I188" s="68"/>
      <c r="J188" s="68" t="s">
        <v>1152</v>
      </c>
      <c r="K188" s="38" t="s">
        <v>1392</v>
      </c>
      <c r="L188" s="68" t="s">
        <v>2428</v>
      </c>
      <c r="M188" s="29" t="s">
        <v>2450</v>
      </c>
      <c r="N188" s="73">
        <v>41402</v>
      </c>
      <c r="O188" s="32" t="s">
        <v>1227</v>
      </c>
      <c r="P188" s="32"/>
      <c r="Q188" s="32"/>
      <c r="R188" s="32"/>
      <c r="S188" s="32"/>
      <c r="T188" s="597"/>
      <c r="U188" s="597"/>
      <c r="V188" s="597"/>
      <c r="W188" s="597"/>
      <c r="X188" s="597"/>
      <c r="Y188" s="597"/>
      <c r="Z188" s="597"/>
      <c r="AA188" s="597"/>
      <c r="AB188" s="597"/>
      <c r="AC188" s="597"/>
      <c r="AD188" s="597"/>
      <c r="AE188" s="597"/>
      <c r="AF188" s="597"/>
      <c r="AG188" s="597"/>
      <c r="AH188" s="597"/>
      <c r="AI188" s="597"/>
      <c r="AJ188" s="73">
        <v>41918</v>
      </c>
      <c r="AK188" s="720"/>
      <c r="AL188" s="155"/>
      <c r="AM188" s="598"/>
      <c r="AN188" s="598"/>
      <c r="AO188" s="598"/>
      <c r="AP188" s="598"/>
      <c r="AQ188" s="598"/>
      <c r="AR188" s="598"/>
      <c r="AS188" s="598"/>
      <c r="AT188" s="598"/>
      <c r="AU188" s="598"/>
      <c r="AV188" s="598"/>
      <c r="AW188" s="598"/>
      <c r="AX188" s="598"/>
      <c r="AY188" s="598"/>
      <c r="AZ188" s="598"/>
      <c r="BA188" s="598"/>
      <c r="BB188" s="598"/>
      <c r="BC188" s="598"/>
      <c r="BD188" s="598"/>
      <c r="BE188" s="598"/>
      <c r="BF188" s="598"/>
      <c r="BG188" s="598"/>
      <c r="BH188" s="598"/>
      <c r="BI188" s="598"/>
      <c r="BJ188" s="598"/>
      <c r="BK188" s="598"/>
      <c r="BL188" s="598"/>
      <c r="BM188" s="598"/>
      <c r="BN188" s="598"/>
      <c r="BO188" s="598"/>
      <c r="BP188" s="598"/>
      <c r="BQ188" s="598"/>
      <c r="BR188" s="598"/>
      <c r="BS188" s="598"/>
      <c r="BT188" s="598"/>
      <c r="BU188" s="598"/>
      <c r="BV188" s="598"/>
      <c r="BW188" s="598"/>
      <c r="BX188" s="598"/>
      <c r="BY188" s="598"/>
      <c r="BZ188" s="598"/>
      <c r="CA188" s="598"/>
      <c r="CB188" s="598"/>
      <c r="CC188" s="598"/>
      <c r="CD188" s="598"/>
      <c r="CE188" s="598"/>
      <c r="CF188" s="598"/>
      <c r="CG188" s="598"/>
      <c r="CH188" s="598"/>
      <c r="CI188" s="598"/>
      <c r="CJ188" s="598"/>
      <c r="CK188" s="598"/>
      <c r="CL188" s="598"/>
      <c r="CM188" s="598"/>
      <c r="CN188" s="598"/>
      <c r="CO188" s="598"/>
      <c r="CP188" s="598"/>
      <c r="CQ188" s="598"/>
      <c r="CR188" s="598"/>
      <c r="CS188" s="598"/>
      <c r="CT188" s="598"/>
      <c r="CU188" s="598"/>
      <c r="CV188" s="598"/>
      <c r="CW188" s="598"/>
      <c r="CX188" s="598"/>
      <c r="CY188" s="598"/>
      <c r="CZ188" s="598"/>
      <c r="DA188" s="598"/>
      <c r="DB188" s="598"/>
      <c r="DC188" s="598"/>
      <c r="DD188" s="598"/>
      <c r="DE188" s="598"/>
      <c r="DF188" s="598"/>
      <c r="DG188" s="598"/>
      <c r="DH188" s="598"/>
      <c r="DI188" s="598"/>
      <c r="DJ188" s="598"/>
      <c r="DK188" s="598"/>
      <c r="DL188" s="598"/>
      <c r="DM188" s="598"/>
      <c r="DN188" s="598"/>
      <c r="DO188" s="598"/>
      <c r="DP188" s="598"/>
      <c r="DQ188" s="598"/>
      <c r="DR188" s="598"/>
      <c r="DS188" s="598"/>
      <c r="DT188" s="598"/>
      <c r="DU188" s="598"/>
      <c r="DV188" s="598"/>
      <c r="DW188" s="598"/>
      <c r="DX188" s="598"/>
      <c r="DY188" s="598"/>
      <c r="DZ188" s="598"/>
      <c r="EA188" s="598"/>
      <c r="EB188" s="598"/>
      <c r="EC188" s="598"/>
      <c r="ED188" s="598"/>
      <c r="EE188" s="598"/>
      <c r="EF188" s="598"/>
      <c r="EG188" s="598"/>
      <c r="EH188" s="598"/>
      <c r="EI188" s="598"/>
      <c r="EJ188" s="598"/>
      <c r="EK188" s="598"/>
      <c r="EL188" s="598"/>
      <c r="EM188" s="598"/>
      <c r="EN188" s="598"/>
      <c r="EO188" s="598"/>
      <c r="EP188" s="598"/>
      <c r="EQ188" s="598"/>
      <c r="ER188" s="598"/>
      <c r="ES188" s="598"/>
      <c r="ET188" s="598"/>
      <c r="EU188" s="598"/>
      <c r="EV188" s="598"/>
      <c r="EW188" s="598"/>
      <c r="EX188" s="598"/>
      <c r="EY188" s="598"/>
      <c r="EZ188" s="598"/>
      <c r="FA188" s="598"/>
      <c r="FB188" s="598"/>
      <c r="FC188" s="598"/>
      <c r="FD188" s="598"/>
      <c r="FE188" s="598"/>
      <c r="FF188" s="598"/>
      <c r="FG188" s="598"/>
      <c r="FH188" s="598"/>
      <c r="FI188" s="598"/>
      <c r="FJ188" s="598"/>
      <c r="FK188" s="598"/>
      <c r="FL188" s="598"/>
      <c r="FM188" s="598"/>
      <c r="FN188" s="598"/>
      <c r="FO188" s="598"/>
      <c r="FP188" s="598"/>
      <c r="FQ188" s="598"/>
      <c r="FR188" s="598"/>
      <c r="FS188" s="598"/>
      <c r="FT188" s="598"/>
      <c r="FU188" s="598"/>
      <c r="FV188" s="598"/>
      <c r="FW188" s="598"/>
      <c r="FX188" s="598"/>
      <c r="FY188" s="598"/>
      <c r="FZ188" s="598"/>
      <c r="GA188" s="598"/>
      <c r="GB188" s="598"/>
      <c r="GC188" s="598"/>
      <c r="GD188" s="598"/>
      <c r="GE188" s="598"/>
      <c r="GF188" s="598"/>
      <c r="GG188" s="598"/>
      <c r="GH188" s="598"/>
      <c r="GI188" s="598"/>
      <c r="GJ188" s="598"/>
      <c r="GK188" s="598"/>
      <c r="GL188" s="598"/>
      <c r="GM188" s="598"/>
      <c r="GN188" s="598"/>
      <c r="GO188" s="598"/>
      <c r="GP188" s="598"/>
      <c r="GQ188" s="598"/>
      <c r="GR188" s="598"/>
      <c r="GS188" s="598"/>
      <c r="GT188" s="598"/>
      <c r="GU188" s="598"/>
      <c r="GV188" s="598"/>
      <c r="GW188" s="598"/>
      <c r="GX188" s="598"/>
      <c r="GY188" s="598"/>
      <c r="GZ188" s="598"/>
      <c r="HA188" s="598"/>
      <c r="HB188" s="598"/>
      <c r="HC188" s="598"/>
      <c r="HD188" s="598"/>
      <c r="HE188" s="598"/>
      <c r="HF188" s="598"/>
      <c r="HG188" s="598"/>
      <c r="HH188" s="598"/>
      <c r="HI188" s="598"/>
      <c r="HJ188" s="598"/>
      <c r="HK188" s="598"/>
      <c r="HL188" s="598"/>
      <c r="HM188" s="598"/>
      <c r="HN188" s="598"/>
      <c r="HO188" s="598"/>
      <c r="HP188" s="598"/>
      <c r="HQ188" s="598"/>
      <c r="HR188" s="598"/>
      <c r="HS188" s="598"/>
      <c r="HT188" s="598"/>
      <c r="HU188" s="598"/>
      <c r="HV188" s="598"/>
      <c r="HW188" s="598"/>
      <c r="HX188" s="598"/>
      <c r="HY188" s="598"/>
      <c r="HZ188" s="598"/>
      <c r="IA188" s="598"/>
      <c r="IB188" s="598"/>
      <c r="IC188" s="598"/>
      <c r="ID188" s="598"/>
      <c r="IE188" s="598"/>
      <c r="IF188" s="598"/>
      <c r="IG188" s="598"/>
      <c r="IH188" s="598"/>
      <c r="II188" s="598"/>
      <c r="IJ188" s="598"/>
      <c r="IK188" s="598"/>
      <c r="IL188" s="598"/>
      <c r="IM188" s="598"/>
      <c r="IN188" s="598"/>
      <c r="IO188" s="598"/>
      <c r="IP188" s="598"/>
      <c r="IQ188" s="598"/>
      <c r="IR188" s="598"/>
      <c r="IS188" s="598"/>
      <c r="IT188" s="598"/>
      <c r="IU188" s="598"/>
      <c r="IV188" s="598"/>
      <c r="IW188" s="598"/>
      <c r="IX188" s="598"/>
      <c r="IY188" s="598"/>
      <c r="IZ188" s="598"/>
      <c r="JA188" s="598"/>
      <c r="JB188" s="598"/>
      <c r="JC188" s="598"/>
      <c r="JD188" s="598"/>
      <c r="JE188" s="598"/>
      <c r="JF188" s="598"/>
      <c r="JG188" s="598"/>
      <c r="JH188" s="598"/>
      <c r="JI188" s="598"/>
      <c r="JJ188" s="598"/>
      <c r="JK188" s="598"/>
      <c r="JL188" s="598"/>
      <c r="JM188" s="598"/>
      <c r="JN188" s="598"/>
      <c r="JO188" s="598"/>
      <c r="JP188" s="598"/>
      <c r="JQ188" s="598"/>
      <c r="JR188" s="598"/>
      <c r="JS188" s="598"/>
      <c r="JT188" s="598"/>
      <c r="JU188" s="598"/>
      <c r="JV188" s="598"/>
    </row>
    <row r="189" spans="1:282" s="21" customFormat="1" ht="50.1" customHeight="1" x14ac:dyDescent="0.2">
      <c r="A189" s="702"/>
      <c r="B189" s="68" t="s">
        <v>584</v>
      </c>
      <c r="C189" s="68"/>
      <c r="D189" s="68"/>
      <c r="E189" s="29" t="s">
        <v>456</v>
      </c>
      <c r="F189" s="104" t="s">
        <v>2361</v>
      </c>
      <c r="G189" s="29" t="s">
        <v>2353</v>
      </c>
      <c r="H189" s="188"/>
      <c r="I189" s="188"/>
      <c r="J189" s="188" t="s">
        <v>2389</v>
      </c>
      <c r="K189" s="29" t="s">
        <v>1162</v>
      </c>
      <c r="L189" s="188" t="s">
        <v>641</v>
      </c>
      <c r="M189" s="188" t="s">
        <v>2605</v>
      </c>
      <c r="N189" s="73">
        <v>41053</v>
      </c>
      <c r="O189" s="69" t="s">
        <v>575</v>
      </c>
      <c r="P189" s="69"/>
      <c r="Q189" s="69"/>
      <c r="R189" s="69"/>
      <c r="S189" s="69"/>
      <c r="T189" s="597"/>
      <c r="U189" s="597"/>
      <c r="V189" s="597"/>
      <c r="W189" s="597"/>
      <c r="X189" s="597"/>
      <c r="Y189" s="597"/>
      <c r="Z189" s="597"/>
      <c r="AA189" s="597"/>
      <c r="AB189" s="597"/>
      <c r="AC189" s="597"/>
      <c r="AD189" s="597"/>
      <c r="AE189" s="597"/>
      <c r="AF189" s="597"/>
      <c r="AG189" s="597"/>
      <c r="AH189" s="597"/>
      <c r="AI189" s="597"/>
      <c r="AJ189" s="74">
        <v>41925</v>
      </c>
      <c r="AK189" s="741"/>
      <c r="AL189" s="171"/>
      <c r="AM189" s="598"/>
      <c r="AN189" s="598"/>
      <c r="AO189" s="598"/>
      <c r="AP189" s="598"/>
      <c r="AQ189" s="598"/>
      <c r="AR189" s="598"/>
      <c r="AS189" s="598"/>
      <c r="AT189" s="598"/>
      <c r="AU189" s="598"/>
      <c r="AV189" s="598"/>
      <c r="AW189" s="598"/>
      <c r="AX189" s="598"/>
      <c r="AY189" s="598"/>
      <c r="AZ189" s="598"/>
      <c r="BA189" s="598"/>
      <c r="BB189" s="598"/>
      <c r="BC189" s="598"/>
      <c r="BD189" s="598"/>
      <c r="BE189" s="598"/>
      <c r="BF189" s="598"/>
      <c r="BG189" s="598"/>
      <c r="BH189" s="598"/>
      <c r="BI189" s="598"/>
      <c r="BJ189" s="598"/>
      <c r="BK189" s="598"/>
      <c r="BL189" s="598"/>
      <c r="BM189" s="598"/>
      <c r="BN189" s="598"/>
      <c r="BO189" s="598"/>
      <c r="BP189" s="598"/>
      <c r="BQ189" s="598"/>
      <c r="BR189" s="598"/>
      <c r="BS189" s="598"/>
      <c r="BT189" s="598"/>
      <c r="BU189" s="598"/>
      <c r="BV189" s="598"/>
      <c r="BW189" s="598"/>
      <c r="BX189" s="598"/>
      <c r="BY189" s="598"/>
      <c r="BZ189" s="598"/>
      <c r="CA189" s="598"/>
      <c r="CB189" s="598"/>
      <c r="CC189" s="598"/>
      <c r="CD189" s="598"/>
      <c r="CE189" s="598"/>
      <c r="CF189" s="598"/>
      <c r="CG189" s="598"/>
      <c r="CH189" s="598"/>
      <c r="CI189" s="598"/>
      <c r="CJ189" s="598"/>
      <c r="CK189" s="598"/>
      <c r="CL189" s="598"/>
      <c r="CM189" s="598"/>
      <c r="CN189" s="598"/>
      <c r="CO189" s="598"/>
      <c r="CP189" s="598"/>
      <c r="CQ189" s="598"/>
      <c r="CR189" s="598"/>
      <c r="CS189" s="598"/>
      <c r="CT189" s="598"/>
      <c r="CU189" s="598"/>
      <c r="CV189" s="598"/>
      <c r="CW189" s="598"/>
      <c r="CX189" s="598"/>
      <c r="CY189" s="598"/>
      <c r="CZ189" s="598"/>
      <c r="DA189" s="598"/>
      <c r="DB189" s="598"/>
      <c r="DC189" s="598"/>
      <c r="DD189" s="598"/>
      <c r="DE189" s="598"/>
      <c r="DF189" s="598"/>
      <c r="DG189" s="598"/>
      <c r="DH189" s="598"/>
      <c r="DI189" s="598"/>
      <c r="DJ189" s="598"/>
      <c r="DK189" s="598"/>
      <c r="DL189" s="598"/>
      <c r="DM189" s="598"/>
      <c r="DN189" s="598"/>
      <c r="DO189" s="598"/>
      <c r="DP189" s="598"/>
      <c r="DQ189" s="598"/>
      <c r="DR189" s="598"/>
      <c r="DS189" s="598"/>
      <c r="DT189" s="598"/>
      <c r="DU189" s="598"/>
      <c r="DV189" s="598"/>
      <c r="DW189" s="598"/>
      <c r="DX189" s="598"/>
      <c r="DY189" s="598"/>
      <c r="DZ189" s="598"/>
      <c r="EA189" s="598"/>
      <c r="EB189" s="598"/>
      <c r="EC189" s="598"/>
      <c r="ED189" s="598"/>
      <c r="EE189" s="598"/>
      <c r="EF189" s="598"/>
      <c r="EG189" s="598"/>
      <c r="EH189" s="598"/>
      <c r="EI189" s="598"/>
      <c r="EJ189" s="598"/>
      <c r="EK189" s="598"/>
      <c r="EL189" s="598"/>
      <c r="EM189" s="598"/>
      <c r="EN189" s="598"/>
      <c r="EO189" s="598"/>
      <c r="EP189" s="598"/>
      <c r="EQ189" s="598"/>
      <c r="ER189" s="598"/>
      <c r="ES189" s="598"/>
      <c r="ET189" s="598"/>
      <c r="EU189" s="598"/>
      <c r="EV189" s="598"/>
      <c r="EW189" s="598"/>
      <c r="EX189" s="598"/>
      <c r="EY189" s="598"/>
      <c r="EZ189" s="598"/>
      <c r="FA189" s="598"/>
      <c r="FB189" s="598"/>
      <c r="FC189" s="598"/>
      <c r="FD189" s="598"/>
      <c r="FE189" s="598"/>
      <c r="FF189" s="598"/>
      <c r="FG189" s="598"/>
      <c r="FH189" s="598"/>
      <c r="FI189" s="598"/>
      <c r="FJ189" s="598"/>
      <c r="FK189" s="598"/>
      <c r="FL189" s="598"/>
      <c r="FM189" s="598"/>
      <c r="FN189" s="598"/>
      <c r="FO189" s="598"/>
      <c r="FP189" s="598"/>
      <c r="FQ189" s="598"/>
      <c r="FR189" s="598"/>
      <c r="FS189" s="598"/>
      <c r="FT189" s="598"/>
      <c r="FU189" s="598"/>
      <c r="FV189" s="598"/>
      <c r="FW189" s="598"/>
      <c r="FX189" s="598"/>
      <c r="FY189" s="598"/>
      <c r="FZ189" s="598"/>
      <c r="GA189" s="598"/>
      <c r="GB189" s="598"/>
      <c r="GC189" s="598"/>
      <c r="GD189" s="598"/>
      <c r="GE189" s="598"/>
      <c r="GF189" s="598"/>
      <c r="GG189" s="598"/>
      <c r="GH189" s="598"/>
      <c r="GI189" s="598"/>
      <c r="GJ189" s="598"/>
      <c r="GK189" s="598"/>
      <c r="GL189" s="598"/>
      <c r="GM189" s="598"/>
      <c r="GN189" s="598"/>
      <c r="GO189" s="598"/>
      <c r="GP189" s="598"/>
      <c r="GQ189" s="598"/>
      <c r="GR189" s="598"/>
      <c r="GS189" s="598"/>
      <c r="GT189" s="598"/>
      <c r="GU189" s="598"/>
      <c r="GV189" s="598"/>
      <c r="GW189" s="598"/>
      <c r="GX189" s="598"/>
      <c r="GY189" s="598"/>
      <c r="GZ189" s="598"/>
      <c r="HA189" s="598"/>
      <c r="HB189" s="598"/>
      <c r="HC189" s="598"/>
      <c r="HD189" s="598"/>
      <c r="HE189" s="598"/>
      <c r="HF189" s="598"/>
      <c r="HG189" s="598"/>
      <c r="HH189" s="598"/>
      <c r="HI189" s="598"/>
      <c r="HJ189" s="598"/>
      <c r="HK189" s="598"/>
      <c r="HL189" s="598"/>
      <c r="HM189" s="598"/>
      <c r="HN189" s="598"/>
      <c r="HO189" s="598"/>
      <c r="HP189" s="598"/>
      <c r="HQ189" s="598"/>
      <c r="HR189" s="598"/>
      <c r="HS189" s="598"/>
      <c r="HT189" s="598"/>
      <c r="HU189" s="598"/>
      <c r="HV189" s="598"/>
      <c r="HW189" s="598"/>
      <c r="HX189" s="598"/>
      <c r="HY189" s="598"/>
      <c r="HZ189" s="598"/>
      <c r="IA189" s="598"/>
      <c r="IB189" s="598"/>
      <c r="IC189" s="598"/>
      <c r="ID189" s="598"/>
      <c r="IE189" s="598"/>
      <c r="IF189" s="598"/>
      <c r="IG189" s="598"/>
      <c r="IH189" s="598"/>
      <c r="II189" s="598"/>
      <c r="IJ189" s="598"/>
      <c r="IK189" s="598"/>
      <c r="IL189" s="598"/>
      <c r="IM189" s="598"/>
      <c r="IN189" s="598"/>
      <c r="IO189" s="598"/>
      <c r="IP189" s="598"/>
      <c r="IQ189" s="598"/>
      <c r="IR189" s="598"/>
      <c r="IS189" s="598"/>
      <c r="IT189" s="598"/>
      <c r="IU189" s="598"/>
      <c r="IV189" s="598"/>
      <c r="IW189" s="598"/>
      <c r="IX189" s="598"/>
      <c r="IY189" s="598"/>
      <c r="IZ189" s="598"/>
      <c r="JA189" s="598"/>
      <c r="JB189" s="598"/>
      <c r="JC189" s="598"/>
      <c r="JD189" s="598"/>
      <c r="JE189" s="598"/>
      <c r="JF189" s="598"/>
      <c r="JG189" s="598"/>
      <c r="JH189" s="598"/>
      <c r="JI189" s="598"/>
      <c r="JJ189" s="598"/>
      <c r="JK189" s="598"/>
      <c r="JL189" s="598"/>
      <c r="JM189" s="598"/>
      <c r="JN189" s="598"/>
      <c r="JO189" s="598"/>
      <c r="JP189" s="598"/>
      <c r="JQ189" s="598"/>
      <c r="JR189" s="598"/>
      <c r="JS189" s="598"/>
      <c r="JT189" s="598"/>
      <c r="JU189" s="598"/>
      <c r="JV189" s="598"/>
    </row>
    <row r="190" spans="1:282" s="21" customFormat="1" ht="50.1" customHeight="1" x14ac:dyDescent="0.2">
      <c r="A190" s="702"/>
      <c r="B190" s="703" t="s">
        <v>1137</v>
      </c>
      <c r="C190" s="703"/>
      <c r="D190" s="703"/>
      <c r="E190" s="729" t="s">
        <v>1903</v>
      </c>
      <c r="F190" s="751" t="s">
        <v>2489</v>
      </c>
      <c r="G190" s="197" t="s">
        <v>1904</v>
      </c>
      <c r="H190" s="29" t="s">
        <v>1806</v>
      </c>
      <c r="I190" s="29"/>
      <c r="J190" s="729" t="s">
        <v>1919</v>
      </c>
      <c r="K190" s="729" t="s">
        <v>1394</v>
      </c>
      <c r="L190" s="729" t="s">
        <v>2418</v>
      </c>
      <c r="M190" s="729" t="s">
        <v>1615</v>
      </c>
      <c r="N190" s="739">
        <v>41802</v>
      </c>
      <c r="O190" s="752" t="s">
        <v>1926</v>
      </c>
      <c r="P190" s="752"/>
      <c r="Q190" s="752"/>
      <c r="R190" s="752"/>
      <c r="S190" s="752"/>
      <c r="T190" s="171" t="s">
        <v>2900</v>
      </c>
      <c r="U190" s="171"/>
      <c r="V190" s="171"/>
      <c r="W190" s="171"/>
      <c r="X190" s="171"/>
      <c r="Y190" s="171"/>
      <c r="Z190" s="171"/>
      <c r="AA190" s="171"/>
      <c r="AB190" s="171"/>
      <c r="AC190" s="171"/>
      <c r="AD190" s="171"/>
      <c r="AE190" s="171"/>
      <c r="AF190" s="171"/>
      <c r="AG190" s="171"/>
      <c r="AH190" s="171"/>
      <c r="AI190" s="171"/>
      <c r="AJ190" s="739">
        <v>41925</v>
      </c>
      <c r="AK190" s="741">
        <v>8</v>
      </c>
      <c r="AL190" s="171"/>
      <c r="AM190" s="598"/>
      <c r="AN190" s="598"/>
      <c r="AO190" s="598"/>
      <c r="AP190" s="598"/>
      <c r="AQ190" s="598"/>
      <c r="AR190" s="598"/>
      <c r="AS190" s="598"/>
      <c r="AT190" s="598"/>
      <c r="AU190" s="598"/>
      <c r="AV190" s="598"/>
      <c r="AW190" s="598"/>
      <c r="AX190" s="598"/>
      <c r="AY190" s="598"/>
      <c r="AZ190" s="598"/>
      <c r="BA190" s="598"/>
      <c r="BB190" s="598"/>
      <c r="BC190" s="598"/>
      <c r="BD190" s="598"/>
      <c r="BE190" s="598"/>
      <c r="BF190" s="598"/>
      <c r="BG190" s="598"/>
      <c r="BH190" s="598"/>
      <c r="BI190" s="598"/>
      <c r="BJ190" s="598"/>
      <c r="BK190" s="598"/>
      <c r="BL190" s="598"/>
      <c r="BM190" s="598"/>
      <c r="BN190" s="598"/>
      <c r="BO190" s="598"/>
      <c r="BP190" s="598"/>
      <c r="BQ190" s="598"/>
      <c r="BR190" s="598"/>
      <c r="BS190" s="598"/>
      <c r="BT190" s="598"/>
      <c r="BU190" s="598"/>
      <c r="BV190" s="598"/>
      <c r="BW190" s="598"/>
      <c r="BX190" s="598"/>
      <c r="BY190" s="598"/>
      <c r="BZ190" s="598"/>
      <c r="CA190" s="598"/>
      <c r="CB190" s="598"/>
      <c r="CC190" s="598"/>
      <c r="CD190" s="598"/>
      <c r="CE190" s="598"/>
      <c r="CF190" s="598"/>
      <c r="CG190" s="598"/>
      <c r="CH190" s="598"/>
      <c r="CI190" s="598"/>
      <c r="CJ190" s="598"/>
      <c r="CK190" s="598"/>
      <c r="CL190" s="598"/>
      <c r="CM190" s="598"/>
      <c r="CN190" s="598"/>
      <c r="CO190" s="598"/>
      <c r="CP190" s="598"/>
      <c r="CQ190" s="598"/>
      <c r="CR190" s="598"/>
      <c r="CS190" s="598"/>
      <c r="CT190" s="598"/>
      <c r="CU190" s="598"/>
      <c r="CV190" s="598"/>
      <c r="CW190" s="598"/>
      <c r="CX190" s="598"/>
      <c r="CY190" s="598"/>
      <c r="CZ190" s="598"/>
      <c r="DA190" s="598"/>
      <c r="DB190" s="598"/>
      <c r="DC190" s="598"/>
      <c r="DD190" s="598"/>
      <c r="DE190" s="598"/>
      <c r="DF190" s="598"/>
      <c r="DG190" s="598"/>
      <c r="DH190" s="598"/>
      <c r="DI190" s="598"/>
      <c r="DJ190" s="598"/>
      <c r="DK190" s="598"/>
      <c r="DL190" s="598"/>
      <c r="DM190" s="598"/>
      <c r="DN190" s="598"/>
      <c r="DO190" s="598"/>
      <c r="DP190" s="598"/>
      <c r="DQ190" s="598"/>
      <c r="DR190" s="598"/>
      <c r="DS190" s="598"/>
      <c r="DT190" s="598"/>
      <c r="DU190" s="598"/>
      <c r="DV190" s="598"/>
      <c r="DW190" s="598"/>
      <c r="DX190" s="598"/>
      <c r="DY190" s="598"/>
      <c r="DZ190" s="598"/>
      <c r="EA190" s="598"/>
      <c r="EB190" s="598"/>
      <c r="EC190" s="598"/>
      <c r="ED190" s="598"/>
      <c r="EE190" s="598"/>
      <c r="EF190" s="598"/>
      <c r="EG190" s="598"/>
      <c r="EH190" s="598"/>
      <c r="EI190" s="598"/>
      <c r="EJ190" s="598"/>
      <c r="EK190" s="598"/>
      <c r="EL190" s="598"/>
      <c r="EM190" s="598"/>
      <c r="EN190" s="598"/>
      <c r="EO190" s="598"/>
      <c r="EP190" s="598"/>
      <c r="EQ190" s="598"/>
      <c r="ER190" s="598"/>
      <c r="ES190" s="598"/>
      <c r="ET190" s="598"/>
      <c r="EU190" s="598"/>
      <c r="EV190" s="598"/>
      <c r="EW190" s="598"/>
      <c r="EX190" s="598"/>
      <c r="EY190" s="598"/>
      <c r="EZ190" s="598"/>
      <c r="FA190" s="598"/>
      <c r="FB190" s="598"/>
      <c r="FC190" s="598"/>
      <c r="FD190" s="598"/>
      <c r="FE190" s="598"/>
      <c r="FF190" s="598"/>
      <c r="FG190" s="598"/>
      <c r="FH190" s="598"/>
      <c r="FI190" s="598"/>
      <c r="FJ190" s="598"/>
      <c r="FK190" s="598"/>
      <c r="FL190" s="598"/>
      <c r="FM190" s="598"/>
      <c r="FN190" s="598"/>
      <c r="FO190" s="598"/>
      <c r="FP190" s="598"/>
      <c r="FQ190" s="598"/>
      <c r="FR190" s="598"/>
      <c r="FS190" s="598"/>
      <c r="FT190" s="598"/>
      <c r="FU190" s="598"/>
      <c r="FV190" s="598"/>
      <c r="FW190" s="598"/>
      <c r="FX190" s="598"/>
      <c r="FY190" s="598"/>
      <c r="FZ190" s="598"/>
      <c r="GA190" s="598"/>
      <c r="GB190" s="598"/>
      <c r="GC190" s="598"/>
      <c r="GD190" s="598"/>
      <c r="GE190" s="598"/>
      <c r="GF190" s="598"/>
      <c r="GG190" s="598"/>
      <c r="GH190" s="598"/>
      <c r="GI190" s="598"/>
      <c r="GJ190" s="598"/>
      <c r="GK190" s="598"/>
      <c r="GL190" s="598"/>
      <c r="GM190" s="598"/>
      <c r="GN190" s="598"/>
      <c r="GO190" s="598"/>
      <c r="GP190" s="598"/>
      <c r="GQ190" s="598"/>
      <c r="GR190" s="598"/>
      <c r="GS190" s="598"/>
      <c r="GT190" s="598"/>
      <c r="GU190" s="598"/>
      <c r="GV190" s="598"/>
      <c r="GW190" s="598"/>
      <c r="GX190" s="598"/>
      <c r="GY190" s="598"/>
      <c r="GZ190" s="598"/>
      <c r="HA190" s="598"/>
      <c r="HB190" s="598"/>
      <c r="HC190" s="598"/>
      <c r="HD190" s="598"/>
      <c r="HE190" s="598"/>
      <c r="HF190" s="598"/>
      <c r="HG190" s="598"/>
      <c r="HH190" s="598"/>
      <c r="HI190" s="598"/>
      <c r="HJ190" s="598"/>
      <c r="HK190" s="598"/>
      <c r="HL190" s="598"/>
      <c r="HM190" s="598"/>
      <c r="HN190" s="598"/>
      <c r="HO190" s="598"/>
      <c r="HP190" s="598"/>
      <c r="HQ190" s="598"/>
      <c r="HR190" s="598"/>
      <c r="HS190" s="598"/>
      <c r="HT190" s="598"/>
      <c r="HU190" s="598"/>
      <c r="HV190" s="598"/>
      <c r="HW190" s="598"/>
      <c r="HX190" s="598"/>
      <c r="HY190" s="598"/>
      <c r="HZ190" s="598"/>
      <c r="IA190" s="598"/>
      <c r="IB190" s="598"/>
      <c r="IC190" s="598"/>
      <c r="ID190" s="598"/>
      <c r="IE190" s="598"/>
      <c r="IF190" s="598"/>
      <c r="IG190" s="598"/>
      <c r="IH190" s="598"/>
      <c r="II190" s="598"/>
      <c r="IJ190" s="598"/>
      <c r="IK190" s="598"/>
      <c r="IL190" s="598"/>
      <c r="IM190" s="598"/>
      <c r="IN190" s="598"/>
      <c r="IO190" s="598"/>
      <c r="IP190" s="598"/>
      <c r="IQ190" s="598"/>
      <c r="IR190" s="598"/>
      <c r="IS190" s="598"/>
      <c r="IT190" s="598"/>
      <c r="IU190" s="598"/>
      <c r="IV190" s="598"/>
      <c r="IW190" s="598"/>
      <c r="IX190" s="598"/>
      <c r="IY190" s="598"/>
      <c r="IZ190" s="598"/>
      <c r="JA190" s="598"/>
      <c r="JB190" s="598"/>
      <c r="JC190" s="598"/>
      <c r="JD190" s="598"/>
      <c r="JE190" s="598"/>
      <c r="JF190" s="598"/>
      <c r="JG190" s="598"/>
      <c r="JH190" s="598"/>
      <c r="JI190" s="598"/>
      <c r="JJ190" s="598"/>
      <c r="JK190" s="598"/>
      <c r="JL190" s="598"/>
      <c r="JM190" s="598"/>
      <c r="JN190" s="598"/>
      <c r="JO190" s="598"/>
      <c r="JP190" s="598"/>
      <c r="JQ190" s="598"/>
      <c r="JR190" s="598"/>
      <c r="JS190" s="598"/>
      <c r="JT190" s="598"/>
      <c r="JU190" s="598"/>
      <c r="JV190" s="598"/>
    </row>
    <row r="191" spans="1:282" s="21" customFormat="1" ht="50.1" customHeight="1" x14ac:dyDescent="0.2">
      <c r="A191" s="702"/>
      <c r="B191" s="30" t="s">
        <v>584</v>
      </c>
      <c r="C191" s="30"/>
      <c r="D191" s="30"/>
      <c r="E191" s="30" t="s">
        <v>1308</v>
      </c>
      <c r="F191" s="196" t="s">
        <v>2419</v>
      </c>
      <c r="G191" s="749" t="s">
        <v>1217</v>
      </c>
      <c r="H191" s="30" t="s">
        <v>1193</v>
      </c>
      <c r="I191" s="30"/>
      <c r="J191" s="30" t="s">
        <v>1300</v>
      </c>
      <c r="K191" s="29" t="s">
        <v>1219</v>
      </c>
      <c r="L191" s="29" t="s">
        <v>1286</v>
      </c>
      <c r="M191" s="30" t="s">
        <v>2442</v>
      </c>
      <c r="N191" s="73">
        <v>41589</v>
      </c>
      <c r="O191" s="30" t="s">
        <v>1313</v>
      </c>
      <c r="P191" s="30"/>
      <c r="Q191" s="30"/>
      <c r="R191" s="30"/>
      <c r="S191" s="30"/>
      <c r="T191" s="597"/>
      <c r="U191" s="597"/>
      <c r="V191" s="597"/>
      <c r="W191" s="597"/>
      <c r="X191" s="597"/>
      <c r="Y191" s="597"/>
      <c r="Z191" s="597"/>
      <c r="AA191" s="597"/>
      <c r="AB191" s="597"/>
      <c r="AC191" s="597"/>
      <c r="AD191" s="597"/>
      <c r="AE191" s="597"/>
      <c r="AF191" s="597"/>
      <c r="AG191" s="597"/>
      <c r="AH191" s="597"/>
      <c r="AI191" s="597"/>
      <c r="AJ191" s="74">
        <v>41942</v>
      </c>
      <c r="AK191" s="740"/>
      <c r="AL191" s="191"/>
      <c r="AM191" s="598"/>
      <c r="AN191" s="598"/>
      <c r="AO191" s="598"/>
      <c r="AP191" s="598"/>
      <c r="AQ191" s="598"/>
      <c r="AR191" s="598"/>
      <c r="AS191" s="598"/>
      <c r="AT191" s="598"/>
      <c r="AU191" s="598"/>
      <c r="AV191" s="598"/>
      <c r="AW191" s="598"/>
      <c r="AX191" s="598"/>
      <c r="AY191" s="598"/>
      <c r="AZ191" s="598"/>
      <c r="BA191" s="598"/>
      <c r="BB191" s="598"/>
      <c r="BC191" s="598"/>
      <c r="BD191" s="598"/>
      <c r="BE191" s="598"/>
      <c r="BF191" s="598"/>
      <c r="BG191" s="598"/>
      <c r="BH191" s="598"/>
      <c r="BI191" s="598"/>
      <c r="BJ191" s="598"/>
      <c r="BK191" s="598"/>
      <c r="BL191" s="598"/>
      <c r="BM191" s="598"/>
      <c r="BN191" s="598"/>
      <c r="BO191" s="598"/>
      <c r="BP191" s="598"/>
      <c r="BQ191" s="598"/>
      <c r="BR191" s="598"/>
      <c r="BS191" s="598"/>
      <c r="BT191" s="598"/>
      <c r="BU191" s="598"/>
      <c r="BV191" s="598"/>
      <c r="BW191" s="598"/>
      <c r="BX191" s="598"/>
      <c r="BY191" s="598"/>
      <c r="BZ191" s="598"/>
      <c r="CA191" s="598"/>
      <c r="CB191" s="598"/>
      <c r="CC191" s="598"/>
      <c r="CD191" s="598"/>
      <c r="CE191" s="598"/>
      <c r="CF191" s="598"/>
      <c r="CG191" s="598"/>
      <c r="CH191" s="598"/>
      <c r="CI191" s="598"/>
      <c r="CJ191" s="598"/>
      <c r="CK191" s="598"/>
      <c r="CL191" s="598"/>
      <c r="CM191" s="598"/>
      <c r="CN191" s="598"/>
      <c r="CO191" s="598"/>
      <c r="CP191" s="598"/>
      <c r="CQ191" s="598"/>
      <c r="CR191" s="598"/>
      <c r="CS191" s="598"/>
      <c r="CT191" s="598"/>
      <c r="CU191" s="598"/>
      <c r="CV191" s="598"/>
      <c r="CW191" s="598"/>
      <c r="CX191" s="598"/>
      <c r="CY191" s="598"/>
      <c r="CZ191" s="598"/>
      <c r="DA191" s="598"/>
      <c r="DB191" s="598"/>
      <c r="DC191" s="598"/>
      <c r="DD191" s="598"/>
      <c r="DE191" s="598"/>
      <c r="DF191" s="598"/>
      <c r="DG191" s="598"/>
      <c r="DH191" s="598"/>
      <c r="DI191" s="598"/>
      <c r="DJ191" s="598"/>
      <c r="DK191" s="598"/>
      <c r="DL191" s="598"/>
      <c r="DM191" s="598"/>
      <c r="DN191" s="598"/>
      <c r="DO191" s="598"/>
      <c r="DP191" s="598"/>
      <c r="DQ191" s="598"/>
      <c r="DR191" s="598"/>
      <c r="DS191" s="598"/>
      <c r="DT191" s="598"/>
      <c r="DU191" s="598"/>
      <c r="DV191" s="598"/>
      <c r="DW191" s="598"/>
      <c r="DX191" s="598"/>
      <c r="DY191" s="598"/>
      <c r="DZ191" s="598"/>
      <c r="EA191" s="598"/>
      <c r="EB191" s="598"/>
      <c r="EC191" s="598"/>
      <c r="ED191" s="598"/>
      <c r="EE191" s="598"/>
      <c r="EF191" s="598"/>
      <c r="EG191" s="598"/>
      <c r="EH191" s="598"/>
      <c r="EI191" s="598"/>
      <c r="EJ191" s="598"/>
      <c r="EK191" s="598"/>
      <c r="EL191" s="598"/>
      <c r="EM191" s="598"/>
      <c r="EN191" s="598"/>
      <c r="EO191" s="598"/>
      <c r="EP191" s="598"/>
      <c r="EQ191" s="598"/>
      <c r="ER191" s="598"/>
      <c r="ES191" s="598"/>
      <c r="ET191" s="598"/>
      <c r="EU191" s="598"/>
      <c r="EV191" s="598"/>
      <c r="EW191" s="598"/>
      <c r="EX191" s="598"/>
      <c r="EY191" s="598"/>
      <c r="EZ191" s="598"/>
      <c r="FA191" s="598"/>
      <c r="FB191" s="598"/>
      <c r="FC191" s="598"/>
      <c r="FD191" s="598"/>
      <c r="FE191" s="598"/>
      <c r="FF191" s="598"/>
      <c r="FG191" s="598"/>
      <c r="FH191" s="598"/>
      <c r="FI191" s="598"/>
      <c r="FJ191" s="598"/>
      <c r="FK191" s="598"/>
      <c r="FL191" s="598"/>
      <c r="FM191" s="598"/>
      <c r="FN191" s="598"/>
      <c r="FO191" s="598"/>
      <c r="FP191" s="598"/>
      <c r="FQ191" s="598"/>
      <c r="FR191" s="598"/>
      <c r="FS191" s="598"/>
      <c r="FT191" s="598"/>
      <c r="FU191" s="598"/>
      <c r="FV191" s="598"/>
      <c r="FW191" s="598"/>
      <c r="FX191" s="598"/>
      <c r="FY191" s="598"/>
      <c r="FZ191" s="598"/>
      <c r="GA191" s="598"/>
      <c r="GB191" s="598"/>
      <c r="GC191" s="598"/>
      <c r="GD191" s="598"/>
      <c r="GE191" s="598"/>
      <c r="GF191" s="598"/>
      <c r="GG191" s="598"/>
      <c r="GH191" s="598"/>
      <c r="GI191" s="598"/>
      <c r="GJ191" s="598"/>
      <c r="GK191" s="598"/>
      <c r="GL191" s="598"/>
      <c r="GM191" s="598"/>
      <c r="GN191" s="598"/>
      <c r="GO191" s="598"/>
      <c r="GP191" s="598"/>
      <c r="GQ191" s="598"/>
      <c r="GR191" s="598"/>
      <c r="GS191" s="598"/>
      <c r="GT191" s="598"/>
      <c r="GU191" s="598"/>
      <c r="GV191" s="598"/>
      <c r="GW191" s="598"/>
      <c r="GX191" s="598"/>
      <c r="GY191" s="598"/>
      <c r="GZ191" s="598"/>
      <c r="HA191" s="598"/>
      <c r="HB191" s="598"/>
      <c r="HC191" s="598"/>
      <c r="HD191" s="598"/>
      <c r="HE191" s="598"/>
      <c r="HF191" s="598"/>
      <c r="HG191" s="598"/>
      <c r="HH191" s="598"/>
      <c r="HI191" s="598"/>
      <c r="HJ191" s="598"/>
      <c r="HK191" s="598"/>
      <c r="HL191" s="598"/>
      <c r="HM191" s="598"/>
      <c r="HN191" s="598"/>
      <c r="HO191" s="598"/>
      <c r="HP191" s="598"/>
      <c r="HQ191" s="598"/>
      <c r="HR191" s="598"/>
      <c r="HS191" s="598"/>
      <c r="HT191" s="598"/>
      <c r="HU191" s="598"/>
      <c r="HV191" s="598"/>
      <c r="HW191" s="598"/>
      <c r="HX191" s="598"/>
      <c r="HY191" s="598"/>
      <c r="HZ191" s="598"/>
      <c r="IA191" s="598"/>
      <c r="IB191" s="598"/>
      <c r="IC191" s="598"/>
      <c r="ID191" s="598"/>
      <c r="IE191" s="598"/>
      <c r="IF191" s="598"/>
      <c r="IG191" s="598"/>
      <c r="IH191" s="598"/>
      <c r="II191" s="598"/>
      <c r="IJ191" s="598"/>
      <c r="IK191" s="598"/>
      <c r="IL191" s="598"/>
      <c r="IM191" s="598"/>
      <c r="IN191" s="598"/>
      <c r="IO191" s="598"/>
      <c r="IP191" s="598"/>
      <c r="IQ191" s="598"/>
      <c r="IR191" s="598"/>
      <c r="IS191" s="598"/>
      <c r="IT191" s="598"/>
      <c r="IU191" s="598"/>
      <c r="IV191" s="598"/>
      <c r="IW191" s="598"/>
      <c r="IX191" s="598"/>
      <c r="IY191" s="598"/>
      <c r="IZ191" s="598"/>
      <c r="JA191" s="598"/>
      <c r="JB191" s="598"/>
      <c r="JC191" s="598"/>
      <c r="JD191" s="598"/>
      <c r="JE191" s="598"/>
      <c r="JF191" s="598"/>
      <c r="JG191" s="598"/>
      <c r="JH191" s="598"/>
      <c r="JI191" s="598"/>
      <c r="JJ191" s="598"/>
      <c r="JK191" s="598"/>
      <c r="JL191" s="598"/>
      <c r="JM191" s="598"/>
      <c r="JN191" s="598"/>
      <c r="JO191" s="598"/>
      <c r="JP191" s="598"/>
      <c r="JQ191" s="598"/>
      <c r="JR191" s="598"/>
      <c r="JS191" s="598"/>
      <c r="JT191" s="598"/>
      <c r="JU191" s="598"/>
      <c r="JV191" s="598"/>
    </row>
    <row r="192" spans="1:282" s="1" customFormat="1" ht="50.1" customHeight="1" x14ac:dyDescent="0.2">
      <c r="A192" s="693"/>
      <c r="B192" s="703" t="s">
        <v>1137</v>
      </c>
      <c r="C192" s="703"/>
      <c r="D192" s="703"/>
      <c r="E192" s="729" t="s">
        <v>1905</v>
      </c>
      <c r="F192" s="751" t="s">
        <v>2024</v>
      </c>
      <c r="G192" s="197" t="s">
        <v>426</v>
      </c>
      <c r="H192" s="165" t="s">
        <v>1806</v>
      </c>
      <c r="I192" s="165"/>
      <c r="J192" s="729" t="s">
        <v>763</v>
      </c>
      <c r="K192" s="729" t="s">
        <v>1394</v>
      </c>
      <c r="L192" s="729" t="s">
        <v>12</v>
      </c>
      <c r="M192" s="729" t="s">
        <v>1615</v>
      </c>
      <c r="N192" s="739">
        <v>41808</v>
      </c>
      <c r="O192" s="752" t="s">
        <v>1927</v>
      </c>
      <c r="P192" s="752"/>
      <c r="Q192" s="752"/>
      <c r="R192" s="752"/>
      <c r="S192" s="752"/>
      <c r="T192" s="171" t="s">
        <v>2674</v>
      </c>
      <c r="U192" s="171"/>
      <c r="V192" s="171"/>
      <c r="W192" s="171"/>
      <c r="X192" s="171"/>
      <c r="Y192" s="171"/>
      <c r="Z192" s="171"/>
      <c r="AA192" s="171"/>
      <c r="AB192" s="171"/>
      <c r="AC192" s="171"/>
      <c r="AD192" s="171"/>
      <c r="AE192" s="171"/>
      <c r="AF192" s="171"/>
      <c r="AG192" s="171"/>
      <c r="AH192" s="171"/>
      <c r="AI192" s="171"/>
      <c r="AJ192" s="723">
        <v>41946</v>
      </c>
      <c r="AK192" s="720" t="s">
        <v>1193</v>
      </c>
      <c r="AL192" s="155"/>
      <c r="AM192" s="587"/>
      <c r="AN192" s="587"/>
      <c r="AO192" s="587"/>
      <c r="AP192" s="587"/>
      <c r="AQ192" s="587"/>
      <c r="AR192" s="587"/>
      <c r="AS192" s="587"/>
      <c r="AT192" s="587"/>
      <c r="AU192" s="587"/>
      <c r="AV192" s="587"/>
      <c r="AW192" s="587"/>
      <c r="AX192" s="587"/>
      <c r="AY192" s="587"/>
      <c r="AZ192" s="587"/>
      <c r="BA192" s="587"/>
      <c r="BB192" s="587"/>
      <c r="BC192" s="587"/>
      <c r="BD192" s="587"/>
      <c r="BE192" s="587"/>
      <c r="BF192" s="587"/>
      <c r="BG192" s="587"/>
      <c r="BH192" s="587"/>
      <c r="BI192" s="587"/>
      <c r="BJ192" s="587"/>
      <c r="BK192" s="587"/>
      <c r="BL192" s="587"/>
      <c r="BM192" s="587"/>
      <c r="BN192" s="587"/>
      <c r="BO192" s="587"/>
      <c r="BP192" s="587"/>
      <c r="BQ192" s="587"/>
      <c r="BR192" s="587"/>
      <c r="BS192" s="587"/>
      <c r="BT192" s="587"/>
      <c r="BU192" s="587"/>
      <c r="BV192" s="587"/>
      <c r="BW192" s="587"/>
      <c r="BX192" s="587"/>
      <c r="BY192" s="587"/>
      <c r="BZ192" s="587"/>
      <c r="CA192" s="587"/>
      <c r="CB192" s="587"/>
      <c r="CC192" s="587"/>
      <c r="CD192" s="587"/>
      <c r="CE192" s="587"/>
      <c r="CF192" s="587"/>
      <c r="CG192" s="587"/>
      <c r="CH192" s="587"/>
      <c r="CI192" s="587"/>
      <c r="CJ192" s="587"/>
      <c r="CK192" s="587"/>
      <c r="CL192" s="587"/>
      <c r="CM192" s="587"/>
      <c r="CN192" s="587"/>
      <c r="CO192" s="587"/>
      <c r="CP192" s="587"/>
      <c r="CQ192" s="587"/>
      <c r="CR192" s="587"/>
      <c r="CS192" s="587"/>
      <c r="CT192" s="587"/>
      <c r="CU192" s="587"/>
      <c r="CV192" s="587"/>
      <c r="CW192" s="587"/>
      <c r="CX192" s="587"/>
      <c r="CY192" s="587"/>
      <c r="CZ192" s="587"/>
      <c r="DA192" s="587"/>
      <c r="DB192" s="587"/>
      <c r="DC192" s="587"/>
      <c r="DD192" s="587"/>
      <c r="DE192" s="587"/>
      <c r="DF192" s="587"/>
      <c r="DG192" s="587"/>
      <c r="DH192" s="587"/>
      <c r="DI192" s="587"/>
      <c r="DJ192" s="587"/>
      <c r="DK192" s="587"/>
      <c r="DL192" s="587"/>
      <c r="DM192" s="587"/>
      <c r="DN192" s="587"/>
      <c r="DO192" s="587"/>
      <c r="DP192" s="587"/>
      <c r="DQ192" s="587"/>
      <c r="DR192" s="587"/>
      <c r="DS192" s="587"/>
      <c r="DT192" s="587"/>
      <c r="DU192" s="587"/>
      <c r="DV192" s="587"/>
      <c r="DW192" s="587"/>
      <c r="DX192" s="587"/>
      <c r="DY192" s="587"/>
      <c r="DZ192" s="587"/>
      <c r="EA192" s="587"/>
      <c r="EB192" s="587"/>
      <c r="EC192" s="587"/>
      <c r="ED192" s="587"/>
      <c r="EE192" s="587"/>
      <c r="EF192" s="587"/>
      <c r="EG192" s="587"/>
      <c r="EH192" s="587"/>
      <c r="EI192" s="587"/>
      <c r="EJ192" s="587"/>
      <c r="EK192" s="587"/>
      <c r="EL192" s="587"/>
      <c r="EM192" s="587"/>
      <c r="EN192" s="587"/>
      <c r="EO192" s="587"/>
      <c r="EP192" s="587"/>
      <c r="EQ192" s="587"/>
      <c r="ER192" s="587"/>
      <c r="ES192" s="587"/>
      <c r="ET192" s="587"/>
      <c r="EU192" s="587"/>
      <c r="EV192" s="587"/>
      <c r="EW192" s="587"/>
      <c r="EX192" s="587"/>
      <c r="EY192" s="587"/>
      <c r="EZ192" s="587"/>
      <c r="FA192" s="587"/>
      <c r="FB192" s="587"/>
      <c r="FC192" s="587"/>
      <c r="FD192" s="587"/>
      <c r="FE192" s="587"/>
      <c r="FF192" s="587"/>
      <c r="FG192" s="587"/>
      <c r="FH192" s="587"/>
      <c r="FI192" s="587"/>
      <c r="FJ192" s="587"/>
      <c r="FK192" s="587"/>
      <c r="FL192" s="587"/>
      <c r="FM192" s="587"/>
      <c r="FN192" s="587"/>
      <c r="FO192" s="587"/>
      <c r="FP192" s="587"/>
      <c r="FQ192" s="587"/>
      <c r="FR192" s="587"/>
      <c r="FS192" s="587"/>
      <c r="FT192" s="587"/>
      <c r="FU192" s="587"/>
      <c r="FV192" s="587"/>
      <c r="FW192" s="587"/>
      <c r="FX192" s="587"/>
      <c r="FY192" s="587"/>
      <c r="FZ192" s="587"/>
      <c r="GA192" s="587"/>
      <c r="GB192" s="587"/>
      <c r="GC192" s="587"/>
      <c r="GD192" s="587"/>
      <c r="GE192" s="587"/>
      <c r="GF192" s="587"/>
      <c r="GG192" s="587"/>
      <c r="GH192" s="587"/>
      <c r="GI192" s="587"/>
      <c r="GJ192" s="587"/>
      <c r="GK192" s="587"/>
      <c r="GL192" s="587"/>
      <c r="GM192" s="587"/>
      <c r="GN192" s="587"/>
      <c r="GO192" s="587"/>
      <c r="GP192" s="587"/>
      <c r="GQ192" s="587"/>
      <c r="GR192" s="587"/>
      <c r="GS192" s="587"/>
      <c r="GT192" s="587"/>
      <c r="GU192" s="587"/>
      <c r="GV192" s="587"/>
      <c r="GW192" s="587"/>
      <c r="GX192" s="587"/>
      <c r="GY192" s="587"/>
      <c r="GZ192" s="587"/>
      <c r="HA192" s="587"/>
      <c r="HB192" s="587"/>
      <c r="HC192" s="587"/>
      <c r="HD192" s="587"/>
      <c r="HE192" s="587"/>
      <c r="HF192" s="587"/>
      <c r="HG192" s="587"/>
      <c r="HH192" s="587"/>
      <c r="HI192" s="587"/>
      <c r="HJ192" s="587"/>
      <c r="HK192" s="587"/>
      <c r="HL192" s="587"/>
      <c r="HM192" s="587"/>
      <c r="HN192" s="587"/>
      <c r="HO192" s="587"/>
      <c r="HP192" s="587"/>
      <c r="HQ192" s="587"/>
      <c r="HR192" s="587"/>
      <c r="HS192" s="587"/>
      <c r="HT192" s="587"/>
      <c r="HU192" s="587"/>
      <c r="HV192" s="587"/>
      <c r="HW192" s="587"/>
      <c r="HX192" s="587"/>
      <c r="HY192" s="587"/>
      <c r="HZ192" s="587"/>
      <c r="IA192" s="587"/>
      <c r="IB192" s="587"/>
      <c r="IC192" s="587"/>
      <c r="ID192" s="587"/>
      <c r="IE192" s="587"/>
      <c r="IF192" s="587"/>
      <c r="IG192" s="587"/>
      <c r="IH192" s="587"/>
      <c r="II192" s="587"/>
      <c r="IJ192" s="587"/>
      <c r="IK192" s="587"/>
      <c r="IL192" s="587"/>
      <c r="IM192" s="587"/>
      <c r="IN192" s="587"/>
      <c r="IO192" s="587"/>
      <c r="IP192" s="587"/>
      <c r="IQ192" s="587"/>
      <c r="IR192" s="587"/>
      <c r="IS192" s="587"/>
      <c r="IT192" s="587"/>
      <c r="IU192" s="587"/>
      <c r="IV192" s="587"/>
      <c r="IW192" s="587"/>
      <c r="IX192" s="587"/>
      <c r="IY192" s="587"/>
      <c r="IZ192" s="587"/>
      <c r="JA192" s="587"/>
      <c r="JB192" s="587"/>
      <c r="JC192" s="587"/>
      <c r="JD192" s="587"/>
      <c r="JE192" s="587"/>
      <c r="JF192" s="587"/>
      <c r="JG192" s="587"/>
      <c r="JH192" s="587"/>
      <c r="JI192" s="587"/>
      <c r="JJ192" s="587"/>
      <c r="JK192" s="587"/>
      <c r="JL192" s="587"/>
      <c r="JM192" s="587"/>
      <c r="JN192" s="587"/>
      <c r="JO192" s="587"/>
      <c r="JP192" s="587"/>
      <c r="JQ192" s="587"/>
      <c r="JR192" s="587"/>
      <c r="JS192" s="587"/>
      <c r="JT192" s="587"/>
      <c r="JU192" s="587"/>
      <c r="JV192" s="587"/>
    </row>
    <row r="193" spans="1:282" s="1" customFormat="1" ht="50.1" customHeight="1" x14ac:dyDescent="0.2">
      <c r="A193" s="693"/>
      <c r="B193" s="69" t="s">
        <v>1137</v>
      </c>
      <c r="C193" s="69"/>
      <c r="D193" s="69"/>
      <c r="E193" s="30" t="s">
        <v>1909</v>
      </c>
      <c r="F193" s="196" t="s">
        <v>2027</v>
      </c>
      <c r="G193" s="72" t="s">
        <v>357</v>
      </c>
      <c r="H193" s="29" t="s">
        <v>1806</v>
      </c>
      <c r="I193" s="29"/>
      <c r="J193" s="30" t="s">
        <v>360</v>
      </c>
      <c r="K193" s="30" t="s">
        <v>1394</v>
      </c>
      <c r="L193" s="30" t="s">
        <v>12</v>
      </c>
      <c r="M193" s="30" t="s">
        <v>1615</v>
      </c>
      <c r="N193" s="73">
        <v>41808</v>
      </c>
      <c r="O193" s="32" t="s">
        <v>1929</v>
      </c>
      <c r="P193" s="32"/>
      <c r="Q193" s="32"/>
      <c r="R193" s="32"/>
      <c r="S193" s="32"/>
      <c r="T193" s="174"/>
      <c r="U193" s="174"/>
      <c r="V193" s="174"/>
      <c r="W193" s="174"/>
      <c r="X193" s="174"/>
      <c r="Y193" s="174"/>
      <c r="Z193" s="174"/>
      <c r="AA193" s="174"/>
      <c r="AB193" s="174"/>
      <c r="AC193" s="174"/>
      <c r="AD193" s="174"/>
      <c r="AE193" s="174"/>
      <c r="AF193" s="174"/>
      <c r="AG193" s="174"/>
      <c r="AH193" s="174"/>
      <c r="AI193" s="174"/>
      <c r="AJ193" s="74">
        <v>41946</v>
      </c>
      <c r="AK193" s="720"/>
      <c r="AL193" s="591"/>
      <c r="AM193" s="587"/>
      <c r="AN193" s="587"/>
      <c r="AO193" s="587"/>
      <c r="AP193" s="587"/>
      <c r="AQ193" s="587"/>
      <c r="AR193" s="587"/>
      <c r="AS193" s="587"/>
      <c r="AT193" s="587"/>
      <c r="AU193" s="587"/>
      <c r="AV193" s="587"/>
      <c r="AW193" s="587"/>
      <c r="AX193" s="587"/>
      <c r="AY193" s="587"/>
      <c r="AZ193" s="587"/>
      <c r="BA193" s="587"/>
      <c r="BB193" s="587"/>
      <c r="BC193" s="587"/>
      <c r="BD193" s="587"/>
      <c r="BE193" s="587"/>
      <c r="BF193" s="587"/>
      <c r="BG193" s="587"/>
      <c r="BH193" s="587"/>
      <c r="BI193" s="587"/>
      <c r="BJ193" s="587"/>
      <c r="BK193" s="587"/>
      <c r="BL193" s="587"/>
      <c r="BM193" s="587"/>
      <c r="BN193" s="587"/>
      <c r="BO193" s="587"/>
      <c r="BP193" s="587"/>
      <c r="BQ193" s="587"/>
      <c r="BR193" s="587"/>
      <c r="BS193" s="587"/>
      <c r="BT193" s="587"/>
      <c r="BU193" s="587"/>
      <c r="BV193" s="587"/>
      <c r="BW193" s="587"/>
      <c r="BX193" s="587"/>
      <c r="BY193" s="587"/>
      <c r="BZ193" s="587"/>
      <c r="CA193" s="587"/>
      <c r="CB193" s="587"/>
      <c r="CC193" s="587"/>
      <c r="CD193" s="587"/>
      <c r="CE193" s="587"/>
      <c r="CF193" s="587"/>
      <c r="CG193" s="587"/>
      <c r="CH193" s="587"/>
      <c r="CI193" s="587"/>
      <c r="CJ193" s="587"/>
      <c r="CK193" s="587"/>
      <c r="CL193" s="587"/>
      <c r="CM193" s="587"/>
      <c r="CN193" s="587"/>
      <c r="CO193" s="587"/>
      <c r="CP193" s="587"/>
      <c r="CQ193" s="587"/>
      <c r="CR193" s="587"/>
      <c r="CS193" s="587"/>
      <c r="CT193" s="587"/>
      <c r="CU193" s="587"/>
      <c r="CV193" s="587"/>
      <c r="CW193" s="587"/>
      <c r="CX193" s="587"/>
      <c r="CY193" s="587"/>
      <c r="CZ193" s="587"/>
      <c r="DA193" s="587"/>
      <c r="DB193" s="587"/>
      <c r="DC193" s="587"/>
      <c r="DD193" s="587"/>
      <c r="DE193" s="587"/>
      <c r="DF193" s="587"/>
      <c r="DG193" s="587"/>
      <c r="DH193" s="587"/>
      <c r="DI193" s="587"/>
      <c r="DJ193" s="587"/>
      <c r="DK193" s="587"/>
      <c r="DL193" s="587"/>
      <c r="DM193" s="587"/>
      <c r="DN193" s="587"/>
      <c r="DO193" s="587"/>
      <c r="DP193" s="587"/>
      <c r="DQ193" s="587"/>
      <c r="DR193" s="587"/>
      <c r="DS193" s="587"/>
      <c r="DT193" s="587"/>
      <c r="DU193" s="587"/>
      <c r="DV193" s="587"/>
      <c r="DW193" s="587"/>
      <c r="DX193" s="587"/>
      <c r="DY193" s="587"/>
      <c r="DZ193" s="587"/>
      <c r="EA193" s="587"/>
      <c r="EB193" s="587"/>
      <c r="EC193" s="587"/>
      <c r="ED193" s="587"/>
      <c r="EE193" s="587"/>
      <c r="EF193" s="587"/>
      <c r="EG193" s="587"/>
      <c r="EH193" s="587"/>
      <c r="EI193" s="587"/>
      <c r="EJ193" s="587"/>
      <c r="EK193" s="587"/>
      <c r="EL193" s="587"/>
      <c r="EM193" s="587"/>
      <c r="EN193" s="587"/>
      <c r="EO193" s="587"/>
      <c r="EP193" s="587"/>
      <c r="EQ193" s="587"/>
      <c r="ER193" s="587"/>
      <c r="ES193" s="587"/>
      <c r="ET193" s="587"/>
      <c r="EU193" s="587"/>
      <c r="EV193" s="587"/>
      <c r="EW193" s="587"/>
      <c r="EX193" s="587"/>
      <c r="EY193" s="587"/>
      <c r="EZ193" s="587"/>
      <c r="FA193" s="587"/>
      <c r="FB193" s="587"/>
      <c r="FC193" s="587"/>
      <c r="FD193" s="587"/>
      <c r="FE193" s="587"/>
      <c r="FF193" s="587"/>
      <c r="FG193" s="587"/>
      <c r="FH193" s="587"/>
      <c r="FI193" s="587"/>
      <c r="FJ193" s="587"/>
      <c r="FK193" s="587"/>
      <c r="FL193" s="587"/>
      <c r="FM193" s="587"/>
      <c r="FN193" s="587"/>
      <c r="FO193" s="587"/>
      <c r="FP193" s="587"/>
      <c r="FQ193" s="587"/>
      <c r="FR193" s="587"/>
      <c r="FS193" s="587"/>
      <c r="FT193" s="587"/>
      <c r="FU193" s="587"/>
      <c r="FV193" s="587"/>
      <c r="FW193" s="587"/>
      <c r="FX193" s="587"/>
      <c r="FY193" s="587"/>
      <c r="FZ193" s="587"/>
      <c r="GA193" s="587"/>
      <c r="GB193" s="587"/>
      <c r="GC193" s="587"/>
      <c r="GD193" s="587"/>
      <c r="GE193" s="587"/>
      <c r="GF193" s="587"/>
      <c r="GG193" s="587"/>
      <c r="GH193" s="587"/>
      <c r="GI193" s="587"/>
      <c r="GJ193" s="587"/>
      <c r="GK193" s="587"/>
      <c r="GL193" s="587"/>
      <c r="GM193" s="587"/>
      <c r="GN193" s="587"/>
      <c r="GO193" s="587"/>
      <c r="GP193" s="587"/>
      <c r="GQ193" s="587"/>
      <c r="GR193" s="587"/>
      <c r="GS193" s="587"/>
      <c r="GT193" s="587"/>
      <c r="GU193" s="587"/>
      <c r="GV193" s="587"/>
      <c r="GW193" s="587"/>
      <c r="GX193" s="587"/>
      <c r="GY193" s="587"/>
      <c r="GZ193" s="587"/>
      <c r="HA193" s="587"/>
      <c r="HB193" s="587"/>
      <c r="HC193" s="587"/>
      <c r="HD193" s="587"/>
      <c r="HE193" s="587"/>
      <c r="HF193" s="587"/>
      <c r="HG193" s="587"/>
      <c r="HH193" s="587"/>
      <c r="HI193" s="587"/>
      <c r="HJ193" s="587"/>
      <c r="HK193" s="587"/>
      <c r="HL193" s="587"/>
      <c r="HM193" s="587"/>
      <c r="HN193" s="587"/>
      <c r="HO193" s="587"/>
      <c r="HP193" s="587"/>
      <c r="HQ193" s="587"/>
      <c r="HR193" s="587"/>
      <c r="HS193" s="587"/>
      <c r="HT193" s="587"/>
      <c r="HU193" s="587"/>
      <c r="HV193" s="587"/>
      <c r="HW193" s="587"/>
      <c r="HX193" s="587"/>
      <c r="HY193" s="587"/>
      <c r="HZ193" s="587"/>
      <c r="IA193" s="587"/>
      <c r="IB193" s="587"/>
      <c r="IC193" s="587"/>
      <c r="ID193" s="587"/>
      <c r="IE193" s="587"/>
      <c r="IF193" s="587"/>
      <c r="IG193" s="587"/>
      <c r="IH193" s="587"/>
      <c r="II193" s="587"/>
      <c r="IJ193" s="587"/>
      <c r="IK193" s="587"/>
      <c r="IL193" s="587"/>
      <c r="IM193" s="587"/>
      <c r="IN193" s="587"/>
      <c r="IO193" s="587"/>
      <c r="IP193" s="587"/>
      <c r="IQ193" s="587"/>
      <c r="IR193" s="587"/>
      <c r="IS193" s="587"/>
      <c r="IT193" s="587"/>
      <c r="IU193" s="587"/>
      <c r="IV193" s="587"/>
      <c r="IW193" s="587"/>
      <c r="IX193" s="587"/>
      <c r="IY193" s="587"/>
      <c r="IZ193" s="587"/>
      <c r="JA193" s="587"/>
      <c r="JB193" s="587"/>
      <c r="JC193" s="587"/>
      <c r="JD193" s="587"/>
      <c r="JE193" s="587"/>
      <c r="JF193" s="587"/>
      <c r="JG193" s="587"/>
      <c r="JH193" s="587"/>
      <c r="JI193" s="587"/>
      <c r="JJ193" s="587"/>
      <c r="JK193" s="587"/>
      <c r="JL193" s="587"/>
      <c r="JM193" s="587"/>
      <c r="JN193" s="587"/>
      <c r="JO193" s="587"/>
      <c r="JP193" s="587"/>
      <c r="JQ193" s="587"/>
      <c r="JR193" s="587"/>
      <c r="JS193" s="587"/>
      <c r="JT193" s="587"/>
      <c r="JU193" s="587"/>
      <c r="JV193" s="587"/>
    </row>
    <row r="194" spans="1:282" s="1" customFormat="1" ht="50.1" customHeight="1" x14ac:dyDescent="0.2">
      <c r="A194" s="693"/>
      <c r="B194" s="69" t="s">
        <v>1137</v>
      </c>
      <c r="C194" s="69"/>
      <c r="D194" s="69"/>
      <c r="E194" s="30" t="s">
        <v>1914</v>
      </c>
      <c r="F194" s="196" t="s">
        <v>2491</v>
      </c>
      <c r="G194" s="72" t="s">
        <v>1915</v>
      </c>
      <c r="H194" s="29" t="s">
        <v>1806</v>
      </c>
      <c r="I194" s="29"/>
      <c r="J194" s="30" t="s">
        <v>697</v>
      </c>
      <c r="K194" s="30" t="s">
        <v>1394</v>
      </c>
      <c r="L194" s="30" t="s">
        <v>2505</v>
      </c>
      <c r="M194" s="30" t="s">
        <v>1615</v>
      </c>
      <c r="N194" s="73">
        <v>41816</v>
      </c>
      <c r="O194" s="32" t="s">
        <v>1934</v>
      </c>
      <c r="P194" s="32"/>
      <c r="Q194" s="32"/>
      <c r="R194" s="32"/>
      <c r="S194" s="32"/>
      <c r="T194" s="174"/>
      <c r="U194" s="174"/>
      <c r="V194" s="174"/>
      <c r="W194" s="174"/>
      <c r="X194" s="174"/>
      <c r="Y194" s="174"/>
      <c r="Z194" s="174"/>
      <c r="AA194" s="174"/>
      <c r="AB194" s="174"/>
      <c r="AC194" s="174"/>
      <c r="AD194" s="174"/>
      <c r="AE194" s="174"/>
      <c r="AF194" s="174"/>
      <c r="AG194" s="174"/>
      <c r="AH194" s="174"/>
      <c r="AI194" s="174"/>
      <c r="AJ194" s="74">
        <v>41946</v>
      </c>
      <c r="AK194" s="740"/>
      <c r="AL194" s="191"/>
      <c r="AM194" s="587"/>
      <c r="AN194" s="587"/>
      <c r="AO194" s="587"/>
      <c r="AP194" s="587"/>
      <c r="AQ194" s="587"/>
      <c r="AR194" s="587"/>
      <c r="AS194" s="587"/>
      <c r="AT194" s="587"/>
      <c r="AU194" s="587"/>
      <c r="AV194" s="587"/>
      <c r="AW194" s="587"/>
      <c r="AX194" s="587"/>
      <c r="AY194" s="587"/>
      <c r="AZ194" s="587"/>
      <c r="BA194" s="587"/>
      <c r="BB194" s="587"/>
      <c r="BC194" s="587"/>
      <c r="BD194" s="587"/>
      <c r="BE194" s="587"/>
      <c r="BF194" s="587"/>
      <c r="BG194" s="587"/>
      <c r="BH194" s="587"/>
      <c r="BI194" s="587"/>
      <c r="BJ194" s="587"/>
      <c r="BK194" s="587"/>
      <c r="BL194" s="587"/>
      <c r="BM194" s="587"/>
      <c r="BN194" s="587"/>
      <c r="BO194" s="587"/>
      <c r="BP194" s="587"/>
      <c r="BQ194" s="587"/>
      <c r="BR194" s="587"/>
      <c r="BS194" s="587"/>
      <c r="BT194" s="587"/>
      <c r="BU194" s="587"/>
      <c r="BV194" s="587"/>
      <c r="BW194" s="587"/>
      <c r="BX194" s="587"/>
      <c r="BY194" s="587"/>
      <c r="BZ194" s="587"/>
      <c r="CA194" s="587"/>
      <c r="CB194" s="587"/>
      <c r="CC194" s="587"/>
      <c r="CD194" s="587"/>
      <c r="CE194" s="587"/>
      <c r="CF194" s="587"/>
      <c r="CG194" s="587"/>
      <c r="CH194" s="587"/>
      <c r="CI194" s="587"/>
      <c r="CJ194" s="587"/>
      <c r="CK194" s="587"/>
      <c r="CL194" s="587"/>
      <c r="CM194" s="587"/>
      <c r="CN194" s="587"/>
      <c r="CO194" s="587"/>
      <c r="CP194" s="587"/>
      <c r="CQ194" s="587"/>
      <c r="CR194" s="587"/>
      <c r="CS194" s="587"/>
      <c r="CT194" s="587"/>
      <c r="CU194" s="587"/>
      <c r="CV194" s="587"/>
      <c r="CW194" s="587"/>
      <c r="CX194" s="587"/>
      <c r="CY194" s="587"/>
      <c r="CZ194" s="587"/>
      <c r="DA194" s="587"/>
      <c r="DB194" s="587"/>
      <c r="DC194" s="587"/>
      <c r="DD194" s="587"/>
      <c r="DE194" s="587"/>
      <c r="DF194" s="587"/>
      <c r="DG194" s="587"/>
      <c r="DH194" s="587"/>
      <c r="DI194" s="587"/>
      <c r="DJ194" s="587"/>
      <c r="DK194" s="587"/>
      <c r="DL194" s="587"/>
      <c r="DM194" s="587"/>
      <c r="DN194" s="587"/>
      <c r="DO194" s="587"/>
      <c r="DP194" s="587"/>
      <c r="DQ194" s="587"/>
      <c r="DR194" s="587"/>
      <c r="DS194" s="587"/>
      <c r="DT194" s="587"/>
      <c r="DU194" s="587"/>
      <c r="DV194" s="587"/>
      <c r="DW194" s="587"/>
      <c r="DX194" s="587"/>
      <c r="DY194" s="587"/>
      <c r="DZ194" s="587"/>
      <c r="EA194" s="587"/>
      <c r="EB194" s="587"/>
      <c r="EC194" s="587"/>
      <c r="ED194" s="587"/>
      <c r="EE194" s="587"/>
      <c r="EF194" s="587"/>
      <c r="EG194" s="587"/>
      <c r="EH194" s="587"/>
      <c r="EI194" s="587"/>
      <c r="EJ194" s="587"/>
      <c r="EK194" s="587"/>
      <c r="EL194" s="587"/>
      <c r="EM194" s="587"/>
      <c r="EN194" s="587"/>
      <c r="EO194" s="587"/>
      <c r="EP194" s="587"/>
      <c r="EQ194" s="587"/>
      <c r="ER194" s="587"/>
      <c r="ES194" s="587"/>
      <c r="ET194" s="587"/>
      <c r="EU194" s="587"/>
      <c r="EV194" s="587"/>
      <c r="EW194" s="587"/>
      <c r="EX194" s="587"/>
      <c r="EY194" s="587"/>
      <c r="EZ194" s="587"/>
      <c r="FA194" s="587"/>
      <c r="FB194" s="587"/>
      <c r="FC194" s="587"/>
      <c r="FD194" s="587"/>
      <c r="FE194" s="587"/>
      <c r="FF194" s="587"/>
      <c r="FG194" s="587"/>
      <c r="FH194" s="587"/>
      <c r="FI194" s="587"/>
      <c r="FJ194" s="587"/>
      <c r="FK194" s="587"/>
      <c r="FL194" s="587"/>
      <c r="FM194" s="587"/>
      <c r="FN194" s="587"/>
      <c r="FO194" s="587"/>
      <c r="FP194" s="587"/>
      <c r="FQ194" s="587"/>
      <c r="FR194" s="587"/>
      <c r="FS194" s="587"/>
      <c r="FT194" s="587"/>
      <c r="FU194" s="587"/>
      <c r="FV194" s="587"/>
      <c r="FW194" s="587"/>
      <c r="FX194" s="587"/>
      <c r="FY194" s="587"/>
      <c r="FZ194" s="587"/>
      <c r="GA194" s="587"/>
      <c r="GB194" s="587"/>
      <c r="GC194" s="587"/>
      <c r="GD194" s="587"/>
      <c r="GE194" s="587"/>
      <c r="GF194" s="587"/>
      <c r="GG194" s="587"/>
      <c r="GH194" s="587"/>
      <c r="GI194" s="587"/>
      <c r="GJ194" s="587"/>
      <c r="GK194" s="587"/>
      <c r="GL194" s="587"/>
      <c r="GM194" s="587"/>
      <c r="GN194" s="587"/>
      <c r="GO194" s="587"/>
      <c r="GP194" s="587"/>
      <c r="GQ194" s="587"/>
      <c r="GR194" s="587"/>
      <c r="GS194" s="587"/>
      <c r="GT194" s="587"/>
      <c r="GU194" s="587"/>
      <c r="GV194" s="587"/>
      <c r="GW194" s="587"/>
      <c r="GX194" s="587"/>
      <c r="GY194" s="587"/>
      <c r="GZ194" s="587"/>
      <c r="HA194" s="587"/>
      <c r="HB194" s="587"/>
      <c r="HC194" s="587"/>
      <c r="HD194" s="587"/>
      <c r="HE194" s="587"/>
      <c r="HF194" s="587"/>
      <c r="HG194" s="587"/>
      <c r="HH194" s="587"/>
      <c r="HI194" s="587"/>
      <c r="HJ194" s="587"/>
      <c r="HK194" s="587"/>
      <c r="HL194" s="587"/>
      <c r="HM194" s="587"/>
      <c r="HN194" s="587"/>
      <c r="HO194" s="587"/>
      <c r="HP194" s="587"/>
      <c r="HQ194" s="587"/>
      <c r="HR194" s="587"/>
      <c r="HS194" s="587"/>
      <c r="HT194" s="587"/>
      <c r="HU194" s="587"/>
      <c r="HV194" s="587"/>
      <c r="HW194" s="587"/>
      <c r="HX194" s="587"/>
      <c r="HY194" s="587"/>
      <c r="HZ194" s="587"/>
      <c r="IA194" s="587"/>
      <c r="IB194" s="587"/>
      <c r="IC194" s="587"/>
      <c r="ID194" s="587"/>
      <c r="IE194" s="587"/>
      <c r="IF194" s="587"/>
      <c r="IG194" s="587"/>
      <c r="IH194" s="587"/>
      <c r="II194" s="587"/>
      <c r="IJ194" s="587"/>
      <c r="IK194" s="587"/>
      <c r="IL194" s="587"/>
      <c r="IM194" s="587"/>
      <c r="IN194" s="587"/>
      <c r="IO194" s="587"/>
      <c r="IP194" s="587"/>
      <c r="IQ194" s="587"/>
      <c r="IR194" s="587"/>
      <c r="IS194" s="587"/>
      <c r="IT194" s="587"/>
      <c r="IU194" s="587"/>
      <c r="IV194" s="587"/>
      <c r="IW194" s="587"/>
      <c r="IX194" s="587"/>
      <c r="IY194" s="587"/>
      <c r="IZ194" s="587"/>
      <c r="JA194" s="587"/>
      <c r="JB194" s="587"/>
      <c r="JC194" s="587"/>
      <c r="JD194" s="587"/>
      <c r="JE194" s="587"/>
      <c r="JF194" s="587"/>
      <c r="JG194" s="587"/>
      <c r="JH194" s="587"/>
      <c r="JI194" s="587"/>
      <c r="JJ194" s="587"/>
      <c r="JK194" s="587"/>
      <c r="JL194" s="587"/>
      <c r="JM194" s="587"/>
      <c r="JN194" s="587"/>
      <c r="JO194" s="587"/>
      <c r="JP194" s="587"/>
      <c r="JQ194" s="587"/>
      <c r="JR194" s="587"/>
      <c r="JS194" s="587"/>
      <c r="JT194" s="587"/>
      <c r="JU194" s="587"/>
      <c r="JV194" s="587"/>
    </row>
    <row r="195" spans="1:282" s="13" customFormat="1" ht="50.1" customHeight="1" x14ac:dyDescent="0.2">
      <c r="A195" s="695"/>
      <c r="B195" s="30" t="s">
        <v>584</v>
      </c>
      <c r="C195" s="30"/>
      <c r="D195" s="30"/>
      <c r="E195" s="30" t="s">
        <v>512</v>
      </c>
      <c r="F195" s="196" t="s">
        <v>2492</v>
      </c>
      <c r="G195" s="72" t="s">
        <v>513</v>
      </c>
      <c r="H195" s="29" t="s">
        <v>1806</v>
      </c>
      <c r="I195" s="29"/>
      <c r="J195" s="30" t="s">
        <v>514</v>
      </c>
      <c r="K195" s="30" t="s">
        <v>1393</v>
      </c>
      <c r="L195" s="29" t="s">
        <v>18</v>
      </c>
      <c r="M195" s="30" t="s">
        <v>1615</v>
      </c>
      <c r="N195" s="73">
        <v>41810</v>
      </c>
      <c r="O195" s="32" t="s">
        <v>1931</v>
      </c>
      <c r="P195" s="32"/>
      <c r="Q195" s="32"/>
      <c r="R195" s="32"/>
      <c r="S195" s="32"/>
      <c r="T195" s="171" t="s">
        <v>1071</v>
      </c>
      <c r="U195" s="171"/>
      <c r="V195" s="171"/>
      <c r="W195" s="171"/>
      <c r="X195" s="171"/>
      <c r="Y195" s="171"/>
      <c r="Z195" s="171"/>
      <c r="AA195" s="171"/>
      <c r="AB195" s="171"/>
      <c r="AC195" s="171"/>
      <c r="AD195" s="171"/>
      <c r="AE195" s="171"/>
      <c r="AF195" s="171"/>
      <c r="AG195" s="171"/>
      <c r="AH195" s="171"/>
      <c r="AI195" s="171"/>
      <c r="AJ195" s="74">
        <v>41953</v>
      </c>
      <c r="AK195" s="731"/>
      <c r="AL195" s="171"/>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15"/>
      <c r="CB195" s="15"/>
      <c r="CC195" s="15"/>
      <c r="CD195" s="15"/>
      <c r="CE195" s="15"/>
      <c r="CF195" s="15"/>
      <c r="CG195" s="15"/>
      <c r="CH195" s="15"/>
      <c r="CI195" s="15"/>
      <c r="CJ195" s="15"/>
      <c r="CK195" s="15"/>
      <c r="CL195" s="15"/>
      <c r="CM195" s="15"/>
      <c r="CN195" s="15"/>
      <c r="CO195" s="15"/>
      <c r="CP195" s="15"/>
      <c r="CQ195" s="15"/>
      <c r="CR195" s="15"/>
      <c r="CS195" s="15"/>
      <c r="CT195" s="15"/>
      <c r="CU195" s="15"/>
      <c r="CV195" s="15"/>
      <c r="CW195" s="15"/>
      <c r="CX195" s="15"/>
      <c r="CY195" s="15"/>
      <c r="CZ195" s="15"/>
      <c r="DA195" s="15"/>
      <c r="DB195" s="15"/>
      <c r="DC195" s="15"/>
      <c r="DD195" s="15"/>
      <c r="DE195" s="15"/>
      <c r="DF195" s="15"/>
      <c r="DG195" s="15"/>
      <c r="DH195" s="15"/>
      <c r="DI195" s="15"/>
      <c r="DJ195" s="15"/>
      <c r="DK195" s="15"/>
      <c r="DL195" s="15"/>
      <c r="DM195" s="15"/>
      <c r="DN195" s="15"/>
      <c r="DO195" s="15"/>
      <c r="DP195" s="15"/>
      <c r="DQ195" s="15"/>
      <c r="DR195" s="15"/>
      <c r="DS195" s="15"/>
      <c r="DT195" s="15"/>
      <c r="DU195" s="15"/>
      <c r="DV195" s="15"/>
      <c r="DW195" s="15"/>
      <c r="DX195" s="15"/>
      <c r="DY195" s="15"/>
      <c r="DZ195" s="15"/>
      <c r="EA195" s="15"/>
      <c r="EB195" s="15"/>
      <c r="EC195" s="15"/>
      <c r="ED195" s="15"/>
      <c r="EE195" s="15"/>
      <c r="EF195" s="15"/>
      <c r="EG195" s="15"/>
      <c r="EH195" s="15"/>
      <c r="EI195" s="15"/>
      <c r="EJ195" s="15"/>
      <c r="EK195" s="15"/>
      <c r="EL195" s="15"/>
      <c r="EM195" s="15"/>
      <c r="EN195" s="15"/>
      <c r="EO195" s="15"/>
      <c r="EP195" s="15"/>
      <c r="EQ195" s="15"/>
      <c r="ER195" s="15"/>
      <c r="ES195" s="15"/>
      <c r="ET195" s="15"/>
      <c r="EU195" s="15"/>
      <c r="EV195" s="15"/>
      <c r="EW195" s="15"/>
      <c r="EX195" s="15"/>
      <c r="EY195" s="15"/>
      <c r="EZ195" s="15"/>
      <c r="FA195" s="15"/>
      <c r="FB195" s="15"/>
      <c r="FC195" s="15"/>
      <c r="FD195" s="15"/>
      <c r="FE195" s="15"/>
      <c r="FF195" s="15"/>
      <c r="FG195" s="15"/>
      <c r="FH195" s="15"/>
      <c r="FI195" s="15"/>
      <c r="FJ195" s="15"/>
      <c r="FK195" s="15"/>
      <c r="FL195" s="15"/>
      <c r="FM195" s="15"/>
      <c r="FN195" s="15"/>
      <c r="FO195" s="15"/>
      <c r="FP195" s="15"/>
      <c r="FQ195" s="15"/>
      <c r="FR195" s="15"/>
      <c r="FS195" s="15"/>
      <c r="FT195" s="15"/>
      <c r="FU195" s="15"/>
      <c r="FV195" s="15"/>
      <c r="FW195" s="15"/>
      <c r="FX195" s="15"/>
      <c r="FY195" s="15"/>
      <c r="FZ195" s="15"/>
      <c r="GA195" s="15"/>
      <c r="GB195" s="15"/>
      <c r="GC195" s="15"/>
      <c r="GD195" s="15"/>
      <c r="GE195" s="15"/>
      <c r="GF195" s="15"/>
      <c r="GG195" s="15"/>
      <c r="GH195" s="15"/>
      <c r="GI195" s="15"/>
      <c r="GJ195" s="15"/>
      <c r="GK195" s="15"/>
      <c r="GL195" s="15"/>
      <c r="GM195" s="15"/>
      <c r="GN195" s="15"/>
      <c r="GO195" s="15"/>
      <c r="GP195" s="15"/>
      <c r="GQ195" s="15"/>
      <c r="GR195" s="15"/>
      <c r="GS195" s="15"/>
      <c r="GT195" s="15"/>
      <c r="GU195" s="15"/>
      <c r="GV195" s="15"/>
      <c r="GW195" s="15"/>
      <c r="GX195" s="15"/>
      <c r="GY195" s="15"/>
      <c r="GZ195" s="15"/>
      <c r="HA195" s="15"/>
      <c r="HB195" s="15"/>
      <c r="HC195" s="15"/>
      <c r="HD195" s="15"/>
      <c r="HE195" s="15"/>
      <c r="HF195" s="15"/>
      <c r="HG195" s="15"/>
      <c r="HH195" s="15"/>
      <c r="HI195" s="15"/>
      <c r="HJ195" s="15"/>
      <c r="HK195" s="15"/>
      <c r="HL195" s="15"/>
      <c r="HM195" s="15"/>
      <c r="HN195" s="15"/>
      <c r="HO195" s="15"/>
      <c r="HP195" s="15"/>
      <c r="HQ195" s="15"/>
      <c r="HR195" s="15"/>
      <c r="HS195" s="15"/>
      <c r="HT195" s="15"/>
      <c r="HU195" s="15"/>
      <c r="HV195" s="15"/>
      <c r="HW195" s="15"/>
      <c r="HX195" s="15"/>
      <c r="HY195" s="15"/>
      <c r="HZ195" s="15"/>
      <c r="IA195" s="15"/>
      <c r="IB195" s="15"/>
      <c r="IC195" s="15"/>
      <c r="ID195" s="15"/>
      <c r="IE195" s="15"/>
      <c r="IF195" s="15"/>
      <c r="IG195" s="15"/>
      <c r="IH195" s="15"/>
      <c r="II195" s="15"/>
      <c r="IJ195" s="15"/>
      <c r="IK195" s="15"/>
      <c r="IL195" s="15"/>
      <c r="IM195" s="15"/>
      <c r="IN195" s="15"/>
      <c r="IO195" s="15"/>
      <c r="IP195" s="15"/>
      <c r="IQ195" s="15"/>
      <c r="IR195" s="15"/>
      <c r="IS195" s="15"/>
      <c r="IT195" s="15"/>
      <c r="IU195" s="15"/>
      <c r="IV195" s="15"/>
      <c r="IW195" s="15"/>
      <c r="IX195" s="15"/>
      <c r="IY195" s="15"/>
      <c r="IZ195" s="15"/>
      <c r="JA195" s="15"/>
      <c r="JB195" s="15"/>
      <c r="JC195" s="15"/>
      <c r="JD195" s="15"/>
      <c r="JE195" s="15"/>
      <c r="JF195" s="15"/>
      <c r="JG195" s="15"/>
      <c r="JH195" s="15"/>
      <c r="JI195" s="15"/>
      <c r="JJ195" s="15"/>
      <c r="JK195" s="15"/>
      <c r="JL195" s="15"/>
      <c r="JM195" s="15"/>
      <c r="JN195" s="15"/>
      <c r="JO195" s="15"/>
      <c r="JP195" s="15"/>
      <c r="JQ195" s="15"/>
      <c r="JR195" s="15"/>
      <c r="JS195" s="15"/>
      <c r="JT195" s="15"/>
      <c r="JU195" s="15"/>
      <c r="JV195" s="15"/>
    </row>
    <row r="196" spans="1:282" s="1" customFormat="1" ht="50.1" customHeight="1" x14ac:dyDescent="0.2">
      <c r="A196" s="693"/>
      <c r="B196" s="69" t="s">
        <v>1137</v>
      </c>
      <c r="C196" s="69"/>
      <c r="D196" s="69"/>
      <c r="E196" s="30" t="s">
        <v>1906</v>
      </c>
      <c r="F196" s="196" t="s">
        <v>2025</v>
      </c>
      <c r="G196" s="72" t="s">
        <v>204</v>
      </c>
      <c r="H196" s="29" t="s">
        <v>1806</v>
      </c>
      <c r="I196" s="29"/>
      <c r="J196" s="30" t="s">
        <v>1920</v>
      </c>
      <c r="K196" s="30" t="s">
        <v>1394</v>
      </c>
      <c r="L196" s="29" t="s">
        <v>685</v>
      </c>
      <c r="M196" s="30" t="s">
        <v>1615</v>
      </c>
      <c r="N196" s="73">
        <v>41808</v>
      </c>
      <c r="O196" s="32">
        <v>525836147</v>
      </c>
      <c r="P196" s="32"/>
      <c r="Q196" s="32"/>
      <c r="R196" s="32"/>
      <c r="S196" s="32"/>
      <c r="T196" s="174"/>
      <c r="U196" s="174"/>
      <c r="V196" s="174"/>
      <c r="W196" s="174"/>
      <c r="X196" s="174"/>
      <c r="Y196" s="174"/>
      <c r="Z196" s="174"/>
      <c r="AA196" s="174"/>
      <c r="AB196" s="174"/>
      <c r="AC196" s="174"/>
      <c r="AD196" s="174"/>
      <c r="AE196" s="174"/>
      <c r="AF196" s="174"/>
      <c r="AG196" s="174"/>
      <c r="AH196" s="174"/>
      <c r="AI196" s="174"/>
      <c r="AJ196" s="74">
        <v>41960</v>
      </c>
      <c r="AK196" s="720"/>
      <c r="AL196" s="591"/>
      <c r="AM196" s="587"/>
      <c r="AN196" s="587"/>
      <c r="AO196" s="587"/>
      <c r="AP196" s="587"/>
      <c r="AQ196" s="587"/>
      <c r="AR196" s="587"/>
      <c r="AS196" s="587"/>
      <c r="AT196" s="587"/>
      <c r="AU196" s="587"/>
      <c r="AV196" s="587"/>
      <c r="AW196" s="587"/>
      <c r="AX196" s="587"/>
      <c r="AY196" s="587"/>
      <c r="AZ196" s="587"/>
      <c r="BA196" s="587"/>
      <c r="BB196" s="587"/>
      <c r="BC196" s="587"/>
      <c r="BD196" s="587"/>
      <c r="BE196" s="587"/>
      <c r="BF196" s="587"/>
      <c r="BG196" s="587"/>
      <c r="BH196" s="587"/>
      <c r="BI196" s="587"/>
      <c r="BJ196" s="587"/>
      <c r="BK196" s="587"/>
      <c r="BL196" s="587"/>
      <c r="BM196" s="587"/>
      <c r="BN196" s="587"/>
      <c r="BO196" s="587"/>
      <c r="BP196" s="587"/>
      <c r="BQ196" s="587"/>
      <c r="BR196" s="587"/>
      <c r="BS196" s="587"/>
      <c r="BT196" s="587"/>
      <c r="BU196" s="587"/>
      <c r="BV196" s="587"/>
      <c r="BW196" s="587"/>
      <c r="BX196" s="587"/>
      <c r="BY196" s="587"/>
      <c r="BZ196" s="587"/>
      <c r="CA196" s="587"/>
      <c r="CB196" s="587"/>
      <c r="CC196" s="587"/>
      <c r="CD196" s="587"/>
      <c r="CE196" s="587"/>
      <c r="CF196" s="587"/>
      <c r="CG196" s="587"/>
      <c r="CH196" s="587"/>
      <c r="CI196" s="587"/>
      <c r="CJ196" s="587"/>
      <c r="CK196" s="587"/>
      <c r="CL196" s="587"/>
      <c r="CM196" s="587"/>
      <c r="CN196" s="587"/>
      <c r="CO196" s="587"/>
      <c r="CP196" s="587"/>
      <c r="CQ196" s="587"/>
      <c r="CR196" s="587"/>
      <c r="CS196" s="587"/>
      <c r="CT196" s="587"/>
      <c r="CU196" s="587"/>
      <c r="CV196" s="587"/>
      <c r="CW196" s="587"/>
      <c r="CX196" s="587"/>
      <c r="CY196" s="587"/>
      <c r="CZ196" s="587"/>
      <c r="DA196" s="587"/>
      <c r="DB196" s="587"/>
      <c r="DC196" s="587"/>
      <c r="DD196" s="587"/>
      <c r="DE196" s="587"/>
      <c r="DF196" s="587"/>
      <c r="DG196" s="587"/>
      <c r="DH196" s="587"/>
      <c r="DI196" s="587"/>
      <c r="DJ196" s="587"/>
      <c r="DK196" s="587"/>
      <c r="DL196" s="587"/>
      <c r="DM196" s="587"/>
      <c r="DN196" s="587"/>
      <c r="DO196" s="587"/>
      <c r="DP196" s="587"/>
      <c r="DQ196" s="587"/>
      <c r="DR196" s="587"/>
      <c r="DS196" s="587"/>
      <c r="DT196" s="587"/>
      <c r="DU196" s="587"/>
      <c r="DV196" s="587"/>
      <c r="DW196" s="587"/>
      <c r="DX196" s="587"/>
      <c r="DY196" s="587"/>
      <c r="DZ196" s="587"/>
      <c r="EA196" s="587"/>
      <c r="EB196" s="587"/>
      <c r="EC196" s="587"/>
      <c r="ED196" s="587"/>
      <c r="EE196" s="587"/>
      <c r="EF196" s="587"/>
      <c r="EG196" s="587"/>
      <c r="EH196" s="587"/>
      <c r="EI196" s="587"/>
      <c r="EJ196" s="587"/>
      <c r="EK196" s="587"/>
      <c r="EL196" s="587"/>
      <c r="EM196" s="587"/>
      <c r="EN196" s="587"/>
      <c r="EO196" s="587"/>
      <c r="EP196" s="587"/>
      <c r="EQ196" s="587"/>
      <c r="ER196" s="587"/>
      <c r="ES196" s="587"/>
      <c r="ET196" s="587"/>
      <c r="EU196" s="587"/>
      <c r="EV196" s="587"/>
      <c r="EW196" s="587"/>
      <c r="EX196" s="587"/>
      <c r="EY196" s="587"/>
      <c r="EZ196" s="587"/>
      <c r="FA196" s="587"/>
      <c r="FB196" s="587"/>
      <c r="FC196" s="587"/>
      <c r="FD196" s="587"/>
      <c r="FE196" s="587"/>
      <c r="FF196" s="587"/>
      <c r="FG196" s="587"/>
      <c r="FH196" s="587"/>
      <c r="FI196" s="587"/>
      <c r="FJ196" s="587"/>
      <c r="FK196" s="587"/>
      <c r="FL196" s="587"/>
      <c r="FM196" s="587"/>
      <c r="FN196" s="587"/>
      <c r="FO196" s="587"/>
      <c r="FP196" s="587"/>
      <c r="FQ196" s="587"/>
      <c r="FR196" s="587"/>
      <c r="FS196" s="587"/>
      <c r="FT196" s="587"/>
      <c r="FU196" s="587"/>
      <c r="FV196" s="587"/>
      <c r="FW196" s="587"/>
      <c r="FX196" s="587"/>
      <c r="FY196" s="587"/>
      <c r="FZ196" s="587"/>
      <c r="GA196" s="587"/>
      <c r="GB196" s="587"/>
      <c r="GC196" s="587"/>
      <c r="GD196" s="587"/>
      <c r="GE196" s="587"/>
      <c r="GF196" s="587"/>
      <c r="GG196" s="587"/>
      <c r="GH196" s="587"/>
      <c r="GI196" s="587"/>
      <c r="GJ196" s="587"/>
      <c r="GK196" s="587"/>
      <c r="GL196" s="587"/>
      <c r="GM196" s="587"/>
      <c r="GN196" s="587"/>
      <c r="GO196" s="587"/>
      <c r="GP196" s="587"/>
      <c r="GQ196" s="587"/>
      <c r="GR196" s="587"/>
      <c r="GS196" s="587"/>
      <c r="GT196" s="587"/>
      <c r="GU196" s="587"/>
      <c r="GV196" s="587"/>
      <c r="GW196" s="587"/>
      <c r="GX196" s="587"/>
      <c r="GY196" s="587"/>
      <c r="GZ196" s="587"/>
      <c r="HA196" s="587"/>
      <c r="HB196" s="587"/>
      <c r="HC196" s="587"/>
      <c r="HD196" s="587"/>
      <c r="HE196" s="587"/>
      <c r="HF196" s="587"/>
      <c r="HG196" s="587"/>
      <c r="HH196" s="587"/>
      <c r="HI196" s="587"/>
      <c r="HJ196" s="587"/>
      <c r="HK196" s="587"/>
      <c r="HL196" s="587"/>
      <c r="HM196" s="587"/>
      <c r="HN196" s="587"/>
      <c r="HO196" s="587"/>
      <c r="HP196" s="587"/>
      <c r="HQ196" s="587"/>
      <c r="HR196" s="587"/>
      <c r="HS196" s="587"/>
      <c r="HT196" s="587"/>
      <c r="HU196" s="587"/>
      <c r="HV196" s="587"/>
      <c r="HW196" s="587"/>
      <c r="HX196" s="587"/>
      <c r="HY196" s="587"/>
      <c r="HZ196" s="587"/>
      <c r="IA196" s="587"/>
      <c r="IB196" s="587"/>
      <c r="IC196" s="587"/>
      <c r="ID196" s="587"/>
      <c r="IE196" s="587"/>
      <c r="IF196" s="587"/>
      <c r="IG196" s="587"/>
      <c r="IH196" s="587"/>
      <c r="II196" s="587"/>
      <c r="IJ196" s="587"/>
      <c r="IK196" s="587"/>
      <c r="IL196" s="587"/>
      <c r="IM196" s="587"/>
      <c r="IN196" s="587"/>
      <c r="IO196" s="587"/>
      <c r="IP196" s="587"/>
      <c r="IQ196" s="587"/>
      <c r="IR196" s="587"/>
      <c r="IS196" s="587"/>
      <c r="IT196" s="587"/>
      <c r="IU196" s="587"/>
      <c r="IV196" s="587"/>
      <c r="IW196" s="587"/>
      <c r="IX196" s="587"/>
      <c r="IY196" s="587"/>
      <c r="IZ196" s="587"/>
      <c r="JA196" s="587"/>
      <c r="JB196" s="587"/>
      <c r="JC196" s="587"/>
      <c r="JD196" s="587"/>
      <c r="JE196" s="587"/>
      <c r="JF196" s="587"/>
      <c r="JG196" s="587"/>
      <c r="JH196" s="587"/>
      <c r="JI196" s="587"/>
      <c r="JJ196" s="587"/>
      <c r="JK196" s="587"/>
      <c r="JL196" s="587"/>
      <c r="JM196" s="587"/>
      <c r="JN196" s="587"/>
      <c r="JO196" s="587"/>
      <c r="JP196" s="587"/>
      <c r="JQ196" s="587"/>
      <c r="JR196" s="587"/>
      <c r="JS196" s="587"/>
      <c r="JT196" s="587"/>
      <c r="JU196" s="587"/>
      <c r="JV196" s="587"/>
    </row>
    <row r="197" spans="1:282" s="1" customFormat="1" ht="50.1" customHeight="1" x14ac:dyDescent="0.2">
      <c r="A197" s="693"/>
      <c r="B197" s="703" t="s">
        <v>1137</v>
      </c>
      <c r="C197" s="703"/>
      <c r="D197" s="703"/>
      <c r="E197" s="729" t="s">
        <v>1907</v>
      </c>
      <c r="F197" s="751" t="s">
        <v>2026</v>
      </c>
      <c r="G197" s="197" t="s">
        <v>409</v>
      </c>
      <c r="H197" s="165" t="s">
        <v>1806</v>
      </c>
      <c r="I197" s="165"/>
      <c r="J197" s="729" t="s">
        <v>411</v>
      </c>
      <c r="K197" s="729" t="s">
        <v>1394</v>
      </c>
      <c r="L197" s="729" t="s">
        <v>12</v>
      </c>
      <c r="M197" s="729" t="s">
        <v>1615</v>
      </c>
      <c r="N197" s="739">
        <v>41808</v>
      </c>
      <c r="O197" s="752">
        <v>525892148</v>
      </c>
      <c r="P197" s="752"/>
      <c r="Q197" s="752"/>
      <c r="R197" s="752"/>
      <c r="S197" s="752"/>
      <c r="T197" s="171" t="s">
        <v>2674</v>
      </c>
      <c r="U197" s="171"/>
      <c r="V197" s="171"/>
      <c r="W197" s="171"/>
      <c r="X197" s="171"/>
      <c r="Y197" s="171"/>
      <c r="Z197" s="171"/>
      <c r="AA197" s="171"/>
      <c r="AB197" s="171"/>
      <c r="AC197" s="171"/>
      <c r="AD197" s="171"/>
      <c r="AE197" s="171"/>
      <c r="AF197" s="171"/>
      <c r="AG197" s="171"/>
      <c r="AH197" s="171"/>
      <c r="AI197" s="171"/>
      <c r="AJ197" s="723">
        <v>41960</v>
      </c>
      <c r="AK197" s="648"/>
      <c r="AL197" s="601"/>
      <c r="AM197" s="587"/>
      <c r="AN197" s="587"/>
      <c r="AO197" s="587"/>
      <c r="AP197" s="587"/>
      <c r="AQ197" s="587"/>
      <c r="AR197" s="587"/>
      <c r="AS197" s="587"/>
      <c r="AT197" s="587"/>
      <c r="AU197" s="587"/>
      <c r="AV197" s="587"/>
      <c r="AW197" s="587"/>
      <c r="AX197" s="587"/>
      <c r="AY197" s="587"/>
      <c r="AZ197" s="587"/>
      <c r="BA197" s="587"/>
      <c r="BB197" s="587"/>
      <c r="BC197" s="587"/>
      <c r="BD197" s="587"/>
      <c r="BE197" s="587"/>
      <c r="BF197" s="587"/>
      <c r="BG197" s="587"/>
      <c r="BH197" s="587"/>
      <c r="BI197" s="587"/>
      <c r="BJ197" s="587"/>
      <c r="BK197" s="587"/>
      <c r="BL197" s="587"/>
      <c r="BM197" s="587"/>
      <c r="BN197" s="587"/>
      <c r="BO197" s="587"/>
      <c r="BP197" s="587"/>
      <c r="BQ197" s="587"/>
      <c r="BR197" s="587"/>
      <c r="BS197" s="587"/>
      <c r="BT197" s="587"/>
      <c r="BU197" s="587"/>
      <c r="BV197" s="587"/>
      <c r="BW197" s="587"/>
      <c r="BX197" s="587"/>
      <c r="BY197" s="587"/>
      <c r="BZ197" s="587"/>
      <c r="CA197" s="587"/>
      <c r="CB197" s="587"/>
      <c r="CC197" s="587"/>
      <c r="CD197" s="587"/>
      <c r="CE197" s="587"/>
      <c r="CF197" s="587"/>
      <c r="CG197" s="587"/>
      <c r="CH197" s="587"/>
      <c r="CI197" s="587"/>
      <c r="CJ197" s="587"/>
      <c r="CK197" s="587"/>
      <c r="CL197" s="587"/>
      <c r="CM197" s="587"/>
      <c r="CN197" s="587"/>
      <c r="CO197" s="587"/>
      <c r="CP197" s="587"/>
      <c r="CQ197" s="587"/>
      <c r="CR197" s="587"/>
      <c r="CS197" s="587"/>
      <c r="CT197" s="587"/>
      <c r="CU197" s="587"/>
      <c r="CV197" s="587"/>
      <c r="CW197" s="587"/>
      <c r="CX197" s="587"/>
      <c r="CY197" s="587"/>
      <c r="CZ197" s="587"/>
      <c r="DA197" s="587"/>
      <c r="DB197" s="587"/>
      <c r="DC197" s="587"/>
      <c r="DD197" s="587"/>
      <c r="DE197" s="587"/>
      <c r="DF197" s="587"/>
      <c r="DG197" s="587"/>
      <c r="DH197" s="587"/>
      <c r="DI197" s="587"/>
      <c r="DJ197" s="587"/>
      <c r="DK197" s="587"/>
      <c r="DL197" s="587"/>
      <c r="DM197" s="587"/>
      <c r="DN197" s="587"/>
      <c r="DO197" s="587"/>
      <c r="DP197" s="587"/>
      <c r="DQ197" s="587"/>
      <c r="DR197" s="587"/>
      <c r="DS197" s="587"/>
      <c r="DT197" s="587"/>
      <c r="DU197" s="587"/>
      <c r="DV197" s="587"/>
      <c r="DW197" s="587"/>
      <c r="DX197" s="587"/>
      <c r="DY197" s="587"/>
      <c r="DZ197" s="587"/>
      <c r="EA197" s="587"/>
      <c r="EB197" s="587"/>
      <c r="EC197" s="587"/>
      <c r="ED197" s="587"/>
      <c r="EE197" s="587"/>
      <c r="EF197" s="587"/>
      <c r="EG197" s="587"/>
      <c r="EH197" s="587"/>
      <c r="EI197" s="587"/>
      <c r="EJ197" s="587"/>
      <c r="EK197" s="587"/>
      <c r="EL197" s="587"/>
      <c r="EM197" s="587"/>
      <c r="EN197" s="587"/>
      <c r="EO197" s="587"/>
      <c r="EP197" s="587"/>
      <c r="EQ197" s="587"/>
      <c r="ER197" s="587"/>
      <c r="ES197" s="587"/>
      <c r="ET197" s="587"/>
      <c r="EU197" s="587"/>
      <c r="EV197" s="587"/>
      <c r="EW197" s="587"/>
      <c r="EX197" s="587"/>
      <c r="EY197" s="587"/>
      <c r="EZ197" s="587"/>
      <c r="FA197" s="587"/>
      <c r="FB197" s="587"/>
      <c r="FC197" s="587"/>
      <c r="FD197" s="587"/>
      <c r="FE197" s="587"/>
      <c r="FF197" s="587"/>
      <c r="FG197" s="587"/>
      <c r="FH197" s="587"/>
      <c r="FI197" s="587"/>
      <c r="FJ197" s="587"/>
      <c r="FK197" s="587"/>
      <c r="FL197" s="587"/>
      <c r="FM197" s="587"/>
      <c r="FN197" s="587"/>
      <c r="FO197" s="587"/>
      <c r="FP197" s="587"/>
      <c r="FQ197" s="587"/>
      <c r="FR197" s="587"/>
      <c r="FS197" s="587"/>
      <c r="FT197" s="587"/>
      <c r="FU197" s="587"/>
      <c r="FV197" s="587"/>
      <c r="FW197" s="587"/>
      <c r="FX197" s="587"/>
      <c r="FY197" s="587"/>
      <c r="FZ197" s="587"/>
      <c r="GA197" s="587"/>
      <c r="GB197" s="587"/>
      <c r="GC197" s="587"/>
      <c r="GD197" s="587"/>
      <c r="GE197" s="587"/>
      <c r="GF197" s="587"/>
      <c r="GG197" s="587"/>
      <c r="GH197" s="587"/>
      <c r="GI197" s="587"/>
      <c r="GJ197" s="587"/>
      <c r="GK197" s="587"/>
      <c r="GL197" s="587"/>
      <c r="GM197" s="587"/>
      <c r="GN197" s="587"/>
      <c r="GO197" s="587"/>
      <c r="GP197" s="587"/>
      <c r="GQ197" s="587"/>
      <c r="GR197" s="587"/>
      <c r="GS197" s="587"/>
      <c r="GT197" s="587"/>
      <c r="GU197" s="587"/>
      <c r="GV197" s="587"/>
      <c r="GW197" s="587"/>
      <c r="GX197" s="587"/>
      <c r="GY197" s="587"/>
      <c r="GZ197" s="587"/>
      <c r="HA197" s="587"/>
      <c r="HB197" s="587"/>
      <c r="HC197" s="587"/>
      <c r="HD197" s="587"/>
      <c r="HE197" s="587"/>
      <c r="HF197" s="587"/>
      <c r="HG197" s="587"/>
      <c r="HH197" s="587"/>
      <c r="HI197" s="587"/>
      <c r="HJ197" s="587"/>
      <c r="HK197" s="587"/>
      <c r="HL197" s="587"/>
      <c r="HM197" s="587"/>
      <c r="HN197" s="587"/>
      <c r="HO197" s="587"/>
      <c r="HP197" s="587"/>
      <c r="HQ197" s="587"/>
      <c r="HR197" s="587"/>
      <c r="HS197" s="587"/>
      <c r="HT197" s="587"/>
      <c r="HU197" s="587"/>
      <c r="HV197" s="587"/>
      <c r="HW197" s="587"/>
      <c r="HX197" s="587"/>
      <c r="HY197" s="587"/>
      <c r="HZ197" s="587"/>
      <c r="IA197" s="587"/>
      <c r="IB197" s="587"/>
      <c r="IC197" s="587"/>
      <c r="ID197" s="587"/>
      <c r="IE197" s="587"/>
      <c r="IF197" s="587"/>
      <c r="IG197" s="587"/>
      <c r="IH197" s="587"/>
      <c r="II197" s="587"/>
      <c r="IJ197" s="587"/>
      <c r="IK197" s="587"/>
      <c r="IL197" s="587"/>
      <c r="IM197" s="587"/>
      <c r="IN197" s="587"/>
      <c r="IO197" s="587"/>
      <c r="IP197" s="587"/>
      <c r="IQ197" s="587"/>
      <c r="IR197" s="587"/>
      <c r="IS197" s="587"/>
      <c r="IT197" s="587"/>
      <c r="IU197" s="587"/>
      <c r="IV197" s="587"/>
      <c r="IW197" s="587"/>
      <c r="IX197" s="587"/>
      <c r="IY197" s="587"/>
      <c r="IZ197" s="587"/>
      <c r="JA197" s="587"/>
      <c r="JB197" s="587"/>
      <c r="JC197" s="587"/>
      <c r="JD197" s="587"/>
      <c r="JE197" s="587"/>
      <c r="JF197" s="587"/>
      <c r="JG197" s="587"/>
      <c r="JH197" s="587"/>
      <c r="JI197" s="587"/>
      <c r="JJ197" s="587"/>
      <c r="JK197" s="587"/>
      <c r="JL197" s="587"/>
      <c r="JM197" s="587"/>
      <c r="JN197" s="587"/>
      <c r="JO197" s="587"/>
      <c r="JP197" s="587"/>
      <c r="JQ197" s="587"/>
      <c r="JR197" s="587"/>
      <c r="JS197" s="587"/>
      <c r="JT197" s="587"/>
      <c r="JU197" s="587"/>
      <c r="JV197" s="587"/>
    </row>
    <row r="198" spans="1:282" s="1" customFormat="1" ht="50.1" customHeight="1" x14ac:dyDescent="0.2">
      <c r="A198" s="693"/>
      <c r="B198" s="703" t="s">
        <v>1137</v>
      </c>
      <c r="C198" s="703"/>
      <c r="D198" s="703"/>
      <c r="E198" s="729" t="s">
        <v>1910</v>
      </c>
      <c r="F198" s="751" t="s">
        <v>2028</v>
      </c>
      <c r="G198" s="197" t="s">
        <v>415</v>
      </c>
      <c r="H198" s="165" t="s">
        <v>1806</v>
      </c>
      <c r="I198" s="165"/>
      <c r="J198" s="729" t="s">
        <v>417</v>
      </c>
      <c r="K198" s="729" t="s">
        <v>1394</v>
      </c>
      <c r="L198" s="729" t="s">
        <v>12</v>
      </c>
      <c r="M198" s="729" t="s">
        <v>1615</v>
      </c>
      <c r="N198" s="739">
        <v>41808</v>
      </c>
      <c r="O198" s="752" t="s">
        <v>1930</v>
      </c>
      <c r="P198" s="752"/>
      <c r="Q198" s="752"/>
      <c r="R198" s="752"/>
      <c r="S198" s="752"/>
      <c r="T198" s="171" t="s">
        <v>2674</v>
      </c>
      <c r="U198" s="171"/>
      <c r="V198" s="171"/>
      <c r="W198" s="171"/>
      <c r="X198" s="171"/>
      <c r="Y198" s="171"/>
      <c r="Z198" s="171"/>
      <c r="AA198" s="171"/>
      <c r="AB198" s="171"/>
      <c r="AC198" s="171"/>
      <c r="AD198" s="171"/>
      <c r="AE198" s="171"/>
      <c r="AF198" s="171"/>
      <c r="AG198" s="171"/>
      <c r="AH198" s="171"/>
      <c r="AI198" s="171"/>
      <c r="AJ198" s="723">
        <v>41960</v>
      </c>
      <c r="AK198" s="648"/>
      <c r="AL198" s="174"/>
      <c r="AM198" s="587"/>
      <c r="AN198" s="587"/>
      <c r="AO198" s="587"/>
      <c r="AP198" s="587"/>
      <c r="AQ198" s="587"/>
      <c r="AR198" s="587"/>
      <c r="AS198" s="587"/>
      <c r="AT198" s="587"/>
      <c r="AU198" s="587"/>
      <c r="AV198" s="587"/>
      <c r="AW198" s="587"/>
      <c r="AX198" s="587"/>
      <c r="AY198" s="587"/>
      <c r="AZ198" s="587"/>
      <c r="BA198" s="587"/>
      <c r="BB198" s="587"/>
      <c r="BC198" s="587"/>
      <c r="BD198" s="587"/>
      <c r="BE198" s="587"/>
      <c r="BF198" s="587"/>
      <c r="BG198" s="587"/>
      <c r="BH198" s="587"/>
      <c r="BI198" s="587"/>
      <c r="BJ198" s="587"/>
      <c r="BK198" s="587"/>
      <c r="BL198" s="587"/>
      <c r="BM198" s="587"/>
      <c r="BN198" s="587"/>
      <c r="BO198" s="587"/>
      <c r="BP198" s="587"/>
      <c r="BQ198" s="587"/>
      <c r="BR198" s="587"/>
      <c r="BS198" s="587"/>
      <c r="BT198" s="587"/>
      <c r="BU198" s="587"/>
      <c r="BV198" s="587"/>
      <c r="BW198" s="587"/>
      <c r="BX198" s="587"/>
      <c r="BY198" s="587"/>
      <c r="BZ198" s="587"/>
      <c r="CA198" s="587"/>
      <c r="CB198" s="587"/>
      <c r="CC198" s="587"/>
      <c r="CD198" s="587"/>
      <c r="CE198" s="587"/>
      <c r="CF198" s="587"/>
      <c r="CG198" s="587"/>
      <c r="CH198" s="587"/>
      <c r="CI198" s="587"/>
      <c r="CJ198" s="587"/>
      <c r="CK198" s="587"/>
      <c r="CL198" s="587"/>
      <c r="CM198" s="587"/>
      <c r="CN198" s="587"/>
      <c r="CO198" s="587"/>
      <c r="CP198" s="587"/>
      <c r="CQ198" s="587"/>
      <c r="CR198" s="587"/>
      <c r="CS198" s="587"/>
      <c r="CT198" s="587"/>
      <c r="CU198" s="587"/>
      <c r="CV198" s="587"/>
      <c r="CW198" s="587"/>
      <c r="CX198" s="587"/>
      <c r="CY198" s="587"/>
      <c r="CZ198" s="587"/>
      <c r="DA198" s="587"/>
      <c r="DB198" s="587"/>
      <c r="DC198" s="587"/>
      <c r="DD198" s="587"/>
      <c r="DE198" s="587"/>
      <c r="DF198" s="587"/>
      <c r="DG198" s="587"/>
      <c r="DH198" s="587"/>
      <c r="DI198" s="587"/>
      <c r="DJ198" s="587"/>
      <c r="DK198" s="587"/>
      <c r="DL198" s="587"/>
      <c r="DM198" s="587"/>
      <c r="DN198" s="587"/>
      <c r="DO198" s="587"/>
      <c r="DP198" s="587"/>
      <c r="DQ198" s="587"/>
      <c r="DR198" s="587"/>
      <c r="DS198" s="587"/>
      <c r="DT198" s="587"/>
      <c r="DU198" s="587"/>
      <c r="DV198" s="587"/>
      <c r="DW198" s="587"/>
      <c r="DX198" s="587"/>
      <c r="DY198" s="587"/>
      <c r="DZ198" s="587"/>
      <c r="EA198" s="587"/>
      <c r="EB198" s="587"/>
      <c r="EC198" s="587"/>
      <c r="ED198" s="587"/>
      <c r="EE198" s="587"/>
      <c r="EF198" s="587"/>
      <c r="EG198" s="587"/>
      <c r="EH198" s="587"/>
      <c r="EI198" s="587"/>
      <c r="EJ198" s="587"/>
      <c r="EK198" s="587"/>
      <c r="EL198" s="587"/>
      <c r="EM198" s="587"/>
      <c r="EN198" s="587"/>
      <c r="EO198" s="587"/>
      <c r="EP198" s="587"/>
      <c r="EQ198" s="587"/>
      <c r="ER198" s="587"/>
      <c r="ES198" s="587"/>
      <c r="ET198" s="587"/>
      <c r="EU198" s="587"/>
      <c r="EV198" s="587"/>
      <c r="EW198" s="587"/>
      <c r="EX198" s="587"/>
      <c r="EY198" s="587"/>
      <c r="EZ198" s="587"/>
      <c r="FA198" s="587"/>
      <c r="FB198" s="587"/>
      <c r="FC198" s="587"/>
      <c r="FD198" s="587"/>
      <c r="FE198" s="587"/>
      <c r="FF198" s="587"/>
      <c r="FG198" s="587"/>
      <c r="FH198" s="587"/>
      <c r="FI198" s="587"/>
      <c r="FJ198" s="587"/>
      <c r="FK198" s="587"/>
      <c r="FL198" s="587"/>
      <c r="FM198" s="587"/>
      <c r="FN198" s="587"/>
      <c r="FO198" s="587"/>
      <c r="FP198" s="587"/>
      <c r="FQ198" s="587"/>
      <c r="FR198" s="587"/>
      <c r="FS198" s="587"/>
      <c r="FT198" s="587"/>
      <c r="FU198" s="587"/>
      <c r="FV198" s="587"/>
      <c r="FW198" s="587"/>
      <c r="FX198" s="587"/>
      <c r="FY198" s="587"/>
      <c r="FZ198" s="587"/>
      <c r="GA198" s="587"/>
      <c r="GB198" s="587"/>
      <c r="GC198" s="587"/>
      <c r="GD198" s="587"/>
      <c r="GE198" s="587"/>
      <c r="GF198" s="587"/>
      <c r="GG198" s="587"/>
      <c r="GH198" s="587"/>
      <c r="GI198" s="587"/>
      <c r="GJ198" s="587"/>
      <c r="GK198" s="587"/>
      <c r="GL198" s="587"/>
      <c r="GM198" s="587"/>
      <c r="GN198" s="587"/>
      <c r="GO198" s="587"/>
      <c r="GP198" s="587"/>
      <c r="GQ198" s="587"/>
      <c r="GR198" s="587"/>
      <c r="GS198" s="587"/>
      <c r="GT198" s="587"/>
      <c r="GU198" s="587"/>
      <c r="GV198" s="587"/>
      <c r="GW198" s="587"/>
      <c r="GX198" s="587"/>
      <c r="GY198" s="587"/>
      <c r="GZ198" s="587"/>
      <c r="HA198" s="587"/>
      <c r="HB198" s="587"/>
      <c r="HC198" s="587"/>
      <c r="HD198" s="587"/>
      <c r="HE198" s="587"/>
      <c r="HF198" s="587"/>
      <c r="HG198" s="587"/>
      <c r="HH198" s="587"/>
      <c r="HI198" s="587"/>
      <c r="HJ198" s="587"/>
      <c r="HK198" s="587"/>
      <c r="HL198" s="587"/>
      <c r="HM198" s="587"/>
      <c r="HN198" s="587"/>
      <c r="HO198" s="587"/>
      <c r="HP198" s="587"/>
      <c r="HQ198" s="587"/>
      <c r="HR198" s="587"/>
      <c r="HS198" s="587"/>
      <c r="HT198" s="587"/>
      <c r="HU198" s="587"/>
      <c r="HV198" s="587"/>
      <c r="HW198" s="587"/>
      <c r="HX198" s="587"/>
      <c r="HY198" s="587"/>
      <c r="HZ198" s="587"/>
      <c r="IA198" s="587"/>
      <c r="IB198" s="587"/>
      <c r="IC198" s="587"/>
      <c r="ID198" s="587"/>
      <c r="IE198" s="587"/>
      <c r="IF198" s="587"/>
      <c r="IG198" s="587"/>
      <c r="IH198" s="587"/>
      <c r="II198" s="587"/>
      <c r="IJ198" s="587"/>
      <c r="IK198" s="587"/>
      <c r="IL198" s="587"/>
      <c r="IM198" s="587"/>
      <c r="IN198" s="587"/>
      <c r="IO198" s="587"/>
      <c r="IP198" s="587"/>
      <c r="IQ198" s="587"/>
      <c r="IR198" s="587"/>
      <c r="IS198" s="587"/>
      <c r="IT198" s="587"/>
      <c r="IU198" s="587"/>
      <c r="IV198" s="587"/>
      <c r="IW198" s="587"/>
      <c r="IX198" s="587"/>
      <c r="IY198" s="587"/>
      <c r="IZ198" s="587"/>
      <c r="JA198" s="587"/>
      <c r="JB198" s="587"/>
      <c r="JC198" s="587"/>
      <c r="JD198" s="587"/>
      <c r="JE198" s="587"/>
      <c r="JF198" s="587"/>
      <c r="JG198" s="587"/>
      <c r="JH198" s="587"/>
      <c r="JI198" s="587"/>
      <c r="JJ198" s="587"/>
      <c r="JK198" s="587"/>
      <c r="JL198" s="587"/>
      <c r="JM198" s="587"/>
      <c r="JN198" s="587"/>
      <c r="JO198" s="587"/>
      <c r="JP198" s="587"/>
      <c r="JQ198" s="587"/>
      <c r="JR198" s="587"/>
      <c r="JS198" s="587"/>
      <c r="JT198" s="587"/>
      <c r="JU198" s="587"/>
      <c r="JV198" s="587"/>
    </row>
    <row r="199" spans="1:282" s="1" customFormat="1" ht="50.1" customHeight="1" x14ac:dyDescent="0.2">
      <c r="A199" s="693"/>
      <c r="B199" s="69" t="s">
        <v>1137</v>
      </c>
      <c r="C199" s="69"/>
      <c r="D199" s="69"/>
      <c r="E199" s="30" t="s">
        <v>1911</v>
      </c>
      <c r="F199" s="196" t="s">
        <v>2493</v>
      </c>
      <c r="G199" s="72" t="s">
        <v>1896</v>
      </c>
      <c r="H199" s="29" t="s">
        <v>1806</v>
      </c>
      <c r="I199" s="29"/>
      <c r="J199" s="30" t="s">
        <v>490</v>
      </c>
      <c r="K199" s="30" t="s">
        <v>1393</v>
      </c>
      <c r="L199" s="29" t="s">
        <v>1369</v>
      </c>
      <c r="M199" s="30" t="s">
        <v>1615</v>
      </c>
      <c r="N199" s="73">
        <v>41810</v>
      </c>
      <c r="O199" s="32" t="s">
        <v>1932</v>
      </c>
      <c r="P199" s="32"/>
      <c r="Q199" s="32"/>
      <c r="R199" s="32"/>
      <c r="S199" s="32"/>
      <c r="T199" s="174"/>
      <c r="U199" s="174"/>
      <c r="V199" s="174"/>
      <c r="W199" s="174"/>
      <c r="X199" s="174"/>
      <c r="Y199" s="174"/>
      <c r="Z199" s="174"/>
      <c r="AA199" s="174"/>
      <c r="AB199" s="174"/>
      <c r="AC199" s="174"/>
      <c r="AD199" s="174"/>
      <c r="AE199" s="174"/>
      <c r="AF199" s="174"/>
      <c r="AG199" s="174"/>
      <c r="AH199" s="174"/>
      <c r="AI199" s="174"/>
      <c r="AJ199" s="74">
        <v>41960</v>
      </c>
      <c r="AK199" s="648"/>
      <c r="AL199" s="174"/>
      <c r="AM199" s="587"/>
      <c r="AN199" s="587"/>
      <c r="AO199" s="587"/>
      <c r="AP199" s="587"/>
      <c r="AQ199" s="587"/>
      <c r="AR199" s="587"/>
      <c r="AS199" s="587"/>
      <c r="AT199" s="587"/>
      <c r="AU199" s="587"/>
      <c r="AV199" s="587"/>
      <c r="AW199" s="587"/>
      <c r="AX199" s="587"/>
      <c r="AY199" s="587"/>
      <c r="AZ199" s="587"/>
      <c r="BA199" s="587"/>
      <c r="BB199" s="587"/>
      <c r="BC199" s="587"/>
      <c r="BD199" s="587"/>
      <c r="BE199" s="587"/>
      <c r="BF199" s="587"/>
      <c r="BG199" s="587"/>
      <c r="BH199" s="587"/>
      <c r="BI199" s="587"/>
      <c r="BJ199" s="587"/>
      <c r="BK199" s="587"/>
      <c r="BL199" s="587"/>
      <c r="BM199" s="587"/>
      <c r="BN199" s="587"/>
      <c r="BO199" s="587"/>
      <c r="BP199" s="587"/>
      <c r="BQ199" s="587"/>
      <c r="BR199" s="587"/>
      <c r="BS199" s="587"/>
      <c r="BT199" s="587"/>
      <c r="BU199" s="587"/>
      <c r="BV199" s="587"/>
      <c r="BW199" s="587"/>
      <c r="BX199" s="587"/>
      <c r="BY199" s="587"/>
      <c r="BZ199" s="587"/>
      <c r="CA199" s="587"/>
      <c r="CB199" s="587"/>
      <c r="CC199" s="587"/>
      <c r="CD199" s="587"/>
      <c r="CE199" s="587"/>
      <c r="CF199" s="587"/>
      <c r="CG199" s="587"/>
      <c r="CH199" s="587"/>
      <c r="CI199" s="587"/>
      <c r="CJ199" s="587"/>
      <c r="CK199" s="587"/>
      <c r="CL199" s="587"/>
      <c r="CM199" s="587"/>
      <c r="CN199" s="587"/>
      <c r="CO199" s="587"/>
      <c r="CP199" s="587"/>
      <c r="CQ199" s="587"/>
      <c r="CR199" s="587"/>
      <c r="CS199" s="587"/>
      <c r="CT199" s="587"/>
      <c r="CU199" s="587"/>
      <c r="CV199" s="587"/>
      <c r="CW199" s="587"/>
      <c r="CX199" s="587"/>
      <c r="CY199" s="587"/>
      <c r="CZ199" s="587"/>
      <c r="DA199" s="587"/>
      <c r="DB199" s="587"/>
      <c r="DC199" s="587"/>
      <c r="DD199" s="587"/>
      <c r="DE199" s="587"/>
      <c r="DF199" s="587"/>
      <c r="DG199" s="587"/>
      <c r="DH199" s="587"/>
      <c r="DI199" s="587"/>
      <c r="DJ199" s="587"/>
      <c r="DK199" s="587"/>
      <c r="DL199" s="587"/>
      <c r="DM199" s="587"/>
      <c r="DN199" s="587"/>
      <c r="DO199" s="587"/>
      <c r="DP199" s="587"/>
      <c r="DQ199" s="587"/>
      <c r="DR199" s="587"/>
      <c r="DS199" s="587"/>
      <c r="DT199" s="587"/>
      <c r="DU199" s="587"/>
      <c r="DV199" s="587"/>
      <c r="DW199" s="587"/>
      <c r="DX199" s="587"/>
      <c r="DY199" s="587"/>
      <c r="DZ199" s="587"/>
      <c r="EA199" s="587"/>
      <c r="EB199" s="587"/>
      <c r="EC199" s="587"/>
      <c r="ED199" s="587"/>
      <c r="EE199" s="587"/>
      <c r="EF199" s="587"/>
      <c r="EG199" s="587"/>
      <c r="EH199" s="587"/>
      <c r="EI199" s="587"/>
      <c r="EJ199" s="587"/>
      <c r="EK199" s="587"/>
      <c r="EL199" s="587"/>
      <c r="EM199" s="587"/>
      <c r="EN199" s="587"/>
      <c r="EO199" s="587"/>
      <c r="EP199" s="587"/>
      <c r="EQ199" s="587"/>
      <c r="ER199" s="587"/>
      <c r="ES199" s="587"/>
      <c r="ET199" s="587"/>
      <c r="EU199" s="587"/>
      <c r="EV199" s="587"/>
      <c r="EW199" s="587"/>
      <c r="EX199" s="587"/>
      <c r="EY199" s="587"/>
      <c r="EZ199" s="587"/>
      <c r="FA199" s="587"/>
      <c r="FB199" s="587"/>
      <c r="FC199" s="587"/>
      <c r="FD199" s="587"/>
      <c r="FE199" s="587"/>
      <c r="FF199" s="587"/>
      <c r="FG199" s="587"/>
      <c r="FH199" s="587"/>
      <c r="FI199" s="587"/>
      <c r="FJ199" s="587"/>
      <c r="FK199" s="587"/>
      <c r="FL199" s="587"/>
      <c r="FM199" s="587"/>
      <c r="FN199" s="587"/>
      <c r="FO199" s="587"/>
      <c r="FP199" s="587"/>
      <c r="FQ199" s="587"/>
      <c r="FR199" s="587"/>
      <c r="FS199" s="587"/>
      <c r="FT199" s="587"/>
      <c r="FU199" s="587"/>
      <c r="FV199" s="587"/>
      <c r="FW199" s="587"/>
      <c r="FX199" s="587"/>
      <c r="FY199" s="587"/>
      <c r="FZ199" s="587"/>
      <c r="GA199" s="587"/>
      <c r="GB199" s="587"/>
      <c r="GC199" s="587"/>
      <c r="GD199" s="587"/>
      <c r="GE199" s="587"/>
      <c r="GF199" s="587"/>
      <c r="GG199" s="587"/>
      <c r="GH199" s="587"/>
      <c r="GI199" s="587"/>
      <c r="GJ199" s="587"/>
      <c r="GK199" s="587"/>
      <c r="GL199" s="587"/>
      <c r="GM199" s="587"/>
      <c r="GN199" s="587"/>
      <c r="GO199" s="587"/>
      <c r="GP199" s="587"/>
      <c r="GQ199" s="587"/>
      <c r="GR199" s="587"/>
      <c r="GS199" s="587"/>
      <c r="GT199" s="587"/>
      <c r="GU199" s="587"/>
      <c r="GV199" s="587"/>
      <c r="GW199" s="587"/>
      <c r="GX199" s="587"/>
      <c r="GY199" s="587"/>
      <c r="GZ199" s="587"/>
      <c r="HA199" s="587"/>
      <c r="HB199" s="587"/>
      <c r="HC199" s="587"/>
      <c r="HD199" s="587"/>
      <c r="HE199" s="587"/>
      <c r="HF199" s="587"/>
      <c r="HG199" s="587"/>
      <c r="HH199" s="587"/>
      <c r="HI199" s="587"/>
      <c r="HJ199" s="587"/>
      <c r="HK199" s="587"/>
      <c r="HL199" s="587"/>
      <c r="HM199" s="587"/>
      <c r="HN199" s="587"/>
      <c r="HO199" s="587"/>
      <c r="HP199" s="587"/>
      <c r="HQ199" s="587"/>
      <c r="HR199" s="587"/>
      <c r="HS199" s="587"/>
      <c r="HT199" s="587"/>
      <c r="HU199" s="587"/>
      <c r="HV199" s="587"/>
      <c r="HW199" s="587"/>
      <c r="HX199" s="587"/>
      <c r="HY199" s="587"/>
      <c r="HZ199" s="587"/>
      <c r="IA199" s="587"/>
      <c r="IB199" s="587"/>
      <c r="IC199" s="587"/>
      <c r="ID199" s="587"/>
      <c r="IE199" s="587"/>
      <c r="IF199" s="587"/>
      <c r="IG199" s="587"/>
      <c r="IH199" s="587"/>
      <c r="II199" s="587"/>
      <c r="IJ199" s="587"/>
      <c r="IK199" s="587"/>
      <c r="IL199" s="587"/>
      <c r="IM199" s="587"/>
      <c r="IN199" s="587"/>
      <c r="IO199" s="587"/>
      <c r="IP199" s="587"/>
      <c r="IQ199" s="587"/>
      <c r="IR199" s="587"/>
      <c r="IS199" s="587"/>
      <c r="IT199" s="587"/>
      <c r="IU199" s="587"/>
      <c r="IV199" s="587"/>
      <c r="IW199" s="587"/>
      <c r="IX199" s="587"/>
      <c r="IY199" s="587"/>
      <c r="IZ199" s="587"/>
      <c r="JA199" s="587"/>
      <c r="JB199" s="587"/>
      <c r="JC199" s="587"/>
      <c r="JD199" s="587"/>
      <c r="JE199" s="587"/>
      <c r="JF199" s="587"/>
      <c r="JG199" s="587"/>
      <c r="JH199" s="587"/>
      <c r="JI199" s="587"/>
      <c r="JJ199" s="587"/>
      <c r="JK199" s="587"/>
      <c r="JL199" s="587"/>
      <c r="JM199" s="587"/>
      <c r="JN199" s="587"/>
      <c r="JO199" s="587"/>
      <c r="JP199" s="587"/>
      <c r="JQ199" s="587"/>
      <c r="JR199" s="587"/>
      <c r="JS199" s="587"/>
      <c r="JT199" s="587"/>
      <c r="JU199" s="587"/>
      <c r="JV199" s="587"/>
    </row>
    <row r="200" spans="1:282" s="13" customFormat="1" ht="50.1" customHeight="1" x14ac:dyDescent="0.2">
      <c r="A200" s="695"/>
      <c r="B200" s="30" t="s">
        <v>584</v>
      </c>
      <c r="C200" s="30"/>
      <c r="D200" s="30"/>
      <c r="E200" s="30" t="s">
        <v>2516</v>
      </c>
      <c r="F200" s="196" t="s">
        <v>2494</v>
      </c>
      <c r="G200" s="72" t="s">
        <v>65</v>
      </c>
      <c r="H200" s="29" t="s">
        <v>1806</v>
      </c>
      <c r="I200" s="29"/>
      <c r="J200" s="30" t="s">
        <v>366</v>
      </c>
      <c r="K200" s="30" t="s">
        <v>1393</v>
      </c>
      <c r="L200" s="29" t="s">
        <v>1369</v>
      </c>
      <c r="M200" s="30" t="s">
        <v>1615</v>
      </c>
      <c r="N200" s="73">
        <v>41821</v>
      </c>
      <c r="O200" s="32" t="s">
        <v>1935</v>
      </c>
      <c r="P200" s="32"/>
      <c r="Q200" s="32"/>
      <c r="R200" s="32"/>
      <c r="S200" s="32"/>
      <c r="T200" s="149"/>
      <c r="U200" s="149"/>
      <c r="V200" s="149"/>
      <c r="W200" s="149"/>
      <c r="X200" s="149"/>
      <c r="Y200" s="149"/>
      <c r="Z200" s="149"/>
      <c r="AA200" s="149"/>
      <c r="AB200" s="149"/>
      <c r="AC200" s="149"/>
      <c r="AD200" s="149"/>
      <c r="AE200" s="149"/>
      <c r="AF200" s="149"/>
      <c r="AG200" s="149"/>
      <c r="AH200" s="149"/>
      <c r="AI200" s="149"/>
      <c r="AJ200" s="73">
        <v>41960</v>
      </c>
      <c r="AK200" s="648"/>
      <c r="AL200" s="174"/>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15"/>
      <c r="CB200" s="15"/>
      <c r="CC200" s="15"/>
      <c r="CD200" s="15"/>
      <c r="CE200" s="15"/>
      <c r="CF200" s="15"/>
      <c r="CG200" s="15"/>
      <c r="CH200" s="15"/>
      <c r="CI200" s="15"/>
      <c r="CJ200" s="15"/>
      <c r="CK200" s="15"/>
      <c r="CL200" s="15"/>
      <c r="CM200" s="15"/>
      <c r="CN200" s="15"/>
      <c r="CO200" s="15"/>
      <c r="CP200" s="15"/>
      <c r="CQ200" s="15"/>
      <c r="CR200" s="15"/>
      <c r="CS200" s="15"/>
      <c r="CT200" s="15"/>
      <c r="CU200" s="15"/>
      <c r="CV200" s="15"/>
      <c r="CW200" s="15"/>
      <c r="CX200" s="15"/>
      <c r="CY200" s="15"/>
      <c r="CZ200" s="15"/>
      <c r="DA200" s="15"/>
      <c r="DB200" s="15"/>
      <c r="DC200" s="15"/>
      <c r="DD200" s="15"/>
      <c r="DE200" s="15"/>
      <c r="DF200" s="15"/>
      <c r="DG200" s="15"/>
      <c r="DH200" s="15"/>
      <c r="DI200" s="15"/>
      <c r="DJ200" s="15"/>
      <c r="DK200" s="15"/>
      <c r="DL200" s="15"/>
      <c r="DM200" s="15"/>
      <c r="DN200" s="15"/>
      <c r="DO200" s="15"/>
      <c r="DP200" s="15"/>
      <c r="DQ200" s="15"/>
      <c r="DR200" s="15"/>
      <c r="DS200" s="15"/>
      <c r="DT200" s="15"/>
      <c r="DU200" s="15"/>
      <c r="DV200" s="15"/>
      <c r="DW200" s="15"/>
      <c r="DX200" s="15"/>
      <c r="DY200" s="15"/>
      <c r="DZ200" s="15"/>
      <c r="EA200" s="15"/>
      <c r="EB200" s="15"/>
      <c r="EC200" s="15"/>
      <c r="ED200" s="15"/>
      <c r="EE200" s="15"/>
      <c r="EF200" s="15"/>
      <c r="EG200" s="15"/>
      <c r="EH200" s="15"/>
      <c r="EI200" s="15"/>
      <c r="EJ200" s="15"/>
      <c r="EK200" s="15"/>
      <c r="EL200" s="15"/>
      <c r="EM200" s="15"/>
      <c r="EN200" s="15"/>
      <c r="EO200" s="15"/>
      <c r="EP200" s="15"/>
      <c r="EQ200" s="15"/>
      <c r="ER200" s="15"/>
      <c r="ES200" s="15"/>
      <c r="ET200" s="15"/>
      <c r="EU200" s="15"/>
      <c r="EV200" s="15"/>
      <c r="EW200" s="15"/>
      <c r="EX200" s="15"/>
      <c r="EY200" s="15"/>
      <c r="EZ200" s="15"/>
      <c r="FA200" s="15"/>
      <c r="FB200" s="15"/>
      <c r="FC200" s="15"/>
      <c r="FD200" s="15"/>
      <c r="FE200" s="15"/>
      <c r="FF200" s="15"/>
      <c r="FG200" s="15"/>
      <c r="FH200" s="15"/>
      <c r="FI200" s="15"/>
      <c r="FJ200" s="15"/>
      <c r="FK200" s="15"/>
      <c r="FL200" s="15"/>
      <c r="FM200" s="15"/>
      <c r="FN200" s="15"/>
      <c r="FO200" s="15"/>
      <c r="FP200" s="15"/>
      <c r="FQ200" s="15"/>
      <c r="FR200" s="15"/>
      <c r="FS200" s="15"/>
      <c r="FT200" s="15"/>
      <c r="FU200" s="15"/>
      <c r="FV200" s="15"/>
      <c r="FW200" s="15"/>
      <c r="FX200" s="15"/>
      <c r="FY200" s="15"/>
      <c r="FZ200" s="15"/>
      <c r="GA200" s="15"/>
      <c r="GB200" s="15"/>
      <c r="GC200" s="15"/>
      <c r="GD200" s="15"/>
      <c r="GE200" s="15"/>
      <c r="GF200" s="15"/>
      <c r="GG200" s="15"/>
      <c r="GH200" s="15"/>
      <c r="GI200" s="15"/>
      <c r="GJ200" s="15"/>
      <c r="GK200" s="15"/>
      <c r="GL200" s="15"/>
      <c r="GM200" s="15"/>
      <c r="GN200" s="15"/>
      <c r="GO200" s="15"/>
      <c r="GP200" s="15"/>
      <c r="GQ200" s="15"/>
      <c r="GR200" s="15"/>
      <c r="GS200" s="15"/>
      <c r="GT200" s="15"/>
      <c r="GU200" s="15"/>
      <c r="GV200" s="15"/>
      <c r="GW200" s="15"/>
      <c r="GX200" s="15"/>
      <c r="GY200" s="15"/>
      <c r="GZ200" s="15"/>
      <c r="HA200" s="15"/>
      <c r="HB200" s="15"/>
      <c r="HC200" s="15"/>
      <c r="HD200" s="15"/>
      <c r="HE200" s="15"/>
      <c r="HF200" s="15"/>
      <c r="HG200" s="15"/>
      <c r="HH200" s="15"/>
      <c r="HI200" s="15"/>
      <c r="HJ200" s="15"/>
      <c r="HK200" s="15"/>
      <c r="HL200" s="15"/>
      <c r="HM200" s="15"/>
      <c r="HN200" s="15"/>
      <c r="HO200" s="15"/>
      <c r="HP200" s="15"/>
      <c r="HQ200" s="15"/>
      <c r="HR200" s="15"/>
      <c r="HS200" s="15"/>
      <c r="HT200" s="15"/>
      <c r="HU200" s="15"/>
      <c r="HV200" s="15"/>
      <c r="HW200" s="15"/>
      <c r="HX200" s="15"/>
      <c r="HY200" s="15"/>
      <c r="HZ200" s="15"/>
      <c r="IA200" s="15"/>
      <c r="IB200" s="15"/>
      <c r="IC200" s="15"/>
      <c r="ID200" s="15"/>
      <c r="IE200" s="15"/>
      <c r="IF200" s="15"/>
      <c r="IG200" s="15"/>
      <c r="IH200" s="15"/>
      <c r="II200" s="15"/>
      <c r="IJ200" s="15"/>
      <c r="IK200" s="15"/>
      <c r="IL200" s="15"/>
      <c r="IM200" s="15"/>
      <c r="IN200" s="15"/>
      <c r="IO200" s="15"/>
      <c r="IP200" s="15"/>
      <c r="IQ200" s="15"/>
      <c r="IR200" s="15"/>
      <c r="IS200" s="15"/>
      <c r="IT200" s="15"/>
      <c r="IU200" s="15"/>
      <c r="IV200" s="15"/>
      <c r="IW200" s="15"/>
      <c r="IX200" s="15"/>
      <c r="IY200" s="15"/>
      <c r="IZ200" s="15"/>
      <c r="JA200" s="15"/>
      <c r="JB200" s="15"/>
      <c r="JC200" s="15"/>
      <c r="JD200" s="15"/>
      <c r="JE200" s="15"/>
      <c r="JF200" s="15"/>
      <c r="JG200" s="15"/>
      <c r="JH200" s="15"/>
      <c r="JI200" s="15"/>
      <c r="JJ200" s="15"/>
      <c r="JK200" s="15"/>
      <c r="JL200" s="15"/>
      <c r="JM200" s="15"/>
      <c r="JN200" s="15"/>
      <c r="JO200" s="15"/>
      <c r="JP200" s="15"/>
      <c r="JQ200" s="15"/>
      <c r="JR200" s="15"/>
      <c r="JS200" s="15"/>
      <c r="JT200" s="15"/>
      <c r="JU200" s="15"/>
      <c r="JV200" s="15"/>
    </row>
    <row r="201" spans="1:282" s="21" customFormat="1" ht="50.1" customHeight="1" x14ac:dyDescent="0.2">
      <c r="A201" s="702"/>
      <c r="B201" s="69" t="s">
        <v>1137</v>
      </c>
      <c r="C201" s="69"/>
      <c r="D201" s="69"/>
      <c r="E201" s="30" t="s">
        <v>1917</v>
      </c>
      <c r="F201" s="196" t="s">
        <v>2495</v>
      </c>
      <c r="G201" s="72" t="s">
        <v>855</v>
      </c>
      <c r="H201" s="29" t="s">
        <v>1806</v>
      </c>
      <c r="I201" s="29"/>
      <c r="J201" s="30" t="s">
        <v>1921</v>
      </c>
      <c r="K201" s="30" t="s">
        <v>1394</v>
      </c>
      <c r="L201" s="30" t="s">
        <v>2503</v>
      </c>
      <c r="M201" s="30" t="s">
        <v>1615</v>
      </c>
      <c r="N201" s="73">
        <v>41821</v>
      </c>
      <c r="O201" s="32" t="s">
        <v>1936</v>
      </c>
      <c r="P201" s="32"/>
      <c r="Q201" s="32"/>
      <c r="R201" s="32"/>
      <c r="S201" s="32"/>
      <c r="T201" s="597"/>
      <c r="U201" s="597"/>
      <c r="V201" s="597"/>
      <c r="W201" s="597"/>
      <c r="X201" s="597"/>
      <c r="Y201" s="597"/>
      <c r="Z201" s="597"/>
      <c r="AA201" s="597"/>
      <c r="AB201" s="597"/>
      <c r="AC201" s="597"/>
      <c r="AD201" s="597"/>
      <c r="AE201" s="597"/>
      <c r="AF201" s="597"/>
      <c r="AG201" s="597"/>
      <c r="AH201" s="597"/>
      <c r="AI201" s="597"/>
      <c r="AJ201" s="73">
        <v>41960</v>
      </c>
      <c r="AK201" s="736"/>
      <c r="AL201" s="600"/>
      <c r="AM201" s="598"/>
      <c r="AN201" s="598"/>
      <c r="AO201" s="598"/>
      <c r="AP201" s="598"/>
      <c r="AQ201" s="598"/>
      <c r="AR201" s="598"/>
      <c r="AS201" s="598"/>
      <c r="AT201" s="598"/>
      <c r="AU201" s="598"/>
      <c r="AV201" s="598"/>
      <c r="AW201" s="598"/>
      <c r="AX201" s="598"/>
      <c r="AY201" s="598"/>
      <c r="AZ201" s="598"/>
      <c r="BA201" s="598"/>
      <c r="BB201" s="598"/>
      <c r="BC201" s="598"/>
      <c r="BD201" s="598"/>
      <c r="BE201" s="598"/>
      <c r="BF201" s="598"/>
      <c r="BG201" s="598"/>
      <c r="BH201" s="598"/>
      <c r="BI201" s="598"/>
      <c r="BJ201" s="598"/>
      <c r="BK201" s="598"/>
      <c r="BL201" s="598"/>
      <c r="BM201" s="598"/>
      <c r="BN201" s="598"/>
      <c r="BO201" s="598"/>
      <c r="BP201" s="598"/>
      <c r="BQ201" s="598"/>
      <c r="BR201" s="598"/>
      <c r="BS201" s="598"/>
      <c r="BT201" s="598"/>
      <c r="BU201" s="598"/>
      <c r="BV201" s="598"/>
      <c r="BW201" s="598"/>
      <c r="BX201" s="598"/>
      <c r="BY201" s="598"/>
      <c r="BZ201" s="598"/>
      <c r="CA201" s="598"/>
      <c r="CB201" s="598"/>
      <c r="CC201" s="598"/>
      <c r="CD201" s="598"/>
      <c r="CE201" s="598"/>
      <c r="CF201" s="598"/>
      <c r="CG201" s="598"/>
      <c r="CH201" s="598"/>
      <c r="CI201" s="598"/>
      <c r="CJ201" s="598"/>
      <c r="CK201" s="598"/>
      <c r="CL201" s="598"/>
      <c r="CM201" s="598"/>
      <c r="CN201" s="598"/>
      <c r="CO201" s="598"/>
      <c r="CP201" s="598"/>
      <c r="CQ201" s="598"/>
      <c r="CR201" s="598"/>
      <c r="CS201" s="598"/>
      <c r="CT201" s="598"/>
      <c r="CU201" s="598"/>
      <c r="CV201" s="598"/>
      <c r="CW201" s="598"/>
      <c r="CX201" s="598"/>
      <c r="CY201" s="598"/>
      <c r="CZ201" s="598"/>
      <c r="DA201" s="598"/>
      <c r="DB201" s="598"/>
      <c r="DC201" s="598"/>
      <c r="DD201" s="598"/>
      <c r="DE201" s="598"/>
      <c r="DF201" s="598"/>
      <c r="DG201" s="598"/>
      <c r="DH201" s="598"/>
      <c r="DI201" s="598"/>
      <c r="DJ201" s="598"/>
      <c r="DK201" s="598"/>
      <c r="DL201" s="598"/>
      <c r="DM201" s="598"/>
      <c r="DN201" s="598"/>
      <c r="DO201" s="598"/>
      <c r="DP201" s="598"/>
      <c r="DQ201" s="598"/>
      <c r="DR201" s="598"/>
      <c r="DS201" s="598"/>
      <c r="DT201" s="598"/>
      <c r="DU201" s="598"/>
      <c r="DV201" s="598"/>
      <c r="DW201" s="598"/>
      <c r="DX201" s="598"/>
      <c r="DY201" s="598"/>
      <c r="DZ201" s="598"/>
      <c r="EA201" s="598"/>
      <c r="EB201" s="598"/>
      <c r="EC201" s="598"/>
      <c r="ED201" s="598"/>
      <c r="EE201" s="598"/>
      <c r="EF201" s="598"/>
      <c r="EG201" s="598"/>
      <c r="EH201" s="598"/>
      <c r="EI201" s="598"/>
      <c r="EJ201" s="598"/>
      <c r="EK201" s="598"/>
      <c r="EL201" s="598"/>
      <c r="EM201" s="598"/>
      <c r="EN201" s="598"/>
      <c r="EO201" s="598"/>
      <c r="EP201" s="598"/>
      <c r="EQ201" s="598"/>
      <c r="ER201" s="598"/>
      <c r="ES201" s="598"/>
      <c r="ET201" s="598"/>
      <c r="EU201" s="598"/>
      <c r="EV201" s="598"/>
      <c r="EW201" s="598"/>
      <c r="EX201" s="598"/>
      <c r="EY201" s="598"/>
      <c r="EZ201" s="598"/>
      <c r="FA201" s="598"/>
      <c r="FB201" s="598"/>
      <c r="FC201" s="598"/>
      <c r="FD201" s="598"/>
      <c r="FE201" s="598"/>
      <c r="FF201" s="598"/>
      <c r="FG201" s="598"/>
      <c r="FH201" s="598"/>
      <c r="FI201" s="598"/>
      <c r="FJ201" s="598"/>
      <c r="FK201" s="598"/>
      <c r="FL201" s="598"/>
      <c r="FM201" s="598"/>
      <c r="FN201" s="598"/>
      <c r="FO201" s="598"/>
      <c r="FP201" s="598"/>
      <c r="FQ201" s="598"/>
      <c r="FR201" s="598"/>
      <c r="FS201" s="598"/>
      <c r="FT201" s="598"/>
      <c r="FU201" s="598"/>
      <c r="FV201" s="598"/>
      <c r="FW201" s="598"/>
      <c r="FX201" s="598"/>
      <c r="FY201" s="598"/>
      <c r="FZ201" s="598"/>
      <c r="GA201" s="598"/>
      <c r="GB201" s="598"/>
      <c r="GC201" s="598"/>
      <c r="GD201" s="598"/>
      <c r="GE201" s="598"/>
      <c r="GF201" s="598"/>
      <c r="GG201" s="598"/>
      <c r="GH201" s="598"/>
      <c r="GI201" s="598"/>
      <c r="GJ201" s="598"/>
      <c r="GK201" s="598"/>
      <c r="GL201" s="598"/>
      <c r="GM201" s="598"/>
      <c r="GN201" s="598"/>
      <c r="GO201" s="598"/>
      <c r="GP201" s="598"/>
      <c r="GQ201" s="598"/>
      <c r="GR201" s="598"/>
      <c r="GS201" s="598"/>
      <c r="GT201" s="598"/>
      <c r="GU201" s="598"/>
      <c r="GV201" s="598"/>
      <c r="GW201" s="598"/>
      <c r="GX201" s="598"/>
      <c r="GY201" s="598"/>
      <c r="GZ201" s="598"/>
      <c r="HA201" s="598"/>
      <c r="HB201" s="598"/>
      <c r="HC201" s="598"/>
      <c r="HD201" s="598"/>
      <c r="HE201" s="598"/>
      <c r="HF201" s="598"/>
      <c r="HG201" s="598"/>
      <c r="HH201" s="598"/>
      <c r="HI201" s="598"/>
      <c r="HJ201" s="598"/>
      <c r="HK201" s="598"/>
      <c r="HL201" s="598"/>
      <c r="HM201" s="598"/>
      <c r="HN201" s="598"/>
      <c r="HO201" s="598"/>
      <c r="HP201" s="598"/>
      <c r="HQ201" s="598"/>
      <c r="HR201" s="598"/>
      <c r="HS201" s="598"/>
      <c r="HT201" s="598"/>
      <c r="HU201" s="598"/>
      <c r="HV201" s="598"/>
      <c r="HW201" s="598"/>
      <c r="HX201" s="598"/>
      <c r="HY201" s="598"/>
      <c r="HZ201" s="598"/>
      <c r="IA201" s="598"/>
      <c r="IB201" s="598"/>
      <c r="IC201" s="598"/>
      <c r="ID201" s="598"/>
      <c r="IE201" s="598"/>
      <c r="IF201" s="598"/>
      <c r="IG201" s="598"/>
      <c r="IH201" s="598"/>
      <c r="II201" s="598"/>
      <c r="IJ201" s="598"/>
      <c r="IK201" s="598"/>
      <c r="IL201" s="598"/>
      <c r="IM201" s="598"/>
      <c r="IN201" s="598"/>
      <c r="IO201" s="598"/>
      <c r="IP201" s="598"/>
      <c r="IQ201" s="598"/>
      <c r="IR201" s="598"/>
      <c r="IS201" s="598"/>
      <c r="IT201" s="598"/>
      <c r="IU201" s="598"/>
      <c r="IV201" s="598"/>
      <c r="IW201" s="598"/>
      <c r="IX201" s="598"/>
      <c r="IY201" s="598"/>
      <c r="IZ201" s="598"/>
      <c r="JA201" s="598"/>
      <c r="JB201" s="598"/>
      <c r="JC201" s="598"/>
      <c r="JD201" s="598"/>
      <c r="JE201" s="598"/>
      <c r="JF201" s="598"/>
      <c r="JG201" s="598"/>
      <c r="JH201" s="598"/>
      <c r="JI201" s="598"/>
      <c r="JJ201" s="598"/>
      <c r="JK201" s="598"/>
      <c r="JL201" s="598"/>
      <c r="JM201" s="598"/>
      <c r="JN201" s="598"/>
      <c r="JO201" s="598"/>
      <c r="JP201" s="598"/>
      <c r="JQ201" s="598"/>
      <c r="JR201" s="598"/>
      <c r="JS201" s="598"/>
      <c r="JT201" s="598"/>
      <c r="JU201" s="598"/>
      <c r="JV201" s="598"/>
    </row>
    <row r="202" spans="1:282" s="21" customFormat="1" ht="50.1" customHeight="1" x14ac:dyDescent="0.2">
      <c r="A202" s="702"/>
      <c r="B202" s="69" t="s">
        <v>1137</v>
      </c>
      <c r="C202" s="69"/>
      <c r="D202" s="69"/>
      <c r="E202" s="30" t="s">
        <v>1918</v>
      </c>
      <c r="F202" s="196" t="s">
        <v>2496</v>
      </c>
      <c r="G202" s="72" t="s">
        <v>855</v>
      </c>
      <c r="H202" s="29" t="s">
        <v>1806</v>
      </c>
      <c r="I202" s="29"/>
      <c r="J202" s="30" t="s">
        <v>1921</v>
      </c>
      <c r="K202" s="30" t="s">
        <v>1393</v>
      </c>
      <c r="L202" s="30" t="s">
        <v>2503</v>
      </c>
      <c r="M202" s="30" t="s">
        <v>1615</v>
      </c>
      <c r="N202" s="73">
        <v>41821</v>
      </c>
      <c r="O202" s="32" t="s">
        <v>1937</v>
      </c>
      <c r="P202" s="32"/>
      <c r="Q202" s="32"/>
      <c r="R202" s="32"/>
      <c r="S202" s="32"/>
      <c r="T202" s="597"/>
      <c r="U202" s="597"/>
      <c r="V202" s="597"/>
      <c r="W202" s="597"/>
      <c r="X202" s="597"/>
      <c r="Y202" s="597"/>
      <c r="Z202" s="597"/>
      <c r="AA202" s="597"/>
      <c r="AB202" s="597"/>
      <c r="AC202" s="597"/>
      <c r="AD202" s="597"/>
      <c r="AE202" s="597"/>
      <c r="AF202" s="597"/>
      <c r="AG202" s="597"/>
      <c r="AH202" s="597"/>
      <c r="AI202" s="597"/>
      <c r="AJ202" s="73">
        <v>41960</v>
      </c>
      <c r="AK202" s="648"/>
      <c r="AL202" s="174"/>
      <c r="AM202" s="598"/>
      <c r="AN202" s="598"/>
      <c r="AO202" s="598"/>
      <c r="AP202" s="598"/>
      <c r="AQ202" s="598"/>
      <c r="AR202" s="598"/>
      <c r="AS202" s="598"/>
      <c r="AT202" s="598"/>
      <c r="AU202" s="598"/>
      <c r="AV202" s="598"/>
      <c r="AW202" s="598"/>
      <c r="AX202" s="598"/>
      <c r="AY202" s="598"/>
      <c r="AZ202" s="598"/>
      <c r="BA202" s="598"/>
      <c r="BB202" s="598"/>
      <c r="BC202" s="598"/>
      <c r="BD202" s="598"/>
      <c r="BE202" s="598"/>
      <c r="BF202" s="598"/>
      <c r="BG202" s="598"/>
      <c r="BH202" s="598"/>
      <c r="BI202" s="598"/>
      <c r="BJ202" s="598"/>
      <c r="BK202" s="598"/>
      <c r="BL202" s="598"/>
      <c r="BM202" s="598"/>
      <c r="BN202" s="598"/>
      <c r="BO202" s="598"/>
      <c r="BP202" s="598"/>
      <c r="BQ202" s="598"/>
      <c r="BR202" s="598"/>
      <c r="BS202" s="598"/>
      <c r="BT202" s="598"/>
      <c r="BU202" s="598"/>
      <c r="BV202" s="598"/>
      <c r="BW202" s="598"/>
      <c r="BX202" s="598"/>
      <c r="BY202" s="598"/>
      <c r="BZ202" s="598"/>
      <c r="CA202" s="598"/>
      <c r="CB202" s="598"/>
      <c r="CC202" s="598"/>
      <c r="CD202" s="598"/>
      <c r="CE202" s="598"/>
      <c r="CF202" s="598"/>
      <c r="CG202" s="598"/>
      <c r="CH202" s="598"/>
      <c r="CI202" s="598"/>
      <c r="CJ202" s="598"/>
      <c r="CK202" s="598"/>
      <c r="CL202" s="598"/>
      <c r="CM202" s="598"/>
      <c r="CN202" s="598"/>
      <c r="CO202" s="598"/>
      <c r="CP202" s="598"/>
      <c r="CQ202" s="598"/>
      <c r="CR202" s="598"/>
      <c r="CS202" s="598"/>
      <c r="CT202" s="598"/>
      <c r="CU202" s="598"/>
      <c r="CV202" s="598"/>
      <c r="CW202" s="598"/>
      <c r="CX202" s="598"/>
      <c r="CY202" s="598"/>
      <c r="CZ202" s="598"/>
      <c r="DA202" s="598"/>
      <c r="DB202" s="598"/>
      <c r="DC202" s="598"/>
      <c r="DD202" s="598"/>
      <c r="DE202" s="598"/>
      <c r="DF202" s="598"/>
      <c r="DG202" s="598"/>
      <c r="DH202" s="598"/>
      <c r="DI202" s="598"/>
      <c r="DJ202" s="598"/>
      <c r="DK202" s="598"/>
      <c r="DL202" s="598"/>
      <c r="DM202" s="598"/>
      <c r="DN202" s="598"/>
      <c r="DO202" s="598"/>
      <c r="DP202" s="598"/>
      <c r="DQ202" s="598"/>
      <c r="DR202" s="598"/>
      <c r="DS202" s="598"/>
      <c r="DT202" s="598"/>
      <c r="DU202" s="598"/>
      <c r="DV202" s="598"/>
      <c r="DW202" s="598"/>
      <c r="DX202" s="598"/>
      <c r="DY202" s="598"/>
      <c r="DZ202" s="598"/>
      <c r="EA202" s="598"/>
      <c r="EB202" s="598"/>
      <c r="EC202" s="598"/>
      <c r="ED202" s="598"/>
      <c r="EE202" s="598"/>
      <c r="EF202" s="598"/>
      <c r="EG202" s="598"/>
      <c r="EH202" s="598"/>
      <c r="EI202" s="598"/>
      <c r="EJ202" s="598"/>
      <c r="EK202" s="598"/>
      <c r="EL202" s="598"/>
      <c r="EM202" s="598"/>
      <c r="EN202" s="598"/>
      <c r="EO202" s="598"/>
      <c r="EP202" s="598"/>
      <c r="EQ202" s="598"/>
      <c r="ER202" s="598"/>
      <c r="ES202" s="598"/>
      <c r="ET202" s="598"/>
      <c r="EU202" s="598"/>
      <c r="EV202" s="598"/>
      <c r="EW202" s="598"/>
      <c r="EX202" s="598"/>
      <c r="EY202" s="598"/>
      <c r="EZ202" s="598"/>
      <c r="FA202" s="598"/>
      <c r="FB202" s="598"/>
      <c r="FC202" s="598"/>
      <c r="FD202" s="598"/>
      <c r="FE202" s="598"/>
      <c r="FF202" s="598"/>
      <c r="FG202" s="598"/>
      <c r="FH202" s="598"/>
      <c r="FI202" s="598"/>
      <c r="FJ202" s="598"/>
      <c r="FK202" s="598"/>
      <c r="FL202" s="598"/>
      <c r="FM202" s="598"/>
      <c r="FN202" s="598"/>
      <c r="FO202" s="598"/>
      <c r="FP202" s="598"/>
      <c r="FQ202" s="598"/>
      <c r="FR202" s="598"/>
      <c r="FS202" s="598"/>
      <c r="FT202" s="598"/>
      <c r="FU202" s="598"/>
      <c r="FV202" s="598"/>
      <c r="FW202" s="598"/>
      <c r="FX202" s="598"/>
      <c r="FY202" s="598"/>
      <c r="FZ202" s="598"/>
      <c r="GA202" s="598"/>
      <c r="GB202" s="598"/>
      <c r="GC202" s="598"/>
      <c r="GD202" s="598"/>
      <c r="GE202" s="598"/>
      <c r="GF202" s="598"/>
      <c r="GG202" s="598"/>
      <c r="GH202" s="598"/>
      <c r="GI202" s="598"/>
      <c r="GJ202" s="598"/>
      <c r="GK202" s="598"/>
      <c r="GL202" s="598"/>
      <c r="GM202" s="598"/>
      <c r="GN202" s="598"/>
      <c r="GO202" s="598"/>
      <c r="GP202" s="598"/>
      <c r="GQ202" s="598"/>
      <c r="GR202" s="598"/>
      <c r="GS202" s="598"/>
      <c r="GT202" s="598"/>
      <c r="GU202" s="598"/>
      <c r="GV202" s="598"/>
      <c r="GW202" s="598"/>
      <c r="GX202" s="598"/>
      <c r="GY202" s="598"/>
      <c r="GZ202" s="598"/>
      <c r="HA202" s="598"/>
      <c r="HB202" s="598"/>
      <c r="HC202" s="598"/>
      <c r="HD202" s="598"/>
      <c r="HE202" s="598"/>
      <c r="HF202" s="598"/>
      <c r="HG202" s="598"/>
      <c r="HH202" s="598"/>
      <c r="HI202" s="598"/>
      <c r="HJ202" s="598"/>
      <c r="HK202" s="598"/>
      <c r="HL202" s="598"/>
      <c r="HM202" s="598"/>
      <c r="HN202" s="598"/>
      <c r="HO202" s="598"/>
      <c r="HP202" s="598"/>
      <c r="HQ202" s="598"/>
      <c r="HR202" s="598"/>
      <c r="HS202" s="598"/>
      <c r="HT202" s="598"/>
      <c r="HU202" s="598"/>
      <c r="HV202" s="598"/>
      <c r="HW202" s="598"/>
      <c r="HX202" s="598"/>
      <c r="HY202" s="598"/>
      <c r="HZ202" s="598"/>
      <c r="IA202" s="598"/>
      <c r="IB202" s="598"/>
      <c r="IC202" s="598"/>
      <c r="ID202" s="598"/>
      <c r="IE202" s="598"/>
      <c r="IF202" s="598"/>
      <c r="IG202" s="598"/>
      <c r="IH202" s="598"/>
      <c r="II202" s="598"/>
      <c r="IJ202" s="598"/>
      <c r="IK202" s="598"/>
      <c r="IL202" s="598"/>
      <c r="IM202" s="598"/>
      <c r="IN202" s="598"/>
      <c r="IO202" s="598"/>
      <c r="IP202" s="598"/>
      <c r="IQ202" s="598"/>
      <c r="IR202" s="598"/>
      <c r="IS202" s="598"/>
      <c r="IT202" s="598"/>
      <c r="IU202" s="598"/>
      <c r="IV202" s="598"/>
      <c r="IW202" s="598"/>
      <c r="IX202" s="598"/>
      <c r="IY202" s="598"/>
      <c r="IZ202" s="598"/>
      <c r="JA202" s="598"/>
      <c r="JB202" s="598"/>
      <c r="JC202" s="598"/>
      <c r="JD202" s="598"/>
      <c r="JE202" s="598"/>
      <c r="JF202" s="598"/>
      <c r="JG202" s="598"/>
      <c r="JH202" s="598"/>
      <c r="JI202" s="598"/>
      <c r="JJ202" s="598"/>
      <c r="JK202" s="598"/>
      <c r="JL202" s="598"/>
      <c r="JM202" s="598"/>
      <c r="JN202" s="598"/>
      <c r="JO202" s="598"/>
      <c r="JP202" s="598"/>
      <c r="JQ202" s="598"/>
      <c r="JR202" s="598"/>
      <c r="JS202" s="598"/>
      <c r="JT202" s="598"/>
      <c r="JU202" s="598"/>
      <c r="JV202" s="598"/>
    </row>
    <row r="203" spans="1:282" s="21" customFormat="1" ht="50.1" customHeight="1" x14ac:dyDescent="0.2">
      <c r="A203" s="702"/>
      <c r="B203" s="68" t="s">
        <v>584</v>
      </c>
      <c r="C203" s="68"/>
      <c r="D203" s="68"/>
      <c r="E203" s="30" t="s">
        <v>616</v>
      </c>
      <c r="F203" s="196" t="s">
        <v>1370</v>
      </c>
      <c r="G203" s="30" t="s">
        <v>1371</v>
      </c>
      <c r="H203" s="30"/>
      <c r="I203" s="30"/>
      <c r="J203" s="29" t="s">
        <v>602</v>
      </c>
      <c r="K203" s="30" t="s">
        <v>1392</v>
      </c>
      <c r="L203" s="29" t="s">
        <v>1369</v>
      </c>
      <c r="M203" s="29" t="s">
        <v>2445</v>
      </c>
      <c r="N203" s="73">
        <v>41681</v>
      </c>
      <c r="O203" s="30" t="s">
        <v>2267</v>
      </c>
      <c r="P203" s="30"/>
      <c r="Q203" s="30"/>
      <c r="R203" s="30"/>
      <c r="S203" s="30"/>
      <c r="T203" s="597"/>
      <c r="U203" s="597"/>
      <c r="V203" s="597"/>
      <c r="W203" s="597"/>
      <c r="X203" s="597"/>
      <c r="Y203" s="597"/>
      <c r="Z203" s="597"/>
      <c r="AA203" s="597"/>
      <c r="AB203" s="597"/>
      <c r="AC203" s="597"/>
      <c r="AD203" s="597"/>
      <c r="AE203" s="597"/>
      <c r="AF203" s="597"/>
      <c r="AG203" s="597"/>
      <c r="AH203" s="597"/>
      <c r="AI203" s="597"/>
      <c r="AJ203" s="73">
        <v>41967</v>
      </c>
      <c r="AK203" s="736"/>
      <c r="AL203" s="600"/>
      <c r="AM203" s="598"/>
      <c r="AN203" s="598"/>
      <c r="AO203" s="598"/>
      <c r="AP203" s="598"/>
      <c r="AQ203" s="598"/>
      <c r="AR203" s="598"/>
      <c r="AS203" s="598"/>
      <c r="AT203" s="598"/>
      <c r="AU203" s="598"/>
      <c r="AV203" s="598"/>
      <c r="AW203" s="598"/>
      <c r="AX203" s="598"/>
      <c r="AY203" s="598"/>
      <c r="AZ203" s="598"/>
      <c r="BA203" s="598"/>
      <c r="BB203" s="598"/>
      <c r="BC203" s="598"/>
      <c r="BD203" s="598"/>
      <c r="BE203" s="598"/>
      <c r="BF203" s="598"/>
      <c r="BG203" s="598"/>
      <c r="BH203" s="598"/>
      <c r="BI203" s="598"/>
      <c r="BJ203" s="598"/>
      <c r="BK203" s="598"/>
      <c r="BL203" s="598"/>
      <c r="BM203" s="598"/>
      <c r="BN203" s="598"/>
      <c r="BO203" s="598"/>
      <c r="BP203" s="598"/>
      <c r="BQ203" s="598"/>
      <c r="BR203" s="598"/>
      <c r="BS203" s="598"/>
      <c r="BT203" s="598"/>
      <c r="BU203" s="598"/>
      <c r="BV203" s="598"/>
      <c r="BW203" s="598"/>
      <c r="BX203" s="598"/>
      <c r="BY203" s="598"/>
      <c r="BZ203" s="598"/>
      <c r="CA203" s="598"/>
      <c r="CB203" s="598"/>
      <c r="CC203" s="598"/>
      <c r="CD203" s="598"/>
      <c r="CE203" s="598"/>
      <c r="CF203" s="598"/>
      <c r="CG203" s="598"/>
      <c r="CH203" s="598"/>
      <c r="CI203" s="598"/>
      <c r="CJ203" s="598"/>
      <c r="CK203" s="598"/>
      <c r="CL203" s="598"/>
      <c r="CM203" s="598"/>
      <c r="CN203" s="598"/>
      <c r="CO203" s="598"/>
      <c r="CP203" s="598"/>
      <c r="CQ203" s="598"/>
      <c r="CR203" s="598"/>
      <c r="CS203" s="598"/>
      <c r="CT203" s="598"/>
      <c r="CU203" s="598"/>
      <c r="CV203" s="598"/>
      <c r="CW203" s="598"/>
      <c r="CX203" s="598"/>
      <c r="CY203" s="598"/>
      <c r="CZ203" s="598"/>
      <c r="DA203" s="598"/>
      <c r="DB203" s="598"/>
      <c r="DC203" s="598"/>
      <c r="DD203" s="598"/>
      <c r="DE203" s="598"/>
      <c r="DF203" s="598"/>
      <c r="DG203" s="598"/>
      <c r="DH203" s="598"/>
      <c r="DI203" s="598"/>
      <c r="DJ203" s="598"/>
      <c r="DK203" s="598"/>
      <c r="DL203" s="598"/>
      <c r="DM203" s="598"/>
      <c r="DN203" s="598"/>
      <c r="DO203" s="598"/>
      <c r="DP203" s="598"/>
      <c r="DQ203" s="598"/>
      <c r="DR203" s="598"/>
      <c r="DS203" s="598"/>
      <c r="DT203" s="598"/>
      <c r="DU203" s="598"/>
      <c r="DV203" s="598"/>
      <c r="DW203" s="598"/>
      <c r="DX203" s="598"/>
      <c r="DY203" s="598"/>
      <c r="DZ203" s="598"/>
      <c r="EA203" s="598"/>
      <c r="EB203" s="598"/>
      <c r="EC203" s="598"/>
      <c r="ED203" s="598"/>
      <c r="EE203" s="598"/>
      <c r="EF203" s="598"/>
      <c r="EG203" s="598"/>
      <c r="EH203" s="598"/>
      <c r="EI203" s="598"/>
      <c r="EJ203" s="598"/>
      <c r="EK203" s="598"/>
      <c r="EL203" s="598"/>
      <c r="EM203" s="598"/>
      <c r="EN203" s="598"/>
      <c r="EO203" s="598"/>
      <c r="EP203" s="598"/>
      <c r="EQ203" s="598"/>
      <c r="ER203" s="598"/>
      <c r="ES203" s="598"/>
      <c r="ET203" s="598"/>
      <c r="EU203" s="598"/>
      <c r="EV203" s="598"/>
      <c r="EW203" s="598"/>
      <c r="EX203" s="598"/>
      <c r="EY203" s="598"/>
      <c r="EZ203" s="598"/>
      <c r="FA203" s="598"/>
      <c r="FB203" s="598"/>
      <c r="FC203" s="598"/>
      <c r="FD203" s="598"/>
      <c r="FE203" s="598"/>
      <c r="FF203" s="598"/>
      <c r="FG203" s="598"/>
      <c r="FH203" s="598"/>
      <c r="FI203" s="598"/>
      <c r="FJ203" s="598"/>
      <c r="FK203" s="598"/>
      <c r="FL203" s="598"/>
      <c r="FM203" s="598"/>
      <c r="FN203" s="598"/>
      <c r="FO203" s="598"/>
      <c r="FP203" s="598"/>
      <c r="FQ203" s="598"/>
      <c r="FR203" s="598"/>
      <c r="FS203" s="598"/>
      <c r="FT203" s="598"/>
      <c r="FU203" s="598"/>
      <c r="FV203" s="598"/>
      <c r="FW203" s="598"/>
      <c r="FX203" s="598"/>
      <c r="FY203" s="598"/>
      <c r="FZ203" s="598"/>
      <c r="GA203" s="598"/>
      <c r="GB203" s="598"/>
      <c r="GC203" s="598"/>
      <c r="GD203" s="598"/>
      <c r="GE203" s="598"/>
      <c r="GF203" s="598"/>
      <c r="GG203" s="598"/>
      <c r="GH203" s="598"/>
      <c r="GI203" s="598"/>
      <c r="GJ203" s="598"/>
      <c r="GK203" s="598"/>
      <c r="GL203" s="598"/>
      <c r="GM203" s="598"/>
      <c r="GN203" s="598"/>
      <c r="GO203" s="598"/>
      <c r="GP203" s="598"/>
      <c r="GQ203" s="598"/>
      <c r="GR203" s="598"/>
      <c r="GS203" s="598"/>
      <c r="GT203" s="598"/>
      <c r="GU203" s="598"/>
      <c r="GV203" s="598"/>
      <c r="GW203" s="598"/>
      <c r="GX203" s="598"/>
      <c r="GY203" s="598"/>
      <c r="GZ203" s="598"/>
      <c r="HA203" s="598"/>
      <c r="HB203" s="598"/>
      <c r="HC203" s="598"/>
      <c r="HD203" s="598"/>
      <c r="HE203" s="598"/>
      <c r="HF203" s="598"/>
      <c r="HG203" s="598"/>
      <c r="HH203" s="598"/>
      <c r="HI203" s="598"/>
      <c r="HJ203" s="598"/>
      <c r="HK203" s="598"/>
      <c r="HL203" s="598"/>
      <c r="HM203" s="598"/>
      <c r="HN203" s="598"/>
      <c r="HO203" s="598"/>
      <c r="HP203" s="598"/>
      <c r="HQ203" s="598"/>
      <c r="HR203" s="598"/>
      <c r="HS203" s="598"/>
      <c r="HT203" s="598"/>
      <c r="HU203" s="598"/>
      <c r="HV203" s="598"/>
      <c r="HW203" s="598"/>
      <c r="HX203" s="598"/>
      <c r="HY203" s="598"/>
      <c r="HZ203" s="598"/>
      <c r="IA203" s="598"/>
      <c r="IB203" s="598"/>
      <c r="IC203" s="598"/>
      <c r="ID203" s="598"/>
      <c r="IE203" s="598"/>
      <c r="IF203" s="598"/>
      <c r="IG203" s="598"/>
      <c r="IH203" s="598"/>
      <c r="II203" s="598"/>
      <c r="IJ203" s="598"/>
      <c r="IK203" s="598"/>
      <c r="IL203" s="598"/>
      <c r="IM203" s="598"/>
      <c r="IN203" s="598"/>
      <c r="IO203" s="598"/>
      <c r="IP203" s="598"/>
      <c r="IQ203" s="598"/>
      <c r="IR203" s="598"/>
      <c r="IS203" s="598"/>
      <c r="IT203" s="598"/>
      <c r="IU203" s="598"/>
      <c r="IV203" s="598"/>
      <c r="IW203" s="598"/>
      <c r="IX203" s="598"/>
      <c r="IY203" s="598"/>
      <c r="IZ203" s="598"/>
      <c r="JA203" s="598"/>
      <c r="JB203" s="598"/>
      <c r="JC203" s="598"/>
      <c r="JD203" s="598"/>
      <c r="JE203" s="598"/>
      <c r="JF203" s="598"/>
      <c r="JG203" s="598"/>
      <c r="JH203" s="598"/>
      <c r="JI203" s="598"/>
      <c r="JJ203" s="598"/>
      <c r="JK203" s="598"/>
      <c r="JL203" s="598"/>
      <c r="JM203" s="598"/>
      <c r="JN203" s="598"/>
      <c r="JO203" s="598"/>
      <c r="JP203" s="598"/>
      <c r="JQ203" s="598"/>
      <c r="JR203" s="598"/>
      <c r="JS203" s="598"/>
      <c r="JT203" s="598"/>
      <c r="JU203" s="598"/>
      <c r="JV203" s="598"/>
    </row>
    <row r="204" spans="1:282" s="21" customFormat="1" ht="50.1" customHeight="1" x14ac:dyDescent="0.2">
      <c r="A204" s="702"/>
      <c r="B204" s="69" t="s">
        <v>1137</v>
      </c>
      <c r="C204" s="69"/>
      <c r="D204" s="69"/>
      <c r="E204" s="30" t="s">
        <v>1902</v>
      </c>
      <c r="F204" s="196" t="s">
        <v>2497</v>
      </c>
      <c r="G204" s="72" t="s">
        <v>745</v>
      </c>
      <c r="H204" s="29" t="s">
        <v>1806</v>
      </c>
      <c r="I204" s="29"/>
      <c r="J204" s="30" t="s">
        <v>51</v>
      </c>
      <c r="K204" s="30" t="s">
        <v>1393</v>
      </c>
      <c r="L204" s="30" t="s">
        <v>12</v>
      </c>
      <c r="M204" s="30" t="s">
        <v>1615</v>
      </c>
      <c r="N204" s="73">
        <v>41801</v>
      </c>
      <c r="O204" s="32" t="s">
        <v>1925</v>
      </c>
      <c r="P204" s="32"/>
      <c r="Q204" s="32"/>
      <c r="R204" s="32"/>
      <c r="S204" s="32"/>
      <c r="T204" s="597"/>
      <c r="U204" s="597"/>
      <c r="V204" s="597"/>
      <c r="W204" s="597"/>
      <c r="X204" s="597"/>
      <c r="Y204" s="597"/>
      <c r="Z204" s="597"/>
      <c r="AA204" s="597"/>
      <c r="AB204" s="597"/>
      <c r="AC204" s="597"/>
      <c r="AD204" s="597"/>
      <c r="AE204" s="597"/>
      <c r="AF204" s="597"/>
      <c r="AG204" s="597"/>
      <c r="AH204" s="597"/>
      <c r="AI204" s="597"/>
      <c r="AJ204" s="73">
        <v>41970</v>
      </c>
      <c r="AK204" s="648"/>
      <c r="AL204" s="174"/>
      <c r="AM204" s="598"/>
      <c r="AN204" s="598"/>
      <c r="AO204" s="598"/>
      <c r="AP204" s="598"/>
      <c r="AQ204" s="598"/>
      <c r="AR204" s="598"/>
      <c r="AS204" s="598"/>
      <c r="AT204" s="598"/>
      <c r="AU204" s="598"/>
      <c r="AV204" s="598"/>
      <c r="AW204" s="598"/>
      <c r="AX204" s="598"/>
      <c r="AY204" s="598"/>
      <c r="AZ204" s="598"/>
      <c r="BA204" s="598"/>
      <c r="BB204" s="598"/>
      <c r="BC204" s="598"/>
      <c r="BD204" s="598"/>
      <c r="BE204" s="598"/>
      <c r="BF204" s="598"/>
      <c r="BG204" s="598"/>
      <c r="BH204" s="598"/>
      <c r="BI204" s="598"/>
      <c r="BJ204" s="598"/>
      <c r="BK204" s="598"/>
      <c r="BL204" s="598"/>
      <c r="BM204" s="598"/>
      <c r="BN204" s="598"/>
      <c r="BO204" s="598"/>
      <c r="BP204" s="598"/>
      <c r="BQ204" s="598"/>
      <c r="BR204" s="598"/>
      <c r="BS204" s="598"/>
      <c r="BT204" s="598"/>
      <c r="BU204" s="598"/>
      <c r="BV204" s="598"/>
      <c r="BW204" s="598"/>
      <c r="BX204" s="598"/>
      <c r="BY204" s="598"/>
      <c r="BZ204" s="598"/>
      <c r="CA204" s="598"/>
      <c r="CB204" s="598"/>
      <c r="CC204" s="598"/>
      <c r="CD204" s="598"/>
      <c r="CE204" s="598"/>
      <c r="CF204" s="598"/>
      <c r="CG204" s="598"/>
      <c r="CH204" s="598"/>
      <c r="CI204" s="598"/>
      <c r="CJ204" s="598"/>
      <c r="CK204" s="598"/>
      <c r="CL204" s="598"/>
      <c r="CM204" s="598"/>
      <c r="CN204" s="598"/>
      <c r="CO204" s="598"/>
      <c r="CP204" s="598"/>
      <c r="CQ204" s="598"/>
      <c r="CR204" s="598"/>
      <c r="CS204" s="598"/>
      <c r="CT204" s="598"/>
      <c r="CU204" s="598"/>
      <c r="CV204" s="598"/>
      <c r="CW204" s="598"/>
      <c r="CX204" s="598"/>
      <c r="CY204" s="598"/>
      <c r="CZ204" s="598"/>
      <c r="DA204" s="598"/>
      <c r="DB204" s="598"/>
      <c r="DC204" s="598"/>
      <c r="DD204" s="598"/>
      <c r="DE204" s="598"/>
      <c r="DF204" s="598"/>
      <c r="DG204" s="598"/>
      <c r="DH204" s="598"/>
      <c r="DI204" s="598"/>
      <c r="DJ204" s="598"/>
      <c r="DK204" s="598"/>
      <c r="DL204" s="598"/>
      <c r="DM204" s="598"/>
      <c r="DN204" s="598"/>
      <c r="DO204" s="598"/>
      <c r="DP204" s="598"/>
      <c r="DQ204" s="598"/>
      <c r="DR204" s="598"/>
      <c r="DS204" s="598"/>
      <c r="DT204" s="598"/>
      <c r="DU204" s="598"/>
      <c r="DV204" s="598"/>
      <c r="DW204" s="598"/>
      <c r="DX204" s="598"/>
      <c r="DY204" s="598"/>
      <c r="DZ204" s="598"/>
      <c r="EA204" s="598"/>
      <c r="EB204" s="598"/>
      <c r="EC204" s="598"/>
      <c r="ED204" s="598"/>
      <c r="EE204" s="598"/>
      <c r="EF204" s="598"/>
      <c r="EG204" s="598"/>
      <c r="EH204" s="598"/>
      <c r="EI204" s="598"/>
      <c r="EJ204" s="598"/>
      <c r="EK204" s="598"/>
      <c r="EL204" s="598"/>
      <c r="EM204" s="598"/>
      <c r="EN204" s="598"/>
      <c r="EO204" s="598"/>
      <c r="EP204" s="598"/>
      <c r="EQ204" s="598"/>
      <c r="ER204" s="598"/>
      <c r="ES204" s="598"/>
      <c r="ET204" s="598"/>
      <c r="EU204" s="598"/>
      <c r="EV204" s="598"/>
      <c r="EW204" s="598"/>
      <c r="EX204" s="598"/>
      <c r="EY204" s="598"/>
      <c r="EZ204" s="598"/>
      <c r="FA204" s="598"/>
      <c r="FB204" s="598"/>
      <c r="FC204" s="598"/>
      <c r="FD204" s="598"/>
      <c r="FE204" s="598"/>
      <c r="FF204" s="598"/>
      <c r="FG204" s="598"/>
      <c r="FH204" s="598"/>
      <c r="FI204" s="598"/>
      <c r="FJ204" s="598"/>
      <c r="FK204" s="598"/>
      <c r="FL204" s="598"/>
      <c r="FM204" s="598"/>
      <c r="FN204" s="598"/>
      <c r="FO204" s="598"/>
      <c r="FP204" s="598"/>
      <c r="FQ204" s="598"/>
      <c r="FR204" s="598"/>
      <c r="FS204" s="598"/>
      <c r="FT204" s="598"/>
      <c r="FU204" s="598"/>
      <c r="FV204" s="598"/>
      <c r="FW204" s="598"/>
      <c r="FX204" s="598"/>
      <c r="FY204" s="598"/>
      <c r="FZ204" s="598"/>
      <c r="GA204" s="598"/>
      <c r="GB204" s="598"/>
      <c r="GC204" s="598"/>
      <c r="GD204" s="598"/>
      <c r="GE204" s="598"/>
      <c r="GF204" s="598"/>
      <c r="GG204" s="598"/>
      <c r="GH204" s="598"/>
      <c r="GI204" s="598"/>
      <c r="GJ204" s="598"/>
      <c r="GK204" s="598"/>
      <c r="GL204" s="598"/>
      <c r="GM204" s="598"/>
      <c r="GN204" s="598"/>
      <c r="GO204" s="598"/>
      <c r="GP204" s="598"/>
      <c r="GQ204" s="598"/>
      <c r="GR204" s="598"/>
      <c r="GS204" s="598"/>
      <c r="GT204" s="598"/>
      <c r="GU204" s="598"/>
      <c r="GV204" s="598"/>
      <c r="GW204" s="598"/>
      <c r="GX204" s="598"/>
      <c r="GY204" s="598"/>
      <c r="GZ204" s="598"/>
      <c r="HA204" s="598"/>
      <c r="HB204" s="598"/>
      <c r="HC204" s="598"/>
      <c r="HD204" s="598"/>
      <c r="HE204" s="598"/>
      <c r="HF204" s="598"/>
      <c r="HG204" s="598"/>
      <c r="HH204" s="598"/>
      <c r="HI204" s="598"/>
      <c r="HJ204" s="598"/>
      <c r="HK204" s="598"/>
      <c r="HL204" s="598"/>
      <c r="HM204" s="598"/>
      <c r="HN204" s="598"/>
      <c r="HO204" s="598"/>
      <c r="HP204" s="598"/>
      <c r="HQ204" s="598"/>
      <c r="HR204" s="598"/>
      <c r="HS204" s="598"/>
      <c r="HT204" s="598"/>
      <c r="HU204" s="598"/>
      <c r="HV204" s="598"/>
      <c r="HW204" s="598"/>
      <c r="HX204" s="598"/>
      <c r="HY204" s="598"/>
      <c r="HZ204" s="598"/>
      <c r="IA204" s="598"/>
      <c r="IB204" s="598"/>
      <c r="IC204" s="598"/>
      <c r="ID204" s="598"/>
      <c r="IE204" s="598"/>
      <c r="IF204" s="598"/>
      <c r="IG204" s="598"/>
      <c r="IH204" s="598"/>
      <c r="II204" s="598"/>
      <c r="IJ204" s="598"/>
      <c r="IK204" s="598"/>
      <c r="IL204" s="598"/>
      <c r="IM204" s="598"/>
      <c r="IN204" s="598"/>
      <c r="IO204" s="598"/>
      <c r="IP204" s="598"/>
      <c r="IQ204" s="598"/>
      <c r="IR204" s="598"/>
      <c r="IS204" s="598"/>
      <c r="IT204" s="598"/>
      <c r="IU204" s="598"/>
      <c r="IV204" s="598"/>
      <c r="IW204" s="598"/>
      <c r="IX204" s="598"/>
      <c r="IY204" s="598"/>
      <c r="IZ204" s="598"/>
      <c r="JA204" s="598"/>
      <c r="JB204" s="598"/>
      <c r="JC204" s="598"/>
      <c r="JD204" s="598"/>
      <c r="JE204" s="598"/>
      <c r="JF204" s="598"/>
      <c r="JG204" s="598"/>
      <c r="JH204" s="598"/>
      <c r="JI204" s="598"/>
      <c r="JJ204" s="598"/>
      <c r="JK204" s="598"/>
      <c r="JL204" s="598"/>
      <c r="JM204" s="598"/>
      <c r="JN204" s="598"/>
      <c r="JO204" s="598"/>
      <c r="JP204" s="598"/>
      <c r="JQ204" s="598"/>
      <c r="JR204" s="598"/>
      <c r="JS204" s="598"/>
      <c r="JT204" s="598"/>
      <c r="JU204" s="598"/>
      <c r="JV204" s="598"/>
    </row>
    <row r="205" spans="1:282" s="21" customFormat="1" ht="50.1" customHeight="1" x14ac:dyDescent="0.2">
      <c r="A205" s="702"/>
      <c r="B205" s="68" t="s">
        <v>584</v>
      </c>
      <c r="C205" s="68"/>
      <c r="D205" s="68"/>
      <c r="E205" s="188" t="s">
        <v>466</v>
      </c>
      <c r="F205" s="189" t="s">
        <v>468</v>
      </c>
      <c r="G205" s="188" t="s">
        <v>467</v>
      </c>
      <c r="H205" s="30"/>
      <c r="I205" s="30"/>
      <c r="J205" s="188" t="s">
        <v>2265</v>
      </c>
      <c r="K205" s="38" t="s">
        <v>1392</v>
      </c>
      <c r="L205" s="68" t="s">
        <v>2428</v>
      </c>
      <c r="M205" s="29" t="s">
        <v>2450</v>
      </c>
      <c r="N205" s="73">
        <v>41087</v>
      </c>
      <c r="O205" s="69" t="s">
        <v>576</v>
      </c>
      <c r="P205" s="69"/>
      <c r="Q205" s="69"/>
      <c r="R205" s="69"/>
      <c r="S205" s="69"/>
      <c r="T205" s="597"/>
      <c r="U205" s="597"/>
      <c r="V205" s="597"/>
      <c r="W205" s="597"/>
      <c r="X205" s="597"/>
      <c r="Y205" s="597"/>
      <c r="Z205" s="597"/>
      <c r="AA205" s="597"/>
      <c r="AB205" s="597"/>
      <c r="AC205" s="597"/>
      <c r="AD205" s="597"/>
      <c r="AE205" s="597"/>
      <c r="AF205" s="597"/>
      <c r="AG205" s="597"/>
      <c r="AH205" s="597"/>
      <c r="AI205" s="597"/>
      <c r="AJ205" s="73">
        <v>41974</v>
      </c>
      <c r="AK205" s="740"/>
      <c r="AL205" s="191"/>
      <c r="AM205" s="598"/>
      <c r="AN205" s="598"/>
      <c r="AO205" s="598"/>
      <c r="AP205" s="598"/>
      <c r="AQ205" s="598"/>
      <c r="AR205" s="598"/>
      <c r="AS205" s="598"/>
      <c r="AT205" s="598"/>
      <c r="AU205" s="598"/>
      <c r="AV205" s="598"/>
      <c r="AW205" s="598"/>
      <c r="AX205" s="598"/>
      <c r="AY205" s="598"/>
      <c r="AZ205" s="598"/>
      <c r="BA205" s="598"/>
      <c r="BB205" s="598"/>
      <c r="BC205" s="598"/>
      <c r="BD205" s="598"/>
      <c r="BE205" s="598"/>
      <c r="BF205" s="598"/>
      <c r="BG205" s="598"/>
      <c r="BH205" s="598"/>
      <c r="BI205" s="598"/>
      <c r="BJ205" s="598"/>
      <c r="BK205" s="598"/>
      <c r="BL205" s="598"/>
      <c r="BM205" s="598"/>
      <c r="BN205" s="598"/>
      <c r="BO205" s="598"/>
      <c r="BP205" s="598"/>
      <c r="BQ205" s="598"/>
      <c r="BR205" s="598"/>
      <c r="BS205" s="598"/>
      <c r="BT205" s="598"/>
      <c r="BU205" s="598"/>
      <c r="BV205" s="598"/>
      <c r="BW205" s="598"/>
      <c r="BX205" s="598"/>
      <c r="BY205" s="598"/>
      <c r="BZ205" s="598"/>
      <c r="CA205" s="598"/>
      <c r="CB205" s="598"/>
      <c r="CC205" s="598"/>
      <c r="CD205" s="598"/>
      <c r="CE205" s="598"/>
      <c r="CF205" s="598"/>
      <c r="CG205" s="598"/>
      <c r="CH205" s="598"/>
      <c r="CI205" s="598"/>
      <c r="CJ205" s="598"/>
      <c r="CK205" s="598"/>
      <c r="CL205" s="598"/>
      <c r="CM205" s="598"/>
      <c r="CN205" s="598"/>
      <c r="CO205" s="598"/>
      <c r="CP205" s="598"/>
      <c r="CQ205" s="598"/>
      <c r="CR205" s="598"/>
      <c r="CS205" s="598"/>
      <c r="CT205" s="598"/>
      <c r="CU205" s="598"/>
      <c r="CV205" s="598"/>
      <c r="CW205" s="598"/>
      <c r="CX205" s="598"/>
      <c r="CY205" s="598"/>
      <c r="CZ205" s="598"/>
      <c r="DA205" s="598"/>
      <c r="DB205" s="598"/>
      <c r="DC205" s="598"/>
      <c r="DD205" s="598"/>
      <c r="DE205" s="598"/>
      <c r="DF205" s="598"/>
      <c r="DG205" s="598"/>
      <c r="DH205" s="598"/>
      <c r="DI205" s="598"/>
      <c r="DJ205" s="598"/>
      <c r="DK205" s="598"/>
      <c r="DL205" s="598"/>
      <c r="DM205" s="598"/>
      <c r="DN205" s="598"/>
      <c r="DO205" s="598"/>
      <c r="DP205" s="598"/>
      <c r="DQ205" s="598"/>
      <c r="DR205" s="598"/>
      <c r="DS205" s="598"/>
      <c r="DT205" s="598"/>
      <c r="DU205" s="598"/>
      <c r="DV205" s="598"/>
      <c r="DW205" s="598"/>
      <c r="DX205" s="598"/>
      <c r="DY205" s="598"/>
      <c r="DZ205" s="598"/>
      <c r="EA205" s="598"/>
      <c r="EB205" s="598"/>
      <c r="EC205" s="598"/>
      <c r="ED205" s="598"/>
      <c r="EE205" s="598"/>
      <c r="EF205" s="598"/>
      <c r="EG205" s="598"/>
      <c r="EH205" s="598"/>
      <c r="EI205" s="598"/>
      <c r="EJ205" s="598"/>
      <c r="EK205" s="598"/>
      <c r="EL205" s="598"/>
      <c r="EM205" s="598"/>
      <c r="EN205" s="598"/>
      <c r="EO205" s="598"/>
      <c r="EP205" s="598"/>
      <c r="EQ205" s="598"/>
      <c r="ER205" s="598"/>
      <c r="ES205" s="598"/>
      <c r="ET205" s="598"/>
      <c r="EU205" s="598"/>
      <c r="EV205" s="598"/>
      <c r="EW205" s="598"/>
      <c r="EX205" s="598"/>
      <c r="EY205" s="598"/>
      <c r="EZ205" s="598"/>
      <c r="FA205" s="598"/>
      <c r="FB205" s="598"/>
      <c r="FC205" s="598"/>
      <c r="FD205" s="598"/>
      <c r="FE205" s="598"/>
      <c r="FF205" s="598"/>
      <c r="FG205" s="598"/>
      <c r="FH205" s="598"/>
      <c r="FI205" s="598"/>
      <c r="FJ205" s="598"/>
      <c r="FK205" s="598"/>
      <c r="FL205" s="598"/>
      <c r="FM205" s="598"/>
      <c r="FN205" s="598"/>
      <c r="FO205" s="598"/>
      <c r="FP205" s="598"/>
      <c r="FQ205" s="598"/>
      <c r="FR205" s="598"/>
      <c r="FS205" s="598"/>
      <c r="FT205" s="598"/>
      <c r="FU205" s="598"/>
      <c r="FV205" s="598"/>
      <c r="FW205" s="598"/>
      <c r="FX205" s="598"/>
      <c r="FY205" s="598"/>
      <c r="FZ205" s="598"/>
      <c r="GA205" s="598"/>
      <c r="GB205" s="598"/>
      <c r="GC205" s="598"/>
      <c r="GD205" s="598"/>
      <c r="GE205" s="598"/>
      <c r="GF205" s="598"/>
      <c r="GG205" s="598"/>
      <c r="GH205" s="598"/>
      <c r="GI205" s="598"/>
      <c r="GJ205" s="598"/>
      <c r="GK205" s="598"/>
      <c r="GL205" s="598"/>
      <c r="GM205" s="598"/>
      <c r="GN205" s="598"/>
      <c r="GO205" s="598"/>
      <c r="GP205" s="598"/>
      <c r="GQ205" s="598"/>
      <c r="GR205" s="598"/>
      <c r="GS205" s="598"/>
      <c r="GT205" s="598"/>
      <c r="GU205" s="598"/>
      <c r="GV205" s="598"/>
      <c r="GW205" s="598"/>
      <c r="GX205" s="598"/>
      <c r="GY205" s="598"/>
      <c r="GZ205" s="598"/>
      <c r="HA205" s="598"/>
      <c r="HB205" s="598"/>
      <c r="HC205" s="598"/>
      <c r="HD205" s="598"/>
      <c r="HE205" s="598"/>
      <c r="HF205" s="598"/>
      <c r="HG205" s="598"/>
      <c r="HH205" s="598"/>
      <c r="HI205" s="598"/>
      <c r="HJ205" s="598"/>
      <c r="HK205" s="598"/>
      <c r="HL205" s="598"/>
      <c r="HM205" s="598"/>
      <c r="HN205" s="598"/>
      <c r="HO205" s="598"/>
      <c r="HP205" s="598"/>
      <c r="HQ205" s="598"/>
      <c r="HR205" s="598"/>
      <c r="HS205" s="598"/>
      <c r="HT205" s="598"/>
      <c r="HU205" s="598"/>
      <c r="HV205" s="598"/>
      <c r="HW205" s="598"/>
      <c r="HX205" s="598"/>
      <c r="HY205" s="598"/>
      <c r="HZ205" s="598"/>
      <c r="IA205" s="598"/>
      <c r="IB205" s="598"/>
      <c r="IC205" s="598"/>
      <c r="ID205" s="598"/>
      <c r="IE205" s="598"/>
      <c r="IF205" s="598"/>
      <c r="IG205" s="598"/>
      <c r="IH205" s="598"/>
      <c r="II205" s="598"/>
      <c r="IJ205" s="598"/>
      <c r="IK205" s="598"/>
      <c r="IL205" s="598"/>
      <c r="IM205" s="598"/>
      <c r="IN205" s="598"/>
      <c r="IO205" s="598"/>
      <c r="IP205" s="598"/>
      <c r="IQ205" s="598"/>
      <c r="IR205" s="598"/>
      <c r="IS205" s="598"/>
      <c r="IT205" s="598"/>
      <c r="IU205" s="598"/>
      <c r="IV205" s="598"/>
      <c r="IW205" s="598"/>
      <c r="IX205" s="598"/>
      <c r="IY205" s="598"/>
      <c r="IZ205" s="598"/>
      <c r="JA205" s="598"/>
      <c r="JB205" s="598"/>
      <c r="JC205" s="598"/>
      <c r="JD205" s="598"/>
      <c r="JE205" s="598"/>
      <c r="JF205" s="598"/>
      <c r="JG205" s="598"/>
      <c r="JH205" s="598"/>
      <c r="JI205" s="598"/>
      <c r="JJ205" s="598"/>
      <c r="JK205" s="598"/>
      <c r="JL205" s="598"/>
      <c r="JM205" s="598"/>
      <c r="JN205" s="598"/>
      <c r="JO205" s="598"/>
      <c r="JP205" s="598"/>
      <c r="JQ205" s="598"/>
      <c r="JR205" s="598"/>
      <c r="JS205" s="598"/>
      <c r="JT205" s="598"/>
      <c r="JU205" s="598"/>
      <c r="JV205" s="598"/>
    </row>
    <row r="206" spans="1:282" s="21" customFormat="1" ht="50.1" customHeight="1" x14ac:dyDescent="0.2">
      <c r="A206" s="702"/>
      <c r="B206" s="705" t="s">
        <v>1174</v>
      </c>
      <c r="C206" s="705"/>
      <c r="D206" s="705"/>
      <c r="E206" s="705" t="s">
        <v>1386</v>
      </c>
      <c r="F206" s="753" t="s">
        <v>1424</v>
      </c>
      <c r="G206" s="705" t="s">
        <v>630</v>
      </c>
      <c r="H206" s="705" t="s">
        <v>1193</v>
      </c>
      <c r="I206" s="705"/>
      <c r="J206" s="705" t="s">
        <v>1292</v>
      </c>
      <c r="K206" s="705" t="s">
        <v>1392</v>
      </c>
      <c r="L206" s="165" t="s">
        <v>12</v>
      </c>
      <c r="M206" s="165" t="s">
        <v>1528</v>
      </c>
      <c r="N206" s="723">
        <v>41724</v>
      </c>
      <c r="O206" s="705" t="s">
        <v>1387</v>
      </c>
      <c r="P206" s="705"/>
      <c r="Q206" s="705"/>
      <c r="R206" s="705"/>
      <c r="S206" s="705"/>
      <c r="T206" s="171" t="s">
        <v>2944</v>
      </c>
      <c r="U206" s="171"/>
      <c r="V206" s="171"/>
      <c r="W206" s="171"/>
      <c r="X206" s="171"/>
      <c r="Y206" s="171"/>
      <c r="Z206" s="171"/>
      <c r="AA206" s="171"/>
      <c r="AB206" s="171"/>
      <c r="AC206" s="171"/>
      <c r="AD206" s="171"/>
      <c r="AE206" s="171"/>
      <c r="AF206" s="171"/>
      <c r="AG206" s="171"/>
      <c r="AH206" s="171"/>
      <c r="AI206" s="171"/>
      <c r="AJ206" s="739">
        <v>41981</v>
      </c>
      <c r="AK206" s="740"/>
      <c r="AL206" s="191"/>
      <c r="AM206" s="598"/>
      <c r="AN206" s="598"/>
      <c r="AO206" s="598"/>
      <c r="AP206" s="598"/>
      <c r="AQ206" s="598"/>
      <c r="AR206" s="598"/>
      <c r="AS206" s="598"/>
      <c r="AT206" s="598"/>
      <c r="AU206" s="598"/>
      <c r="AV206" s="598"/>
      <c r="AW206" s="598"/>
      <c r="AX206" s="598"/>
      <c r="AY206" s="598"/>
      <c r="AZ206" s="598"/>
      <c r="BA206" s="598"/>
      <c r="BB206" s="598"/>
      <c r="BC206" s="598"/>
      <c r="BD206" s="598"/>
      <c r="BE206" s="598"/>
      <c r="BF206" s="598"/>
      <c r="BG206" s="598"/>
      <c r="BH206" s="598"/>
      <c r="BI206" s="598"/>
      <c r="BJ206" s="598"/>
      <c r="BK206" s="598"/>
      <c r="BL206" s="598"/>
      <c r="BM206" s="598"/>
      <c r="BN206" s="598"/>
      <c r="BO206" s="598"/>
      <c r="BP206" s="598"/>
      <c r="BQ206" s="598"/>
      <c r="BR206" s="598"/>
      <c r="BS206" s="598"/>
      <c r="BT206" s="598"/>
      <c r="BU206" s="598"/>
      <c r="BV206" s="598"/>
      <c r="BW206" s="598"/>
      <c r="BX206" s="598"/>
      <c r="BY206" s="598"/>
      <c r="BZ206" s="598"/>
      <c r="CA206" s="598"/>
      <c r="CB206" s="598"/>
      <c r="CC206" s="598"/>
      <c r="CD206" s="598"/>
      <c r="CE206" s="598"/>
      <c r="CF206" s="598"/>
      <c r="CG206" s="598"/>
      <c r="CH206" s="598"/>
      <c r="CI206" s="598"/>
      <c r="CJ206" s="598"/>
      <c r="CK206" s="598"/>
      <c r="CL206" s="598"/>
      <c r="CM206" s="598"/>
      <c r="CN206" s="598"/>
      <c r="CO206" s="598"/>
      <c r="CP206" s="598"/>
      <c r="CQ206" s="598"/>
      <c r="CR206" s="598"/>
      <c r="CS206" s="598"/>
      <c r="CT206" s="598"/>
      <c r="CU206" s="598"/>
      <c r="CV206" s="598"/>
      <c r="CW206" s="598"/>
      <c r="CX206" s="598"/>
      <c r="CY206" s="598"/>
      <c r="CZ206" s="598"/>
      <c r="DA206" s="598"/>
      <c r="DB206" s="598"/>
      <c r="DC206" s="598"/>
      <c r="DD206" s="598"/>
      <c r="DE206" s="598"/>
      <c r="DF206" s="598"/>
      <c r="DG206" s="598"/>
      <c r="DH206" s="598"/>
      <c r="DI206" s="598"/>
      <c r="DJ206" s="598"/>
      <c r="DK206" s="598"/>
      <c r="DL206" s="598"/>
      <c r="DM206" s="598"/>
      <c r="DN206" s="598"/>
      <c r="DO206" s="598"/>
      <c r="DP206" s="598"/>
      <c r="DQ206" s="598"/>
      <c r="DR206" s="598"/>
      <c r="DS206" s="598"/>
      <c r="DT206" s="598"/>
      <c r="DU206" s="598"/>
      <c r="DV206" s="598"/>
      <c r="DW206" s="598"/>
      <c r="DX206" s="598"/>
      <c r="DY206" s="598"/>
      <c r="DZ206" s="598"/>
      <c r="EA206" s="598"/>
      <c r="EB206" s="598"/>
      <c r="EC206" s="598"/>
      <c r="ED206" s="598"/>
      <c r="EE206" s="598"/>
      <c r="EF206" s="598"/>
      <c r="EG206" s="598"/>
      <c r="EH206" s="598"/>
      <c r="EI206" s="598"/>
      <c r="EJ206" s="598"/>
      <c r="EK206" s="598"/>
      <c r="EL206" s="598"/>
      <c r="EM206" s="598"/>
      <c r="EN206" s="598"/>
      <c r="EO206" s="598"/>
      <c r="EP206" s="598"/>
      <c r="EQ206" s="598"/>
      <c r="ER206" s="598"/>
      <c r="ES206" s="598"/>
      <c r="ET206" s="598"/>
      <c r="EU206" s="598"/>
      <c r="EV206" s="598"/>
      <c r="EW206" s="598"/>
      <c r="EX206" s="598"/>
      <c r="EY206" s="598"/>
      <c r="EZ206" s="598"/>
      <c r="FA206" s="598"/>
      <c r="FB206" s="598"/>
      <c r="FC206" s="598"/>
      <c r="FD206" s="598"/>
      <c r="FE206" s="598"/>
      <c r="FF206" s="598"/>
      <c r="FG206" s="598"/>
      <c r="FH206" s="598"/>
      <c r="FI206" s="598"/>
      <c r="FJ206" s="598"/>
      <c r="FK206" s="598"/>
      <c r="FL206" s="598"/>
      <c r="FM206" s="598"/>
      <c r="FN206" s="598"/>
      <c r="FO206" s="598"/>
      <c r="FP206" s="598"/>
      <c r="FQ206" s="598"/>
      <c r="FR206" s="598"/>
      <c r="FS206" s="598"/>
      <c r="FT206" s="598"/>
      <c r="FU206" s="598"/>
      <c r="FV206" s="598"/>
      <c r="FW206" s="598"/>
      <c r="FX206" s="598"/>
      <c r="FY206" s="598"/>
      <c r="FZ206" s="598"/>
      <c r="GA206" s="598"/>
      <c r="GB206" s="598"/>
      <c r="GC206" s="598"/>
      <c r="GD206" s="598"/>
      <c r="GE206" s="598"/>
      <c r="GF206" s="598"/>
      <c r="GG206" s="598"/>
      <c r="GH206" s="598"/>
      <c r="GI206" s="598"/>
      <c r="GJ206" s="598"/>
      <c r="GK206" s="598"/>
      <c r="GL206" s="598"/>
      <c r="GM206" s="598"/>
      <c r="GN206" s="598"/>
      <c r="GO206" s="598"/>
      <c r="GP206" s="598"/>
      <c r="GQ206" s="598"/>
      <c r="GR206" s="598"/>
      <c r="GS206" s="598"/>
      <c r="GT206" s="598"/>
      <c r="GU206" s="598"/>
      <c r="GV206" s="598"/>
      <c r="GW206" s="598"/>
      <c r="GX206" s="598"/>
      <c r="GY206" s="598"/>
      <c r="GZ206" s="598"/>
      <c r="HA206" s="598"/>
      <c r="HB206" s="598"/>
      <c r="HC206" s="598"/>
      <c r="HD206" s="598"/>
      <c r="HE206" s="598"/>
      <c r="HF206" s="598"/>
      <c r="HG206" s="598"/>
      <c r="HH206" s="598"/>
      <c r="HI206" s="598"/>
      <c r="HJ206" s="598"/>
      <c r="HK206" s="598"/>
      <c r="HL206" s="598"/>
      <c r="HM206" s="598"/>
      <c r="HN206" s="598"/>
      <c r="HO206" s="598"/>
      <c r="HP206" s="598"/>
      <c r="HQ206" s="598"/>
      <c r="HR206" s="598"/>
      <c r="HS206" s="598"/>
      <c r="HT206" s="598"/>
      <c r="HU206" s="598"/>
      <c r="HV206" s="598"/>
      <c r="HW206" s="598"/>
      <c r="HX206" s="598"/>
      <c r="HY206" s="598"/>
      <c r="HZ206" s="598"/>
      <c r="IA206" s="598"/>
      <c r="IB206" s="598"/>
      <c r="IC206" s="598"/>
      <c r="ID206" s="598"/>
      <c r="IE206" s="598"/>
      <c r="IF206" s="598"/>
      <c r="IG206" s="598"/>
      <c r="IH206" s="598"/>
      <c r="II206" s="598"/>
      <c r="IJ206" s="598"/>
      <c r="IK206" s="598"/>
      <c r="IL206" s="598"/>
      <c r="IM206" s="598"/>
      <c r="IN206" s="598"/>
      <c r="IO206" s="598"/>
      <c r="IP206" s="598"/>
      <c r="IQ206" s="598"/>
      <c r="IR206" s="598"/>
      <c r="IS206" s="598"/>
      <c r="IT206" s="598"/>
      <c r="IU206" s="598"/>
      <c r="IV206" s="598"/>
      <c r="IW206" s="598"/>
      <c r="IX206" s="598"/>
      <c r="IY206" s="598"/>
      <c r="IZ206" s="598"/>
      <c r="JA206" s="598"/>
      <c r="JB206" s="598"/>
      <c r="JC206" s="598"/>
      <c r="JD206" s="598"/>
      <c r="JE206" s="598"/>
      <c r="JF206" s="598"/>
      <c r="JG206" s="598"/>
      <c r="JH206" s="598"/>
      <c r="JI206" s="598"/>
      <c r="JJ206" s="598"/>
      <c r="JK206" s="598"/>
      <c r="JL206" s="598"/>
      <c r="JM206" s="598"/>
      <c r="JN206" s="598"/>
      <c r="JO206" s="598"/>
      <c r="JP206" s="598"/>
      <c r="JQ206" s="598"/>
      <c r="JR206" s="598"/>
      <c r="JS206" s="598"/>
      <c r="JT206" s="598"/>
      <c r="JU206" s="598"/>
      <c r="JV206" s="598"/>
    </row>
    <row r="207" spans="1:282" s="21" customFormat="1" ht="50.1" customHeight="1" x14ac:dyDescent="0.2">
      <c r="A207" s="702"/>
      <c r="B207" s="69" t="s">
        <v>1137</v>
      </c>
      <c r="C207" s="69"/>
      <c r="D207" s="69"/>
      <c r="E207" s="30" t="s">
        <v>1908</v>
      </c>
      <c r="F207" s="104" t="s">
        <v>2951</v>
      </c>
      <c r="G207" s="72" t="s">
        <v>357</v>
      </c>
      <c r="H207" s="29" t="s">
        <v>1806</v>
      </c>
      <c r="I207" s="29"/>
      <c r="J207" s="30" t="s">
        <v>360</v>
      </c>
      <c r="K207" s="30" t="s">
        <v>1393</v>
      </c>
      <c r="L207" s="30" t="s">
        <v>12</v>
      </c>
      <c r="M207" s="30" t="s">
        <v>1615</v>
      </c>
      <c r="N207" s="73">
        <v>41808</v>
      </c>
      <c r="O207" s="32" t="s">
        <v>1928</v>
      </c>
      <c r="P207" s="32"/>
      <c r="Q207" s="32"/>
      <c r="R207" s="32"/>
      <c r="S207" s="32"/>
      <c r="T207" s="597"/>
      <c r="U207" s="597"/>
      <c r="V207" s="597"/>
      <c r="W207" s="597"/>
      <c r="X207" s="597"/>
      <c r="Y207" s="597"/>
      <c r="Z207" s="597"/>
      <c r="AA207" s="597"/>
      <c r="AB207" s="597"/>
      <c r="AC207" s="597"/>
      <c r="AD207" s="597"/>
      <c r="AE207" s="597"/>
      <c r="AF207" s="597"/>
      <c r="AG207" s="597"/>
      <c r="AH207" s="597"/>
      <c r="AI207" s="597"/>
      <c r="AJ207" s="73">
        <v>41988</v>
      </c>
      <c r="AK207" s="740"/>
      <c r="AL207" s="191"/>
      <c r="AM207" s="598"/>
      <c r="AN207" s="598"/>
      <c r="AO207" s="598"/>
      <c r="AP207" s="598"/>
      <c r="AQ207" s="598"/>
      <c r="AR207" s="598"/>
      <c r="AS207" s="598"/>
      <c r="AT207" s="598"/>
      <c r="AU207" s="598"/>
      <c r="AV207" s="598"/>
      <c r="AW207" s="598"/>
      <c r="AX207" s="598"/>
      <c r="AY207" s="598"/>
      <c r="AZ207" s="598"/>
      <c r="BA207" s="598"/>
      <c r="BB207" s="598"/>
      <c r="BC207" s="598"/>
      <c r="BD207" s="598"/>
      <c r="BE207" s="598"/>
      <c r="BF207" s="598"/>
      <c r="BG207" s="598"/>
      <c r="BH207" s="598"/>
      <c r="BI207" s="598"/>
      <c r="BJ207" s="598"/>
      <c r="BK207" s="598"/>
      <c r="BL207" s="598"/>
      <c r="BM207" s="598"/>
      <c r="BN207" s="598"/>
      <c r="BO207" s="598"/>
      <c r="BP207" s="598"/>
      <c r="BQ207" s="598"/>
      <c r="BR207" s="598"/>
      <c r="BS207" s="598"/>
      <c r="BT207" s="598"/>
      <c r="BU207" s="598"/>
      <c r="BV207" s="598"/>
      <c r="BW207" s="598"/>
      <c r="BX207" s="598"/>
      <c r="BY207" s="598"/>
      <c r="BZ207" s="598"/>
      <c r="CA207" s="598"/>
      <c r="CB207" s="598"/>
      <c r="CC207" s="598"/>
      <c r="CD207" s="598"/>
      <c r="CE207" s="598"/>
      <c r="CF207" s="598"/>
      <c r="CG207" s="598"/>
      <c r="CH207" s="598"/>
      <c r="CI207" s="598"/>
      <c r="CJ207" s="598"/>
      <c r="CK207" s="598"/>
      <c r="CL207" s="598"/>
      <c r="CM207" s="598"/>
      <c r="CN207" s="598"/>
      <c r="CO207" s="598"/>
      <c r="CP207" s="598"/>
      <c r="CQ207" s="598"/>
      <c r="CR207" s="598"/>
      <c r="CS207" s="598"/>
      <c r="CT207" s="598"/>
      <c r="CU207" s="598"/>
      <c r="CV207" s="598"/>
      <c r="CW207" s="598"/>
      <c r="CX207" s="598"/>
      <c r="CY207" s="598"/>
      <c r="CZ207" s="598"/>
      <c r="DA207" s="598"/>
      <c r="DB207" s="598"/>
      <c r="DC207" s="598"/>
      <c r="DD207" s="598"/>
      <c r="DE207" s="598"/>
      <c r="DF207" s="598"/>
      <c r="DG207" s="598"/>
      <c r="DH207" s="598"/>
      <c r="DI207" s="598"/>
      <c r="DJ207" s="598"/>
      <c r="DK207" s="598"/>
      <c r="DL207" s="598"/>
      <c r="DM207" s="598"/>
      <c r="DN207" s="598"/>
      <c r="DO207" s="598"/>
      <c r="DP207" s="598"/>
      <c r="DQ207" s="598"/>
      <c r="DR207" s="598"/>
      <c r="DS207" s="598"/>
      <c r="DT207" s="598"/>
      <c r="DU207" s="598"/>
      <c r="DV207" s="598"/>
      <c r="DW207" s="598"/>
      <c r="DX207" s="598"/>
      <c r="DY207" s="598"/>
      <c r="DZ207" s="598"/>
      <c r="EA207" s="598"/>
      <c r="EB207" s="598"/>
      <c r="EC207" s="598"/>
      <c r="ED207" s="598"/>
      <c r="EE207" s="598"/>
      <c r="EF207" s="598"/>
      <c r="EG207" s="598"/>
      <c r="EH207" s="598"/>
      <c r="EI207" s="598"/>
      <c r="EJ207" s="598"/>
      <c r="EK207" s="598"/>
      <c r="EL207" s="598"/>
      <c r="EM207" s="598"/>
      <c r="EN207" s="598"/>
      <c r="EO207" s="598"/>
      <c r="EP207" s="598"/>
      <c r="EQ207" s="598"/>
      <c r="ER207" s="598"/>
      <c r="ES207" s="598"/>
      <c r="ET207" s="598"/>
      <c r="EU207" s="598"/>
      <c r="EV207" s="598"/>
      <c r="EW207" s="598"/>
      <c r="EX207" s="598"/>
      <c r="EY207" s="598"/>
      <c r="EZ207" s="598"/>
      <c r="FA207" s="598"/>
      <c r="FB207" s="598"/>
      <c r="FC207" s="598"/>
      <c r="FD207" s="598"/>
      <c r="FE207" s="598"/>
      <c r="FF207" s="598"/>
      <c r="FG207" s="598"/>
      <c r="FH207" s="598"/>
      <c r="FI207" s="598"/>
      <c r="FJ207" s="598"/>
      <c r="FK207" s="598"/>
      <c r="FL207" s="598"/>
      <c r="FM207" s="598"/>
      <c r="FN207" s="598"/>
      <c r="FO207" s="598"/>
      <c r="FP207" s="598"/>
      <c r="FQ207" s="598"/>
      <c r="FR207" s="598"/>
      <c r="FS207" s="598"/>
      <c r="FT207" s="598"/>
      <c r="FU207" s="598"/>
      <c r="FV207" s="598"/>
      <c r="FW207" s="598"/>
      <c r="FX207" s="598"/>
      <c r="FY207" s="598"/>
      <c r="FZ207" s="598"/>
      <c r="GA207" s="598"/>
      <c r="GB207" s="598"/>
      <c r="GC207" s="598"/>
      <c r="GD207" s="598"/>
      <c r="GE207" s="598"/>
      <c r="GF207" s="598"/>
      <c r="GG207" s="598"/>
      <c r="GH207" s="598"/>
      <c r="GI207" s="598"/>
      <c r="GJ207" s="598"/>
      <c r="GK207" s="598"/>
      <c r="GL207" s="598"/>
      <c r="GM207" s="598"/>
      <c r="GN207" s="598"/>
      <c r="GO207" s="598"/>
      <c r="GP207" s="598"/>
      <c r="GQ207" s="598"/>
      <c r="GR207" s="598"/>
      <c r="GS207" s="598"/>
      <c r="GT207" s="598"/>
      <c r="GU207" s="598"/>
      <c r="GV207" s="598"/>
      <c r="GW207" s="598"/>
      <c r="GX207" s="598"/>
      <c r="GY207" s="598"/>
      <c r="GZ207" s="598"/>
      <c r="HA207" s="598"/>
      <c r="HB207" s="598"/>
      <c r="HC207" s="598"/>
      <c r="HD207" s="598"/>
      <c r="HE207" s="598"/>
      <c r="HF207" s="598"/>
      <c r="HG207" s="598"/>
      <c r="HH207" s="598"/>
      <c r="HI207" s="598"/>
      <c r="HJ207" s="598"/>
      <c r="HK207" s="598"/>
      <c r="HL207" s="598"/>
      <c r="HM207" s="598"/>
      <c r="HN207" s="598"/>
      <c r="HO207" s="598"/>
      <c r="HP207" s="598"/>
      <c r="HQ207" s="598"/>
      <c r="HR207" s="598"/>
      <c r="HS207" s="598"/>
      <c r="HT207" s="598"/>
      <c r="HU207" s="598"/>
      <c r="HV207" s="598"/>
      <c r="HW207" s="598"/>
      <c r="HX207" s="598"/>
      <c r="HY207" s="598"/>
      <c r="HZ207" s="598"/>
      <c r="IA207" s="598"/>
      <c r="IB207" s="598"/>
      <c r="IC207" s="598"/>
      <c r="ID207" s="598"/>
      <c r="IE207" s="598"/>
      <c r="IF207" s="598"/>
      <c r="IG207" s="598"/>
      <c r="IH207" s="598"/>
      <c r="II207" s="598"/>
      <c r="IJ207" s="598"/>
      <c r="IK207" s="598"/>
      <c r="IL207" s="598"/>
      <c r="IM207" s="598"/>
      <c r="IN207" s="598"/>
      <c r="IO207" s="598"/>
      <c r="IP207" s="598"/>
      <c r="IQ207" s="598"/>
      <c r="IR207" s="598"/>
      <c r="IS207" s="598"/>
      <c r="IT207" s="598"/>
      <c r="IU207" s="598"/>
      <c r="IV207" s="598"/>
      <c r="IW207" s="598"/>
      <c r="IX207" s="598"/>
      <c r="IY207" s="598"/>
      <c r="IZ207" s="598"/>
      <c r="JA207" s="598"/>
      <c r="JB207" s="598"/>
      <c r="JC207" s="598"/>
      <c r="JD207" s="598"/>
      <c r="JE207" s="598"/>
      <c r="JF207" s="598"/>
      <c r="JG207" s="598"/>
      <c r="JH207" s="598"/>
      <c r="JI207" s="598"/>
      <c r="JJ207" s="598"/>
      <c r="JK207" s="598"/>
      <c r="JL207" s="598"/>
      <c r="JM207" s="598"/>
      <c r="JN207" s="598"/>
      <c r="JO207" s="598"/>
      <c r="JP207" s="598"/>
      <c r="JQ207" s="598"/>
      <c r="JR207" s="598"/>
      <c r="JS207" s="598"/>
      <c r="JT207" s="598"/>
      <c r="JU207" s="598"/>
      <c r="JV207" s="598"/>
    </row>
    <row r="208" spans="1:282" s="21" customFormat="1" ht="50.1" customHeight="1" x14ac:dyDescent="0.2">
      <c r="A208" s="702"/>
      <c r="B208" s="69" t="s">
        <v>1137</v>
      </c>
      <c r="C208" s="69"/>
      <c r="D208" s="69"/>
      <c r="E208" s="30" t="s">
        <v>1912</v>
      </c>
      <c r="F208" s="196" t="s">
        <v>2498</v>
      </c>
      <c r="G208" s="72" t="s">
        <v>1913</v>
      </c>
      <c r="H208" s="29" t="s">
        <v>1806</v>
      </c>
      <c r="I208" s="29"/>
      <c r="J208" s="30" t="s">
        <v>2420</v>
      </c>
      <c r="K208" s="30" t="s">
        <v>1394</v>
      </c>
      <c r="L208" s="30" t="s">
        <v>2421</v>
      </c>
      <c r="M208" s="30" t="s">
        <v>1615</v>
      </c>
      <c r="N208" s="73">
        <v>41816</v>
      </c>
      <c r="O208" s="32" t="s">
        <v>1933</v>
      </c>
      <c r="P208" s="32"/>
      <c r="Q208" s="32"/>
      <c r="R208" s="32"/>
      <c r="S208" s="32"/>
      <c r="T208" s="597"/>
      <c r="U208" s="597"/>
      <c r="V208" s="597"/>
      <c r="W208" s="597"/>
      <c r="X208" s="597"/>
      <c r="Y208" s="597"/>
      <c r="Z208" s="597"/>
      <c r="AA208" s="597"/>
      <c r="AB208" s="597"/>
      <c r="AC208" s="597"/>
      <c r="AD208" s="597"/>
      <c r="AE208" s="597"/>
      <c r="AF208" s="597"/>
      <c r="AG208" s="597"/>
      <c r="AH208" s="597"/>
      <c r="AI208" s="597"/>
      <c r="AJ208" s="73">
        <v>41988</v>
      </c>
      <c r="AK208" s="648"/>
      <c r="AL208" s="174"/>
      <c r="AM208" s="598"/>
      <c r="AN208" s="598"/>
      <c r="AO208" s="598"/>
      <c r="AP208" s="598"/>
      <c r="AQ208" s="598"/>
      <c r="AR208" s="598"/>
      <c r="AS208" s="598"/>
      <c r="AT208" s="598"/>
      <c r="AU208" s="598"/>
      <c r="AV208" s="598"/>
      <c r="AW208" s="598"/>
      <c r="AX208" s="598"/>
      <c r="AY208" s="598"/>
      <c r="AZ208" s="598"/>
      <c r="BA208" s="598"/>
      <c r="BB208" s="598"/>
      <c r="BC208" s="598"/>
      <c r="BD208" s="598"/>
      <c r="BE208" s="598"/>
      <c r="BF208" s="598"/>
      <c r="BG208" s="598"/>
      <c r="BH208" s="598"/>
      <c r="BI208" s="598"/>
      <c r="BJ208" s="598"/>
      <c r="BK208" s="598"/>
      <c r="BL208" s="598"/>
      <c r="BM208" s="598"/>
      <c r="BN208" s="598"/>
      <c r="BO208" s="598"/>
      <c r="BP208" s="598"/>
      <c r="BQ208" s="598"/>
      <c r="BR208" s="598"/>
      <c r="BS208" s="598"/>
      <c r="BT208" s="598"/>
      <c r="BU208" s="598"/>
      <c r="BV208" s="598"/>
      <c r="BW208" s="598"/>
      <c r="BX208" s="598"/>
      <c r="BY208" s="598"/>
      <c r="BZ208" s="598"/>
      <c r="CA208" s="598"/>
      <c r="CB208" s="598"/>
      <c r="CC208" s="598"/>
      <c r="CD208" s="598"/>
      <c r="CE208" s="598"/>
      <c r="CF208" s="598"/>
      <c r="CG208" s="598"/>
      <c r="CH208" s="598"/>
      <c r="CI208" s="598"/>
      <c r="CJ208" s="598"/>
      <c r="CK208" s="598"/>
      <c r="CL208" s="598"/>
      <c r="CM208" s="598"/>
      <c r="CN208" s="598"/>
      <c r="CO208" s="598"/>
      <c r="CP208" s="598"/>
      <c r="CQ208" s="598"/>
      <c r="CR208" s="598"/>
      <c r="CS208" s="598"/>
      <c r="CT208" s="598"/>
      <c r="CU208" s="598"/>
      <c r="CV208" s="598"/>
      <c r="CW208" s="598"/>
      <c r="CX208" s="598"/>
      <c r="CY208" s="598"/>
      <c r="CZ208" s="598"/>
      <c r="DA208" s="598"/>
      <c r="DB208" s="598"/>
      <c r="DC208" s="598"/>
      <c r="DD208" s="598"/>
      <c r="DE208" s="598"/>
      <c r="DF208" s="598"/>
      <c r="DG208" s="598"/>
      <c r="DH208" s="598"/>
      <c r="DI208" s="598"/>
      <c r="DJ208" s="598"/>
      <c r="DK208" s="598"/>
      <c r="DL208" s="598"/>
      <c r="DM208" s="598"/>
      <c r="DN208" s="598"/>
      <c r="DO208" s="598"/>
      <c r="DP208" s="598"/>
      <c r="DQ208" s="598"/>
      <c r="DR208" s="598"/>
      <c r="DS208" s="598"/>
      <c r="DT208" s="598"/>
      <c r="DU208" s="598"/>
      <c r="DV208" s="598"/>
      <c r="DW208" s="598"/>
      <c r="DX208" s="598"/>
      <c r="DY208" s="598"/>
      <c r="DZ208" s="598"/>
      <c r="EA208" s="598"/>
      <c r="EB208" s="598"/>
      <c r="EC208" s="598"/>
      <c r="ED208" s="598"/>
      <c r="EE208" s="598"/>
      <c r="EF208" s="598"/>
      <c r="EG208" s="598"/>
      <c r="EH208" s="598"/>
      <c r="EI208" s="598"/>
      <c r="EJ208" s="598"/>
      <c r="EK208" s="598"/>
      <c r="EL208" s="598"/>
      <c r="EM208" s="598"/>
      <c r="EN208" s="598"/>
      <c r="EO208" s="598"/>
      <c r="EP208" s="598"/>
      <c r="EQ208" s="598"/>
      <c r="ER208" s="598"/>
      <c r="ES208" s="598"/>
      <c r="ET208" s="598"/>
      <c r="EU208" s="598"/>
      <c r="EV208" s="598"/>
      <c r="EW208" s="598"/>
      <c r="EX208" s="598"/>
      <c r="EY208" s="598"/>
      <c r="EZ208" s="598"/>
      <c r="FA208" s="598"/>
      <c r="FB208" s="598"/>
      <c r="FC208" s="598"/>
      <c r="FD208" s="598"/>
      <c r="FE208" s="598"/>
      <c r="FF208" s="598"/>
      <c r="FG208" s="598"/>
      <c r="FH208" s="598"/>
      <c r="FI208" s="598"/>
      <c r="FJ208" s="598"/>
      <c r="FK208" s="598"/>
      <c r="FL208" s="598"/>
      <c r="FM208" s="598"/>
      <c r="FN208" s="598"/>
      <c r="FO208" s="598"/>
      <c r="FP208" s="598"/>
      <c r="FQ208" s="598"/>
      <c r="FR208" s="598"/>
      <c r="FS208" s="598"/>
      <c r="FT208" s="598"/>
      <c r="FU208" s="598"/>
      <c r="FV208" s="598"/>
      <c r="FW208" s="598"/>
      <c r="FX208" s="598"/>
      <c r="FY208" s="598"/>
      <c r="FZ208" s="598"/>
      <c r="GA208" s="598"/>
      <c r="GB208" s="598"/>
      <c r="GC208" s="598"/>
      <c r="GD208" s="598"/>
      <c r="GE208" s="598"/>
      <c r="GF208" s="598"/>
      <c r="GG208" s="598"/>
      <c r="GH208" s="598"/>
      <c r="GI208" s="598"/>
      <c r="GJ208" s="598"/>
      <c r="GK208" s="598"/>
      <c r="GL208" s="598"/>
      <c r="GM208" s="598"/>
      <c r="GN208" s="598"/>
      <c r="GO208" s="598"/>
      <c r="GP208" s="598"/>
      <c r="GQ208" s="598"/>
      <c r="GR208" s="598"/>
      <c r="GS208" s="598"/>
      <c r="GT208" s="598"/>
      <c r="GU208" s="598"/>
      <c r="GV208" s="598"/>
      <c r="GW208" s="598"/>
      <c r="GX208" s="598"/>
      <c r="GY208" s="598"/>
      <c r="GZ208" s="598"/>
      <c r="HA208" s="598"/>
      <c r="HB208" s="598"/>
      <c r="HC208" s="598"/>
      <c r="HD208" s="598"/>
      <c r="HE208" s="598"/>
      <c r="HF208" s="598"/>
      <c r="HG208" s="598"/>
      <c r="HH208" s="598"/>
      <c r="HI208" s="598"/>
      <c r="HJ208" s="598"/>
      <c r="HK208" s="598"/>
      <c r="HL208" s="598"/>
      <c r="HM208" s="598"/>
      <c r="HN208" s="598"/>
      <c r="HO208" s="598"/>
      <c r="HP208" s="598"/>
      <c r="HQ208" s="598"/>
      <c r="HR208" s="598"/>
      <c r="HS208" s="598"/>
      <c r="HT208" s="598"/>
      <c r="HU208" s="598"/>
      <c r="HV208" s="598"/>
      <c r="HW208" s="598"/>
      <c r="HX208" s="598"/>
      <c r="HY208" s="598"/>
      <c r="HZ208" s="598"/>
      <c r="IA208" s="598"/>
      <c r="IB208" s="598"/>
      <c r="IC208" s="598"/>
      <c r="ID208" s="598"/>
      <c r="IE208" s="598"/>
      <c r="IF208" s="598"/>
      <c r="IG208" s="598"/>
      <c r="IH208" s="598"/>
      <c r="II208" s="598"/>
      <c r="IJ208" s="598"/>
      <c r="IK208" s="598"/>
      <c r="IL208" s="598"/>
      <c r="IM208" s="598"/>
      <c r="IN208" s="598"/>
      <c r="IO208" s="598"/>
      <c r="IP208" s="598"/>
      <c r="IQ208" s="598"/>
      <c r="IR208" s="598"/>
      <c r="IS208" s="598"/>
      <c r="IT208" s="598"/>
      <c r="IU208" s="598"/>
      <c r="IV208" s="598"/>
      <c r="IW208" s="598"/>
      <c r="IX208" s="598"/>
      <c r="IY208" s="598"/>
      <c r="IZ208" s="598"/>
      <c r="JA208" s="598"/>
      <c r="JB208" s="598"/>
      <c r="JC208" s="598"/>
      <c r="JD208" s="598"/>
      <c r="JE208" s="598"/>
      <c r="JF208" s="598"/>
      <c r="JG208" s="598"/>
      <c r="JH208" s="598"/>
      <c r="JI208" s="598"/>
      <c r="JJ208" s="598"/>
      <c r="JK208" s="598"/>
      <c r="JL208" s="598"/>
      <c r="JM208" s="598"/>
      <c r="JN208" s="598"/>
      <c r="JO208" s="598"/>
      <c r="JP208" s="598"/>
      <c r="JQ208" s="598"/>
      <c r="JR208" s="598"/>
      <c r="JS208" s="598"/>
      <c r="JT208" s="598"/>
      <c r="JU208" s="598"/>
      <c r="JV208" s="598"/>
    </row>
    <row r="209" spans="1:282" s="21" customFormat="1" ht="50.1" customHeight="1" x14ac:dyDescent="0.2">
      <c r="A209" s="702"/>
      <c r="B209" s="30" t="s">
        <v>584</v>
      </c>
      <c r="C209" s="30"/>
      <c r="D209" s="30"/>
      <c r="E209" s="30" t="s">
        <v>2517</v>
      </c>
      <c r="F209" s="196" t="s">
        <v>2499</v>
      </c>
      <c r="G209" s="72" t="s">
        <v>696</v>
      </c>
      <c r="H209" s="29" t="s">
        <v>1806</v>
      </c>
      <c r="I209" s="29"/>
      <c r="J209" s="30" t="s">
        <v>697</v>
      </c>
      <c r="K209" s="30" t="s">
        <v>1393</v>
      </c>
      <c r="L209" s="30" t="s">
        <v>1923</v>
      </c>
      <c r="M209" s="30" t="s">
        <v>1615</v>
      </c>
      <c r="N209" s="73">
        <v>41823</v>
      </c>
      <c r="O209" s="32">
        <v>579750141</v>
      </c>
      <c r="P209" s="32"/>
      <c r="Q209" s="32"/>
      <c r="R209" s="32"/>
      <c r="S209" s="32"/>
      <c r="T209" s="597"/>
      <c r="U209" s="597"/>
      <c r="V209" s="597"/>
      <c r="W209" s="597"/>
      <c r="X209" s="597"/>
      <c r="Y209" s="597"/>
      <c r="Z209" s="597"/>
      <c r="AA209" s="597"/>
      <c r="AB209" s="597"/>
      <c r="AC209" s="597"/>
      <c r="AD209" s="597"/>
      <c r="AE209" s="597"/>
      <c r="AF209" s="597"/>
      <c r="AG209" s="597"/>
      <c r="AH209" s="597"/>
      <c r="AI209" s="597"/>
      <c r="AJ209" s="73">
        <v>41988</v>
      </c>
      <c r="AK209" s="720"/>
      <c r="AL209" s="190"/>
      <c r="AM209" s="598"/>
      <c r="AN209" s="598"/>
      <c r="AO209" s="598"/>
      <c r="AP209" s="598"/>
      <c r="AQ209" s="598"/>
      <c r="AR209" s="598"/>
      <c r="AS209" s="598"/>
      <c r="AT209" s="598"/>
      <c r="AU209" s="598"/>
      <c r="AV209" s="598"/>
      <c r="AW209" s="598"/>
      <c r="AX209" s="598"/>
      <c r="AY209" s="598"/>
      <c r="AZ209" s="598"/>
      <c r="BA209" s="598"/>
      <c r="BB209" s="598"/>
      <c r="BC209" s="598"/>
      <c r="BD209" s="598"/>
      <c r="BE209" s="598"/>
      <c r="BF209" s="598"/>
      <c r="BG209" s="598"/>
      <c r="BH209" s="598"/>
      <c r="BI209" s="598"/>
      <c r="BJ209" s="598"/>
      <c r="BK209" s="598"/>
      <c r="BL209" s="598"/>
      <c r="BM209" s="598"/>
      <c r="BN209" s="598"/>
      <c r="BO209" s="598"/>
      <c r="BP209" s="598"/>
      <c r="BQ209" s="598"/>
      <c r="BR209" s="598"/>
      <c r="BS209" s="598"/>
      <c r="BT209" s="598"/>
      <c r="BU209" s="598"/>
      <c r="BV209" s="598"/>
      <c r="BW209" s="598"/>
      <c r="BX209" s="598"/>
      <c r="BY209" s="598"/>
      <c r="BZ209" s="598"/>
      <c r="CA209" s="598"/>
      <c r="CB209" s="598"/>
      <c r="CC209" s="598"/>
      <c r="CD209" s="598"/>
      <c r="CE209" s="598"/>
      <c r="CF209" s="598"/>
      <c r="CG209" s="598"/>
      <c r="CH209" s="598"/>
      <c r="CI209" s="598"/>
      <c r="CJ209" s="598"/>
      <c r="CK209" s="598"/>
      <c r="CL209" s="598"/>
      <c r="CM209" s="598"/>
      <c r="CN209" s="598"/>
      <c r="CO209" s="598"/>
      <c r="CP209" s="598"/>
      <c r="CQ209" s="598"/>
      <c r="CR209" s="598"/>
      <c r="CS209" s="598"/>
      <c r="CT209" s="598"/>
      <c r="CU209" s="598"/>
      <c r="CV209" s="598"/>
      <c r="CW209" s="598"/>
      <c r="CX209" s="598"/>
      <c r="CY209" s="598"/>
      <c r="CZ209" s="598"/>
      <c r="DA209" s="598"/>
      <c r="DB209" s="598"/>
      <c r="DC209" s="598"/>
      <c r="DD209" s="598"/>
      <c r="DE209" s="598"/>
      <c r="DF209" s="598"/>
      <c r="DG209" s="598"/>
      <c r="DH209" s="598"/>
      <c r="DI209" s="598"/>
      <c r="DJ209" s="598"/>
      <c r="DK209" s="598"/>
      <c r="DL209" s="598"/>
      <c r="DM209" s="598"/>
      <c r="DN209" s="598"/>
      <c r="DO209" s="598"/>
      <c r="DP209" s="598"/>
      <c r="DQ209" s="598"/>
      <c r="DR209" s="598"/>
      <c r="DS209" s="598"/>
      <c r="DT209" s="598"/>
      <c r="DU209" s="598"/>
      <c r="DV209" s="598"/>
      <c r="DW209" s="598"/>
      <c r="DX209" s="598"/>
      <c r="DY209" s="598"/>
      <c r="DZ209" s="598"/>
      <c r="EA209" s="598"/>
      <c r="EB209" s="598"/>
      <c r="EC209" s="598"/>
      <c r="ED209" s="598"/>
      <c r="EE209" s="598"/>
      <c r="EF209" s="598"/>
      <c r="EG209" s="598"/>
      <c r="EH209" s="598"/>
      <c r="EI209" s="598"/>
      <c r="EJ209" s="598"/>
      <c r="EK209" s="598"/>
      <c r="EL209" s="598"/>
      <c r="EM209" s="598"/>
      <c r="EN209" s="598"/>
      <c r="EO209" s="598"/>
      <c r="EP209" s="598"/>
      <c r="EQ209" s="598"/>
      <c r="ER209" s="598"/>
      <c r="ES209" s="598"/>
      <c r="ET209" s="598"/>
      <c r="EU209" s="598"/>
      <c r="EV209" s="598"/>
      <c r="EW209" s="598"/>
      <c r="EX209" s="598"/>
      <c r="EY209" s="598"/>
      <c r="EZ209" s="598"/>
      <c r="FA209" s="598"/>
      <c r="FB209" s="598"/>
      <c r="FC209" s="598"/>
      <c r="FD209" s="598"/>
      <c r="FE209" s="598"/>
      <c r="FF209" s="598"/>
      <c r="FG209" s="598"/>
      <c r="FH209" s="598"/>
      <c r="FI209" s="598"/>
      <c r="FJ209" s="598"/>
      <c r="FK209" s="598"/>
      <c r="FL209" s="598"/>
      <c r="FM209" s="598"/>
      <c r="FN209" s="598"/>
      <c r="FO209" s="598"/>
      <c r="FP209" s="598"/>
      <c r="FQ209" s="598"/>
      <c r="FR209" s="598"/>
      <c r="FS209" s="598"/>
      <c r="FT209" s="598"/>
      <c r="FU209" s="598"/>
      <c r="FV209" s="598"/>
      <c r="FW209" s="598"/>
      <c r="FX209" s="598"/>
      <c r="FY209" s="598"/>
      <c r="FZ209" s="598"/>
      <c r="GA209" s="598"/>
      <c r="GB209" s="598"/>
      <c r="GC209" s="598"/>
      <c r="GD209" s="598"/>
      <c r="GE209" s="598"/>
      <c r="GF209" s="598"/>
      <c r="GG209" s="598"/>
      <c r="GH209" s="598"/>
      <c r="GI209" s="598"/>
      <c r="GJ209" s="598"/>
      <c r="GK209" s="598"/>
      <c r="GL209" s="598"/>
      <c r="GM209" s="598"/>
      <c r="GN209" s="598"/>
      <c r="GO209" s="598"/>
      <c r="GP209" s="598"/>
      <c r="GQ209" s="598"/>
      <c r="GR209" s="598"/>
      <c r="GS209" s="598"/>
      <c r="GT209" s="598"/>
      <c r="GU209" s="598"/>
      <c r="GV209" s="598"/>
      <c r="GW209" s="598"/>
      <c r="GX209" s="598"/>
      <c r="GY209" s="598"/>
      <c r="GZ209" s="598"/>
      <c r="HA209" s="598"/>
      <c r="HB209" s="598"/>
      <c r="HC209" s="598"/>
      <c r="HD209" s="598"/>
      <c r="HE209" s="598"/>
      <c r="HF209" s="598"/>
      <c r="HG209" s="598"/>
      <c r="HH209" s="598"/>
      <c r="HI209" s="598"/>
      <c r="HJ209" s="598"/>
      <c r="HK209" s="598"/>
      <c r="HL209" s="598"/>
      <c r="HM209" s="598"/>
      <c r="HN209" s="598"/>
      <c r="HO209" s="598"/>
      <c r="HP209" s="598"/>
      <c r="HQ209" s="598"/>
      <c r="HR209" s="598"/>
      <c r="HS209" s="598"/>
      <c r="HT209" s="598"/>
      <c r="HU209" s="598"/>
      <c r="HV209" s="598"/>
      <c r="HW209" s="598"/>
      <c r="HX209" s="598"/>
      <c r="HY209" s="598"/>
      <c r="HZ209" s="598"/>
      <c r="IA209" s="598"/>
      <c r="IB209" s="598"/>
      <c r="IC209" s="598"/>
      <c r="ID209" s="598"/>
      <c r="IE209" s="598"/>
      <c r="IF209" s="598"/>
      <c r="IG209" s="598"/>
      <c r="IH209" s="598"/>
      <c r="II209" s="598"/>
      <c r="IJ209" s="598"/>
      <c r="IK209" s="598"/>
      <c r="IL209" s="598"/>
      <c r="IM209" s="598"/>
      <c r="IN209" s="598"/>
      <c r="IO209" s="598"/>
      <c r="IP209" s="598"/>
      <c r="IQ209" s="598"/>
      <c r="IR209" s="598"/>
      <c r="IS209" s="598"/>
      <c r="IT209" s="598"/>
      <c r="IU209" s="598"/>
      <c r="IV209" s="598"/>
      <c r="IW209" s="598"/>
      <c r="IX209" s="598"/>
      <c r="IY209" s="598"/>
      <c r="IZ209" s="598"/>
      <c r="JA209" s="598"/>
      <c r="JB209" s="598"/>
      <c r="JC209" s="598"/>
      <c r="JD209" s="598"/>
      <c r="JE209" s="598"/>
      <c r="JF209" s="598"/>
      <c r="JG209" s="598"/>
      <c r="JH209" s="598"/>
      <c r="JI209" s="598"/>
      <c r="JJ209" s="598"/>
      <c r="JK209" s="598"/>
      <c r="JL209" s="598"/>
      <c r="JM209" s="598"/>
      <c r="JN209" s="598"/>
      <c r="JO209" s="598"/>
      <c r="JP209" s="598"/>
      <c r="JQ209" s="598"/>
      <c r="JR209" s="598"/>
      <c r="JS209" s="598"/>
      <c r="JT209" s="598"/>
      <c r="JU209" s="598"/>
      <c r="JV209" s="598"/>
    </row>
    <row r="210" spans="1:282" s="21" customFormat="1" ht="50.1" customHeight="1" x14ac:dyDescent="0.2">
      <c r="A210" s="702"/>
      <c r="B210" s="30" t="s">
        <v>584</v>
      </c>
      <c r="C210" s="30"/>
      <c r="D210" s="30"/>
      <c r="E210" s="30" t="s">
        <v>2518</v>
      </c>
      <c r="F210" s="196" t="s">
        <v>2500</v>
      </c>
      <c r="G210" s="72" t="s">
        <v>1044</v>
      </c>
      <c r="H210" s="29" t="s">
        <v>1806</v>
      </c>
      <c r="I210" s="29"/>
      <c r="J210" s="30" t="s">
        <v>1922</v>
      </c>
      <c r="K210" s="30" t="s">
        <v>1393</v>
      </c>
      <c r="L210" s="30" t="s">
        <v>1923</v>
      </c>
      <c r="M210" s="30" t="s">
        <v>1615</v>
      </c>
      <c r="N210" s="73">
        <v>41831</v>
      </c>
      <c r="O210" s="32" t="s">
        <v>1938</v>
      </c>
      <c r="P210" s="32"/>
      <c r="Q210" s="32"/>
      <c r="R210" s="32"/>
      <c r="S210" s="32"/>
      <c r="T210" s="155" t="s">
        <v>1376</v>
      </c>
      <c r="U210" s="155"/>
      <c r="V210" s="155"/>
      <c r="W210" s="155"/>
      <c r="X210" s="155"/>
      <c r="Y210" s="155"/>
      <c r="Z210" s="155"/>
      <c r="AA210" s="155"/>
      <c r="AB210" s="155"/>
      <c r="AC210" s="155"/>
      <c r="AD210" s="155"/>
      <c r="AE210" s="155"/>
      <c r="AF210" s="155"/>
      <c r="AG210" s="155"/>
      <c r="AH210" s="155"/>
      <c r="AI210" s="155"/>
      <c r="AJ210" s="73">
        <v>41988</v>
      </c>
      <c r="AK210" s="733"/>
      <c r="AL210" s="155"/>
      <c r="AM210" s="598"/>
      <c r="AN210" s="598"/>
      <c r="AO210" s="598"/>
      <c r="AP210" s="598"/>
      <c r="AQ210" s="598"/>
      <c r="AR210" s="598"/>
      <c r="AS210" s="598"/>
      <c r="AT210" s="598"/>
      <c r="AU210" s="598"/>
      <c r="AV210" s="598"/>
      <c r="AW210" s="598"/>
      <c r="AX210" s="598"/>
      <c r="AY210" s="598"/>
      <c r="AZ210" s="598"/>
      <c r="BA210" s="598"/>
      <c r="BB210" s="598"/>
      <c r="BC210" s="598"/>
      <c r="BD210" s="598"/>
      <c r="BE210" s="598"/>
      <c r="BF210" s="598"/>
      <c r="BG210" s="598"/>
      <c r="BH210" s="598"/>
      <c r="BI210" s="598"/>
      <c r="BJ210" s="598"/>
      <c r="BK210" s="598"/>
      <c r="BL210" s="598"/>
      <c r="BM210" s="598"/>
      <c r="BN210" s="598"/>
      <c r="BO210" s="598"/>
      <c r="BP210" s="598"/>
      <c r="BQ210" s="598"/>
      <c r="BR210" s="598"/>
      <c r="BS210" s="598"/>
      <c r="BT210" s="598"/>
      <c r="BU210" s="598"/>
      <c r="BV210" s="598"/>
      <c r="BW210" s="598"/>
      <c r="BX210" s="598"/>
      <c r="BY210" s="598"/>
      <c r="BZ210" s="598"/>
      <c r="CA210" s="598"/>
      <c r="CB210" s="598"/>
      <c r="CC210" s="598"/>
      <c r="CD210" s="598"/>
      <c r="CE210" s="598"/>
      <c r="CF210" s="598"/>
      <c r="CG210" s="598"/>
      <c r="CH210" s="598"/>
      <c r="CI210" s="598"/>
      <c r="CJ210" s="598"/>
      <c r="CK210" s="598"/>
      <c r="CL210" s="598"/>
      <c r="CM210" s="598"/>
      <c r="CN210" s="598"/>
      <c r="CO210" s="598"/>
      <c r="CP210" s="598"/>
      <c r="CQ210" s="598"/>
      <c r="CR210" s="598"/>
      <c r="CS210" s="598"/>
      <c r="CT210" s="598"/>
      <c r="CU210" s="598"/>
      <c r="CV210" s="598"/>
      <c r="CW210" s="598"/>
      <c r="CX210" s="598"/>
      <c r="CY210" s="598"/>
      <c r="CZ210" s="598"/>
      <c r="DA210" s="598"/>
      <c r="DB210" s="598"/>
      <c r="DC210" s="598"/>
      <c r="DD210" s="598"/>
      <c r="DE210" s="598"/>
      <c r="DF210" s="598"/>
      <c r="DG210" s="598"/>
      <c r="DH210" s="598"/>
      <c r="DI210" s="598"/>
      <c r="DJ210" s="598"/>
      <c r="DK210" s="598"/>
      <c r="DL210" s="598"/>
      <c r="DM210" s="598"/>
      <c r="DN210" s="598"/>
      <c r="DO210" s="598"/>
      <c r="DP210" s="598"/>
      <c r="DQ210" s="598"/>
      <c r="DR210" s="598"/>
      <c r="DS210" s="598"/>
      <c r="DT210" s="598"/>
      <c r="DU210" s="598"/>
      <c r="DV210" s="598"/>
      <c r="DW210" s="598"/>
      <c r="DX210" s="598"/>
      <c r="DY210" s="598"/>
      <c r="DZ210" s="598"/>
      <c r="EA210" s="598"/>
      <c r="EB210" s="598"/>
      <c r="EC210" s="598"/>
      <c r="ED210" s="598"/>
      <c r="EE210" s="598"/>
      <c r="EF210" s="598"/>
      <c r="EG210" s="598"/>
      <c r="EH210" s="598"/>
      <c r="EI210" s="598"/>
      <c r="EJ210" s="598"/>
      <c r="EK210" s="598"/>
      <c r="EL210" s="598"/>
      <c r="EM210" s="598"/>
      <c r="EN210" s="598"/>
      <c r="EO210" s="598"/>
      <c r="EP210" s="598"/>
      <c r="EQ210" s="598"/>
      <c r="ER210" s="598"/>
      <c r="ES210" s="598"/>
      <c r="ET210" s="598"/>
      <c r="EU210" s="598"/>
      <c r="EV210" s="598"/>
      <c r="EW210" s="598"/>
      <c r="EX210" s="598"/>
      <c r="EY210" s="598"/>
      <c r="EZ210" s="598"/>
      <c r="FA210" s="598"/>
      <c r="FB210" s="598"/>
      <c r="FC210" s="598"/>
      <c r="FD210" s="598"/>
      <c r="FE210" s="598"/>
      <c r="FF210" s="598"/>
      <c r="FG210" s="598"/>
      <c r="FH210" s="598"/>
      <c r="FI210" s="598"/>
      <c r="FJ210" s="598"/>
      <c r="FK210" s="598"/>
      <c r="FL210" s="598"/>
      <c r="FM210" s="598"/>
      <c r="FN210" s="598"/>
      <c r="FO210" s="598"/>
      <c r="FP210" s="598"/>
      <c r="FQ210" s="598"/>
      <c r="FR210" s="598"/>
      <c r="FS210" s="598"/>
      <c r="FT210" s="598"/>
      <c r="FU210" s="598"/>
      <c r="FV210" s="598"/>
      <c r="FW210" s="598"/>
      <c r="FX210" s="598"/>
      <c r="FY210" s="598"/>
      <c r="FZ210" s="598"/>
      <c r="GA210" s="598"/>
      <c r="GB210" s="598"/>
      <c r="GC210" s="598"/>
      <c r="GD210" s="598"/>
      <c r="GE210" s="598"/>
      <c r="GF210" s="598"/>
      <c r="GG210" s="598"/>
      <c r="GH210" s="598"/>
      <c r="GI210" s="598"/>
      <c r="GJ210" s="598"/>
      <c r="GK210" s="598"/>
      <c r="GL210" s="598"/>
      <c r="GM210" s="598"/>
      <c r="GN210" s="598"/>
      <c r="GO210" s="598"/>
      <c r="GP210" s="598"/>
      <c r="GQ210" s="598"/>
      <c r="GR210" s="598"/>
      <c r="GS210" s="598"/>
      <c r="GT210" s="598"/>
      <c r="GU210" s="598"/>
      <c r="GV210" s="598"/>
      <c r="GW210" s="598"/>
      <c r="GX210" s="598"/>
      <c r="GY210" s="598"/>
      <c r="GZ210" s="598"/>
      <c r="HA210" s="598"/>
      <c r="HB210" s="598"/>
      <c r="HC210" s="598"/>
      <c r="HD210" s="598"/>
      <c r="HE210" s="598"/>
      <c r="HF210" s="598"/>
      <c r="HG210" s="598"/>
      <c r="HH210" s="598"/>
      <c r="HI210" s="598"/>
      <c r="HJ210" s="598"/>
      <c r="HK210" s="598"/>
      <c r="HL210" s="598"/>
      <c r="HM210" s="598"/>
      <c r="HN210" s="598"/>
      <c r="HO210" s="598"/>
      <c r="HP210" s="598"/>
      <c r="HQ210" s="598"/>
      <c r="HR210" s="598"/>
      <c r="HS210" s="598"/>
      <c r="HT210" s="598"/>
      <c r="HU210" s="598"/>
      <c r="HV210" s="598"/>
      <c r="HW210" s="598"/>
      <c r="HX210" s="598"/>
      <c r="HY210" s="598"/>
      <c r="HZ210" s="598"/>
      <c r="IA210" s="598"/>
      <c r="IB210" s="598"/>
      <c r="IC210" s="598"/>
      <c r="ID210" s="598"/>
      <c r="IE210" s="598"/>
      <c r="IF210" s="598"/>
      <c r="IG210" s="598"/>
      <c r="IH210" s="598"/>
      <c r="II210" s="598"/>
      <c r="IJ210" s="598"/>
      <c r="IK210" s="598"/>
      <c r="IL210" s="598"/>
      <c r="IM210" s="598"/>
      <c r="IN210" s="598"/>
      <c r="IO210" s="598"/>
      <c r="IP210" s="598"/>
      <c r="IQ210" s="598"/>
      <c r="IR210" s="598"/>
      <c r="IS210" s="598"/>
      <c r="IT210" s="598"/>
      <c r="IU210" s="598"/>
      <c r="IV210" s="598"/>
      <c r="IW210" s="598"/>
      <c r="IX210" s="598"/>
      <c r="IY210" s="598"/>
      <c r="IZ210" s="598"/>
      <c r="JA210" s="598"/>
      <c r="JB210" s="598"/>
      <c r="JC210" s="598"/>
      <c r="JD210" s="598"/>
      <c r="JE210" s="598"/>
      <c r="JF210" s="598"/>
      <c r="JG210" s="598"/>
      <c r="JH210" s="598"/>
      <c r="JI210" s="598"/>
      <c r="JJ210" s="598"/>
      <c r="JK210" s="598"/>
      <c r="JL210" s="598"/>
      <c r="JM210" s="598"/>
      <c r="JN210" s="598"/>
      <c r="JO210" s="598"/>
      <c r="JP210" s="598"/>
      <c r="JQ210" s="598"/>
      <c r="JR210" s="598"/>
      <c r="JS210" s="598"/>
      <c r="JT210" s="598"/>
      <c r="JU210" s="598"/>
      <c r="JV210" s="598"/>
    </row>
    <row r="211" spans="1:282" s="21" customFormat="1" ht="50.1" customHeight="1" x14ac:dyDescent="0.2">
      <c r="A211" s="702"/>
      <c r="B211" s="69" t="s">
        <v>1137</v>
      </c>
      <c r="C211" s="69"/>
      <c r="D211" s="69"/>
      <c r="E211" s="30" t="s">
        <v>1268</v>
      </c>
      <c r="F211" s="196" t="s">
        <v>1263</v>
      </c>
      <c r="G211" s="72" t="s">
        <v>1267</v>
      </c>
      <c r="H211" s="30" t="s">
        <v>588</v>
      </c>
      <c r="I211" s="30"/>
      <c r="J211" s="30" t="s">
        <v>1455</v>
      </c>
      <c r="K211" s="29" t="s">
        <v>1614</v>
      </c>
      <c r="L211" s="29" t="s">
        <v>2126</v>
      </c>
      <c r="M211" s="29" t="s">
        <v>1528</v>
      </c>
      <c r="N211" s="73">
        <v>41579</v>
      </c>
      <c r="O211" s="32" t="s">
        <v>1299</v>
      </c>
      <c r="P211" s="32"/>
      <c r="Q211" s="32"/>
      <c r="R211" s="32"/>
      <c r="S211" s="32"/>
      <c r="T211" s="597"/>
      <c r="U211" s="597"/>
      <c r="V211" s="597"/>
      <c r="W211" s="597"/>
      <c r="X211" s="597"/>
      <c r="Y211" s="597"/>
      <c r="Z211" s="597"/>
      <c r="AA211" s="597"/>
      <c r="AB211" s="597"/>
      <c r="AC211" s="597"/>
      <c r="AD211" s="597"/>
      <c r="AE211" s="597"/>
      <c r="AF211" s="597"/>
      <c r="AG211" s="597"/>
      <c r="AH211" s="597"/>
      <c r="AI211" s="597"/>
      <c r="AJ211" s="73">
        <v>41995</v>
      </c>
      <c r="AK211" s="648"/>
      <c r="AL211" s="174"/>
      <c r="AM211" s="598"/>
      <c r="AN211" s="598"/>
      <c r="AO211" s="598"/>
      <c r="AP211" s="598"/>
      <c r="AQ211" s="598"/>
      <c r="AR211" s="598"/>
      <c r="AS211" s="598"/>
      <c r="AT211" s="598"/>
      <c r="AU211" s="598"/>
      <c r="AV211" s="598"/>
      <c r="AW211" s="598"/>
      <c r="AX211" s="598"/>
      <c r="AY211" s="598"/>
      <c r="AZ211" s="598"/>
      <c r="BA211" s="598"/>
      <c r="BB211" s="598"/>
      <c r="BC211" s="598"/>
      <c r="BD211" s="598"/>
      <c r="BE211" s="598"/>
      <c r="BF211" s="598"/>
      <c r="BG211" s="598"/>
      <c r="BH211" s="598"/>
      <c r="BI211" s="598"/>
      <c r="BJ211" s="598"/>
      <c r="BK211" s="598"/>
      <c r="BL211" s="598"/>
      <c r="BM211" s="598"/>
      <c r="BN211" s="598"/>
      <c r="BO211" s="598"/>
      <c r="BP211" s="598"/>
      <c r="BQ211" s="598"/>
      <c r="BR211" s="598"/>
      <c r="BS211" s="598"/>
      <c r="BT211" s="598"/>
      <c r="BU211" s="598"/>
      <c r="BV211" s="598"/>
      <c r="BW211" s="598"/>
      <c r="BX211" s="598"/>
      <c r="BY211" s="598"/>
      <c r="BZ211" s="598"/>
      <c r="CA211" s="598"/>
      <c r="CB211" s="598"/>
      <c r="CC211" s="598"/>
      <c r="CD211" s="598"/>
      <c r="CE211" s="598"/>
      <c r="CF211" s="598"/>
      <c r="CG211" s="598"/>
      <c r="CH211" s="598"/>
      <c r="CI211" s="598"/>
      <c r="CJ211" s="598"/>
      <c r="CK211" s="598"/>
      <c r="CL211" s="598"/>
      <c r="CM211" s="598"/>
      <c r="CN211" s="598"/>
      <c r="CO211" s="598"/>
      <c r="CP211" s="598"/>
      <c r="CQ211" s="598"/>
      <c r="CR211" s="598"/>
      <c r="CS211" s="598"/>
      <c r="CT211" s="598"/>
      <c r="CU211" s="598"/>
      <c r="CV211" s="598"/>
      <c r="CW211" s="598"/>
      <c r="CX211" s="598"/>
      <c r="CY211" s="598"/>
      <c r="CZ211" s="598"/>
      <c r="DA211" s="598"/>
      <c r="DB211" s="598"/>
      <c r="DC211" s="598"/>
      <c r="DD211" s="598"/>
      <c r="DE211" s="598"/>
      <c r="DF211" s="598"/>
      <c r="DG211" s="598"/>
      <c r="DH211" s="598"/>
      <c r="DI211" s="598"/>
      <c r="DJ211" s="598"/>
      <c r="DK211" s="598"/>
      <c r="DL211" s="598"/>
      <c r="DM211" s="598"/>
      <c r="DN211" s="598"/>
      <c r="DO211" s="598"/>
      <c r="DP211" s="598"/>
      <c r="DQ211" s="598"/>
      <c r="DR211" s="598"/>
      <c r="DS211" s="598"/>
      <c r="DT211" s="598"/>
      <c r="DU211" s="598"/>
      <c r="DV211" s="598"/>
      <c r="DW211" s="598"/>
      <c r="DX211" s="598"/>
      <c r="DY211" s="598"/>
      <c r="DZ211" s="598"/>
      <c r="EA211" s="598"/>
      <c r="EB211" s="598"/>
      <c r="EC211" s="598"/>
      <c r="ED211" s="598"/>
      <c r="EE211" s="598"/>
      <c r="EF211" s="598"/>
      <c r="EG211" s="598"/>
      <c r="EH211" s="598"/>
      <c r="EI211" s="598"/>
      <c r="EJ211" s="598"/>
      <c r="EK211" s="598"/>
      <c r="EL211" s="598"/>
      <c r="EM211" s="598"/>
      <c r="EN211" s="598"/>
      <c r="EO211" s="598"/>
      <c r="EP211" s="598"/>
      <c r="EQ211" s="598"/>
      <c r="ER211" s="598"/>
      <c r="ES211" s="598"/>
      <c r="ET211" s="598"/>
      <c r="EU211" s="598"/>
      <c r="EV211" s="598"/>
      <c r="EW211" s="598"/>
      <c r="EX211" s="598"/>
      <c r="EY211" s="598"/>
      <c r="EZ211" s="598"/>
      <c r="FA211" s="598"/>
      <c r="FB211" s="598"/>
      <c r="FC211" s="598"/>
      <c r="FD211" s="598"/>
      <c r="FE211" s="598"/>
      <c r="FF211" s="598"/>
      <c r="FG211" s="598"/>
      <c r="FH211" s="598"/>
      <c r="FI211" s="598"/>
      <c r="FJ211" s="598"/>
      <c r="FK211" s="598"/>
      <c r="FL211" s="598"/>
      <c r="FM211" s="598"/>
      <c r="FN211" s="598"/>
      <c r="FO211" s="598"/>
      <c r="FP211" s="598"/>
      <c r="FQ211" s="598"/>
      <c r="FR211" s="598"/>
      <c r="FS211" s="598"/>
      <c r="FT211" s="598"/>
      <c r="FU211" s="598"/>
      <c r="FV211" s="598"/>
      <c r="FW211" s="598"/>
      <c r="FX211" s="598"/>
      <c r="FY211" s="598"/>
      <c r="FZ211" s="598"/>
      <c r="GA211" s="598"/>
      <c r="GB211" s="598"/>
      <c r="GC211" s="598"/>
      <c r="GD211" s="598"/>
      <c r="GE211" s="598"/>
      <c r="GF211" s="598"/>
      <c r="GG211" s="598"/>
      <c r="GH211" s="598"/>
      <c r="GI211" s="598"/>
      <c r="GJ211" s="598"/>
      <c r="GK211" s="598"/>
      <c r="GL211" s="598"/>
      <c r="GM211" s="598"/>
      <c r="GN211" s="598"/>
      <c r="GO211" s="598"/>
      <c r="GP211" s="598"/>
      <c r="GQ211" s="598"/>
      <c r="GR211" s="598"/>
      <c r="GS211" s="598"/>
      <c r="GT211" s="598"/>
      <c r="GU211" s="598"/>
      <c r="GV211" s="598"/>
      <c r="GW211" s="598"/>
      <c r="GX211" s="598"/>
      <c r="GY211" s="598"/>
      <c r="GZ211" s="598"/>
      <c r="HA211" s="598"/>
      <c r="HB211" s="598"/>
      <c r="HC211" s="598"/>
      <c r="HD211" s="598"/>
      <c r="HE211" s="598"/>
      <c r="HF211" s="598"/>
      <c r="HG211" s="598"/>
      <c r="HH211" s="598"/>
      <c r="HI211" s="598"/>
      <c r="HJ211" s="598"/>
      <c r="HK211" s="598"/>
      <c r="HL211" s="598"/>
      <c r="HM211" s="598"/>
      <c r="HN211" s="598"/>
      <c r="HO211" s="598"/>
      <c r="HP211" s="598"/>
      <c r="HQ211" s="598"/>
      <c r="HR211" s="598"/>
      <c r="HS211" s="598"/>
      <c r="HT211" s="598"/>
      <c r="HU211" s="598"/>
      <c r="HV211" s="598"/>
      <c r="HW211" s="598"/>
      <c r="HX211" s="598"/>
      <c r="HY211" s="598"/>
      <c r="HZ211" s="598"/>
      <c r="IA211" s="598"/>
      <c r="IB211" s="598"/>
      <c r="IC211" s="598"/>
      <c r="ID211" s="598"/>
      <c r="IE211" s="598"/>
      <c r="IF211" s="598"/>
      <c r="IG211" s="598"/>
      <c r="IH211" s="598"/>
      <c r="II211" s="598"/>
      <c r="IJ211" s="598"/>
      <c r="IK211" s="598"/>
      <c r="IL211" s="598"/>
      <c r="IM211" s="598"/>
      <c r="IN211" s="598"/>
      <c r="IO211" s="598"/>
      <c r="IP211" s="598"/>
      <c r="IQ211" s="598"/>
      <c r="IR211" s="598"/>
      <c r="IS211" s="598"/>
      <c r="IT211" s="598"/>
      <c r="IU211" s="598"/>
      <c r="IV211" s="598"/>
      <c r="IW211" s="598"/>
      <c r="IX211" s="598"/>
      <c r="IY211" s="598"/>
      <c r="IZ211" s="598"/>
      <c r="JA211" s="598"/>
      <c r="JB211" s="598"/>
      <c r="JC211" s="598"/>
      <c r="JD211" s="598"/>
      <c r="JE211" s="598"/>
      <c r="JF211" s="598"/>
      <c r="JG211" s="598"/>
      <c r="JH211" s="598"/>
      <c r="JI211" s="598"/>
      <c r="JJ211" s="598"/>
      <c r="JK211" s="598"/>
      <c r="JL211" s="598"/>
      <c r="JM211" s="598"/>
      <c r="JN211" s="598"/>
      <c r="JO211" s="598"/>
      <c r="JP211" s="598"/>
      <c r="JQ211" s="598"/>
      <c r="JR211" s="598"/>
      <c r="JS211" s="598"/>
      <c r="JT211" s="598"/>
      <c r="JU211" s="598"/>
      <c r="JV211" s="598"/>
    </row>
    <row r="212" spans="1:282" s="21" customFormat="1" ht="50.1" customHeight="1" x14ac:dyDescent="0.2">
      <c r="A212" s="702"/>
      <c r="B212" s="69" t="s">
        <v>1137</v>
      </c>
      <c r="C212" s="69"/>
      <c r="D212" s="69"/>
      <c r="E212" s="29" t="s">
        <v>119</v>
      </c>
      <c r="F212" s="104" t="s">
        <v>113</v>
      </c>
      <c r="G212" s="29" t="s">
        <v>113</v>
      </c>
      <c r="H212" s="29" t="s">
        <v>90</v>
      </c>
      <c r="I212" s="29"/>
      <c r="J212" s="29" t="s">
        <v>2278</v>
      </c>
      <c r="K212" s="30" t="s">
        <v>1394</v>
      </c>
      <c r="L212" s="29" t="s">
        <v>1286</v>
      </c>
      <c r="M212" s="29" t="s">
        <v>1528</v>
      </c>
      <c r="N212" s="74">
        <v>40449</v>
      </c>
      <c r="O212" s="69" t="s">
        <v>197</v>
      </c>
      <c r="P212" s="69"/>
      <c r="Q212" s="69"/>
      <c r="R212" s="69"/>
      <c r="S212" s="69"/>
      <c r="T212" s="597"/>
      <c r="U212" s="597"/>
      <c r="V212" s="597"/>
      <c r="W212" s="597"/>
      <c r="X212" s="597"/>
      <c r="Y212" s="597"/>
      <c r="Z212" s="597"/>
      <c r="AA212" s="597"/>
      <c r="AB212" s="597"/>
      <c r="AC212" s="597"/>
      <c r="AD212" s="597"/>
      <c r="AE212" s="597"/>
      <c r="AF212" s="597"/>
      <c r="AG212" s="597"/>
      <c r="AH212" s="597"/>
      <c r="AI212" s="597"/>
      <c r="AJ212" s="74">
        <v>41996</v>
      </c>
      <c r="AK212" s="648"/>
      <c r="AL212" s="174"/>
      <c r="AM212" s="598"/>
      <c r="AN212" s="598"/>
      <c r="AO212" s="598"/>
      <c r="AP212" s="598"/>
      <c r="AQ212" s="598"/>
      <c r="AR212" s="598"/>
      <c r="AS212" s="598"/>
      <c r="AT212" s="598"/>
      <c r="AU212" s="598"/>
      <c r="AV212" s="598"/>
      <c r="AW212" s="598"/>
      <c r="AX212" s="598"/>
      <c r="AY212" s="598"/>
      <c r="AZ212" s="598"/>
      <c r="BA212" s="598"/>
      <c r="BB212" s="598"/>
      <c r="BC212" s="598"/>
      <c r="BD212" s="598"/>
      <c r="BE212" s="598"/>
      <c r="BF212" s="598"/>
      <c r="BG212" s="598"/>
      <c r="BH212" s="598"/>
      <c r="BI212" s="598"/>
      <c r="BJ212" s="598"/>
      <c r="BK212" s="598"/>
      <c r="BL212" s="598"/>
      <c r="BM212" s="598"/>
      <c r="BN212" s="598"/>
      <c r="BO212" s="598"/>
      <c r="BP212" s="598"/>
      <c r="BQ212" s="598"/>
      <c r="BR212" s="598"/>
      <c r="BS212" s="598"/>
      <c r="BT212" s="598"/>
      <c r="BU212" s="598"/>
      <c r="BV212" s="598"/>
      <c r="BW212" s="598"/>
      <c r="BX212" s="598"/>
      <c r="BY212" s="598"/>
      <c r="BZ212" s="598"/>
      <c r="CA212" s="598"/>
      <c r="CB212" s="598"/>
      <c r="CC212" s="598"/>
      <c r="CD212" s="598"/>
      <c r="CE212" s="598"/>
      <c r="CF212" s="598"/>
      <c r="CG212" s="598"/>
      <c r="CH212" s="598"/>
      <c r="CI212" s="598"/>
      <c r="CJ212" s="598"/>
      <c r="CK212" s="598"/>
      <c r="CL212" s="598"/>
      <c r="CM212" s="598"/>
      <c r="CN212" s="598"/>
      <c r="CO212" s="598"/>
      <c r="CP212" s="598"/>
      <c r="CQ212" s="598"/>
      <c r="CR212" s="598"/>
      <c r="CS212" s="598"/>
      <c r="CT212" s="598"/>
      <c r="CU212" s="598"/>
      <c r="CV212" s="598"/>
      <c r="CW212" s="598"/>
      <c r="CX212" s="598"/>
      <c r="CY212" s="598"/>
      <c r="CZ212" s="598"/>
      <c r="DA212" s="598"/>
      <c r="DB212" s="598"/>
      <c r="DC212" s="598"/>
      <c r="DD212" s="598"/>
      <c r="DE212" s="598"/>
      <c r="DF212" s="598"/>
      <c r="DG212" s="598"/>
      <c r="DH212" s="598"/>
      <c r="DI212" s="598"/>
      <c r="DJ212" s="598"/>
      <c r="DK212" s="598"/>
      <c r="DL212" s="598"/>
      <c r="DM212" s="598"/>
      <c r="DN212" s="598"/>
      <c r="DO212" s="598"/>
      <c r="DP212" s="598"/>
      <c r="DQ212" s="598"/>
      <c r="DR212" s="598"/>
      <c r="DS212" s="598"/>
      <c r="DT212" s="598"/>
      <c r="DU212" s="598"/>
      <c r="DV212" s="598"/>
      <c r="DW212" s="598"/>
      <c r="DX212" s="598"/>
      <c r="DY212" s="598"/>
      <c r="DZ212" s="598"/>
      <c r="EA212" s="598"/>
      <c r="EB212" s="598"/>
      <c r="EC212" s="598"/>
      <c r="ED212" s="598"/>
      <c r="EE212" s="598"/>
      <c r="EF212" s="598"/>
      <c r="EG212" s="598"/>
      <c r="EH212" s="598"/>
      <c r="EI212" s="598"/>
      <c r="EJ212" s="598"/>
      <c r="EK212" s="598"/>
      <c r="EL212" s="598"/>
      <c r="EM212" s="598"/>
      <c r="EN212" s="598"/>
      <c r="EO212" s="598"/>
      <c r="EP212" s="598"/>
      <c r="EQ212" s="598"/>
      <c r="ER212" s="598"/>
      <c r="ES212" s="598"/>
      <c r="ET212" s="598"/>
      <c r="EU212" s="598"/>
      <c r="EV212" s="598"/>
      <c r="EW212" s="598"/>
      <c r="EX212" s="598"/>
      <c r="EY212" s="598"/>
      <c r="EZ212" s="598"/>
      <c r="FA212" s="598"/>
      <c r="FB212" s="598"/>
      <c r="FC212" s="598"/>
      <c r="FD212" s="598"/>
      <c r="FE212" s="598"/>
      <c r="FF212" s="598"/>
      <c r="FG212" s="598"/>
      <c r="FH212" s="598"/>
      <c r="FI212" s="598"/>
      <c r="FJ212" s="598"/>
      <c r="FK212" s="598"/>
      <c r="FL212" s="598"/>
      <c r="FM212" s="598"/>
      <c r="FN212" s="598"/>
      <c r="FO212" s="598"/>
      <c r="FP212" s="598"/>
      <c r="FQ212" s="598"/>
      <c r="FR212" s="598"/>
      <c r="FS212" s="598"/>
      <c r="FT212" s="598"/>
      <c r="FU212" s="598"/>
      <c r="FV212" s="598"/>
      <c r="FW212" s="598"/>
      <c r="FX212" s="598"/>
      <c r="FY212" s="598"/>
      <c r="FZ212" s="598"/>
      <c r="GA212" s="598"/>
      <c r="GB212" s="598"/>
      <c r="GC212" s="598"/>
      <c r="GD212" s="598"/>
      <c r="GE212" s="598"/>
      <c r="GF212" s="598"/>
      <c r="GG212" s="598"/>
      <c r="GH212" s="598"/>
      <c r="GI212" s="598"/>
      <c r="GJ212" s="598"/>
      <c r="GK212" s="598"/>
      <c r="GL212" s="598"/>
      <c r="GM212" s="598"/>
      <c r="GN212" s="598"/>
      <c r="GO212" s="598"/>
      <c r="GP212" s="598"/>
      <c r="GQ212" s="598"/>
      <c r="GR212" s="598"/>
      <c r="GS212" s="598"/>
      <c r="GT212" s="598"/>
      <c r="GU212" s="598"/>
      <c r="GV212" s="598"/>
      <c r="GW212" s="598"/>
      <c r="GX212" s="598"/>
      <c r="GY212" s="598"/>
      <c r="GZ212" s="598"/>
      <c r="HA212" s="598"/>
      <c r="HB212" s="598"/>
      <c r="HC212" s="598"/>
      <c r="HD212" s="598"/>
      <c r="HE212" s="598"/>
      <c r="HF212" s="598"/>
      <c r="HG212" s="598"/>
      <c r="HH212" s="598"/>
      <c r="HI212" s="598"/>
      <c r="HJ212" s="598"/>
      <c r="HK212" s="598"/>
      <c r="HL212" s="598"/>
      <c r="HM212" s="598"/>
      <c r="HN212" s="598"/>
      <c r="HO212" s="598"/>
      <c r="HP212" s="598"/>
      <c r="HQ212" s="598"/>
      <c r="HR212" s="598"/>
      <c r="HS212" s="598"/>
      <c r="HT212" s="598"/>
      <c r="HU212" s="598"/>
      <c r="HV212" s="598"/>
      <c r="HW212" s="598"/>
      <c r="HX212" s="598"/>
      <c r="HY212" s="598"/>
      <c r="HZ212" s="598"/>
      <c r="IA212" s="598"/>
      <c r="IB212" s="598"/>
      <c r="IC212" s="598"/>
      <c r="ID212" s="598"/>
      <c r="IE212" s="598"/>
      <c r="IF212" s="598"/>
      <c r="IG212" s="598"/>
      <c r="IH212" s="598"/>
      <c r="II212" s="598"/>
      <c r="IJ212" s="598"/>
      <c r="IK212" s="598"/>
      <c r="IL212" s="598"/>
      <c r="IM212" s="598"/>
      <c r="IN212" s="598"/>
      <c r="IO212" s="598"/>
      <c r="IP212" s="598"/>
      <c r="IQ212" s="598"/>
      <c r="IR212" s="598"/>
      <c r="IS212" s="598"/>
      <c r="IT212" s="598"/>
      <c r="IU212" s="598"/>
      <c r="IV212" s="598"/>
      <c r="IW212" s="598"/>
      <c r="IX212" s="598"/>
      <c r="IY212" s="598"/>
      <c r="IZ212" s="598"/>
      <c r="JA212" s="598"/>
      <c r="JB212" s="598"/>
      <c r="JC212" s="598"/>
      <c r="JD212" s="598"/>
      <c r="JE212" s="598"/>
      <c r="JF212" s="598"/>
      <c r="JG212" s="598"/>
      <c r="JH212" s="598"/>
      <c r="JI212" s="598"/>
      <c r="JJ212" s="598"/>
      <c r="JK212" s="598"/>
      <c r="JL212" s="598"/>
      <c r="JM212" s="598"/>
      <c r="JN212" s="598"/>
      <c r="JO212" s="598"/>
      <c r="JP212" s="598"/>
      <c r="JQ212" s="598"/>
      <c r="JR212" s="598"/>
      <c r="JS212" s="598"/>
      <c r="JT212" s="598"/>
      <c r="JU212" s="598"/>
      <c r="JV212" s="598"/>
    </row>
    <row r="213" spans="1:282" s="21" customFormat="1" ht="50.1" customHeight="1" x14ac:dyDescent="0.2">
      <c r="A213" s="702"/>
      <c r="B213" s="69" t="s">
        <v>1137</v>
      </c>
      <c r="C213" s="69"/>
      <c r="D213" s="69"/>
      <c r="E213" s="29" t="s">
        <v>635</v>
      </c>
      <c r="F213" s="104" t="s">
        <v>144</v>
      </c>
      <c r="G213" s="29" t="s">
        <v>144</v>
      </c>
      <c r="H213" s="29" t="s">
        <v>145</v>
      </c>
      <c r="I213" s="29"/>
      <c r="J213" s="29" t="s">
        <v>2277</v>
      </c>
      <c r="K213" s="30" t="s">
        <v>1394</v>
      </c>
      <c r="L213" s="29" t="s">
        <v>685</v>
      </c>
      <c r="M213" s="29" t="s">
        <v>1528</v>
      </c>
      <c r="N213" s="74">
        <v>40533</v>
      </c>
      <c r="O213" s="69" t="s">
        <v>176</v>
      </c>
      <c r="P213" s="69"/>
      <c r="Q213" s="69"/>
      <c r="R213" s="69"/>
      <c r="S213" s="69"/>
      <c r="T213" s="597"/>
      <c r="U213" s="597"/>
      <c r="V213" s="597"/>
      <c r="W213" s="597"/>
      <c r="X213" s="597"/>
      <c r="Y213" s="597"/>
      <c r="Z213" s="597"/>
      <c r="AA213" s="597"/>
      <c r="AB213" s="597"/>
      <c r="AC213" s="597"/>
      <c r="AD213" s="597"/>
      <c r="AE213" s="597"/>
      <c r="AF213" s="597"/>
      <c r="AG213" s="597"/>
      <c r="AH213" s="597"/>
      <c r="AI213" s="597"/>
      <c r="AJ213" s="74">
        <v>41996</v>
      </c>
      <c r="AK213" s="651"/>
      <c r="AL213" s="175"/>
      <c r="AM213" s="598"/>
      <c r="AN213" s="598"/>
      <c r="AO213" s="598"/>
      <c r="AP213" s="598"/>
      <c r="AQ213" s="598"/>
      <c r="AR213" s="598"/>
      <c r="AS213" s="598"/>
      <c r="AT213" s="598"/>
      <c r="AU213" s="598"/>
      <c r="AV213" s="598"/>
      <c r="AW213" s="598"/>
      <c r="AX213" s="598"/>
      <c r="AY213" s="598"/>
      <c r="AZ213" s="598"/>
      <c r="BA213" s="598"/>
      <c r="BB213" s="598"/>
      <c r="BC213" s="598"/>
      <c r="BD213" s="598"/>
      <c r="BE213" s="598"/>
      <c r="BF213" s="598"/>
      <c r="BG213" s="598"/>
      <c r="BH213" s="598"/>
      <c r="BI213" s="598"/>
      <c r="BJ213" s="598"/>
      <c r="BK213" s="598"/>
      <c r="BL213" s="598"/>
      <c r="BM213" s="598"/>
      <c r="BN213" s="598"/>
      <c r="BO213" s="598"/>
      <c r="BP213" s="598"/>
      <c r="BQ213" s="598"/>
      <c r="BR213" s="598"/>
      <c r="BS213" s="598"/>
      <c r="BT213" s="598"/>
      <c r="BU213" s="598"/>
      <c r="BV213" s="598"/>
      <c r="BW213" s="598"/>
      <c r="BX213" s="598"/>
      <c r="BY213" s="598"/>
      <c r="BZ213" s="598"/>
      <c r="CA213" s="598"/>
      <c r="CB213" s="598"/>
      <c r="CC213" s="598"/>
      <c r="CD213" s="598"/>
      <c r="CE213" s="598"/>
      <c r="CF213" s="598"/>
      <c r="CG213" s="598"/>
      <c r="CH213" s="598"/>
      <c r="CI213" s="598"/>
      <c r="CJ213" s="598"/>
      <c r="CK213" s="598"/>
      <c r="CL213" s="598"/>
      <c r="CM213" s="598"/>
      <c r="CN213" s="598"/>
      <c r="CO213" s="598"/>
      <c r="CP213" s="598"/>
      <c r="CQ213" s="598"/>
      <c r="CR213" s="598"/>
      <c r="CS213" s="598"/>
      <c r="CT213" s="598"/>
      <c r="CU213" s="598"/>
      <c r="CV213" s="598"/>
      <c r="CW213" s="598"/>
      <c r="CX213" s="598"/>
      <c r="CY213" s="598"/>
      <c r="CZ213" s="598"/>
      <c r="DA213" s="598"/>
      <c r="DB213" s="598"/>
      <c r="DC213" s="598"/>
      <c r="DD213" s="598"/>
      <c r="DE213" s="598"/>
      <c r="DF213" s="598"/>
      <c r="DG213" s="598"/>
      <c r="DH213" s="598"/>
      <c r="DI213" s="598"/>
      <c r="DJ213" s="598"/>
      <c r="DK213" s="598"/>
      <c r="DL213" s="598"/>
      <c r="DM213" s="598"/>
      <c r="DN213" s="598"/>
      <c r="DO213" s="598"/>
      <c r="DP213" s="598"/>
      <c r="DQ213" s="598"/>
      <c r="DR213" s="598"/>
      <c r="DS213" s="598"/>
      <c r="DT213" s="598"/>
      <c r="DU213" s="598"/>
      <c r="DV213" s="598"/>
      <c r="DW213" s="598"/>
      <c r="DX213" s="598"/>
      <c r="DY213" s="598"/>
      <c r="DZ213" s="598"/>
      <c r="EA213" s="598"/>
      <c r="EB213" s="598"/>
      <c r="EC213" s="598"/>
      <c r="ED213" s="598"/>
      <c r="EE213" s="598"/>
      <c r="EF213" s="598"/>
      <c r="EG213" s="598"/>
      <c r="EH213" s="598"/>
      <c r="EI213" s="598"/>
      <c r="EJ213" s="598"/>
      <c r="EK213" s="598"/>
      <c r="EL213" s="598"/>
      <c r="EM213" s="598"/>
      <c r="EN213" s="598"/>
      <c r="EO213" s="598"/>
      <c r="EP213" s="598"/>
      <c r="EQ213" s="598"/>
      <c r="ER213" s="598"/>
      <c r="ES213" s="598"/>
      <c r="ET213" s="598"/>
      <c r="EU213" s="598"/>
      <c r="EV213" s="598"/>
      <c r="EW213" s="598"/>
      <c r="EX213" s="598"/>
      <c r="EY213" s="598"/>
      <c r="EZ213" s="598"/>
      <c r="FA213" s="598"/>
      <c r="FB213" s="598"/>
      <c r="FC213" s="598"/>
      <c r="FD213" s="598"/>
      <c r="FE213" s="598"/>
      <c r="FF213" s="598"/>
      <c r="FG213" s="598"/>
      <c r="FH213" s="598"/>
      <c r="FI213" s="598"/>
      <c r="FJ213" s="598"/>
      <c r="FK213" s="598"/>
      <c r="FL213" s="598"/>
      <c r="FM213" s="598"/>
      <c r="FN213" s="598"/>
      <c r="FO213" s="598"/>
      <c r="FP213" s="598"/>
      <c r="FQ213" s="598"/>
      <c r="FR213" s="598"/>
      <c r="FS213" s="598"/>
      <c r="FT213" s="598"/>
      <c r="FU213" s="598"/>
      <c r="FV213" s="598"/>
      <c r="FW213" s="598"/>
      <c r="FX213" s="598"/>
      <c r="FY213" s="598"/>
      <c r="FZ213" s="598"/>
      <c r="GA213" s="598"/>
      <c r="GB213" s="598"/>
      <c r="GC213" s="598"/>
      <c r="GD213" s="598"/>
      <c r="GE213" s="598"/>
      <c r="GF213" s="598"/>
      <c r="GG213" s="598"/>
      <c r="GH213" s="598"/>
      <c r="GI213" s="598"/>
      <c r="GJ213" s="598"/>
      <c r="GK213" s="598"/>
      <c r="GL213" s="598"/>
      <c r="GM213" s="598"/>
      <c r="GN213" s="598"/>
      <c r="GO213" s="598"/>
      <c r="GP213" s="598"/>
      <c r="GQ213" s="598"/>
      <c r="GR213" s="598"/>
      <c r="GS213" s="598"/>
      <c r="GT213" s="598"/>
      <c r="GU213" s="598"/>
      <c r="GV213" s="598"/>
      <c r="GW213" s="598"/>
      <c r="GX213" s="598"/>
      <c r="GY213" s="598"/>
      <c r="GZ213" s="598"/>
      <c r="HA213" s="598"/>
      <c r="HB213" s="598"/>
      <c r="HC213" s="598"/>
      <c r="HD213" s="598"/>
      <c r="HE213" s="598"/>
      <c r="HF213" s="598"/>
      <c r="HG213" s="598"/>
      <c r="HH213" s="598"/>
      <c r="HI213" s="598"/>
      <c r="HJ213" s="598"/>
      <c r="HK213" s="598"/>
      <c r="HL213" s="598"/>
      <c r="HM213" s="598"/>
      <c r="HN213" s="598"/>
      <c r="HO213" s="598"/>
      <c r="HP213" s="598"/>
      <c r="HQ213" s="598"/>
      <c r="HR213" s="598"/>
      <c r="HS213" s="598"/>
      <c r="HT213" s="598"/>
      <c r="HU213" s="598"/>
      <c r="HV213" s="598"/>
      <c r="HW213" s="598"/>
      <c r="HX213" s="598"/>
      <c r="HY213" s="598"/>
      <c r="HZ213" s="598"/>
      <c r="IA213" s="598"/>
      <c r="IB213" s="598"/>
      <c r="IC213" s="598"/>
      <c r="ID213" s="598"/>
      <c r="IE213" s="598"/>
      <c r="IF213" s="598"/>
      <c r="IG213" s="598"/>
      <c r="IH213" s="598"/>
      <c r="II213" s="598"/>
      <c r="IJ213" s="598"/>
      <c r="IK213" s="598"/>
      <c r="IL213" s="598"/>
      <c r="IM213" s="598"/>
      <c r="IN213" s="598"/>
      <c r="IO213" s="598"/>
      <c r="IP213" s="598"/>
      <c r="IQ213" s="598"/>
      <c r="IR213" s="598"/>
      <c r="IS213" s="598"/>
      <c r="IT213" s="598"/>
      <c r="IU213" s="598"/>
      <c r="IV213" s="598"/>
      <c r="IW213" s="598"/>
      <c r="IX213" s="598"/>
      <c r="IY213" s="598"/>
      <c r="IZ213" s="598"/>
      <c r="JA213" s="598"/>
      <c r="JB213" s="598"/>
      <c r="JC213" s="598"/>
      <c r="JD213" s="598"/>
      <c r="JE213" s="598"/>
      <c r="JF213" s="598"/>
      <c r="JG213" s="598"/>
      <c r="JH213" s="598"/>
      <c r="JI213" s="598"/>
      <c r="JJ213" s="598"/>
      <c r="JK213" s="598"/>
      <c r="JL213" s="598"/>
      <c r="JM213" s="598"/>
      <c r="JN213" s="598"/>
      <c r="JO213" s="598"/>
      <c r="JP213" s="598"/>
      <c r="JQ213" s="598"/>
      <c r="JR213" s="598"/>
      <c r="JS213" s="598"/>
      <c r="JT213" s="598"/>
      <c r="JU213" s="598"/>
      <c r="JV213" s="598"/>
    </row>
    <row r="214" spans="1:282" s="21" customFormat="1" ht="50.1" customHeight="1" x14ac:dyDescent="0.2">
      <c r="A214" s="702"/>
      <c r="B214" s="69" t="s">
        <v>1137</v>
      </c>
      <c r="C214" s="69"/>
      <c r="D214" s="69"/>
      <c r="E214" s="29" t="s">
        <v>216</v>
      </c>
      <c r="F214" s="104" t="s">
        <v>211</v>
      </c>
      <c r="G214" s="29" t="s">
        <v>210</v>
      </c>
      <c r="H214" s="29" t="s">
        <v>1214</v>
      </c>
      <c r="I214" s="29"/>
      <c r="J214" s="29" t="s">
        <v>2272</v>
      </c>
      <c r="K214" s="29" t="s">
        <v>11</v>
      </c>
      <c r="L214" s="29" t="s">
        <v>685</v>
      </c>
      <c r="M214" s="29" t="s">
        <v>1528</v>
      </c>
      <c r="N214" s="74">
        <v>40643</v>
      </c>
      <c r="O214" s="69" t="s">
        <v>219</v>
      </c>
      <c r="P214" s="69"/>
      <c r="Q214" s="69"/>
      <c r="R214" s="69"/>
      <c r="S214" s="69"/>
      <c r="T214" s="597"/>
      <c r="U214" s="597"/>
      <c r="V214" s="597"/>
      <c r="W214" s="597"/>
      <c r="X214" s="597"/>
      <c r="Y214" s="597"/>
      <c r="Z214" s="597"/>
      <c r="AA214" s="597"/>
      <c r="AB214" s="597"/>
      <c r="AC214" s="597"/>
      <c r="AD214" s="597"/>
      <c r="AE214" s="597"/>
      <c r="AF214" s="597"/>
      <c r="AG214" s="597"/>
      <c r="AH214" s="597"/>
      <c r="AI214" s="597"/>
      <c r="AJ214" s="74">
        <v>41996</v>
      </c>
      <c r="AK214" s="651"/>
      <c r="AL214" s="175"/>
      <c r="AM214" s="598"/>
      <c r="AN214" s="598"/>
      <c r="AO214" s="598"/>
      <c r="AP214" s="598"/>
      <c r="AQ214" s="598"/>
      <c r="AR214" s="598"/>
      <c r="AS214" s="598"/>
      <c r="AT214" s="598"/>
      <c r="AU214" s="598"/>
      <c r="AV214" s="598"/>
      <c r="AW214" s="598"/>
      <c r="AX214" s="598"/>
      <c r="AY214" s="598"/>
      <c r="AZ214" s="598"/>
      <c r="BA214" s="598"/>
      <c r="BB214" s="598"/>
      <c r="BC214" s="598"/>
      <c r="BD214" s="598"/>
      <c r="BE214" s="598"/>
      <c r="BF214" s="598"/>
      <c r="BG214" s="598"/>
      <c r="BH214" s="598"/>
      <c r="BI214" s="598"/>
      <c r="BJ214" s="598"/>
      <c r="BK214" s="598"/>
      <c r="BL214" s="598"/>
      <c r="BM214" s="598"/>
      <c r="BN214" s="598"/>
      <c r="BO214" s="598"/>
      <c r="BP214" s="598"/>
      <c r="BQ214" s="598"/>
      <c r="BR214" s="598"/>
      <c r="BS214" s="598"/>
      <c r="BT214" s="598"/>
      <c r="BU214" s="598"/>
      <c r="BV214" s="598"/>
      <c r="BW214" s="598"/>
      <c r="BX214" s="598"/>
      <c r="BY214" s="598"/>
      <c r="BZ214" s="598"/>
      <c r="CA214" s="598"/>
      <c r="CB214" s="598"/>
      <c r="CC214" s="598"/>
      <c r="CD214" s="598"/>
      <c r="CE214" s="598"/>
      <c r="CF214" s="598"/>
      <c r="CG214" s="598"/>
      <c r="CH214" s="598"/>
      <c r="CI214" s="598"/>
      <c r="CJ214" s="598"/>
      <c r="CK214" s="598"/>
      <c r="CL214" s="598"/>
      <c r="CM214" s="598"/>
      <c r="CN214" s="598"/>
      <c r="CO214" s="598"/>
      <c r="CP214" s="598"/>
      <c r="CQ214" s="598"/>
      <c r="CR214" s="598"/>
      <c r="CS214" s="598"/>
      <c r="CT214" s="598"/>
      <c r="CU214" s="598"/>
      <c r="CV214" s="598"/>
      <c r="CW214" s="598"/>
      <c r="CX214" s="598"/>
      <c r="CY214" s="598"/>
      <c r="CZ214" s="598"/>
      <c r="DA214" s="598"/>
      <c r="DB214" s="598"/>
      <c r="DC214" s="598"/>
      <c r="DD214" s="598"/>
      <c r="DE214" s="598"/>
      <c r="DF214" s="598"/>
      <c r="DG214" s="598"/>
      <c r="DH214" s="598"/>
      <c r="DI214" s="598"/>
      <c r="DJ214" s="598"/>
      <c r="DK214" s="598"/>
      <c r="DL214" s="598"/>
      <c r="DM214" s="598"/>
      <c r="DN214" s="598"/>
      <c r="DO214" s="598"/>
      <c r="DP214" s="598"/>
      <c r="DQ214" s="598"/>
      <c r="DR214" s="598"/>
      <c r="DS214" s="598"/>
      <c r="DT214" s="598"/>
      <c r="DU214" s="598"/>
      <c r="DV214" s="598"/>
      <c r="DW214" s="598"/>
      <c r="DX214" s="598"/>
      <c r="DY214" s="598"/>
      <c r="DZ214" s="598"/>
      <c r="EA214" s="598"/>
      <c r="EB214" s="598"/>
      <c r="EC214" s="598"/>
      <c r="ED214" s="598"/>
      <c r="EE214" s="598"/>
      <c r="EF214" s="598"/>
      <c r="EG214" s="598"/>
      <c r="EH214" s="598"/>
      <c r="EI214" s="598"/>
      <c r="EJ214" s="598"/>
      <c r="EK214" s="598"/>
      <c r="EL214" s="598"/>
      <c r="EM214" s="598"/>
      <c r="EN214" s="598"/>
      <c r="EO214" s="598"/>
      <c r="EP214" s="598"/>
      <c r="EQ214" s="598"/>
      <c r="ER214" s="598"/>
      <c r="ES214" s="598"/>
      <c r="ET214" s="598"/>
      <c r="EU214" s="598"/>
      <c r="EV214" s="598"/>
      <c r="EW214" s="598"/>
      <c r="EX214" s="598"/>
      <c r="EY214" s="598"/>
      <c r="EZ214" s="598"/>
      <c r="FA214" s="598"/>
      <c r="FB214" s="598"/>
      <c r="FC214" s="598"/>
      <c r="FD214" s="598"/>
      <c r="FE214" s="598"/>
      <c r="FF214" s="598"/>
      <c r="FG214" s="598"/>
      <c r="FH214" s="598"/>
      <c r="FI214" s="598"/>
      <c r="FJ214" s="598"/>
      <c r="FK214" s="598"/>
      <c r="FL214" s="598"/>
      <c r="FM214" s="598"/>
      <c r="FN214" s="598"/>
      <c r="FO214" s="598"/>
      <c r="FP214" s="598"/>
      <c r="FQ214" s="598"/>
      <c r="FR214" s="598"/>
      <c r="FS214" s="598"/>
      <c r="FT214" s="598"/>
      <c r="FU214" s="598"/>
      <c r="FV214" s="598"/>
      <c r="FW214" s="598"/>
      <c r="FX214" s="598"/>
      <c r="FY214" s="598"/>
      <c r="FZ214" s="598"/>
      <c r="GA214" s="598"/>
      <c r="GB214" s="598"/>
      <c r="GC214" s="598"/>
      <c r="GD214" s="598"/>
      <c r="GE214" s="598"/>
      <c r="GF214" s="598"/>
      <c r="GG214" s="598"/>
      <c r="GH214" s="598"/>
      <c r="GI214" s="598"/>
      <c r="GJ214" s="598"/>
      <c r="GK214" s="598"/>
      <c r="GL214" s="598"/>
      <c r="GM214" s="598"/>
      <c r="GN214" s="598"/>
      <c r="GO214" s="598"/>
      <c r="GP214" s="598"/>
      <c r="GQ214" s="598"/>
      <c r="GR214" s="598"/>
      <c r="GS214" s="598"/>
      <c r="GT214" s="598"/>
      <c r="GU214" s="598"/>
      <c r="GV214" s="598"/>
      <c r="GW214" s="598"/>
      <c r="GX214" s="598"/>
      <c r="GY214" s="598"/>
      <c r="GZ214" s="598"/>
      <c r="HA214" s="598"/>
      <c r="HB214" s="598"/>
      <c r="HC214" s="598"/>
      <c r="HD214" s="598"/>
      <c r="HE214" s="598"/>
      <c r="HF214" s="598"/>
      <c r="HG214" s="598"/>
      <c r="HH214" s="598"/>
      <c r="HI214" s="598"/>
      <c r="HJ214" s="598"/>
      <c r="HK214" s="598"/>
      <c r="HL214" s="598"/>
      <c r="HM214" s="598"/>
      <c r="HN214" s="598"/>
      <c r="HO214" s="598"/>
      <c r="HP214" s="598"/>
      <c r="HQ214" s="598"/>
      <c r="HR214" s="598"/>
      <c r="HS214" s="598"/>
      <c r="HT214" s="598"/>
      <c r="HU214" s="598"/>
      <c r="HV214" s="598"/>
      <c r="HW214" s="598"/>
      <c r="HX214" s="598"/>
      <c r="HY214" s="598"/>
      <c r="HZ214" s="598"/>
      <c r="IA214" s="598"/>
      <c r="IB214" s="598"/>
      <c r="IC214" s="598"/>
      <c r="ID214" s="598"/>
      <c r="IE214" s="598"/>
      <c r="IF214" s="598"/>
      <c r="IG214" s="598"/>
      <c r="IH214" s="598"/>
      <c r="II214" s="598"/>
      <c r="IJ214" s="598"/>
      <c r="IK214" s="598"/>
      <c r="IL214" s="598"/>
      <c r="IM214" s="598"/>
      <c r="IN214" s="598"/>
      <c r="IO214" s="598"/>
      <c r="IP214" s="598"/>
      <c r="IQ214" s="598"/>
      <c r="IR214" s="598"/>
      <c r="IS214" s="598"/>
      <c r="IT214" s="598"/>
      <c r="IU214" s="598"/>
      <c r="IV214" s="598"/>
      <c r="IW214" s="598"/>
      <c r="IX214" s="598"/>
      <c r="IY214" s="598"/>
      <c r="IZ214" s="598"/>
      <c r="JA214" s="598"/>
      <c r="JB214" s="598"/>
      <c r="JC214" s="598"/>
      <c r="JD214" s="598"/>
      <c r="JE214" s="598"/>
      <c r="JF214" s="598"/>
      <c r="JG214" s="598"/>
      <c r="JH214" s="598"/>
      <c r="JI214" s="598"/>
      <c r="JJ214" s="598"/>
      <c r="JK214" s="598"/>
      <c r="JL214" s="598"/>
      <c r="JM214" s="598"/>
      <c r="JN214" s="598"/>
      <c r="JO214" s="598"/>
      <c r="JP214" s="598"/>
      <c r="JQ214" s="598"/>
      <c r="JR214" s="598"/>
      <c r="JS214" s="598"/>
      <c r="JT214" s="598"/>
      <c r="JU214" s="598"/>
      <c r="JV214" s="598"/>
    </row>
    <row r="215" spans="1:282" s="1" customFormat="1" ht="50.1" customHeight="1" x14ac:dyDescent="0.2">
      <c r="A215" s="693"/>
      <c r="B215" s="69" t="s">
        <v>1137</v>
      </c>
      <c r="C215" s="69"/>
      <c r="D215" s="69"/>
      <c r="E215" s="29" t="s">
        <v>580</v>
      </c>
      <c r="F215" s="104" t="s">
        <v>153</v>
      </c>
      <c r="G215" s="29" t="s">
        <v>152</v>
      </c>
      <c r="H215" s="29" t="s">
        <v>2188</v>
      </c>
      <c r="I215" s="29"/>
      <c r="J215" s="29" t="s">
        <v>273</v>
      </c>
      <c r="K215" s="29" t="s">
        <v>1393</v>
      </c>
      <c r="L215" s="29" t="s">
        <v>685</v>
      </c>
      <c r="M215" s="29" t="s">
        <v>2445</v>
      </c>
      <c r="N215" s="74">
        <v>40794</v>
      </c>
      <c r="O215" s="69">
        <v>789272111</v>
      </c>
      <c r="P215" s="69"/>
      <c r="Q215" s="69"/>
      <c r="R215" s="69"/>
      <c r="S215" s="69"/>
      <c r="T215" s="174"/>
      <c r="U215" s="174"/>
      <c r="V215" s="174"/>
      <c r="W215" s="174"/>
      <c r="X215" s="174"/>
      <c r="Y215" s="174"/>
      <c r="Z215" s="174"/>
      <c r="AA215" s="174"/>
      <c r="AB215" s="174"/>
      <c r="AC215" s="174"/>
      <c r="AD215" s="174"/>
      <c r="AE215" s="174"/>
      <c r="AF215" s="174"/>
      <c r="AG215" s="174"/>
      <c r="AH215" s="174"/>
      <c r="AI215" s="174"/>
      <c r="AJ215" s="74">
        <v>42002</v>
      </c>
      <c r="AK215" s="651"/>
      <c r="AL215" s="175"/>
      <c r="AM215" s="587"/>
      <c r="AN215" s="587"/>
      <c r="AO215" s="587"/>
      <c r="AP215" s="587"/>
      <c r="AQ215" s="587"/>
      <c r="AR215" s="587"/>
      <c r="AS215" s="587"/>
      <c r="AT215" s="587"/>
      <c r="AU215" s="587"/>
      <c r="AV215" s="587"/>
      <c r="AW215" s="587"/>
      <c r="AX215" s="587"/>
      <c r="AY215" s="587"/>
      <c r="AZ215" s="587"/>
      <c r="BA215" s="587"/>
      <c r="BB215" s="587"/>
      <c r="BC215" s="587"/>
      <c r="BD215" s="587"/>
      <c r="BE215" s="587"/>
      <c r="BF215" s="587"/>
      <c r="BG215" s="587"/>
      <c r="BH215" s="587"/>
      <c r="BI215" s="587"/>
      <c r="BJ215" s="587"/>
      <c r="BK215" s="587"/>
      <c r="BL215" s="587"/>
      <c r="BM215" s="587"/>
      <c r="BN215" s="587"/>
      <c r="BO215" s="587"/>
      <c r="BP215" s="587"/>
      <c r="BQ215" s="587"/>
      <c r="BR215" s="587"/>
      <c r="BS215" s="587"/>
      <c r="BT215" s="587"/>
      <c r="BU215" s="587"/>
      <c r="BV215" s="587"/>
      <c r="BW215" s="587"/>
      <c r="BX215" s="587"/>
      <c r="BY215" s="587"/>
      <c r="BZ215" s="587"/>
      <c r="CA215" s="587"/>
      <c r="CB215" s="587"/>
      <c r="CC215" s="587"/>
      <c r="CD215" s="587"/>
      <c r="CE215" s="587"/>
      <c r="CF215" s="587"/>
      <c r="CG215" s="587"/>
      <c r="CH215" s="587"/>
      <c r="CI215" s="587"/>
      <c r="CJ215" s="587"/>
      <c r="CK215" s="587"/>
      <c r="CL215" s="587"/>
      <c r="CM215" s="587"/>
      <c r="CN215" s="587"/>
      <c r="CO215" s="587"/>
      <c r="CP215" s="587"/>
      <c r="CQ215" s="587"/>
      <c r="CR215" s="587"/>
      <c r="CS215" s="587"/>
      <c r="CT215" s="587"/>
      <c r="CU215" s="587"/>
      <c r="CV215" s="587"/>
      <c r="CW215" s="587"/>
      <c r="CX215" s="587"/>
      <c r="CY215" s="587"/>
      <c r="CZ215" s="587"/>
      <c r="DA215" s="587"/>
      <c r="DB215" s="587"/>
      <c r="DC215" s="587"/>
      <c r="DD215" s="587"/>
      <c r="DE215" s="587"/>
      <c r="DF215" s="587"/>
      <c r="DG215" s="587"/>
      <c r="DH215" s="587"/>
      <c r="DI215" s="587"/>
      <c r="DJ215" s="587"/>
      <c r="DK215" s="587"/>
      <c r="DL215" s="587"/>
      <c r="DM215" s="587"/>
      <c r="DN215" s="587"/>
      <c r="DO215" s="587"/>
      <c r="DP215" s="587"/>
      <c r="DQ215" s="587"/>
      <c r="DR215" s="587"/>
      <c r="DS215" s="587"/>
      <c r="DT215" s="587"/>
      <c r="DU215" s="587"/>
      <c r="DV215" s="587"/>
      <c r="DW215" s="587"/>
      <c r="DX215" s="587"/>
      <c r="DY215" s="587"/>
      <c r="DZ215" s="587"/>
      <c r="EA215" s="587"/>
      <c r="EB215" s="587"/>
      <c r="EC215" s="587"/>
      <c r="ED215" s="587"/>
      <c r="EE215" s="587"/>
      <c r="EF215" s="587"/>
      <c r="EG215" s="587"/>
      <c r="EH215" s="587"/>
      <c r="EI215" s="587"/>
      <c r="EJ215" s="587"/>
      <c r="EK215" s="587"/>
      <c r="EL215" s="587"/>
      <c r="EM215" s="587"/>
      <c r="EN215" s="587"/>
      <c r="EO215" s="587"/>
      <c r="EP215" s="587"/>
      <c r="EQ215" s="587"/>
      <c r="ER215" s="587"/>
      <c r="ES215" s="587"/>
      <c r="ET215" s="587"/>
      <c r="EU215" s="587"/>
      <c r="EV215" s="587"/>
      <c r="EW215" s="587"/>
      <c r="EX215" s="587"/>
      <c r="EY215" s="587"/>
      <c r="EZ215" s="587"/>
      <c r="FA215" s="587"/>
      <c r="FB215" s="587"/>
      <c r="FC215" s="587"/>
      <c r="FD215" s="587"/>
      <c r="FE215" s="587"/>
      <c r="FF215" s="587"/>
      <c r="FG215" s="587"/>
      <c r="FH215" s="587"/>
      <c r="FI215" s="587"/>
      <c r="FJ215" s="587"/>
      <c r="FK215" s="587"/>
      <c r="FL215" s="587"/>
      <c r="FM215" s="587"/>
      <c r="FN215" s="587"/>
      <c r="FO215" s="587"/>
      <c r="FP215" s="587"/>
      <c r="FQ215" s="587"/>
      <c r="FR215" s="587"/>
      <c r="FS215" s="587"/>
      <c r="FT215" s="587"/>
      <c r="FU215" s="587"/>
      <c r="FV215" s="587"/>
      <c r="FW215" s="587"/>
      <c r="FX215" s="587"/>
      <c r="FY215" s="587"/>
      <c r="FZ215" s="587"/>
      <c r="GA215" s="587"/>
      <c r="GB215" s="587"/>
      <c r="GC215" s="587"/>
      <c r="GD215" s="587"/>
      <c r="GE215" s="587"/>
      <c r="GF215" s="587"/>
      <c r="GG215" s="587"/>
      <c r="GH215" s="587"/>
      <c r="GI215" s="587"/>
      <c r="GJ215" s="587"/>
      <c r="GK215" s="587"/>
      <c r="GL215" s="587"/>
      <c r="GM215" s="587"/>
      <c r="GN215" s="587"/>
      <c r="GO215" s="587"/>
      <c r="GP215" s="587"/>
      <c r="GQ215" s="587"/>
      <c r="GR215" s="587"/>
      <c r="GS215" s="587"/>
      <c r="GT215" s="587"/>
      <c r="GU215" s="587"/>
      <c r="GV215" s="587"/>
      <c r="GW215" s="587"/>
      <c r="GX215" s="587"/>
      <c r="GY215" s="587"/>
      <c r="GZ215" s="587"/>
      <c r="HA215" s="587"/>
      <c r="HB215" s="587"/>
      <c r="HC215" s="587"/>
      <c r="HD215" s="587"/>
      <c r="HE215" s="587"/>
      <c r="HF215" s="587"/>
      <c r="HG215" s="587"/>
      <c r="HH215" s="587"/>
      <c r="HI215" s="587"/>
      <c r="HJ215" s="587"/>
      <c r="HK215" s="587"/>
      <c r="HL215" s="587"/>
      <c r="HM215" s="587"/>
      <c r="HN215" s="587"/>
      <c r="HO215" s="587"/>
      <c r="HP215" s="587"/>
      <c r="HQ215" s="587"/>
      <c r="HR215" s="587"/>
      <c r="HS215" s="587"/>
      <c r="HT215" s="587"/>
      <c r="HU215" s="587"/>
      <c r="HV215" s="587"/>
      <c r="HW215" s="587"/>
      <c r="HX215" s="587"/>
      <c r="HY215" s="587"/>
      <c r="HZ215" s="587"/>
      <c r="IA215" s="587"/>
      <c r="IB215" s="587"/>
      <c r="IC215" s="587"/>
      <c r="ID215" s="587"/>
      <c r="IE215" s="587"/>
      <c r="IF215" s="587"/>
      <c r="IG215" s="587"/>
      <c r="IH215" s="587"/>
      <c r="II215" s="587"/>
      <c r="IJ215" s="587"/>
      <c r="IK215" s="587"/>
      <c r="IL215" s="587"/>
      <c r="IM215" s="587"/>
      <c r="IN215" s="587"/>
      <c r="IO215" s="587"/>
      <c r="IP215" s="587"/>
      <c r="IQ215" s="587"/>
      <c r="IR215" s="587"/>
      <c r="IS215" s="587"/>
      <c r="IT215" s="587"/>
      <c r="IU215" s="587"/>
      <c r="IV215" s="587"/>
      <c r="IW215" s="587"/>
      <c r="IX215" s="587"/>
      <c r="IY215" s="587"/>
      <c r="IZ215" s="587"/>
      <c r="JA215" s="587"/>
      <c r="JB215" s="587"/>
      <c r="JC215" s="587"/>
      <c r="JD215" s="587"/>
      <c r="JE215" s="587"/>
      <c r="JF215" s="587"/>
      <c r="JG215" s="587"/>
      <c r="JH215" s="587"/>
      <c r="JI215" s="587"/>
      <c r="JJ215" s="587"/>
      <c r="JK215" s="587"/>
      <c r="JL215" s="587"/>
      <c r="JM215" s="587"/>
      <c r="JN215" s="587"/>
      <c r="JO215" s="587"/>
      <c r="JP215" s="587"/>
      <c r="JQ215" s="587"/>
      <c r="JR215" s="587"/>
      <c r="JS215" s="587"/>
      <c r="JT215" s="587"/>
      <c r="JU215" s="587"/>
      <c r="JV215" s="587"/>
    </row>
    <row r="216" spans="1:282" s="21" customFormat="1" ht="50.1" customHeight="1" x14ac:dyDescent="0.2">
      <c r="A216" s="702"/>
      <c r="B216" s="68" t="s">
        <v>584</v>
      </c>
      <c r="C216" s="68"/>
      <c r="D216" s="68"/>
      <c r="E216" s="69" t="s">
        <v>578</v>
      </c>
      <c r="F216" s="198" t="s">
        <v>535</v>
      </c>
      <c r="G216" s="74" t="s">
        <v>208</v>
      </c>
      <c r="H216" s="29" t="s">
        <v>209</v>
      </c>
      <c r="I216" s="29"/>
      <c r="J216" s="74" t="s">
        <v>536</v>
      </c>
      <c r="K216" s="29" t="s">
        <v>1393</v>
      </c>
      <c r="L216" s="29" t="s">
        <v>1286</v>
      </c>
      <c r="M216" s="188" t="s">
        <v>2399</v>
      </c>
      <c r="N216" s="74">
        <v>41232</v>
      </c>
      <c r="O216" s="69" t="s">
        <v>579</v>
      </c>
      <c r="P216" s="69"/>
      <c r="Q216" s="69"/>
      <c r="R216" s="69"/>
      <c r="S216" s="69"/>
      <c r="T216" s="597"/>
      <c r="U216" s="597"/>
      <c r="V216" s="597"/>
      <c r="W216" s="597"/>
      <c r="X216" s="597"/>
      <c r="Y216" s="597"/>
      <c r="Z216" s="597"/>
      <c r="AA216" s="597"/>
      <c r="AB216" s="597"/>
      <c r="AC216" s="597"/>
      <c r="AD216" s="597"/>
      <c r="AE216" s="597"/>
      <c r="AF216" s="597"/>
      <c r="AG216" s="597"/>
      <c r="AH216" s="597"/>
      <c r="AI216" s="597"/>
      <c r="AJ216" s="74">
        <v>41638</v>
      </c>
      <c r="AK216" s="648"/>
      <c r="AL216" s="174"/>
      <c r="AM216" s="598"/>
      <c r="AN216" s="598"/>
      <c r="AO216" s="598"/>
      <c r="AP216" s="598"/>
      <c r="AQ216" s="598"/>
      <c r="AR216" s="598"/>
      <c r="AS216" s="598"/>
      <c r="AT216" s="598"/>
      <c r="AU216" s="598"/>
      <c r="AV216" s="598"/>
      <c r="AW216" s="598"/>
      <c r="AX216" s="598"/>
      <c r="AY216" s="598"/>
      <c r="AZ216" s="598"/>
      <c r="BA216" s="598"/>
      <c r="BB216" s="598"/>
      <c r="BC216" s="598"/>
      <c r="BD216" s="598"/>
      <c r="BE216" s="598"/>
      <c r="BF216" s="598"/>
      <c r="BG216" s="598"/>
      <c r="BH216" s="598"/>
      <c r="BI216" s="598"/>
      <c r="BJ216" s="598"/>
      <c r="BK216" s="598"/>
      <c r="BL216" s="598"/>
      <c r="BM216" s="598"/>
      <c r="BN216" s="598"/>
      <c r="BO216" s="598"/>
      <c r="BP216" s="598"/>
      <c r="BQ216" s="598"/>
      <c r="BR216" s="598"/>
      <c r="BS216" s="598"/>
      <c r="BT216" s="598"/>
      <c r="BU216" s="598"/>
      <c r="BV216" s="598"/>
      <c r="BW216" s="598"/>
      <c r="BX216" s="598"/>
      <c r="BY216" s="598"/>
      <c r="BZ216" s="598"/>
      <c r="CA216" s="598"/>
      <c r="CB216" s="598"/>
      <c r="CC216" s="598"/>
      <c r="CD216" s="598"/>
      <c r="CE216" s="598"/>
      <c r="CF216" s="598"/>
      <c r="CG216" s="598"/>
      <c r="CH216" s="598"/>
      <c r="CI216" s="598"/>
      <c r="CJ216" s="598"/>
      <c r="CK216" s="598"/>
      <c r="CL216" s="598"/>
      <c r="CM216" s="598"/>
      <c r="CN216" s="598"/>
      <c r="CO216" s="598"/>
      <c r="CP216" s="598"/>
      <c r="CQ216" s="598"/>
      <c r="CR216" s="598"/>
      <c r="CS216" s="598"/>
      <c r="CT216" s="598"/>
      <c r="CU216" s="598"/>
      <c r="CV216" s="598"/>
      <c r="CW216" s="598"/>
      <c r="CX216" s="598"/>
      <c r="CY216" s="598"/>
      <c r="CZ216" s="598"/>
      <c r="DA216" s="598"/>
      <c r="DB216" s="598"/>
      <c r="DC216" s="598"/>
      <c r="DD216" s="598"/>
      <c r="DE216" s="598"/>
      <c r="DF216" s="598"/>
      <c r="DG216" s="598"/>
      <c r="DH216" s="598"/>
      <c r="DI216" s="598"/>
      <c r="DJ216" s="598"/>
      <c r="DK216" s="598"/>
      <c r="DL216" s="598"/>
      <c r="DM216" s="598"/>
      <c r="DN216" s="598"/>
      <c r="DO216" s="598"/>
      <c r="DP216" s="598"/>
      <c r="DQ216" s="598"/>
      <c r="DR216" s="598"/>
      <c r="DS216" s="598"/>
      <c r="DT216" s="598"/>
      <c r="DU216" s="598"/>
      <c r="DV216" s="598"/>
      <c r="DW216" s="598"/>
      <c r="DX216" s="598"/>
      <c r="DY216" s="598"/>
      <c r="DZ216" s="598"/>
      <c r="EA216" s="598"/>
      <c r="EB216" s="598"/>
      <c r="EC216" s="598"/>
      <c r="ED216" s="598"/>
      <c r="EE216" s="598"/>
      <c r="EF216" s="598"/>
      <c r="EG216" s="598"/>
      <c r="EH216" s="598"/>
      <c r="EI216" s="598"/>
      <c r="EJ216" s="598"/>
      <c r="EK216" s="598"/>
      <c r="EL216" s="598"/>
      <c r="EM216" s="598"/>
      <c r="EN216" s="598"/>
      <c r="EO216" s="598"/>
      <c r="EP216" s="598"/>
      <c r="EQ216" s="598"/>
      <c r="ER216" s="598"/>
      <c r="ES216" s="598"/>
      <c r="ET216" s="598"/>
      <c r="EU216" s="598"/>
      <c r="EV216" s="598"/>
      <c r="EW216" s="598"/>
      <c r="EX216" s="598"/>
      <c r="EY216" s="598"/>
      <c r="EZ216" s="598"/>
      <c r="FA216" s="598"/>
      <c r="FB216" s="598"/>
      <c r="FC216" s="598"/>
      <c r="FD216" s="598"/>
      <c r="FE216" s="598"/>
      <c r="FF216" s="598"/>
      <c r="FG216" s="598"/>
      <c r="FH216" s="598"/>
      <c r="FI216" s="598"/>
      <c r="FJ216" s="598"/>
      <c r="FK216" s="598"/>
      <c r="FL216" s="598"/>
      <c r="FM216" s="598"/>
      <c r="FN216" s="598"/>
      <c r="FO216" s="598"/>
      <c r="FP216" s="598"/>
      <c r="FQ216" s="598"/>
      <c r="FR216" s="598"/>
      <c r="FS216" s="598"/>
      <c r="FT216" s="598"/>
      <c r="FU216" s="598"/>
      <c r="FV216" s="598"/>
      <c r="FW216" s="598"/>
      <c r="FX216" s="598"/>
      <c r="FY216" s="598"/>
      <c r="FZ216" s="598"/>
      <c r="GA216" s="598"/>
      <c r="GB216" s="598"/>
      <c r="GC216" s="598"/>
      <c r="GD216" s="598"/>
      <c r="GE216" s="598"/>
      <c r="GF216" s="598"/>
      <c r="GG216" s="598"/>
      <c r="GH216" s="598"/>
      <c r="GI216" s="598"/>
      <c r="GJ216" s="598"/>
      <c r="GK216" s="598"/>
      <c r="GL216" s="598"/>
      <c r="GM216" s="598"/>
      <c r="GN216" s="598"/>
      <c r="GO216" s="598"/>
      <c r="GP216" s="598"/>
      <c r="GQ216" s="598"/>
      <c r="GR216" s="598"/>
      <c r="GS216" s="598"/>
      <c r="GT216" s="598"/>
      <c r="GU216" s="598"/>
      <c r="GV216" s="598"/>
      <c r="GW216" s="598"/>
      <c r="GX216" s="598"/>
      <c r="GY216" s="598"/>
      <c r="GZ216" s="598"/>
      <c r="HA216" s="598"/>
      <c r="HB216" s="598"/>
      <c r="HC216" s="598"/>
      <c r="HD216" s="598"/>
      <c r="HE216" s="598"/>
      <c r="HF216" s="598"/>
      <c r="HG216" s="598"/>
      <c r="HH216" s="598"/>
      <c r="HI216" s="598"/>
      <c r="HJ216" s="598"/>
      <c r="HK216" s="598"/>
      <c r="HL216" s="598"/>
      <c r="HM216" s="598"/>
      <c r="HN216" s="598"/>
      <c r="HO216" s="598"/>
      <c r="HP216" s="598"/>
      <c r="HQ216" s="598"/>
      <c r="HR216" s="598"/>
      <c r="HS216" s="598"/>
      <c r="HT216" s="598"/>
      <c r="HU216" s="598"/>
      <c r="HV216" s="598"/>
      <c r="HW216" s="598"/>
      <c r="HX216" s="598"/>
      <c r="HY216" s="598"/>
      <c r="HZ216" s="598"/>
      <c r="IA216" s="598"/>
      <c r="IB216" s="598"/>
      <c r="IC216" s="598"/>
      <c r="ID216" s="598"/>
      <c r="IE216" s="598"/>
      <c r="IF216" s="598"/>
      <c r="IG216" s="598"/>
      <c r="IH216" s="598"/>
      <c r="II216" s="598"/>
      <c r="IJ216" s="598"/>
      <c r="IK216" s="598"/>
      <c r="IL216" s="598"/>
      <c r="IM216" s="598"/>
      <c r="IN216" s="598"/>
      <c r="IO216" s="598"/>
      <c r="IP216" s="598"/>
      <c r="IQ216" s="598"/>
      <c r="IR216" s="598"/>
      <c r="IS216" s="598"/>
      <c r="IT216" s="598"/>
      <c r="IU216" s="598"/>
      <c r="IV216" s="598"/>
      <c r="IW216" s="598"/>
      <c r="IX216" s="598"/>
      <c r="IY216" s="598"/>
      <c r="IZ216" s="598"/>
      <c r="JA216" s="598"/>
      <c r="JB216" s="598"/>
      <c r="JC216" s="598"/>
      <c r="JD216" s="598"/>
      <c r="JE216" s="598"/>
      <c r="JF216" s="598"/>
      <c r="JG216" s="598"/>
      <c r="JH216" s="598"/>
      <c r="JI216" s="598"/>
      <c r="JJ216" s="598"/>
      <c r="JK216" s="598"/>
      <c r="JL216" s="598"/>
      <c r="JM216" s="598"/>
      <c r="JN216" s="598"/>
      <c r="JO216" s="598"/>
      <c r="JP216" s="598"/>
      <c r="JQ216" s="598"/>
      <c r="JR216" s="598"/>
      <c r="JS216" s="598"/>
      <c r="JT216" s="598"/>
      <c r="JU216" s="598"/>
      <c r="JV216" s="598"/>
    </row>
    <row r="217" spans="1:282" s="21" customFormat="1" ht="50.1" customHeight="1" x14ac:dyDescent="0.2">
      <c r="A217" s="702"/>
      <c r="B217" s="69" t="s">
        <v>1137</v>
      </c>
      <c r="C217" s="69"/>
      <c r="D217" s="69"/>
      <c r="E217" s="68" t="s">
        <v>1895</v>
      </c>
      <c r="F217" s="750" t="s">
        <v>1900</v>
      </c>
      <c r="G217" s="68" t="s">
        <v>1896</v>
      </c>
      <c r="H217" s="29" t="s">
        <v>1806</v>
      </c>
      <c r="I217" s="29"/>
      <c r="J217" s="69" t="s">
        <v>490</v>
      </c>
      <c r="K217" s="69" t="s">
        <v>1394</v>
      </c>
      <c r="L217" s="29" t="s">
        <v>1369</v>
      </c>
      <c r="M217" s="43" t="s">
        <v>1615</v>
      </c>
      <c r="N217" s="74">
        <v>41810</v>
      </c>
      <c r="O217" s="69" t="s">
        <v>1898</v>
      </c>
      <c r="P217" s="69"/>
      <c r="Q217" s="69"/>
      <c r="R217" s="69"/>
      <c r="S217" s="69"/>
      <c r="T217" s="597"/>
      <c r="U217" s="597"/>
      <c r="V217" s="597"/>
      <c r="W217" s="597"/>
      <c r="X217" s="597"/>
      <c r="Y217" s="597"/>
      <c r="Z217" s="597"/>
      <c r="AA217" s="597"/>
      <c r="AB217" s="597"/>
      <c r="AC217" s="597"/>
      <c r="AD217" s="597"/>
      <c r="AE217" s="597"/>
      <c r="AF217" s="597"/>
      <c r="AG217" s="597"/>
      <c r="AH217" s="597"/>
      <c r="AI217" s="597"/>
      <c r="AJ217" s="73">
        <v>42030</v>
      </c>
      <c r="AK217" s="651"/>
      <c r="AL217" s="175"/>
      <c r="AM217" s="598"/>
      <c r="AN217" s="598"/>
      <c r="AO217" s="598"/>
      <c r="AP217" s="598"/>
      <c r="AQ217" s="598"/>
      <c r="AR217" s="598"/>
      <c r="AS217" s="598"/>
      <c r="AT217" s="598"/>
      <c r="AU217" s="598"/>
      <c r="AV217" s="598"/>
      <c r="AW217" s="598"/>
      <c r="AX217" s="598"/>
      <c r="AY217" s="598"/>
      <c r="AZ217" s="598"/>
      <c r="BA217" s="598"/>
      <c r="BB217" s="598"/>
      <c r="BC217" s="598"/>
      <c r="BD217" s="598"/>
      <c r="BE217" s="598"/>
      <c r="BF217" s="598"/>
      <c r="BG217" s="598"/>
      <c r="BH217" s="598"/>
      <c r="BI217" s="598"/>
      <c r="BJ217" s="598"/>
      <c r="BK217" s="598"/>
      <c r="BL217" s="598"/>
      <c r="BM217" s="598"/>
      <c r="BN217" s="598"/>
      <c r="BO217" s="598"/>
      <c r="BP217" s="598"/>
      <c r="BQ217" s="598"/>
      <c r="BR217" s="598"/>
      <c r="BS217" s="598"/>
      <c r="BT217" s="598"/>
      <c r="BU217" s="598"/>
      <c r="BV217" s="598"/>
      <c r="BW217" s="598"/>
      <c r="BX217" s="598"/>
      <c r="BY217" s="598"/>
      <c r="BZ217" s="598"/>
      <c r="CA217" s="598"/>
      <c r="CB217" s="598"/>
      <c r="CC217" s="598"/>
      <c r="CD217" s="598"/>
      <c r="CE217" s="598"/>
      <c r="CF217" s="598"/>
      <c r="CG217" s="598"/>
      <c r="CH217" s="598"/>
      <c r="CI217" s="598"/>
      <c r="CJ217" s="598"/>
      <c r="CK217" s="598"/>
      <c r="CL217" s="598"/>
      <c r="CM217" s="598"/>
      <c r="CN217" s="598"/>
      <c r="CO217" s="598"/>
      <c r="CP217" s="598"/>
      <c r="CQ217" s="598"/>
      <c r="CR217" s="598"/>
      <c r="CS217" s="598"/>
      <c r="CT217" s="598"/>
      <c r="CU217" s="598"/>
      <c r="CV217" s="598"/>
      <c r="CW217" s="598"/>
      <c r="CX217" s="598"/>
      <c r="CY217" s="598"/>
      <c r="CZ217" s="598"/>
      <c r="DA217" s="598"/>
      <c r="DB217" s="598"/>
      <c r="DC217" s="598"/>
      <c r="DD217" s="598"/>
      <c r="DE217" s="598"/>
      <c r="DF217" s="598"/>
      <c r="DG217" s="598"/>
      <c r="DH217" s="598"/>
      <c r="DI217" s="598"/>
      <c r="DJ217" s="598"/>
      <c r="DK217" s="598"/>
      <c r="DL217" s="598"/>
      <c r="DM217" s="598"/>
      <c r="DN217" s="598"/>
      <c r="DO217" s="598"/>
      <c r="DP217" s="598"/>
      <c r="DQ217" s="598"/>
      <c r="DR217" s="598"/>
      <c r="DS217" s="598"/>
      <c r="DT217" s="598"/>
      <c r="DU217" s="598"/>
      <c r="DV217" s="598"/>
      <c r="DW217" s="598"/>
      <c r="DX217" s="598"/>
      <c r="DY217" s="598"/>
      <c r="DZ217" s="598"/>
      <c r="EA217" s="598"/>
      <c r="EB217" s="598"/>
      <c r="EC217" s="598"/>
      <c r="ED217" s="598"/>
      <c r="EE217" s="598"/>
      <c r="EF217" s="598"/>
      <c r="EG217" s="598"/>
      <c r="EH217" s="598"/>
      <c r="EI217" s="598"/>
      <c r="EJ217" s="598"/>
      <c r="EK217" s="598"/>
      <c r="EL217" s="598"/>
      <c r="EM217" s="598"/>
      <c r="EN217" s="598"/>
      <c r="EO217" s="598"/>
      <c r="EP217" s="598"/>
      <c r="EQ217" s="598"/>
      <c r="ER217" s="598"/>
      <c r="ES217" s="598"/>
      <c r="ET217" s="598"/>
      <c r="EU217" s="598"/>
      <c r="EV217" s="598"/>
      <c r="EW217" s="598"/>
      <c r="EX217" s="598"/>
      <c r="EY217" s="598"/>
      <c r="EZ217" s="598"/>
      <c r="FA217" s="598"/>
      <c r="FB217" s="598"/>
      <c r="FC217" s="598"/>
      <c r="FD217" s="598"/>
      <c r="FE217" s="598"/>
      <c r="FF217" s="598"/>
      <c r="FG217" s="598"/>
      <c r="FH217" s="598"/>
      <c r="FI217" s="598"/>
      <c r="FJ217" s="598"/>
      <c r="FK217" s="598"/>
      <c r="FL217" s="598"/>
      <c r="FM217" s="598"/>
      <c r="FN217" s="598"/>
      <c r="FO217" s="598"/>
      <c r="FP217" s="598"/>
      <c r="FQ217" s="598"/>
      <c r="FR217" s="598"/>
      <c r="FS217" s="598"/>
      <c r="FT217" s="598"/>
      <c r="FU217" s="598"/>
      <c r="FV217" s="598"/>
      <c r="FW217" s="598"/>
      <c r="FX217" s="598"/>
      <c r="FY217" s="598"/>
      <c r="FZ217" s="598"/>
      <c r="GA217" s="598"/>
      <c r="GB217" s="598"/>
      <c r="GC217" s="598"/>
      <c r="GD217" s="598"/>
      <c r="GE217" s="598"/>
      <c r="GF217" s="598"/>
      <c r="GG217" s="598"/>
      <c r="GH217" s="598"/>
      <c r="GI217" s="598"/>
      <c r="GJ217" s="598"/>
      <c r="GK217" s="598"/>
      <c r="GL217" s="598"/>
      <c r="GM217" s="598"/>
      <c r="GN217" s="598"/>
      <c r="GO217" s="598"/>
      <c r="GP217" s="598"/>
      <c r="GQ217" s="598"/>
      <c r="GR217" s="598"/>
      <c r="GS217" s="598"/>
      <c r="GT217" s="598"/>
      <c r="GU217" s="598"/>
      <c r="GV217" s="598"/>
      <c r="GW217" s="598"/>
      <c r="GX217" s="598"/>
      <c r="GY217" s="598"/>
      <c r="GZ217" s="598"/>
      <c r="HA217" s="598"/>
      <c r="HB217" s="598"/>
      <c r="HC217" s="598"/>
      <c r="HD217" s="598"/>
      <c r="HE217" s="598"/>
      <c r="HF217" s="598"/>
      <c r="HG217" s="598"/>
      <c r="HH217" s="598"/>
      <c r="HI217" s="598"/>
      <c r="HJ217" s="598"/>
      <c r="HK217" s="598"/>
      <c r="HL217" s="598"/>
      <c r="HM217" s="598"/>
      <c r="HN217" s="598"/>
      <c r="HO217" s="598"/>
      <c r="HP217" s="598"/>
      <c r="HQ217" s="598"/>
      <c r="HR217" s="598"/>
      <c r="HS217" s="598"/>
      <c r="HT217" s="598"/>
      <c r="HU217" s="598"/>
      <c r="HV217" s="598"/>
      <c r="HW217" s="598"/>
      <c r="HX217" s="598"/>
      <c r="HY217" s="598"/>
      <c r="HZ217" s="598"/>
      <c r="IA217" s="598"/>
      <c r="IB217" s="598"/>
      <c r="IC217" s="598"/>
      <c r="ID217" s="598"/>
      <c r="IE217" s="598"/>
      <c r="IF217" s="598"/>
      <c r="IG217" s="598"/>
      <c r="IH217" s="598"/>
      <c r="II217" s="598"/>
      <c r="IJ217" s="598"/>
      <c r="IK217" s="598"/>
      <c r="IL217" s="598"/>
      <c r="IM217" s="598"/>
      <c r="IN217" s="598"/>
      <c r="IO217" s="598"/>
      <c r="IP217" s="598"/>
      <c r="IQ217" s="598"/>
      <c r="IR217" s="598"/>
      <c r="IS217" s="598"/>
      <c r="IT217" s="598"/>
      <c r="IU217" s="598"/>
      <c r="IV217" s="598"/>
      <c r="IW217" s="598"/>
      <c r="IX217" s="598"/>
      <c r="IY217" s="598"/>
      <c r="IZ217" s="598"/>
      <c r="JA217" s="598"/>
      <c r="JB217" s="598"/>
      <c r="JC217" s="598"/>
      <c r="JD217" s="598"/>
      <c r="JE217" s="598"/>
      <c r="JF217" s="598"/>
      <c r="JG217" s="598"/>
      <c r="JH217" s="598"/>
      <c r="JI217" s="598"/>
      <c r="JJ217" s="598"/>
      <c r="JK217" s="598"/>
      <c r="JL217" s="598"/>
      <c r="JM217" s="598"/>
      <c r="JN217" s="598"/>
      <c r="JO217" s="598"/>
      <c r="JP217" s="598"/>
      <c r="JQ217" s="598"/>
      <c r="JR217" s="598"/>
      <c r="JS217" s="598"/>
      <c r="JT217" s="598"/>
      <c r="JU217" s="598"/>
      <c r="JV217" s="598"/>
    </row>
    <row r="218" spans="1:282" s="21" customFormat="1" ht="50.1" customHeight="1" x14ac:dyDescent="0.2">
      <c r="A218" s="702"/>
      <c r="B218" s="69" t="s">
        <v>1137</v>
      </c>
      <c r="C218" s="69"/>
      <c r="D218" s="69"/>
      <c r="E218" s="30" t="s">
        <v>1182</v>
      </c>
      <c r="F218" s="198" t="s">
        <v>1181</v>
      </c>
      <c r="G218" s="74" t="s">
        <v>1181</v>
      </c>
      <c r="H218" s="30" t="s">
        <v>1594</v>
      </c>
      <c r="I218" s="30"/>
      <c r="J218" s="30" t="s">
        <v>2437</v>
      </c>
      <c r="K218" s="30" t="s">
        <v>1394</v>
      </c>
      <c r="L218" s="29" t="s">
        <v>685</v>
      </c>
      <c r="M218" s="43" t="s">
        <v>1528</v>
      </c>
      <c r="N218" s="754">
        <v>41505</v>
      </c>
      <c r="O218" s="747" t="s">
        <v>1231</v>
      </c>
      <c r="P218" s="747"/>
      <c r="Q218" s="747"/>
      <c r="R218" s="747"/>
      <c r="S218" s="747"/>
      <c r="T218" s="597"/>
      <c r="U218" s="597"/>
      <c r="V218" s="597"/>
      <c r="W218" s="597"/>
      <c r="X218" s="597"/>
      <c r="Y218" s="597"/>
      <c r="Z218" s="597"/>
      <c r="AA218" s="597"/>
      <c r="AB218" s="597"/>
      <c r="AC218" s="597"/>
      <c r="AD218" s="597"/>
      <c r="AE218" s="597"/>
      <c r="AF218" s="597"/>
      <c r="AG218" s="597"/>
      <c r="AH218" s="597"/>
      <c r="AI218" s="597"/>
      <c r="AJ218" s="73">
        <v>42037</v>
      </c>
      <c r="AK218" s="651"/>
      <c r="AL218" s="175"/>
      <c r="AM218" s="598"/>
      <c r="AN218" s="598"/>
      <c r="AO218" s="598"/>
      <c r="AP218" s="598"/>
      <c r="AQ218" s="598"/>
      <c r="AR218" s="598"/>
      <c r="AS218" s="598"/>
      <c r="AT218" s="598"/>
      <c r="AU218" s="598"/>
      <c r="AV218" s="598"/>
      <c r="AW218" s="598"/>
      <c r="AX218" s="598"/>
      <c r="AY218" s="598"/>
      <c r="AZ218" s="598"/>
      <c r="BA218" s="598"/>
      <c r="BB218" s="598"/>
      <c r="BC218" s="598"/>
      <c r="BD218" s="598"/>
      <c r="BE218" s="598"/>
      <c r="BF218" s="598"/>
      <c r="BG218" s="598"/>
      <c r="BH218" s="598"/>
      <c r="BI218" s="598"/>
      <c r="BJ218" s="598"/>
      <c r="BK218" s="598"/>
      <c r="BL218" s="598"/>
      <c r="BM218" s="598"/>
      <c r="BN218" s="598"/>
      <c r="BO218" s="598"/>
      <c r="BP218" s="598"/>
      <c r="BQ218" s="598"/>
      <c r="BR218" s="598"/>
      <c r="BS218" s="598"/>
      <c r="BT218" s="598"/>
      <c r="BU218" s="598"/>
      <c r="BV218" s="598"/>
      <c r="BW218" s="598"/>
      <c r="BX218" s="598"/>
      <c r="BY218" s="598"/>
      <c r="BZ218" s="598"/>
      <c r="CA218" s="598"/>
      <c r="CB218" s="598"/>
      <c r="CC218" s="598"/>
      <c r="CD218" s="598"/>
      <c r="CE218" s="598"/>
      <c r="CF218" s="598"/>
      <c r="CG218" s="598"/>
      <c r="CH218" s="598"/>
      <c r="CI218" s="598"/>
      <c r="CJ218" s="598"/>
      <c r="CK218" s="598"/>
      <c r="CL218" s="598"/>
      <c r="CM218" s="598"/>
      <c r="CN218" s="598"/>
      <c r="CO218" s="598"/>
      <c r="CP218" s="598"/>
      <c r="CQ218" s="598"/>
      <c r="CR218" s="598"/>
      <c r="CS218" s="598"/>
      <c r="CT218" s="598"/>
      <c r="CU218" s="598"/>
      <c r="CV218" s="598"/>
      <c r="CW218" s="598"/>
      <c r="CX218" s="598"/>
      <c r="CY218" s="598"/>
      <c r="CZ218" s="598"/>
      <c r="DA218" s="598"/>
      <c r="DB218" s="598"/>
      <c r="DC218" s="598"/>
      <c r="DD218" s="598"/>
      <c r="DE218" s="598"/>
      <c r="DF218" s="598"/>
      <c r="DG218" s="598"/>
      <c r="DH218" s="598"/>
      <c r="DI218" s="598"/>
      <c r="DJ218" s="598"/>
      <c r="DK218" s="598"/>
      <c r="DL218" s="598"/>
      <c r="DM218" s="598"/>
      <c r="DN218" s="598"/>
      <c r="DO218" s="598"/>
      <c r="DP218" s="598"/>
      <c r="DQ218" s="598"/>
      <c r="DR218" s="598"/>
      <c r="DS218" s="598"/>
      <c r="DT218" s="598"/>
      <c r="DU218" s="598"/>
      <c r="DV218" s="598"/>
      <c r="DW218" s="598"/>
      <c r="DX218" s="598"/>
      <c r="DY218" s="598"/>
      <c r="DZ218" s="598"/>
      <c r="EA218" s="598"/>
      <c r="EB218" s="598"/>
      <c r="EC218" s="598"/>
      <c r="ED218" s="598"/>
      <c r="EE218" s="598"/>
      <c r="EF218" s="598"/>
      <c r="EG218" s="598"/>
      <c r="EH218" s="598"/>
      <c r="EI218" s="598"/>
      <c r="EJ218" s="598"/>
      <c r="EK218" s="598"/>
      <c r="EL218" s="598"/>
      <c r="EM218" s="598"/>
      <c r="EN218" s="598"/>
      <c r="EO218" s="598"/>
      <c r="EP218" s="598"/>
      <c r="EQ218" s="598"/>
      <c r="ER218" s="598"/>
      <c r="ES218" s="598"/>
      <c r="ET218" s="598"/>
      <c r="EU218" s="598"/>
      <c r="EV218" s="598"/>
      <c r="EW218" s="598"/>
      <c r="EX218" s="598"/>
      <c r="EY218" s="598"/>
      <c r="EZ218" s="598"/>
      <c r="FA218" s="598"/>
      <c r="FB218" s="598"/>
      <c r="FC218" s="598"/>
      <c r="FD218" s="598"/>
      <c r="FE218" s="598"/>
      <c r="FF218" s="598"/>
      <c r="FG218" s="598"/>
      <c r="FH218" s="598"/>
      <c r="FI218" s="598"/>
      <c r="FJ218" s="598"/>
      <c r="FK218" s="598"/>
      <c r="FL218" s="598"/>
      <c r="FM218" s="598"/>
      <c r="FN218" s="598"/>
      <c r="FO218" s="598"/>
      <c r="FP218" s="598"/>
      <c r="FQ218" s="598"/>
      <c r="FR218" s="598"/>
      <c r="FS218" s="598"/>
      <c r="FT218" s="598"/>
      <c r="FU218" s="598"/>
      <c r="FV218" s="598"/>
      <c r="FW218" s="598"/>
      <c r="FX218" s="598"/>
      <c r="FY218" s="598"/>
      <c r="FZ218" s="598"/>
      <c r="GA218" s="598"/>
      <c r="GB218" s="598"/>
      <c r="GC218" s="598"/>
      <c r="GD218" s="598"/>
      <c r="GE218" s="598"/>
      <c r="GF218" s="598"/>
      <c r="GG218" s="598"/>
      <c r="GH218" s="598"/>
      <c r="GI218" s="598"/>
      <c r="GJ218" s="598"/>
      <c r="GK218" s="598"/>
      <c r="GL218" s="598"/>
      <c r="GM218" s="598"/>
      <c r="GN218" s="598"/>
      <c r="GO218" s="598"/>
      <c r="GP218" s="598"/>
      <c r="GQ218" s="598"/>
      <c r="GR218" s="598"/>
      <c r="GS218" s="598"/>
      <c r="GT218" s="598"/>
      <c r="GU218" s="598"/>
      <c r="GV218" s="598"/>
      <c r="GW218" s="598"/>
      <c r="GX218" s="598"/>
      <c r="GY218" s="598"/>
      <c r="GZ218" s="598"/>
      <c r="HA218" s="598"/>
      <c r="HB218" s="598"/>
      <c r="HC218" s="598"/>
      <c r="HD218" s="598"/>
      <c r="HE218" s="598"/>
      <c r="HF218" s="598"/>
      <c r="HG218" s="598"/>
      <c r="HH218" s="598"/>
      <c r="HI218" s="598"/>
      <c r="HJ218" s="598"/>
      <c r="HK218" s="598"/>
      <c r="HL218" s="598"/>
      <c r="HM218" s="598"/>
      <c r="HN218" s="598"/>
      <c r="HO218" s="598"/>
      <c r="HP218" s="598"/>
      <c r="HQ218" s="598"/>
      <c r="HR218" s="598"/>
      <c r="HS218" s="598"/>
      <c r="HT218" s="598"/>
      <c r="HU218" s="598"/>
      <c r="HV218" s="598"/>
      <c r="HW218" s="598"/>
      <c r="HX218" s="598"/>
      <c r="HY218" s="598"/>
      <c r="HZ218" s="598"/>
      <c r="IA218" s="598"/>
      <c r="IB218" s="598"/>
      <c r="IC218" s="598"/>
      <c r="ID218" s="598"/>
      <c r="IE218" s="598"/>
      <c r="IF218" s="598"/>
      <c r="IG218" s="598"/>
      <c r="IH218" s="598"/>
      <c r="II218" s="598"/>
      <c r="IJ218" s="598"/>
      <c r="IK218" s="598"/>
      <c r="IL218" s="598"/>
      <c r="IM218" s="598"/>
      <c r="IN218" s="598"/>
      <c r="IO218" s="598"/>
      <c r="IP218" s="598"/>
      <c r="IQ218" s="598"/>
      <c r="IR218" s="598"/>
      <c r="IS218" s="598"/>
      <c r="IT218" s="598"/>
      <c r="IU218" s="598"/>
      <c r="IV218" s="598"/>
      <c r="IW218" s="598"/>
      <c r="IX218" s="598"/>
      <c r="IY218" s="598"/>
      <c r="IZ218" s="598"/>
      <c r="JA218" s="598"/>
      <c r="JB218" s="598"/>
      <c r="JC218" s="598"/>
      <c r="JD218" s="598"/>
      <c r="JE218" s="598"/>
      <c r="JF218" s="598"/>
      <c r="JG218" s="598"/>
      <c r="JH218" s="598"/>
      <c r="JI218" s="598"/>
      <c r="JJ218" s="598"/>
      <c r="JK218" s="598"/>
      <c r="JL218" s="598"/>
      <c r="JM218" s="598"/>
      <c r="JN218" s="598"/>
      <c r="JO218" s="598"/>
      <c r="JP218" s="598"/>
      <c r="JQ218" s="598"/>
      <c r="JR218" s="598"/>
      <c r="JS218" s="598"/>
      <c r="JT218" s="598"/>
      <c r="JU218" s="598"/>
      <c r="JV218" s="598"/>
    </row>
    <row r="219" spans="1:282" s="13" customFormat="1" ht="50.1" customHeight="1" x14ac:dyDescent="0.2">
      <c r="A219" s="695"/>
      <c r="B219" s="69" t="s">
        <v>1137</v>
      </c>
      <c r="C219" s="69"/>
      <c r="D219" s="69"/>
      <c r="E219" s="69" t="s">
        <v>428</v>
      </c>
      <c r="F219" s="198" t="s">
        <v>420</v>
      </c>
      <c r="G219" s="74" t="s">
        <v>420</v>
      </c>
      <c r="H219" s="29" t="s">
        <v>422</v>
      </c>
      <c r="I219" s="29"/>
      <c r="J219" s="74" t="s">
        <v>421</v>
      </c>
      <c r="K219" s="29" t="s">
        <v>1394</v>
      </c>
      <c r="L219" s="29" t="s">
        <v>12</v>
      </c>
      <c r="M219" s="29" t="s">
        <v>1528</v>
      </c>
      <c r="N219" s="74">
        <v>41129</v>
      </c>
      <c r="O219" s="69" t="s">
        <v>431</v>
      </c>
      <c r="P219" s="69"/>
      <c r="Q219" s="69"/>
      <c r="R219" s="69"/>
      <c r="S219" s="69"/>
      <c r="T219" s="149"/>
      <c r="U219" s="149"/>
      <c r="V219" s="149"/>
      <c r="W219" s="149"/>
      <c r="X219" s="149"/>
      <c r="Y219" s="149"/>
      <c r="Z219" s="149"/>
      <c r="AA219" s="149"/>
      <c r="AB219" s="149"/>
      <c r="AC219" s="149"/>
      <c r="AD219" s="149"/>
      <c r="AE219" s="149"/>
      <c r="AF219" s="149"/>
      <c r="AG219" s="149"/>
      <c r="AH219" s="149"/>
      <c r="AI219" s="149"/>
      <c r="AJ219" s="73">
        <v>42086</v>
      </c>
      <c r="AK219" s="648"/>
      <c r="AL219" s="174"/>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15"/>
      <c r="CB219" s="15"/>
      <c r="CC219" s="15"/>
      <c r="CD219" s="15"/>
      <c r="CE219" s="15"/>
      <c r="CF219" s="15"/>
      <c r="CG219" s="15"/>
      <c r="CH219" s="15"/>
      <c r="CI219" s="15"/>
      <c r="CJ219" s="15"/>
      <c r="CK219" s="15"/>
      <c r="CL219" s="15"/>
      <c r="CM219" s="15"/>
      <c r="CN219" s="15"/>
      <c r="CO219" s="15"/>
      <c r="CP219" s="15"/>
      <c r="CQ219" s="15"/>
      <c r="CR219" s="15"/>
      <c r="CS219" s="15"/>
      <c r="CT219" s="15"/>
      <c r="CU219" s="15"/>
      <c r="CV219" s="15"/>
      <c r="CW219" s="15"/>
      <c r="CX219" s="15"/>
      <c r="CY219" s="15"/>
      <c r="CZ219" s="15"/>
      <c r="DA219" s="15"/>
      <c r="DB219" s="15"/>
      <c r="DC219" s="15"/>
      <c r="DD219" s="15"/>
      <c r="DE219" s="15"/>
      <c r="DF219" s="15"/>
      <c r="DG219" s="15"/>
      <c r="DH219" s="15"/>
      <c r="DI219" s="15"/>
      <c r="DJ219" s="15"/>
      <c r="DK219" s="15"/>
      <c r="DL219" s="15"/>
      <c r="DM219" s="15"/>
      <c r="DN219" s="15"/>
      <c r="DO219" s="15"/>
      <c r="DP219" s="15"/>
      <c r="DQ219" s="15"/>
      <c r="DR219" s="15"/>
      <c r="DS219" s="15"/>
      <c r="DT219" s="15"/>
      <c r="DU219" s="15"/>
      <c r="DV219" s="15"/>
      <c r="DW219" s="15"/>
      <c r="DX219" s="15"/>
      <c r="DY219" s="15"/>
      <c r="DZ219" s="15"/>
      <c r="EA219" s="15"/>
      <c r="EB219" s="15"/>
      <c r="EC219" s="15"/>
      <c r="ED219" s="15"/>
      <c r="EE219" s="15"/>
      <c r="EF219" s="15"/>
      <c r="EG219" s="15"/>
      <c r="EH219" s="15"/>
      <c r="EI219" s="15"/>
      <c r="EJ219" s="15"/>
      <c r="EK219" s="15"/>
      <c r="EL219" s="15"/>
      <c r="EM219" s="15"/>
      <c r="EN219" s="15"/>
      <c r="EO219" s="15"/>
      <c r="EP219" s="15"/>
      <c r="EQ219" s="15"/>
      <c r="ER219" s="15"/>
      <c r="ES219" s="15"/>
      <c r="ET219" s="15"/>
      <c r="EU219" s="15"/>
      <c r="EV219" s="15"/>
      <c r="EW219" s="15"/>
      <c r="EX219" s="15"/>
      <c r="EY219" s="15"/>
      <c r="EZ219" s="15"/>
      <c r="FA219" s="15"/>
      <c r="FB219" s="15"/>
      <c r="FC219" s="15"/>
      <c r="FD219" s="15"/>
      <c r="FE219" s="15"/>
      <c r="FF219" s="15"/>
      <c r="FG219" s="15"/>
      <c r="FH219" s="15"/>
      <c r="FI219" s="15"/>
      <c r="FJ219" s="15"/>
      <c r="FK219" s="15"/>
      <c r="FL219" s="15"/>
      <c r="FM219" s="15"/>
      <c r="FN219" s="15"/>
      <c r="FO219" s="15"/>
      <c r="FP219" s="15"/>
      <c r="FQ219" s="15"/>
      <c r="FR219" s="15"/>
      <c r="FS219" s="15"/>
      <c r="FT219" s="15"/>
      <c r="FU219" s="15"/>
      <c r="FV219" s="15"/>
      <c r="FW219" s="15"/>
      <c r="FX219" s="15"/>
      <c r="FY219" s="15"/>
      <c r="FZ219" s="15"/>
      <c r="GA219" s="15"/>
      <c r="GB219" s="15"/>
      <c r="GC219" s="15"/>
      <c r="GD219" s="15"/>
      <c r="GE219" s="15"/>
      <c r="GF219" s="15"/>
      <c r="GG219" s="15"/>
      <c r="GH219" s="15"/>
      <c r="GI219" s="15"/>
      <c r="GJ219" s="15"/>
      <c r="GK219" s="15"/>
      <c r="GL219" s="15"/>
      <c r="GM219" s="15"/>
      <c r="GN219" s="15"/>
      <c r="GO219" s="15"/>
      <c r="GP219" s="15"/>
      <c r="GQ219" s="15"/>
      <c r="GR219" s="15"/>
      <c r="GS219" s="15"/>
      <c r="GT219" s="15"/>
      <c r="GU219" s="15"/>
      <c r="GV219" s="15"/>
      <c r="GW219" s="15"/>
      <c r="GX219" s="15"/>
      <c r="GY219" s="15"/>
      <c r="GZ219" s="15"/>
      <c r="HA219" s="15"/>
      <c r="HB219" s="15"/>
      <c r="HC219" s="15"/>
      <c r="HD219" s="15"/>
      <c r="HE219" s="15"/>
      <c r="HF219" s="15"/>
      <c r="HG219" s="15"/>
      <c r="HH219" s="15"/>
      <c r="HI219" s="15"/>
      <c r="HJ219" s="15"/>
      <c r="HK219" s="15"/>
      <c r="HL219" s="15"/>
      <c r="HM219" s="15"/>
      <c r="HN219" s="15"/>
      <c r="HO219" s="15"/>
      <c r="HP219" s="15"/>
      <c r="HQ219" s="15"/>
      <c r="HR219" s="15"/>
      <c r="HS219" s="15"/>
      <c r="HT219" s="15"/>
      <c r="HU219" s="15"/>
      <c r="HV219" s="15"/>
      <c r="HW219" s="15"/>
      <c r="HX219" s="15"/>
      <c r="HY219" s="15"/>
      <c r="HZ219" s="15"/>
      <c r="IA219" s="15"/>
      <c r="IB219" s="15"/>
      <c r="IC219" s="15"/>
      <c r="ID219" s="15"/>
      <c r="IE219" s="15"/>
      <c r="IF219" s="15"/>
      <c r="IG219" s="15"/>
      <c r="IH219" s="15"/>
      <c r="II219" s="15"/>
      <c r="IJ219" s="15"/>
      <c r="IK219" s="15"/>
      <c r="IL219" s="15"/>
      <c r="IM219" s="15"/>
      <c r="IN219" s="15"/>
      <c r="IO219" s="15"/>
      <c r="IP219" s="15"/>
      <c r="IQ219" s="15"/>
      <c r="IR219" s="15"/>
      <c r="IS219" s="15"/>
      <c r="IT219" s="15"/>
      <c r="IU219" s="15"/>
      <c r="IV219" s="15"/>
      <c r="IW219" s="15"/>
      <c r="IX219" s="15"/>
      <c r="IY219" s="15"/>
      <c r="IZ219" s="15"/>
      <c r="JA219" s="15"/>
      <c r="JB219" s="15"/>
      <c r="JC219" s="15"/>
      <c r="JD219" s="15"/>
      <c r="JE219" s="15"/>
      <c r="JF219" s="15"/>
      <c r="JG219" s="15"/>
      <c r="JH219" s="15"/>
      <c r="JI219" s="15"/>
      <c r="JJ219" s="15"/>
      <c r="JK219" s="15"/>
      <c r="JL219" s="15"/>
      <c r="JM219" s="15"/>
      <c r="JN219" s="15"/>
      <c r="JO219" s="15"/>
      <c r="JP219" s="15"/>
      <c r="JQ219" s="15"/>
      <c r="JR219" s="15"/>
      <c r="JS219" s="15"/>
      <c r="JT219" s="15"/>
      <c r="JU219" s="15"/>
      <c r="JV219" s="15"/>
    </row>
    <row r="220" spans="1:282" s="21" customFormat="1" ht="50.1" customHeight="1" x14ac:dyDescent="0.2">
      <c r="A220" s="702"/>
      <c r="B220" s="69" t="s">
        <v>1137</v>
      </c>
      <c r="C220" s="69"/>
      <c r="D220" s="69"/>
      <c r="E220" s="30" t="s">
        <v>1270</v>
      </c>
      <c r="F220" s="196" t="s">
        <v>1269</v>
      </c>
      <c r="G220" s="30" t="s">
        <v>1269</v>
      </c>
      <c r="H220" s="30" t="s">
        <v>1683</v>
      </c>
      <c r="I220" s="30"/>
      <c r="J220" s="30" t="s">
        <v>1271</v>
      </c>
      <c r="K220" s="30" t="s">
        <v>1394</v>
      </c>
      <c r="L220" s="29" t="s">
        <v>18</v>
      </c>
      <c r="M220" s="69" t="s">
        <v>1528</v>
      </c>
      <c r="N220" s="73">
        <v>41614</v>
      </c>
      <c r="O220" s="32">
        <v>1036741131</v>
      </c>
      <c r="P220" s="32"/>
      <c r="Q220" s="32"/>
      <c r="R220" s="32"/>
      <c r="S220" s="32"/>
      <c r="T220" s="597"/>
      <c r="U220" s="597"/>
      <c r="V220" s="597"/>
      <c r="W220" s="597"/>
      <c r="X220" s="597"/>
      <c r="Y220" s="597"/>
      <c r="Z220" s="597"/>
      <c r="AA220" s="597"/>
      <c r="AB220" s="597"/>
      <c r="AC220" s="597"/>
      <c r="AD220" s="597"/>
      <c r="AE220" s="597"/>
      <c r="AF220" s="597"/>
      <c r="AG220" s="597"/>
      <c r="AH220" s="597"/>
      <c r="AI220" s="597"/>
      <c r="AJ220" s="73">
        <v>42086</v>
      </c>
      <c r="AK220" s="648"/>
      <c r="AL220" s="174"/>
      <c r="AM220" s="598"/>
      <c r="AN220" s="598"/>
      <c r="AO220" s="598"/>
      <c r="AP220" s="598"/>
      <c r="AQ220" s="598"/>
      <c r="AR220" s="598"/>
      <c r="AS220" s="598"/>
      <c r="AT220" s="598"/>
      <c r="AU220" s="598"/>
      <c r="AV220" s="598"/>
      <c r="AW220" s="598"/>
      <c r="AX220" s="598"/>
      <c r="AY220" s="598"/>
      <c r="AZ220" s="598"/>
      <c r="BA220" s="598"/>
      <c r="BB220" s="598"/>
      <c r="BC220" s="598"/>
      <c r="BD220" s="598"/>
      <c r="BE220" s="598"/>
      <c r="BF220" s="598"/>
      <c r="BG220" s="598"/>
      <c r="BH220" s="598"/>
      <c r="BI220" s="598"/>
      <c r="BJ220" s="598"/>
      <c r="BK220" s="598"/>
      <c r="BL220" s="598"/>
      <c r="BM220" s="598"/>
      <c r="BN220" s="598"/>
      <c r="BO220" s="598"/>
      <c r="BP220" s="598"/>
      <c r="BQ220" s="598"/>
      <c r="BR220" s="598"/>
      <c r="BS220" s="598"/>
      <c r="BT220" s="598"/>
      <c r="BU220" s="598"/>
      <c r="BV220" s="598"/>
      <c r="BW220" s="598"/>
      <c r="BX220" s="598"/>
      <c r="BY220" s="598"/>
      <c r="BZ220" s="598"/>
      <c r="CA220" s="598"/>
      <c r="CB220" s="598"/>
      <c r="CC220" s="598"/>
      <c r="CD220" s="598"/>
      <c r="CE220" s="598"/>
      <c r="CF220" s="598"/>
      <c r="CG220" s="598"/>
      <c r="CH220" s="598"/>
      <c r="CI220" s="598"/>
      <c r="CJ220" s="598"/>
      <c r="CK220" s="598"/>
      <c r="CL220" s="598"/>
      <c r="CM220" s="598"/>
      <c r="CN220" s="598"/>
      <c r="CO220" s="598"/>
      <c r="CP220" s="598"/>
      <c r="CQ220" s="598"/>
      <c r="CR220" s="598"/>
      <c r="CS220" s="598"/>
      <c r="CT220" s="598"/>
      <c r="CU220" s="598"/>
      <c r="CV220" s="598"/>
      <c r="CW220" s="598"/>
      <c r="CX220" s="598"/>
      <c r="CY220" s="598"/>
      <c r="CZ220" s="598"/>
      <c r="DA220" s="598"/>
      <c r="DB220" s="598"/>
      <c r="DC220" s="598"/>
      <c r="DD220" s="598"/>
      <c r="DE220" s="598"/>
      <c r="DF220" s="598"/>
      <c r="DG220" s="598"/>
      <c r="DH220" s="598"/>
      <c r="DI220" s="598"/>
      <c r="DJ220" s="598"/>
      <c r="DK220" s="598"/>
      <c r="DL220" s="598"/>
      <c r="DM220" s="598"/>
      <c r="DN220" s="598"/>
      <c r="DO220" s="598"/>
      <c r="DP220" s="598"/>
      <c r="DQ220" s="598"/>
      <c r="DR220" s="598"/>
      <c r="DS220" s="598"/>
      <c r="DT220" s="598"/>
      <c r="DU220" s="598"/>
      <c r="DV220" s="598"/>
      <c r="DW220" s="598"/>
      <c r="DX220" s="598"/>
      <c r="DY220" s="598"/>
      <c r="DZ220" s="598"/>
      <c r="EA220" s="598"/>
      <c r="EB220" s="598"/>
      <c r="EC220" s="598"/>
      <c r="ED220" s="598"/>
      <c r="EE220" s="598"/>
      <c r="EF220" s="598"/>
      <c r="EG220" s="598"/>
      <c r="EH220" s="598"/>
      <c r="EI220" s="598"/>
      <c r="EJ220" s="598"/>
      <c r="EK220" s="598"/>
      <c r="EL220" s="598"/>
      <c r="EM220" s="598"/>
      <c r="EN220" s="598"/>
      <c r="EO220" s="598"/>
      <c r="EP220" s="598"/>
      <c r="EQ220" s="598"/>
      <c r="ER220" s="598"/>
      <c r="ES220" s="598"/>
      <c r="ET220" s="598"/>
      <c r="EU220" s="598"/>
      <c r="EV220" s="598"/>
      <c r="EW220" s="598"/>
      <c r="EX220" s="598"/>
      <c r="EY220" s="598"/>
      <c r="EZ220" s="598"/>
      <c r="FA220" s="598"/>
      <c r="FB220" s="598"/>
      <c r="FC220" s="598"/>
      <c r="FD220" s="598"/>
      <c r="FE220" s="598"/>
      <c r="FF220" s="598"/>
      <c r="FG220" s="598"/>
      <c r="FH220" s="598"/>
      <c r="FI220" s="598"/>
      <c r="FJ220" s="598"/>
      <c r="FK220" s="598"/>
      <c r="FL220" s="598"/>
      <c r="FM220" s="598"/>
      <c r="FN220" s="598"/>
      <c r="FO220" s="598"/>
      <c r="FP220" s="598"/>
      <c r="FQ220" s="598"/>
      <c r="FR220" s="598"/>
      <c r="FS220" s="598"/>
      <c r="FT220" s="598"/>
      <c r="FU220" s="598"/>
      <c r="FV220" s="598"/>
      <c r="FW220" s="598"/>
      <c r="FX220" s="598"/>
      <c r="FY220" s="598"/>
      <c r="FZ220" s="598"/>
      <c r="GA220" s="598"/>
      <c r="GB220" s="598"/>
      <c r="GC220" s="598"/>
      <c r="GD220" s="598"/>
      <c r="GE220" s="598"/>
      <c r="GF220" s="598"/>
      <c r="GG220" s="598"/>
      <c r="GH220" s="598"/>
      <c r="GI220" s="598"/>
      <c r="GJ220" s="598"/>
      <c r="GK220" s="598"/>
      <c r="GL220" s="598"/>
      <c r="GM220" s="598"/>
      <c r="GN220" s="598"/>
      <c r="GO220" s="598"/>
      <c r="GP220" s="598"/>
      <c r="GQ220" s="598"/>
      <c r="GR220" s="598"/>
      <c r="GS220" s="598"/>
      <c r="GT220" s="598"/>
      <c r="GU220" s="598"/>
      <c r="GV220" s="598"/>
      <c r="GW220" s="598"/>
      <c r="GX220" s="598"/>
      <c r="GY220" s="598"/>
      <c r="GZ220" s="598"/>
      <c r="HA220" s="598"/>
      <c r="HB220" s="598"/>
      <c r="HC220" s="598"/>
      <c r="HD220" s="598"/>
      <c r="HE220" s="598"/>
      <c r="HF220" s="598"/>
      <c r="HG220" s="598"/>
      <c r="HH220" s="598"/>
      <c r="HI220" s="598"/>
      <c r="HJ220" s="598"/>
      <c r="HK220" s="598"/>
      <c r="HL220" s="598"/>
      <c r="HM220" s="598"/>
      <c r="HN220" s="598"/>
      <c r="HO220" s="598"/>
      <c r="HP220" s="598"/>
      <c r="HQ220" s="598"/>
      <c r="HR220" s="598"/>
      <c r="HS220" s="598"/>
      <c r="HT220" s="598"/>
      <c r="HU220" s="598"/>
      <c r="HV220" s="598"/>
      <c r="HW220" s="598"/>
      <c r="HX220" s="598"/>
      <c r="HY220" s="598"/>
      <c r="HZ220" s="598"/>
      <c r="IA220" s="598"/>
      <c r="IB220" s="598"/>
      <c r="IC220" s="598"/>
      <c r="ID220" s="598"/>
      <c r="IE220" s="598"/>
      <c r="IF220" s="598"/>
      <c r="IG220" s="598"/>
      <c r="IH220" s="598"/>
      <c r="II220" s="598"/>
      <c r="IJ220" s="598"/>
      <c r="IK220" s="598"/>
      <c r="IL220" s="598"/>
      <c r="IM220" s="598"/>
      <c r="IN220" s="598"/>
      <c r="IO220" s="598"/>
      <c r="IP220" s="598"/>
      <c r="IQ220" s="598"/>
      <c r="IR220" s="598"/>
      <c r="IS220" s="598"/>
      <c r="IT220" s="598"/>
      <c r="IU220" s="598"/>
      <c r="IV220" s="598"/>
      <c r="IW220" s="598"/>
      <c r="IX220" s="598"/>
      <c r="IY220" s="598"/>
      <c r="IZ220" s="598"/>
      <c r="JA220" s="598"/>
      <c r="JB220" s="598"/>
      <c r="JC220" s="598"/>
      <c r="JD220" s="598"/>
      <c r="JE220" s="598"/>
      <c r="JF220" s="598"/>
      <c r="JG220" s="598"/>
      <c r="JH220" s="598"/>
      <c r="JI220" s="598"/>
      <c r="JJ220" s="598"/>
      <c r="JK220" s="598"/>
      <c r="JL220" s="598"/>
      <c r="JM220" s="598"/>
      <c r="JN220" s="598"/>
      <c r="JO220" s="598"/>
      <c r="JP220" s="598"/>
      <c r="JQ220" s="598"/>
      <c r="JR220" s="598"/>
      <c r="JS220" s="598"/>
      <c r="JT220" s="598"/>
      <c r="JU220" s="598"/>
      <c r="JV220" s="598"/>
    </row>
    <row r="221" spans="1:282" s="21" customFormat="1" ht="50.1" customHeight="1" x14ac:dyDescent="0.2">
      <c r="A221" s="702"/>
      <c r="B221" s="69" t="s">
        <v>1137</v>
      </c>
      <c r="C221" s="69"/>
      <c r="D221" s="69"/>
      <c r="E221" s="68" t="s">
        <v>1893</v>
      </c>
      <c r="F221" s="750" t="s">
        <v>1899</v>
      </c>
      <c r="G221" s="68" t="s">
        <v>1894</v>
      </c>
      <c r="H221" s="29" t="s">
        <v>1806</v>
      </c>
      <c r="I221" s="29"/>
      <c r="J221" s="69" t="s">
        <v>981</v>
      </c>
      <c r="K221" s="69" t="s">
        <v>1394</v>
      </c>
      <c r="L221" s="29" t="s">
        <v>685</v>
      </c>
      <c r="M221" s="43" t="s">
        <v>1615</v>
      </c>
      <c r="N221" s="74">
        <v>41801</v>
      </c>
      <c r="O221" s="69" t="s">
        <v>1897</v>
      </c>
      <c r="P221" s="69"/>
      <c r="Q221" s="69"/>
      <c r="R221" s="69"/>
      <c r="S221" s="69"/>
      <c r="T221" s="597"/>
      <c r="U221" s="597"/>
      <c r="V221" s="597"/>
      <c r="W221" s="597"/>
      <c r="X221" s="597"/>
      <c r="Y221" s="597"/>
      <c r="Z221" s="597"/>
      <c r="AA221" s="597"/>
      <c r="AB221" s="597"/>
      <c r="AC221" s="597"/>
      <c r="AD221" s="597"/>
      <c r="AE221" s="597"/>
      <c r="AF221" s="597"/>
      <c r="AG221" s="597"/>
      <c r="AH221" s="597"/>
      <c r="AI221" s="597"/>
      <c r="AJ221" s="73">
        <v>42086</v>
      </c>
      <c r="AK221" s="648"/>
      <c r="AL221" s="601"/>
      <c r="AM221" s="598"/>
      <c r="AN221" s="598"/>
      <c r="AO221" s="598"/>
      <c r="AP221" s="598"/>
      <c r="AQ221" s="598"/>
      <c r="AR221" s="598"/>
      <c r="AS221" s="598"/>
      <c r="AT221" s="598"/>
      <c r="AU221" s="598"/>
      <c r="AV221" s="598"/>
      <c r="AW221" s="598"/>
      <c r="AX221" s="598"/>
      <c r="AY221" s="598"/>
      <c r="AZ221" s="598"/>
      <c r="BA221" s="598"/>
      <c r="BB221" s="598"/>
      <c r="BC221" s="598"/>
      <c r="BD221" s="598"/>
      <c r="BE221" s="598"/>
      <c r="BF221" s="598"/>
      <c r="BG221" s="598"/>
      <c r="BH221" s="598"/>
      <c r="BI221" s="598"/>
      <c r="BJ221" s="598"/>
      <c r="BK221" s="598"/>
      <c r="BL221" s="598"/>
      <c r="BM221" s="598"/>
      <c r="BN221" s="598"/>
      <c r="BO221" s="598"/>
      <c r="BP221" s="598"/>
      <c r="BQ221" s="598"/>
      <c r="BR221" s="598"/>
      <c r="BS221" s="598"/>
      <c r="BT221" s="598"/>
      <c r="BU221" s="598"/>
      <c r="BV221" s="598"/>
      <c r="BW221" s="598"/>
      <c r="BX221" s="598"/>
      <c r="BY221" s="598"/>
      <c r="BZ221" s="598"/>
      <c r="CA221" s="598"/>
      <c r="CB221" s="598"/>
      <c r="CC221" s="598"/>
      <c r="CD221" s="598"/>
      <c r="CE221" s="598"/>
      <c r="CF221" s="598"/>
      <c r="CG221" s="598"/>
      <c r="CH221" s="598"/>
      <c r="CI221" s="598"/>
      <c r="CJ221" s="598"/>
      <c r="CK221" s="598"/>
      <c r="CL221" s="598"/>
      <c r="CM221" s="598"/>
      <c r="CN221" s="598"/>
      <c r="CO221" s="598"/>
      <c r="CP221" s="598"/>
      <c r="CQ221" s="598"/>
      <c r="CR221" s="598"/>
      <c r="CS221" s="598"/>
      <c r="CT221" s="598"/>
      <c r="CU221" s="598"/>
      <c r="CV221" s="598"/>
      <c r="CW221" s="598"/>
      <c r="CX221" s="598"/>
      <c r="CY221" s="598"/>
      <c r="CZ221" s="598"/>
      <c r="DA221" s="598"/>
      <c r="DB221" s="598"/>
      <c r="DC221" s="598"/>
      <c r="DD221" s="598"/>
      <c r="DE221" s="598"/>
      <c r="DF221" s="598"/>
      <c r="DG221" s="598"/>
      <c r="DH221" s="598"/>
      <c r="DI221" s="598"/>
      <c r="DJ221" s="598"/>
      <c r="DK221" s="598"/>
      <c r="DL221" s="598"/>
      <c r="DM221" s="598"/>
      <c r="DN221" s="598"/>
      <c r="DO221" s="598"/>
      <c r="DP221" s="598"/>
      <c r="DQ221" s="598"/>
      <c r="DR221" s="598"/>
      <c r="DS221" s="598"/>
      <c r="DT221" s="598"/>
      <c r="DU221" s="598"/>
      <c r="DV221" s="598"/>
      <c r="DW221" s="598"/>
      <c r="DX221" s="598"/>
      <c r="DY221" s="598"/>
      <c r="DZ221" s="598"/>
      <c r="EA221" s="598"/>
      <c r="EB221" s="598"/>
      <c r="EC221" s="598"/>
      <c r="ED221" s="598"/>
      <c r="EE221" s="598"/>
      <c r="EF221" s="598"/>
      <c r="EG221" s="598"/>
      <c r="EH221" s="598"/>
      <c r="EI221" s="598"/>
      <c r="EJ221" s="598"/>
      <c r="EK221" s="598"/>
      <c r="EL221" s="598"/>
      <c r="EM221" s="598"/>
      <c r="EN221" s="598"/>
      <c r="EO221" s="598"/>
      <c r="EP221" s="598"/>
      <c r="EQ221" s="598"/>
      <c r="ER221" s="598"/>
      <c r="ES221" s="598"/>
      <c r="ET221" s="598"/>
      <c r="EU221" s="598"/>
      <c r="EV221" s="598"/>
      <c r="EW221" s="598"/>
      <c r="EX221" s="598"/>
      <c r="EY221" s="598"/>
      <c r="EZ221" s="598"/>
      <c r="FA221" s="598"/>
      <c r="FB221" s="598"/>
      <c r="FC221" s="598"/>
      <c r="FD221" s="598"/>
      <c r="FE221" s="598"/>
      <c r="FF221" s="598"/>
      <c r="FG221" s="598"/>
      <c r="FH221" s="598"/>
      <c r="FI221" s="598"/>
      <c r="FJ221" s="598"/>
      <c r="FK221" s="598"/>
      <c r="FL221" s="598"/>
      <c r="FM221" s="598"/>
      <c r="FN221" s="598"/>
      <c r="FO221" s="598"/>
      <c r="FP221" s="598"/>
      <c r="FQ221" s="598"/>
      <c r="FR221" s="598"/>
      <c r="FS221" s="598"/>
      <c r="FT221" s="598"/>
      <c r="FU221" s="598"/>
      <c r="FV221" s="598"/>
      <c r="FW221" s="598"/>
      <c r="FX221" s="598"/>
      <c r="FY221" s="598"/>
      <c r="FZ221" s="598"/>
      <c r="GA221" s="598"/>
      <c r="GB221" s="598"/>
      <c r="GC221" s="598"/>
      <c r="GD221" s="598"/>
      <c r="GE221" s="598"/>
      <c r="GF221" s="598"/>
      <c r="GG221" s="598"/>
      <c r="GH221" s="598"/>
      <c r="GI221" s="598"/>
      <c r="GJ221" s="598"/>
      <c r="GK221" s="598"/>
      <c r="GL221" s="598"/>
      <c r="GM221" s="598"/>
      <c r="GN221" s="598"/>
      <c r="GO221" s="598"/>
      <c r="GP221" s="598"/>
      <c r="GQ221" s="598"/>
      <c r="GR221" s="598"/>
      <c r="GS221" s="598"/>
      <c r="GT221" s="598"/>
      <c r="GU221" s="598"/>
      <c r="GV221" s="598"/>
      <c r="GW221" s="598"/>
      <c r="GX221" s="598"/>
      <c r="GY221" s="598"/>
      <c r="GZ221" s="598"/>
      <c r="HA221" s="598"/>
      <c r="HB221" s="598"/>
      <c r="HC221" s="598"/>
      <c r="HD221" s="598"/>
      <c r="HE221" s="598"/>
      <c r="HF221" s="598"/>
      <c r="HG221" s="598"/>
      <c r="HH221" s="598"/>
      <c r="HI221" s="598"/>
      <c r="HJ221" s="598"/>
      <c r="HK221" s="598"/>
      <c r="HL221" s="598"/>
      <c r="HM221" s="598"/>
      <c r="HN221" s="598"/>
      <c r="HO221" s="598"/>
      <c r="HP221" s="598"/>
      <c r="HQ221" s="598"/>
      <c r="HR221" s="598"/>
      <c r="HS221" s="598"/>
      <c r="HT221" s="598"/>
      <c r="HU221" s="598"/>
      <c r="HV221" s="598"/>
      <c r="HW221" s="598"/>
      <c r="HX221" s="598"/>
      <c r="HY221" s="598"/>
      <c r="HZ221" s="598"/>
      <c r="IA221" s="598"/>
      <c r="IB221" s="598"/>
      <c r="IC221" s="598"/>
      <c r="ID221" s="598"/>
      <c r="IE221" s="598"/>
      <c r="IF221" s="598"/>
      <c r="IG221" s="598"/>
      <c r="IH221" s="598"/>
      <c r="II221" s="598"/>
      <c r="IJ221" s="598"/>
      <c r="IK221" s="598"/>
      <c r="IL221" s="598"/>
      <c r="IM221" s="598"/>
      <c r="IN221" s="598"/>
      <c r="IO221" s="598"/>
      <c r="IP221" s="598"/>
      <c r="IQ221" s="598"/>
      <c r="IR221" s="598"/>
      <c r="IS221" s="598"/>
      <c r="IT221" s="598"/>
      <c r="IU221" s="598"/>
      <c r="IV221" s="598"/>
      <c r="IW221" s="598"/>
      <c r="IX221" s="598"/>
      <c r="IY221" s="598"/>
      <c r="IZ221" s="598"/>
      <c r="JA221" s="598"/>
      <c r="JB221" s="598"/>
      <c r="JC221" s="598"/>
      <c r="JD221" s="598"/>
      <c r="JE221" s="598"/>
      <c r="JF221" s="598"/>
      <c r="JG221" s="598"/>
      <c r="JH221" s="598"/>
      <c r="JI221" s="598"/>
      <c r="JJ221" s="598"/>
      <c r="JK221" s="598"/>
      <c r="JL221" s="598"/>
      <c r="JM221" s="598"/>
      <c r="JN221" s="598"/>
      <c r="JO221" s="598"/>
      <c r="JP221" s="598"/>
      <c r="JQ221" s="598"/>
      <c r="JR221" s="598"/>
      <c r="JS221" s="598"/>
      <c r="JT221" s="598"/>
      <c r="JU221" s="598"/>
      <c r="JV221" s="598"/>
    </row>
    <row r="222" spans="1:282" s="21" customFormat="1" ht="50.1" customHeight="1" x14ac:dyDescent="0.2">
      <c r="A222" s="702"/>
      <c r="B222" s="69" t="s">
        <v>1137</v>
      </c>
      <c r="C222" s="69"/>
      <c r="D222" s="69"/>
      <c r="E222" s="69" t="s">
        <v>1591</v>
      </c>
      <c r="F222" s="104" t="s">
        <v>59</v>
      </c>
      <c r="G222" s="29" t="s">
        <v>52</v>
      </c>
      <c r="H222" s="29" t="s">
        <v>95</v>
      </c>
      <c r="I222" s="29"/>
      <c r="J222" s="69" t="s">
        <v>50</v>
      </c>
      <c r="K222" s="29" t="s">
        <v>1393</v>
      </c>
      <c r="L222" s="29" t="s">
        <v>63</v>
      </c>
      <c r="M222" s="29" t="s">
        <v>2445</v>
      </c>
      <c r="N222" s="74">
        <v>39871</v>
      </c>
      <c r="O222" s="69" t="s">
        <v>375</v>
      </c>
      <c r="P222" s="69"/>
      <c r="Q222" s="69"/>
      <c r="R222" s="69"/>
      <c r="S222" s="69"/>
      <c r="T222" s="597"/>
      <c r="U222" s="597"/>
      <c r="V222" s="597"/>
      <c r="W222" s="597"/>
      <c r="X222" s="597"/>
      <c r="Y222" s="597"/>
      <c r="Z222" s="597"/>
      <c r="AA222" s="597"/>
      <c r="AB222" s="597"/>
      <c r="AC222" s="597"/>
      <c r="AD222" s="597"/>
      <c r="AE222" s="597"/>
      <c r="AF222" s="597"/>
      <c r="AG222" s="597"/>
      <c r="AH222" s="597"/>
      <c r="AI222" s="597"/>
      <c r="AJ222" s="73">
        <v>42107</v>
      </c>
      <c r="AK222" s="651"/>
      <c r="AL222" s="175"/>
      <c r="AM222" s="598"/>
      <c r="AN222" s="598"/>
      <c r="AO222" s="598"/>
      <c r="AP222" s="598"/>
      <c r="AQ222" s="598"/>
      <c r="AR222" s="598"/>
      <c r="AS222" s="598"/>
      <c r="AT222" s="598"/>
      <c r="AU222" s="598"/>
      <c r="AV222" s="598"/>
      <c r="AW222" s="598"/>
      <c r="AX222" s="598"/>
      <c r="AY222" s="598"/>
      <c r="AZ222" s="598"/>
      <c r="BA222" s="598"/>
      <c r="BB222" s="598"/>
      <c r="BC222" s="598"/>
      <c r="BD222" s="598"/>
      <c r="BE222" s="598"/>
      <c r="BF222" s="598"/>
      <c r="BG222" s="598"/>
      <c r="BH222" s="598"/>
      <c r="BI222" s="598"/>
      <c r="BJ222" s="598"/>
      <c r="BK222" s="598"/>
      <c r="BL222" s="598"/>
      <c r="BM222" s="598"/>
      <c r="BN222" s="598"/>
      <c r="BO222" s="598"/>
      <c r="BP222" s="598"/>
      <c r="BQ222" s="598"/>
      <c r="BR222" s="598"/>
      <c r="BS222" s="598"/>
      <c r="BT222" s="598"/>
      <c r="BU222" s="598"/>
      <c r="BV222" s="598"/>
      <c r="BW222" s="598"/>
      <c r="BX222" s="598"/>
      <c r="BY222" s="598"/>
      <c r="BZ222" s="598"/>
      <c r="CA222" s="598"/>
      <c r="CB222" s="598"/>
      <c r="CC222" s="598"/>
      <c r="CD222" s="598"/>
      <c r="CE222" s="598"/>
      <c r="CF222" s="598"/>
      <c r="CG222" s="598"/>
      <c r="CH222" s="598"/>
      <c r="CI222" s="598"/>
      <c r="CJ222" s="598"/>
      <c r="CK222" s="598"/>
      <c r="CL222" s="598"/>
      <c r="CM222" s="598"/>
      <c r="CN222" s="598"/>
      <c r="CO222" s="598"/>
      <c r="CP222" s="598"/>
      <c r="CQ222" s="598"/>
      <c r="CR222" s="598"/>
      <c r="CS222" s="598"/>
      <c r="CT222" s="598"/>
      <c r="CU222" s="598"/>
      <c r="CV222" s="598"/>
      <c r="CW222" s="598"/>
      <c r="CX222" s="598"/>
      <c r="CY222" s="598"/>
      <c r="CZ222" s="598"/>
      <c r="DA222" s="598"/>
      <c r="DB222" s="598"/>
      <c r="DC222" s="598"/>
      <c r="DD222" s="598"/>
      <c r="DE222" s="598"/>
      <c r="DF222" s="598"/>
      <c r="DG222" s="598"/>
      <c r="DH222" s="598"/>
      <c r="DI222" s="598"/>
      <c r="DJ222" s="598"/>
      <c r="DK222" s="598"/>
      <c r="DL222" s="598"/>
      <c r="DM222" s="598"/>
      <c r="DN222" s="598"/>
      <c r="DO222" s="598"/>
      <c r="DP222" s="598"/>
      <c r="DQ222" s="598"/>
      <c r="DR222" s="598"/>
      <c r="DS222" s="598"/>
      <c r="DT222" s="598"/>
      <c r="DU222" s="598"/>
      <c r="DV222" s="598"/>
      <c r="DW222" s="598"/>
      <c r="DX222" s="598"/>
      <c r="DY222" s="598"/>
      <c r="DZ222" s="598"/>
      <c r="EA222" s="598"/>
      <c r="EB222" s="598"/>
      <c r="EC222" s="598"/>
      <c r="ED222" s="598"/>
      <c r="EE222" s="598"/>
      <c r="EF222" s="598"/>
      <c r="EG222" s="598"/>
      <c r="EH222" s="598"/>
      <c r="EI222" s="598"/>
      <c r="EJ222" s="598"/>
      <c r="EK222" s="598"/>
      <c r="EL222" s="598"/>
      <c r="EM222" s="598"/>
      <c r="EN222" s="598"/>
      <c r="EO222" s="598"/>
      <c r="EP222" s="598"/>
      <c r="EQ222" s="598"/>
      <c r="ER222" s="598"/>
      <c r="ES222" s="598"/>
      <c r="ET222" s="598"/>
      <c r="EU222" s="598"/>
      <c r="EV222" s="598"/>
      <c r="EW222" s="598"/>
      <c r="EX222" s="598"/>
      <c r="EY222" s="598"/>
      <c r="EZ222" s="598"/>
      <c r="FA222" s="598"/>
      <c r="FB222" s="598"/>
      <c r="FC222" s="598"/>
      <c r="FD222" s="598"/>
      <c r="FE222" s="598"/>
      <c r="FF222" s="598"/>
      <c r="FG222" s="598"/>
      <c r="FH222" s="598"/>
      <c r="FI222" s="598"/>
      <c r="FJ222" s="598"/>
      <c r="FK222" s="598"/>
      <c r="FL222" s="598"/>
      <c r="FM222" s="598"/>
      <c r="FN222" s="598"/>
      <c r="FO222" s="598"/>
      <c r="FP222" s="598"/>
      <c r="FQ222" s="598"/>
      <c r="FR222" s="598"/>
      <c r="FS222" s="598"/>
      <c r="FT222" s="598"/>
      <c r="FU222" s="598"/>
      <c r="FV222" s="598"/>
      <c r="FW222" s="598"/>
      <c r="FX222" s="598"/>
      <c r="FY222" s="598"/>
      <c r="FZ222" s="598"/>
      <c r="GA222" s="598"/>
      <c r="GB222" s="598"/>
      <c r="GC222" s="598"/>
      <c r="GD222" s="598"/>
      <c r="GE222" s="598"/>
      <c r="GF222" s="598"/>
      <c r="GG222" s="598"/>
      <c r="GH222" s="598"/>
      <c r="GI222" s="598"/>
      <c r="GJ222" s="598"/>
      <c r="GK222" s="598"/>
      <c r="GL222" s="598"/>
      <c r="GM222" s="598"/>
      <c r="GN222" s="598"/>
      <c r="GO222" s="598"/>
      <c r="GP222" s="598"/>
      <c r="GQ222" s="598"/>
      <c r="GR222" s="598"/>
      <c r="GS222" s="598"/>
      <c r="GT222" s="598"/>
      <c r="GU222" s="598"/>
      <c r="GV222" s="598"/>
      <c r="GW222" s="598"/>
      <c r="GX222" s="598"/>
      <c r="GY222" s="598"/>
      <c r="GZ222" s="598"/>
      <c r="HA222" s="598"/>
      <c r="HB222" s="598"/>
      <c r="HC222" s="598"/>
      <c r="HD222" s="598"/>
      <c r="HE222" s="598"/>
      <c r="HF222" s="598"/>
      <c r="HG222" s="598"/>
      <c r="HH222" s="598"/>
      <c r="HI222" s="598"/>
      <c r="HJ222" s="598"/>
      <c r="HK222" s="598"/>
      <c r="HL222" s="598"/>
      <c r="HM222" s="598"/>
      <c r="HN222" s="598"/>
      <c r="HO222" s="598"/>
      <c r="HP222" s="598"/>
      <c r="HQ222" s="598"/>
      <c r="HR222" s="598"/>
      <c r="HS222" s="598"/>
      <c r="HT222" s="598"/>
      <c r="HU222" s="598"/>
      <c r="HV222" s="598"/>
      <c r="HW222" s="598"/>
      <c r="HX222" s="598"/>
      <c r="HY222" s="598"/>
      <c r="HZ222" s="598"/>
      <c r="IA222" s="598"/>
      <c r="IB222" s="598"/>
      <c r="IC222" s="598"/>
      <c r="ID222" s="598"/>
      <c r="IE222" s="598"/>
      <c r="IF222" s="598"/>
      <c r="IG222" s="598"/>
      <c r="IH222" s="598"/>
      <c r="II222" s="598"/>
      <c r="IJ222" s="598"/>
      <c r="IK222" s="598"/>
      <c r="IL222" s="598"/>
      <c r="IM222" s="598"/>
      <c r="IN222" s="598"/>
      <c r="IO222" s="598"/>
      <c r="IP222" s="598"/>
      <c r="IQ222" s="598"/>
      <c r="IR222" s="598"/>
      <c r="IS222" s="598"/>
      <c r="IT222" s="598"/>
      <c r="IU222" s="598"/>
      <c r="IV222" s="598"/>
      <c r="IW222" s="598"/>
      <c r="IX222" s="598"/>
      <c r="IY222" s="598"/>
      <c r="IZ222" s="598"/>
      <c r="JA222" s="598"/>
      <c r="JB222" s="598"/>
      <c r="JC222" s="598"/>
      <c r="JD222" s="598"/>
      <c r="JE222" s="598"/>
      <c r="JF222" s="598"/>
      <c r="JG222" s="598"/>
      <c r="JH222" s="598"/>
      <c r="JI222" s="598"/>
      <c r="JJ222" s="598"/>
      <c r="JK222" s="598"/>
      <c r="JL222" s="598"/>
      <c r="JM222" s="598"/>
      <c r="JN222" s="598"/>
      <c r="JO222" s="598"/>
      <c r="JP222" s="598"/>
      <c r="JQ222" s="598"/>
      <c r="JR222" s="598"/>
      <c r="JS222" s="598"/>
      <c r="JT222" s="598"/>
      <c r="JU222" s="598"/>
      <c r="JV222" s="598"/>
    </row>
    <row r="223" spans="1:282" s="3" customFormat="1" ht="50.1" customHeight="1" x14ac:dyDescent="0.2">
      <c r="A223" s="693"/>
      <c r="B223" s="69" t="s">
        <v>1137</v>
      </c>
      <c r="C223" s="69"/>
      <c r="D223" s="69"/>
      <c r="E223" s="30" t="s">
        <v>1826</v>
      </c>
      <c r="F223" s="196" t="s">
        <v>1827</v>
      </c>
      <c r="G223" s="30" t="s">
        <v>76</v>
      </c>
      <c r="H223" s="30" t="s">
        <v>1806</v>
      </c>
      <c r="I223" s="30"/>
      <c r="J223" s="30" t="s">
        <v>1828</v>
      </c>
      <c r="K223" s="30" t="s">
        <v>1393</v>
      </c>
      <c r="L223" s="30" t="s">
        <v>70</v>
      </c>
      <c r="M223" s="29" t="s">
        <v>1615</v>
      </c>
      <c r="N223" s="74">
        <v>41831</v>
      </c>
      <c r="O223" s="32" t="s">
        <v>1829</v>
      </c>
      <c r="P223" s="32"/>
      <c r="Q223" s="32"/>
      <c r="R223" s="32"/>
      <c r="S223" s="32"/>
      <c r="T223" s="174"/>
      <c r="U223" s="174"/>
      <c r="V223" s="174"/>
      <c r="W223" s="174"/>
      <c r="X223" s="174"/>
      <c r="Y223" s="174"/>
      <c r="Z223" s="174"/>
      <c r="AA223" s="174"/>
      <c r="AB223" s="174"/>
      <c r="AC223" s="174"/>
      <c r="AD223" s="174"/>
      <c r="AE223" s="174"/>
      <c r="AF223" s="174"/>
      <c r="AG223" s="174"/>
      <c r="AH223" s="174"/>
      <c r="AI223" s="174"/>
      <c r="AJ223" s="73">
        <v>42128</v>
      </c>
      <c r="AK223" s="755" t="s">
        <v>1418</v>
      </c>
      <c r="AL223" s="607"/>
      <c r="AM223" s="587"/>
      <c r="AN223" s="587"/>
      <c r="AO223" s="587"/>
      <c r="AP223" s="587"/>
      <c r="AQ223" s="587"/>
      <c r="AR223" s="587"/>
      <c r="AS223" s="587"/>
      <c r="AT223" s="587"/>
      <c r="AU223" s="587"/>
      <c r="AV223" s="587"/>
      <c r="AW223" s="587"/>
      <c r="AX223" s="587"/>
      <c r="AY223" s="587"/>
      <c r="AZ223" s="587"/>
      <c r="BA223" s="587"/>
      <c r="BB223" s="587"/>
      <c r="BC223" s="587"/>
      <c r="BD223" s="587"/>
      <c r="BE223" s="587"/>
      <c r="BF223" s="587"/>
      <c r="BG223" s="587"/>
      <c r="BH223" s="587"/>
      <c r="BI223" s="587"/>
      <c r="BJ223" s="587"/>
      <c r="BK223" s="587"/>
      <c r="BL223" s="587"/>
      <c r="BM223" s="587"/>
      <c r="BN223" s="587"/>
      <c r="BO223" s="587"/>
      <c r="BP223" s="587"/>
      <c r="BQ223" s="587"/>
      <c r="BR223" s="587"/>
      <c r="BS223" s="587"/>
      <c r="BT223" s="587"/>
      <c r="BU223" s="587"/>
      <c r="BV223" s="587"/>
      <c r="BW223" s="587"/>
      <c r="BX223" s="587"/>
      <c r="BY223" s="587"/>
      <c r="BZ223" s="587"/>
      <c r="CA223" s="587"/>
      <c r="CB223" s="587"/>
      <c r="CC223" s="587"/>
      <c r="CD223" s="587"/>
      <c r="CE223" s="587"/>
      <c r="CF223" s="587"/>
      <c r="CG223" s="587"/>
      <c r="CH223" s="587"/>
      <c r="CI223" s="587"/>
      <c r="CJ223" s="587"/>
      <c r="CK223" s="587"/>
      <c r="CL223" s="587"/>
      <c r="CM223" s="587"/>
      <c r="CN223" s="587"/>
      <c r="CO223" s="587"/>
      <c r="CP223" s="587"/>
      <c r="CQ223" s="587"/>
      <c r="CR223" s="587"/>
      <c r="CS223" s="587"/>
      <c r="CT223" s="587"/>
      <c r="CU223" s="587"/>
      <c r="CV223" s="587"/>
      <c r="CW223" s="587"/>
      <c r="CX223" s="587"/>
      <c r="CY223" s="587"/>
      <c r="CZ223" s="587"/>
      <c r="DA223" s="587"/>
      <c r="DB223" s="587"/>
      <c r="DC223" s="587"/>
      <c r="DD223" s="587"/>
      <c r="DE223" s="587"/>
      <c r="DF223" s="587"/>
      <c r="DG223" s="587"/>
      <c r="DH223" s="587"/>
      <c r="DI223" s="587"/>
      <c r="DJ223" s="587"/>
      <c r="DK223" s="587"/>
      <c r="DL223" s="587"/>
      <c r="DM223" s="587"/>
      <c r="DN223" s="587"/>
      <c r="DO223" s="587"/>
      <c r="DP223" s="587"/>
      <c r="DQ223" s="587"/>
      <c r="DR223" s="587"/>
      <c r="DS223" s="587"/>
      <c r="DT223" s="587"/>
      <c r="DU223" s="587"/>
      <c r="DV223" s="587"/>
      <c r="DW223" s="587"/>
      <c r="DX223" s="587"/>
      <c r="DY223" s="587"/>
      <c r="DZ223" s="587"/>
      <c r="EA223" s="587"/>
      <c r="EB223" s="587"/>
      <c r="EC223" s="587"/>
      <c r="ED223" s="587"/>
      <c r="EE223" s="587"/>
      <c r="EF223" s="587"/>
      <c r="EG223" s="587"/>
      <c r="EH223" s="587"/>
      <c r="EI223" s="587"/>
      <c r="EJ223" s="587"/>
      <c r="EK223" s="587"/>
      <c r="EL223" s="587"/>
      <c r="EM223" s="587"/>
      <c r="EN223" s="587"/>
      <c r="EO223" s="587"/>
      <c r="EP223" s="587"/>
      <c r="EQ223" s="587"/>
      <c r="ER223" s="587"/>
      <c r="ES223" s="587"/>
      <c r="ET223" s="587"/>
      <c r="EU223" s="587"/>
      <c r="EV223" s="587"/>
      <c r="EW223" s="587"/>
      <c r="EX223" s="587"/>
      <c r="EY223" s="587"/>
      <c r="EZ223" s="587"/>
      <c r="FA223" s="587"/>
      <c r="FB223" s="587"/>
      <c r="FC223" s="587"/>
      <c r="FD223" s="587"/>
      <c r="FE223" s="587"/>
      <c r="FF223" s="587"/>
      <c r="FG223" s="587"/>
      <c r="FH223" s="587"/>
      <c r="FI223" s="587"/>
      <c r="FJ223" s="587"/>
      <c r="FK223" s="587"/>
      <c r="FL223" s="587"/>
      <c r="FM223" s="587"/>
      <c r="FN223" s="587"/>
      <c r="FO223" s="587"/>
      <c r="FP223" s="587"/>
      <c r="FQ223" s="587"/>
      <c r="FR223" s="587"/>
      <c r="FS223" s="587"/>
      <c r="FT223" s="587"/>
      <c r="FU223" s="587"/>
      <c r="FV223" s="587"/>
      <c r="FW223" s="587"/>
      <c r="FX223" s="587"/>
      <c r="FY223" s="587"/>
      <c r="FZ223" s="587"/>
      <c r="GA223" s="587"/>
      <c r="GB223" s="587"/>
      <c r="GC223" s="587"/>
      <c r="GD223" s="587"/>
      <c r="GE223" s="587"/>
      <c r="GF223" s="587"/>
      <c r="GG223" s="587"/>
      <c r="GH223" s="587"/>
      <c r="GI223" s="587"/>
      <c r="GJ223" s="587"/>
      <c r="GK223" s="587"/>
      <c r="GL223" s="587"/>
      <c r="GM223" s="587"/>
      <c r="GN223" s="587"/>
      <c r="GO223" s="587"/>
      <c r="GP223" s="587"/>
      <c r="GQ223" s="587"/>
      <c r="GR223" s="587"/>
      <c r="GS223" s="587"/>
      <c r="GT223" s="587"/>
      <c r="GU223" s="587"/>
      <c r="GV223" s="587"/>
      <c r="GW223" s="587"/>
      <c r="GX223" s="587"/>
      <c r="GY223" s="587"/>
      <c r="GZ223" s="587"/>
      <c r="HA223" s="587"/>
      <c r="HB223" s="587"/>
      <c r="HC223" s="587"/>
      <c r="HD223" s="587"/>
      <c r="HE223" s="587"/>
      <c r="HF223" s="587"/>
      <c r="HG223" s="587"/>
      <c r="HH223" s="587"/>
      <c r="HI223" s="587"/>
      <c r="HJ223" s="587"/>
      <c r="HK223" s="587"/>
      <c r="HL223" s="587"/>
      <c r="HM223" s="587"/>
      <c r="HN223" s="587"/>
      <c r="HO223" s="587"/>
      <c r="HP223" s="587"/>
      <c r="HQ223" s="587"/>
      <c r="HR223" s="587"/>
      <c r="HS223" s="587"/>
      <c r="HT223" s="587"/>
      <c r="HU223" s="587"/>
      <c r="HV223" s="587"/>
      <c r="HW223" s="587"/>
      <c r="HX223" s="587"/>
      <c r="HY223" s="587"/>
      <c r="HZ223" s="587"/>
      <c r="IA223" s="587"/>
      <c r="IB223" s="587"/>
      <c r="IC223" s="587"/>
      <c r="ID223" s="587"/>
      <c r="IE223" s="587"/>
      <c r="IF223" s="587"/>
      <c r="IG223" s="587"/>
      <c r="IH223" s="587"/>
      <c r="II223" s="587"/>
      <c r="IJ223" s="587"/>
      <c r="IK223" s="587"/>
      <c r="IL223" s="587"/>
      <c r="IM223" s="587"/>
      <c r="IN223" s="587"/>
      <c r="IO223" s="587"/>
      <c r="IP223" s="587"/>
      <c r="IQ223" s="587"/>
      <c r="IR223" s="587"/>
      <c r="IS223" s="587"/>
      <c r="IT223" s="587"/>
      <c r="IU223" s="587"/>
      <c r="IV223" s="587"/>
      <c r="IW223" s="587"/>
      <c r="IX223" s="587"/>
      <c r="IY223" s="587"/>
      <c r="IZ223" s="587"/>
      <c r="JA223" s="587"/>
      <c r="JB223" s="587"/>
      <c r="JC223" s="587"/>
      <c r="JD223" s="587"/>
      <c r="JE223" s="587"/>
      <c r="JF223" s="587"/>
      <c r="JG223" s="587"/>
      <c r="JH223" s="587"/>
      <c r="JI223" s="587"/>
      <c r="JJ223" s="587"/>
      <c r="JK223" s="587"/>
      <c r="JL223" s="587"/>
      <c r="JM223" s="587"/>
      <c r="JN223" s="587"/>
      <c r="JO223" s="587"/>
      <c r="JP223" s="587"/>
      <c r="JQ223" s="587"/>
      <c r="JR223" s="587"/>
      <c r="JS223" s="587"/>
      <c r="JT223" s="587"/>
      <c r="JU223" s="587"/>
      <c r="JV223" s="587"/>
    </row>
    <row r="224" spans="1:282" ht="50.1" customHeight="1" x14ac:dyDescent="0.2">
      <c r="A224" s="298"/>
      <c r="B224" s="68" t="s">
        <v>584</v>
      </c>
      <c r="C224" s="68"/>
      <c r="D224" s="68"/>
      <c r="E224" s="30" t="s">
        <v>616</v>
      </c>
      <c r="F224" s="196" t="s">
        <v>597</v>
      </c>
      <c r="G224" s="29" t="s">
        <v>1371</v>
      </c>
      <c r="H224" s="29" t="s">
        <v>1674</v>
      </c>
      <c r="I224" s="29"/>
      <c r="J224" s="30" t="s">
        <v>2430</v>
      </c>
      <c r="K224" s="29" t="s">
        <v>1392</v>
      </c>
      <c r="L224" s="29" t="s">
        <v>879</v>
      </c>
      <c r="M224" s="29" t="s">
        <v>2444</v>
      </c>
      <c r="N224" s="73">
        <v>41988</v>
      </c>
      <c r="O224" s="32">
        <v>1129828146</v>
      </c>
      <c r="P224" s="32"/>
      <c r="Q224" s="32"/>
      <c r="R224" s="32"/>
      <c r="S224" s="32"/>
      <c r="T224" s="560"/>
      <c r="U224" s="560"/>
      <c r="V224" s="560"/>
      <c r="W224" s="560"/>
      <c r="X224" s="560"/>
      <c r="Y224" s="560"/>
      <c r="Z224" s="560"/>
      <c r="AA224" s="560"/>
      <c r="AB224" s="560"/>
      <c r="AC224" s="560"/>
      <c r="AD224" s="560"/>
      <c r="AE224" s="560"/>
      <c r="AF224" s="560"/>
      <c r="AG224" s="560"/>
      <c r="AH224" s="560"/>
      <c r="AI224" s="560"/>
      <c r="AJ224" s="73">
        <v>42135</v>
      </c>
      <c r="AK224" s="648"/>
      <c r="AL224" s="174"/>
      <c r="AM224" s="564"/>
      <c r="AN224" s="564"/>
      <c r="AO224" s="564"/>
      <c r="AP224" s="564"/>
      <c r="AQ224" s="564"/>
      <c r="AR224" s="564"/>
      <c r="AS224" s="564"/>
      <c r="AT224" s="564"/>
      <c r="AU224" s="564"/>
      <c r="AV224" s="564"/>
      <c r="AW224" s="564"/>
      <c r="AX224" s="564"/>
      <c r="AY224" s="564"/>
      <c r="AZ224" s="564"/>
      <c r="BA224" s="564"/>
      <c r="BB224" s="564"/>
      <c r="BC224" s="564"/>
      <c r="BD224" s="564"/>
      <c r="BE224" s="564"/>
      <c r="BF224" s="564"/>
      <c r="BG224" s="564"/>
      <c r="BH224" s="564"/>
      <c r="BI224" s="564"/>
      <c r="BJ224" s="564"/>
      <c r="BK224" s="564"/>
      <c r="BL224" s="564"/>
      <c r="BM224" s="564"/>
      <c r="BN224" s="564"/>
      <c r="BO224" s="564"/>
      <c r="BP224" s="564"/>
      <c r="BQ224" s="564"/>
      <c r="BR224" s="564"/>
      <c r="BS224" s="564"/>
      <c r="BT224" s="564"/>
      <c r="BU224" s="564"/>
      <c r="BV224" s="564"/>
      <c r="BW224" s="564"/>
      <c r="BX224" s="564"/>
      <c r="BY224" s="564"/>
      <c r="BZ224" s="564"/>
      <c r="CA224" s="564"/>
      <c r="CB224" s="564"/>
      <c r="CC224" s="564"/>
      <c r="CD224" s="564"/>
      <c r="CE224" s="564"/>
      <c r="CF224" s="564"/>
      <c r="CG224" s="564"/>
      <c r="CH224" s="564"/>
      <c r="CI224" s="564"/>
      <c r="CJ224" s="564"/>
      <c r="CK224" s="564"/>
      <c r="CL224" s="564"/>
      <c r="CM224" s="564"/>
      <c r="CN224" s="564"/>
      <c r="CO224" s="564"/>
      <c r="CP224" s="564"/>
      <c r="CQ224" s="564"/>
      <c r="CR224" s="564"/>
      <c r="CS224" s="564"/>
      <c r="CT224" s="564"/>
      <c r="CU224" s="564"/>
      <c r="CV224" s="564"/>
      <c r="CW224" s="564"/>
      <c r="CX224" s="564"/>
      <c r="CY224" s="564"/>
      <c r="CZ224" s="564"/>
      <c r="DA224" s="564"/>
      <c r="DB224" s="564"/>
      <c r="DC224" s="564"/>
      <c r="DD224" s="564"/>
      <c r="DE224" s="564"/>
      <c r="DF224" s="564"/>
      <c r="DG224" s="564"/>
      <c r="DH224" s="564"/>
      <c r="DI224" s="564"/>
      <c r="DJ224" s="564"/>
      <c r="DK224" s="564"/>
      <c r="DL224" s="564"/>
      <c r="DM224" s="564"/>
      <c r="DN224" s="564"/>
      <c r="DO224" s="564"/>
      <c r="DP224" s="564"/>
      <c r="DQ224" s="564"/>
      <c r="DR224" s="564"/>
      <c r="DS224" s="564"/>
      <c r="DT224" s="564"/>
      <c r="DU224" s="564"/>
      <c r="DV224" s="564"/>
      <c r="DW224" s="564"/>
      <c r="DX224" s="564"/>
      <c r="DY224" s="564"/>
      <c r="DZ224" s="564"/>
      <c r="EA224" s="564"/>
      <c r="EB224" s="564"/>
      <c r="EC224" s="564"/>
      <c r="ED224" s="564"/>
      <c r="EE224" s="564"/>
      <c r="EF224" s="564"/>
      <c r="EG224" s="564"/>
      <c r="EH224" s="564"/>
      <c r="EI224" s="564"/>
      <c r="EJ224" s="564"/>
      <c r="EK224" s="564"/>
      <c r="EL224" s="564"/>
      <c r="EM224" s="564"/>
      <c r="EN224" s="564"/>
      <c r="EO224" s="564"/>
      <c r="EP224" s="564"/>
      <c r="EQ224" s="564"/>
      <c r="ER224" s="564"/>
      <c r="ES224" s="564"/>
      <c r="ET224" s="564"/>
      <c r="EU224" s="564"/>
      <c r="EV224" s="564"/>
      <c r="EW224" s="564"/>
      <c r="EX224" s="564"/>
      <c r="EY224" s="564"/>
      <c r="EZ224" s="564"/>
      <c r="FA224" s="564"/>
      <c r="FB224" s="564"/>
      <c r="FC224" s="564"/>
      <c r="FD224" s="564"/>
      <c r="FE224" s="564"/>
      <c r="FF224" s="564"/>
      <c r="FG224" s="564"/>
      <c r="FH224" s="564"/>
      <c r="FI224" s="564"/>
      <c r="FJ224" s="564"/>
      <c r="FK224" s="564"/>
      <c r="FL224" s="564"/>
      <c r="FM224" s="564"/>
      <c r="FN224" s="564"/>
      <c r="FO224" s="564"/>
      <c r="FP224" s="564"/>
      <c r="FQ224" s="564"/>
      <c r="FR224" s="564"/>
      <c r="FS224" s="564"/>
      <c r="FT224" s="564"/>
      <c r="FU224" s="564"/>
      <c r="FV224" s="564"/>
      <c r="FW224" s="564"/>
      <c r="FX224" s="564"/>
      <c r="FY224" s="564"/>
      <c r="FZ224" s="564"/>
      <c r="GA224" s="564"/>
      <c r="GB224" s="564"/>
      <c r="GC224" s="564"/>
      <c r="GD224" s="564"/>
      <c r="GE224" s="564"/>
      <c r="GF224" s="564"/>
      <c r="GG224" s="564"/>
      <c r="GH224" s="564"/>
      <c r="GI224" s="564"/>
      <c r="GJ224" s="564"/>
      <c r="GK224" s="564"/>
      <c r="GL224" s="564"/>
      <c r="GM224" s="564"/>
      <c r="GN224" s="564"/>
      <c r="GO224" s="564"/>
      <c r="GP224" s="564"/>
      <c r="GQ224" s="564"/>
      <c r="GR224" s="564"/>
      <c r="GS224" s="564"/>
      <c r="GT224" s="564"/>
      <c r="GU224" s="564"/>
      <c r="GV224" s="564"/>
      <c r="GW224" s="564"/>
      <c r="GX224" s="564"/>
      <c r="GY224" s="564"/>
      <c r="GZ224" s="564"/>
      <c r="HA224" s="564"/>
      <c r="HB224" s="564"/>
      <c r="HC224" s="564"/>
      <c r="HD224" s="564"/>
      <c r="HE224" s="564"/>
      <c r="HF224" s="564"/>
      <c r="HG224" s="564"/>
      <c r="HH224" s="564"/>
      <c r="HI224" s="564"/>
      <c r="HJ224" s="564"/>
      <c r="HK224" s="564"/>
      <c r="HL224" s="564"/>
      <c r="HM224" s="564"/>
      <c r="HN224" s="564"/>
      <c r="HO224" s="564"/>
      <c r="HP224" s="564"/>
      <c r="HQ224" s="564"/>
      <c r="HR224" s="564"/>
      <c r="HS224" s="564"/>
      <c r="HT224" s="564"/>
      <c r="HU224" s="564"/>
      <c r="HV224" s="564"/>
      <c r="HW224" s="564"/>
      <c r="HX224" s="564"/>
      <c r="HY224" s="564"/>
      <c r="HZ224" s="564"/>
      <c r="IA224" s="564"/>
      <c r="IB224" s="564"/>
      <c r="IC224" s="564"/>
      <c r="ID224" s="564"/>
      <c r="IE224" s="564"/>
      <c r="IF224" s="564"/>
      <c r="IG224" s="564"/>
      <c r="IH224" s="564"/>
      <c r="II224" s="564"/>
      <c r="IJ224" s="564"/>
      <c r="IK224" s="564"/>
      <c r="IL224" s="564"/>
      <c r="IM224" s="564"/>
      <c r="IN224" s="564"/>
      <c r="IO224" s="564"/>
      <c r="IP224" s="564"/>
      <c r="IQ224" s="564"/>
      <c r="IR224" s="564"/>
      <c r="IS224" s="564"/>
      <c r="IT224" s="564"/>
      <c r="IU224" s="564"/>
      <c r="IV224" s="564"/>
      <c r="IW224" s="564"/>
      <c r="IX224" s="564"/>
      <c r="IY224" s="564"/>
      <c r="IZ224" s="564"/>
      <c r="JA224" s="564"/>
      <c r="JB224" s="564"/>
      <c r="JC224" s="564"/>
      <c r="JD224" s="564"/>
      <c r="JE224" s="564"/>
      <c r="JF224" s="564"/>
      <c r="JG224" s="564"/>
      <c r="JH224" s="564"/>
      <c r="JI224" s="564"/>
      <c r="JJ224" s="564"/>
      <c r="JK224" s="564"/>
      <c r="JL224" s="564"/>
      <c r="JM224" s="564"/>
      <c r="JN224" s="564"/>
      <c r="JO224" s="564"/>
      <c r="JP224" s="564"/>
      <c r="JQ224" s="564"/>
      <c r="JR224" s="564"/>
      <c r="JS224" s="564"/>
      <c r="JT224" s="564"/>
      <c r="JU224" s="564"/>
      <c r="JV224" s="564"/>
    </row>
    <row r="225" spans="1:282" ht="50.1" customHeight="1" x14ac:dyDescent="0.2">
      <c r="A225" s="298"/>
      <c r="B225" s="30" t="s">
        <v>1137</v>
      </c>
      <c r="C225" s="30"/>
      <c r="D225" s="30"/>
      <c r="E225" s="30" t="s">
        <v>1874</v>
      </c>
      <c r="F225" s="196" t="s">
        <v>1887</v>
      </c>
      <c r="G225" s="30" t="s">
        <v>420</v>
      </c>
      <c r="H225" s="30" t="s">
        <v>1806</v>
      </c>
      <c r="I225" s="30"/>
      <c r="J225" s="30" t="s">
        <v>421</v>
      </c>
      <c r="K225" s="30" t="s">
        <v>1393</v>
      </c>
      <c r="L225" s="30" t="s">
        <v>12</v>
      </c>
      <c r="M225" s="29" t="s">
        <v>1615</v>
      </c>
      <c r="N225" s="73">
        <v>41880</v>
      </c>
      <c r="O225" s="69" t="s">
        <v>1875</v>
      </c>
      <c r="P225" s="69"/>
      <c r="Q225" s="69"/>
      <c r="R225" s="69"/>
      <c r="S225" s="69"/>
      <c r="T225" s="560"/>
      <c r="U225" s="560"/>
      <c r="V225" s="560"/>
      <c r="W225" s="560"/>
      <c r="X225" s="560"/>
      <c r="Y225" s="560"/>
      <c r="Z225" s="560"/>
      <c r="AA225" s="560"/>
      <c r="AB225" s="560"/>
      <c r="AC225" s="560"/>
      <c r="AD225" s="560"/>
      <c r="AE225" s="560"/>
      <c r="AF225" s="560"/>
      <c r="AG225" s="560"/>
      <c r="AH225" s="560"/>
      <c r="AI225" s="560"/>
      <c r="AJ225" s="73">
        <v>42149</v>
      </c>
      <c r="AK225" s="648"/>
      <c r="AL225" s="174"/>
      <c r="AM225" s="564"/>
      <c r="AN225" s="564"/>
      <c r="AO225" s="564"/>
      <c r="AP225" s="564"/>
      <c r="AQ225" s="564"/>
      <c r="AR225" s="564"/>
      <c r="AS225" s="564"/>
      <c r="AT225" s="564"/>
      <c r="AU225" s="564"/>
      <c r="AV225" s="564"/>
      <c r="AW225" s="564"/>
      <c r="AX225" s="564"/>
      <c r="AY225" s="564"/>
      <c r="AZ225" s="564"/>
      <c r="BA225" s="564"/>
      <c r="BB225" s="564"/>
      <c r="BC225" s="564"/>
      <c r="BD225" s="564"/>
      <c r="BE225" s="564"/>
      <c r="BF225" s="564"/>
      <c r="BG225" s="564"/>
      <c r="BH225" s="564"/>
      <c r="BI225" s="564"/>
      <c r="BJ225" s="564"/>
      <c r="BK225" s="564"/>
      <c r="BL225" s="564"/>
      <c r="BM225" s="564"/>
      <c r="BN225" s="564"/>
      <c r="BO225" s="564"/>
      <c r="BP225" s="564"/>
      <c r="BQ225" s="564"/>
      <c r="BR225" s="564"/>
      <c r="BS225" s="564"/>
      <c r="BT225" s="564"/>
      <c r="BU225" s="564"/>
      <c r="BV225" s="564"/>
      <c r="BW225" s="564"/>
      <c r="BX225" s="564"/>
      <c r="BY225" s="564"/>
      <c r="BZ225" s="564"/>
      <c r="CA225" s="564"/>
      <c r="CB225" s="564"/>
      <c r="CC225" s="564"/>
      <c r="CD225" s="564"/>
      <c r="CE225" s="564"/>
      <c r="CF225" s="564"/>
      <c r="CG225" s="564"/>
      <c r="CH225" s="564"/>
      <c r="CI225" s="564"/>
      <c r="CJ225" s="564"/>
      <c r="CK225" s="564"/>
      <c r="CL225" s="564"/>
      <c r="CM225" s="564"/>
      <c r="CN225" s="564"/>
      <c r="CO225" s="564"/>
      <c r="CP225" s="564"/>
      <c r="CQ225" s="564"/>
      <c r="CR225" s="564"/>
      <c r="CS225" s="564"/>
      <c r="CT225" s="564"/>
      <c r="CU225" s="564"/>
      <c r="CV225" s="564"/>
      <c r="CW225" s="564"/>
      <c r="CX225" s="564"/>
      <c r="CY225" s="564"/>
      <c r="CZ225" s="564"/>
      <c r="DA225" s="564"/>
      <c r="DB225" s="564"/>
      <c r="DC225" s="564"/>
      <c r="DD225" s="564"/>
      <c r="DE225" s="564"/>
      <c r="DF225" s="564"/>
      <c r="DG225" s="564"/>
      <c r="DH225" s="564"/>
      <c r="DI225" s="564"/>
      <c r="DJ225" s="564"/>
      <c r="DK225" s="564"/>
      <c r="DL225" s="564"/>
      <c r="DM225" s="564"/>
      <c r="DN225" s="564"/>
      <c r="DO225" s="564"/>
      <c r="DP225" s="564"/>
      <c r="DQ225" s="564"/>
      <c r="DR225" s="564"/>
      <c r="DS225" s="564"/>
      <c r="DT225" s="564"/>
      <c r="DU225" s="564"/>
      <c r="DV225" s="564"/>
      <c r="DW225" s="564"/>
      <c r="DX225" s="564"/>
      <c r="DY225" s="564"/>
      <c r="DZ225" s="564"/>
      <c r="EA225" s="564"/>
      <c r="EB225" s="564"/>
      <c r="EC225" s="564"/>
      <c r="ED225" s="564"/>
      <c r="EE225" s="564"/>
      <c r="EF225" s="564"/>
      <c r="EG225" s="564"/>
      <c r="EH225" s="564"/>
      <c r="EI225" s="564"/>
      <c r="EJ225" s="564"/>
      <c r="EK225" s="564"/>
      <c r="EL225" s="564"/>
      <c r="EM225" s="564"/>
      <c r="EN225" s="564"/>
      <c r="EO225" s="564"/>
      <c r="EP225" s="564"/>
      <c r="EQ225" s="564"/>
      <c r="ER225" s="564"/>
      <c r="ES225" s="564"/>
      <c r="ET225" s="564"/>
      <c r="EU225" s="564"/>
      <c r="EV225" s="564"/>
      <c r="EW225" s="564"/>
      <c r="EX225" s="564"/>
      <c r="EY225" s="564"/>
      <c r="EZ225" s="564"/>
      <c r="FA225" s="564"/>
      <c r="FB225" s="564"/>
      <c r="FC225" s="564"/>
      <c r="FD225" s="564"/>
      <c r="FE225" s="564"/>
      <c r="FF225" s="564"/>
      <c r="FG225" s="564"/>
      <c r="FH225" s="564"/>
      <c r="FI225" s="564"/>
      <c r="FJ225" s="564"/>
      <c r="FK225" s="564"/>
      <c r="FL225" s="564"/>
      <c r="FM225" s="564"/>
      <c r="FN225" s="564"/>
      <c r="FO225" s="564"/>
      <c r="FP225" s="564"/>
      <c r="FQ225" s="564"/>
      <c r="FR225" s="564"/>
      <c r="FS225" s="564"/>
      <c r="FT225" s="564"/>
      <c r="FU225" s="564"/>
      <c r="FV225" s="564"/>
      <c r="FW225" s="564"/>
      <c r="FX225" s="564"/>
      <c r="FY225" s="564"/>
      <c r="FZ225" s="564"/>
      <c r="GA225" s="564"/>
      <c r="GB225" s="564"/>
      <c r="GC225" s="564"/>
      <c r="GD225" s="564"/>
      <c r="GE225" s="564"/>
      <c r="GF225" s="564"/>
      <c r="GG225" s="564"/>
      <c r="GH225" s="564"/>
      <c r="GI225" s="564"/>
      <c r="GJ225" s="564"/>
      <c r="GK225" s="564"/>
      <c r="GL225" s="564"/>
      <c r="GM225" s="564"/>
      <c r="GN225" s="564"/>
      <c r="GO225" s="564"/>
      <c r="GP225" s="564"/>
      <c r="GQ225" s="564"/>
      <c r="GR225" s="564"/>
      <c r="GS225" s="564"/>
      <c r="GT225" s="564"/>
      <c r="GU225" s="564"/>
      <c r="GV225" s="564"/>
      <c r="GW225" s="564"/>
      <c r="GX225" s="564"/>
      <c r="GY225" s="564"/>
      <c r="GZ225" s="564"/>
      <c r="HA225" s="564"/>
      <c r="HB225" s="564"/>
      <c r="HC225" s="564"/>
      <c r="HD225" s="564"/>
      <c r="HE225" s="564"/>
      <c r="HF225" s="564"/>
      <c r="HG225" s="564"/>
      <c r="HH225" s="564"/>
      <c r="HI225" s="564"/>
      <c r="HJ225" s="564"/>
      <c r="HK225" s="564"/>
      <c r="HL225" s="564"/>
      <c r="HM225" s="564"/>
      <c r="HN225" s="564"/>
      <c r="HO225" s="564"/>
      <c r="HP225" s="564"/>
      <c r="HQ225" s="564"/>
      <c r="HR225" s="564"/>
      <c r="HS225" s="564"/>
      <c r="HT225" s="564"/>
      <c r="HU225" s="564"/>
      <c r="HV225" s="564"/>
      <c r="HW225" s="564"/>
      <c r="HX225" s="564"/>
      <c r="HY225" s="564"/>
      <c r="HZ225" s="564"/>
      <c r="IA225" s="564"/>
      <c r="IB225" s="564"/>
      <c r="IC225" s="564"/>
      <c r="ID225" s="564"/>
      <c r="IE225" s="564"/>
      <c r="IF225" s="564"/>
      <c r="IG225" s="564"/>
      <c r="IH225" s="564"/>
      <c r="II225" s="564"/>
      <c r="IJ225" s="564"/>
      <c r="IK225" s="564"/>
      <c r="IL225" s="564"/>
      <c r="IM225" s="564"/>
      <c r="IN225" s="564"/>
      <c r="IO225" s="564"/>
      <c r="IP225" s="564"/>
      <c r="IQ225" s="564"/>
      <c r="IR225" s="564"/>
      <c r="IS225" s="564"/>
      <c r="IT225" s="564"/>
      <c r="IU225" s="564"/>
      <c r="IV225" s="564"/>
      <c r="IW225" s="564"/>
      <c r="IX225" s="564"/>
      <c r="IY225" s="564"/>
      <c r="IZ225" s="564"/>
      <c r="JA225" s="564"/>
      <c r="JB225" s="564"/>
      <c r="JC225" s="564"/>
      <c r="JD225" s="564"/>
      <c r="JE225" s="564"/>
      <c r="JF225" s="564"/>
      <c r="JG225" s="564"/>
      <c r="JH225" s="564"/>
      <c r="JI225" s="564"/>
      <c r="JJ225" s="564"/>
      <c r="JK225" s="564"/>
      <c r="JL225" s="564"/>
      <c r="JM225" s="564"/>
      <c r="JN225" s="564"/>
      <c r="JO225" s="564"/>
      <c r="JP225" s="564"/>
      <c r="JQ225" s="564"/>
      <c r="JR225" s="564"/>
      <c r="JS225" s="564"/>
      <c r="JT225" s="564"/>
      <c r="JU225" s="564"/>
      <c r="JV225" s="564"/>
    </row>
    <row r="226" spans="1:282" ht="50.1" customHeight="1" x14ac:dyDescent="0.2">
      <c r="A226" s="298"/>
      <c r="B226" s="30" t="s">
        <v>1137</v>
      </c>
      <c r="C226" s="30"/>
      <c r="D226" s="30"/>
      <c r="E226" s="30" t="s">
        <v>1868</v>
      </c>
      <c r="F226" s="196" t="s">
        <v>1990</v>
      </c>
      <c r="G226" s="30" t="s">
        <v>865</v>
      </c>
      <c r="H226" s="30" t="s">
        <v>1806</v>
      </c>
      <c r="I226" s="30"/>
      <c r="J226" s="30" t="s">
        <v>102</v>
      </c>
      <c r="K226" s="30" t="s">
        <v>1393</v>
      </c>
      <c r="L226" s="30" t="s">
        <v>879</v>
      </c>
      <c r="M226" s="29" t="s">
        <v>1615</v>
      </c>
      <c r="N226" s="73">
        <v>41880</v>
      </c>
      <c r="O226" s="69" t="s">
        <v>1869</v>
      </c>
      <c r="P226" s="69"/>
      <c r="Q226" s="69"/>
      <c r="R226" s="69"/>
      <c r="S226" s="69"/>
      <c r="T226" s="560"/>
      <c r="U226" s="560"/>
      <c r="V226" s="560"/>
      <c r="W226" s="560"/>
      <c r="X226" s="560"/>
      <c r="Y226" s="560"/>
      <c r="Z226" s="560"/>
      <c r="AA226" s="560"/>
      <c r="AB226" s="560"/>
      <c r="AC226" s="560"/>
      <c r="AD226" s="560"/>
      <c r="AE226" s="560"/>
      <c r="AF226" s="560"/>
      <c r="AG226" s="560"/>
      <c r="AH226" s="560"/>
      <c r="AI226" s="560"/>
      <c r="AJ226" s="73">
        <v>42163</v>
      </c>
      <c r="AK226" s="648"/>
      <c r="AL226" s="174"/>
      <c r="AM226" s="564"/>
      <c r="AN226" s="564"/>
      <c r="AO226" s="564"/>
      <c r="AP226" s="564"/>
      <c r="AQ226" s="564"/>
      <c r="AR226" s="564"/>
      <c r="AS226" s="564"/>
      <c r="AT226" s="564"/>
      <c r="AU226" s="564"/>
      <c r="AV226" s="564"/>
      <c r="AW226" s="564"/>
      <c r="AX226" s="564"/>
      <c r="AY226" s="564"/>
      <c r="AZ226" s="564"/>
      <c r="BA226" s="564"/>
      <c r="BB226" s="564"/>
      <c r="BC226" s="564"/>
      <c r="BD226" s="564"/>
      <c r="BE226" s="564"/>
      <c r="BF226" s="564"/>
      <c r="BG226" s="564"/>
      <c r="BH226" s="564"/>
      <c r="BI226" s="564"/>
      <c r="BJ226" s="564"/>
      <c r="BK226" s="564"/>
      <c r="BL226" s="564"/>
      <c r="BM226" s="564"/>
      <c r="BN226" s="564"/>
      <c r="BO226" s="564"/>
      <c r="BP226" s="564"/>
      <c r="BQ226" s="564"/>
      <c r="BR226" s="564"/>
      <c r="BS226" s="564"/>
      <c r="BT226" s="564"/>
      <c r="BU226" s="564"/>
      <c r="BV226" s="564"/>
      <c r="BW226" s="564"/>
      <c r="BX226" s="564"/>
      <c r="BY226" s="564"/>
      <c r="BZ226" s="564"/>
      <c r="CA226" s="564"/>
      <c r="CB226" s="564"/>
      <c r="CC226" s="564"/>
      <c r="CD226" s="564"/>
      <c r="CE226" s="564"/>
      <c r="CF226" s="564"/>
      <c r="CG226" s="564"/>
      <c r="CH226" s="564"/>
      <c r="CI226" s="564"/>
      <c r="CJ226" s="564"/>
      <c r="CK226" s="564"/>
      <c r="CL226" s="564"/>
      <c r="CM226" s="564"/>
      <c r="CN226" s="564"/>
      <c r="CO226" s="564"/>
      <c r="CP226" s="564"/>
      <c r="CQ226" s="564"/>
      <c r="CR226" s="564"/>
      <c r="CS226" s="564"/>
      <c r="CT226" s="564"/>
      <c r="CU226" s="564"/>
      <c r="CV226" s="564"/>
      <c r="CW226" s="564"/>
      <c r="CX226" s="564"/>
      <c r="CY226" s="564"/>
      <c r="CZ226" s="564"/>
      <c r="DA226" s="564"/>
      <c r="DB226" s="564"/>
      <c r="DC226" s="564"/>
      <c r="DD226" s="564"/>
      <c r="DE226" s="564"/>
      <c r="DF226" s="564"/>
      <c r="DG226" s="564"/>
      <c r="DH226" s="564"/>
      <c r="DI226" s="564"/>
      <c r="DJ226" s="564"/>
      <c r="DK226" s="564"/>
      <c r="DL226" s="564"/>
      <c r="DM226" s="564"/>
      <c r="DN226" s="564"/>
      <c r="DO226" s="564"/>
      <c r="DP226" s="564"/>
      <c r="DQ226" s="564"/>
      <c r="DR226" s="564"/>
      <c r="DS226" s="564"/>
      <c r="DT226" s="564"/>
      <c r="DU226" s="564"/>
      <c r="DV226" s="564"/>
      <c r="DW226" s="564"/>
      <c r="DX226" s="564"/>
      <c r="DY226" s="564"/>
      <c r="DZ226" s="564"/>
      <c r="EA226" s="564"/>
      <c r="EB226" s="564"/>
      <c r="EC226" s="564"/>
      <c r="ED226" s="564"/>
      <c r="EE226" s="564"/>
      <c r="EF226" s="564"/>
      <c r="EG226" s="564"/>
      <c r="EH226" s="564"/>
      <c r="EI226" s="564"/>
      <c r="EJ226" s="564"/>
      <c r="EK226" s="564"/>
      <c r="EL226" s="564"/>
      <c r="EM226" s="564"/>
      <c r="EN226" s="564"/>
      <c r="EO226" s="564"/>
      <c r="EP226" s="564"/>
      <c r="EQ226" s="564"/>
      <c r="ER226" s="564"/>
      <c r="ES226" s="564"/>
      <c r="ET226" s="564"/>
      <c r="EU226" s="564"/>
      <c r="EV226" s="564"/>
      <c r="EW226" s="564"/>
      <c r="EX226" s="564"/>
      <c r="EY226" s="564"/>
      <c r="EZ226" s="564"/>
      <c r="FA226" s="564"/>
      <c r="FB226" s="564"/>
      <c r="FC226" s="564"/>
      <c r="FD226" s="564"/>
      <c r="FE226" s="564"/>
      <c r="FF226" s="564"/>
      <c r="FG226" s="564"/>
      <c r="FH226" s="564"/>
      <c r="FI226" s="564"/>
      <c r="FJ226" s="564"/>
      <c r="FK226" s="564"/>
      <c r="FL226" s="564"/>
      <c r="FM226" s="564"/>
      <c r="FN226" s="564"/>
      <c r="FO226" s="564"/>
      <c r="FP226" s="564"/>
      <c r="FQ226" s="564"/>
      <c r="FR226" s="564"/>
      <c r="FS226" s="564"/>
      <c r="FT226" s="564"/>
      <c r="FU226" s="564"/>
      <c r="FV226" s="564"/>
      <c r="FW226" s="564"/>
      <c r="FX226" s="564"/>
      <c r="FY226" s="564"/>
      <c r="FZ226" s="564"/>
      <c r="GA226" s="564"/>
      <c r="GB226" s="564"/>
      <c r="GC226" s="564"/>
      <c r="GD226" s="564"/>
      <c r="GE226" s="564"/>
      <c r="GF226" s="564"/>
      <c r="GG226" s="564"/>
      <c r="GH226" s="564"/>
      <c r="GI226" s="564"/>
      <c r="GJ226" s="564"/>
      <c r="GK226" s="564"/>
      <c r="GL226" s="564"/>
      <c r="GM226" s="564"/>
      <c r="GN226" s="564"/>
      <c r="GO226" s="564"/>
      <c r="GP226" s="564"/>
      <c r="GQ226" s="564"/>
      <c r="GR226" s="564"/>
      <c r="GS226" s="564"/>
      <c r="GT226" s="564"/>
      <c r="GU226" s="564"/>
      <c r="GV226" s="564"/>
      <c r="GW226" s="564"/>
      <c r="GX226" s="564"/>
      <c r="GY226" s="564"/>
      <c r="GZ226" s="564"/>
      <c r="HA226" s="564"/>
      <c r="HB226" s="564"/>
      <c r="HC226" s="564"/>
      <c r="HD226" s="564"/>
      <c r="HE226" s="564"/>
      <c r="HF226" s="564"/>
      <c r="HG226" s="564"/>
      <c r="HH226" s="564"/>
      <c r="HI226" s="564"/>
      <c r="HJ226" s="564"/>
      <c r="HK226" s="564"/>
      <c r="HL226" s="564"/>
      <c r="HM226" s="564"/>
      <c r="HN226" s="564"/>
      <c r="HO226" s="564"/>
      <c r="HP226" s="564"/>
      <c r="HQ226" s="564"/>
      <c r="HR226" s="564"/>
      <c r="HS226" s="564"/>
      <c r="HT226" s="564"/>
      <c r="HU226" s="564"/>
      <c r="HV226" s="564"/>
      <c r="HW226" s="564"/>
      <c r="HX226" s="564"/>
      <c r="HY226" s="564"/>
      <c r="HZ226" s="564"/>
      <c r="IA226" s="564"/>
      <c r="IB226" s="564"/>
      <c r="IC226" s="564"/>
      <c r="ID226" s="564"/>
      <c r="IE226" s="564"/>
      <c r="IF226" s="564"/>
      <c r="IG226" s="564"/>
      <c r="IH226" s="564"/>
      <c r="II226" s="564"/>
      <c r="IJ226" s="564"/>
      <c r="IK226" s="564"/>
      <c r="IL226" s="564"/>
      <c r="IM226" s="564"/>
      <c r="IN226" s="564"/>
      <c r="IO226" s="564"/>
      <c r="IP226" s="564"/>
      <c r="IQ226" s="564"/>
      <c r="IR226" s="564"/>
      <c r="IS226" s="564"/>
      <c r="IT226" s="564"/>
      <c r="IU226" s="564"/>
      <c r="IV226" s="564"/>
      <c r="IW226" s="564"/>
      <c r="IX226" s="564"/>
      <c r="IY226" s="564"/>
      <c r="IZ226" s="564"/>
      <c r="JA226" s="564"/>
      <c r="JB226" s="564"/>
      <c r="JC226" s="564"/>
      <c r="JD226" s="564"/>
      <c r="JE226" s="564"/>
      <c r="JF226" s="564"/>
      <c r="JG226" s="564"/>
      <c r="JH226" s="564"/>
      <c r="JI226" s="564"/>
      <c r="JJ226" s="564"/>
      <c r="JK226" s="564"/>
      <c r="JL226" s="564"/>
      <c r="JM226" s="564"/>
      <c r="JN226" s="564"/>
      <c r="JO226" s="564"/>
      <c r="JP226" s="564"/>
      <c r="JQ226" s="564"/>
      <c r="JR226" s="564"/>
      <c r="JS226" s="564"/>
      <c r="JT226" s="564"/>
      <c r="JU226" s="564"/>
      <c r="JV226" s="564"/>
    </row>
    <row r="227" spans="1:282" ht="50.1" customHeight="1" x14ac:dyDescent="0.2">
      <c r="A227" s="298"/>
      <c r="B227" s="38" t="s">
        <v>1137</v>
      </c>
      <c r="C227" s="38"/>
      <c r="D227" s="38"/>
      <c r="E227" s="30" t="s">
        <v>1395</v>
      </c>
      <c r="F227" s="196" t="s">
        <v>1396</v>
      </c>
      <c r="G227" s="30" t="s">
        <v>630</v>
      </c>
      <c r="H227" s="30" t="s">
        <v>1604</v>
      </c>
      <c r="I227" s="30"/>
      <c r="J227" s="30" t="s">
        <v>1292</v>
      </c>
      <c r="K227" s="30" t="s">
        <v>1392</v>
      </c>
      <c r="L227" s="30" t="s">
        <v>12</v>
      </c>
      <c r="M227" s="29" t="s">
        <v>1528</v>
      </c>
      <c r="N227" s="73">
        <v>41772</v>
      </c>
      <c r="O227" s="69" t="s">
        <v>1397</v>
      </c>
      <c r="P227" s="69"/>
      <c r="Q227" s="69"/>
      <c r="R227" s="69"/>
      <c r="S227" s="69"/>
      <c r="T227" s="560"/>
      <c r="U227" s="560"/>
      <c r="V227" s="560"/>
      <c r="W227" s="560"/>
      <c r="X227" s="560"/>
      <c r="Y227" s="560"/>
      <c r="Z227" s="560"/>
      <c r="AA227" s="560"/>
      <c r="AB227" s="560"/>
      <c r="AC227" s="560"/>
      <c r="AD227" s="560"/>
      <c r="AE227" s="560"/>
      <c r="AF227" s="560"/>
      <c r="AG227" s="560"/>
      <c r="AH227" s="560"/>
      <c r="AI227" s="560"/>
      <c r="AJ227" s="73">
        <v>42191</v>
      </c>
      <c r="AK227" s="648"/>
      <c r="AL227" s="174"/>
      <c r="AM227" s="564"/>
      <c r="AN227" s="564"/>
      <c r="AO227" s="564"/>
      <c r="AP227" s="564"/>
      <c r="AQ227" s="564"/>
      <c r="AR227" s="564"/>
      <c r="AS227" s="564"/>
      <c r="AT227" s="564"/>
      <c r="AU227" s="564"/>
      <c r="AV227" s="564"/>
      <c r="AW227" s="564"/>
      <c r="AX227" s="564"/>
      <c r="AY227" s="564"/>
      <c r="AZ227" s="564"/>
      <c r="BA227" s="564"/>
      <c r="BB227" s="564"/>
      <c r="BC227" s="564"/>
      <c r="BD227" s="564"/>
      <c r="BE227" s="564"/>
      <c r="BF227" s="564"/>
      <c r="BG227" s="564"/>
      <c r="BH227" s="564"/>
      <c r="BI227" s="564"/>
      <c r="BJ227" s="564"/>
      <c r="BK227" s="564"/>
      <c r="BL227" s="564"/>
      <c r="BM227" s="564"/>
      <c r="BN227" s="564"/>
      <c r="BO227" s="564"/>
      <c r="BP227" s="564"/>
      <c r="BQ227" s="564"/>
      <c r="BR227" s="564"/>
      <c r="BS227" s="564"/>
      <c r="BT227" s="564"/>
      <c r="BU227" s="564"/>
      <c r="BV227" s="564"/>
      <c r="BW227" s="564"/>
      <c r="BX227" s="564"/>
      <c r="BY227" s="564"/>
      <c r="BZ227" s="564"/>
      <c r="CA227" s="564"/>
      <c r="CB227" s="564"/>
      <c r="CC227" s="564"/>
      <c r="CD227" s="564"/>
      <c r="CE227" s="564"/>
      <c r="CF227" s="564"/>
      <c r="CG227" s="564"/>
      <c r="CH227" s="564"/>
      <c r="CI227" s="564"/>
      <c r="CJ227" s="564"/>
      <c r="CK227" s="564"/>
      <c r="CL227" s="564"/>
      <c r="CM227" s="564"/>
      <c r="CN227" s="564"/>
      <c r="CO227" s="564"/>
      <c r="CP227" s="564"/>
      <c r="CQ227" s="564"/>
      <c r="CR227" s="564"/>
      <c r="CS227" s="564"/>
      <c r="CT227" s="564"/>
      <c r="CU227" s="564"/>
      <c r="CV227" s="564"/>
      <c r="CW227" s="564"/>
      <c r="CX227" s="564"/>
      <c r="CY227" s="564"/>
      <c r="CZ227" s="564"/>
      <c r="DA227" s="564"/>
      <c r="DB227" s="564"/>
      <c r="DC227" s="564"/>
      <c r="DD227" s="564"/>
      <c r="DE227" s="564"/>
      <c r="DF227" s="564"/>
      <c r="DG227" s="564"/>
      <c r="DH227" s="564"/>
      <c r="DI227" s="564"/>
      <c r="DJ227" s="564"/>
      <c r="DK227" s="564"/>
      <c r="DL227" s="564"/>
      <c r="DM227" s="564"/>
      <c r="DN227" s="564"/>
      <c r="DO227" s="564"/>
      <c r="DP227" s="564"/>
      <c r="DQ227" s="564"/>
      <c r="DR227" s="564"/>
      <c r="DS227" s="564"/>
      <c r="DT227" s="564"/>
      <c r="DU227" s="564"/>
      <c r="DV227" s="564"/>
      <c r="DW227" s="564"/>
      <c r="DX227" s="564"/>
      <c r="DY227" s="564"/>
      <c r="DZ227" s="564"/>
      <c r="EA227" s="564"/>
      <c r="EB227" s="564"/>
      <c r="EC227" s="564"/>
      <c r="ED227" s="564"/>
      <c r="EE227" s="564"/>
      <c r="EF227" s="564"/>
      <c r="EG227" s="564"/>
      <c r="EH227" s="564"/>
      <c r="EI227" s="564"/>
      <c r="EJ227" s="564"/>
      <c r="EK227" s="564"/>
      <c r="EL227" s="564"/>
      <c r="EM227" s="564"/>
      <c r="EN227" s="564"/>
      <c r="EO227" s="564"/>
      <c r="EP227" s="564"/>
      <c r="EQ227" s="564"/>
      <c r="ER227" s="564"/>
      <c r="ES227" s="564"/>
      <c r="ET227" s="564"/>
      <c r="EU227" s="564"/>
      <c r="EV227" s="564"/>
      <c r="EW227" s="564"/>
      <c r="EX227" s="564"/>
      <c r="EY227" s="564"/>
      <c r="EZ227" s="564"/>
      <c r="FA227" s="564"/>
      <c r="FB227" s="564"/>
      <c r="FC227" s="564"/>
      <c r="FD227" s="564"/>
      <c r="FE227" s="564"/>
      <c r="FF227" s="564"/>
      <c r="FG227" s="564"/>
      <c r="FH227" s="564"/>
      <c r="FI227" s="564"/>
      <c r="FJ227" s="564"/>
      <c r="FK227" s="564"/>
      <c r="FL227" s="564"/>
      <c r="FM227" s="564"/>
      <c r="FN227" s="564"/>
      <c r="FO227" s="564"/>
      <c r="FP227" s="564"/>
      <c r="FQ227" s="564"/>
      <c r="FR227" s="564"/>
      <c r="FS227" s="564"/>
      <c r="FT227" s="564"/>
      <c r="FU227" s="564"/>
      <c r="FV227" s="564"/>
      <c r="FW227" s="564"/>
      <c r="FX227" s="564"/>
      <c r="FY227" s="564"/>
      <c r="FZ227" s="564"/>
      <c r="GA227" s="564"/>
      <c r="GB227" s="564"/>
      <c r="GC227" s="564"/>
      <c r="GD227" s="564"/>
      <c r="GE227" s="564"/>
      <c r="GF227" s="564"/>
      <c r="GG227" s="564"/>
      <c r="GH227" s="564"/>
      <c r="GI227" s="564"/>
      <c r="GJ227" s="564"/>
      <c r="GK227" s="564"/>
      <c r="GL227" s="564"/>
      <c r="GM227" s="564"/>
      <c r="GN227" s="564"/>
      <c r="GO227" s="564"/>
      <c r="GP227" s="564"/>
      <c r="GQ227" s="564"/>
      <c r="GR227" s="564"/>
      <c r="GS227" s="564"/>
      <c r="GT227" s="564"/>
      <c r="GU227" s="564"/>
      <c r="GV227" s="564"/>
      <c r="GW227" s="564"/>
      <c r="GX227" s="564"/>
      <c r="GY227" s="564"/>
      <c r="GZ227" s="564"/>
      <c r="HA227" s="564"/>
      <c r="HB227" s="564"/>
      <c r="HC227" s="564"/>
      <c r="HD227" s="564"/>
      <c r="HE227" s="564"/>
      <c r="HF227" s="564"/>
      <c r="HG227" s="564"/>
      <c r="HH227" s="564"/>
      <c r="HI227" s="564"/>
      <c r="HJ227" s="564"/>
      <c r="HK227" s="564"/>
      <c r="HL227" s="564"/>
      <c r="HM227" s="564"/>
      <c r="HN227" s="564"/>
      <c r="HO227" s="564"/>
      <c r="HP227" s="564"/>
      <c r="HQ227" s="564"/>
      <c r="HR227" s="564"/>
      <c r="HS227" s="564"/>
      <c r="HT227" s="564"/>
      <c r="HU227" s="564"/>
      <c r="HV227" s="564"/>
      <c r="HW227" s="564"/>
      <c r="HX227" s="564"/>
      <c r="HY227" s="564"/>
      <c r="HZ227" s="564"/>
      <c r="IA227" s="564"/>
      <c r="IB227" s="564"/>
      <c r="IC227" s="564"/>
      <c r="ID227" s="564"/>
      <c r="IE227" s="564"/>
      <c r="IF227" s="564"/>
      <c r="IG227" s="564"/>
      <c r="IH227" s="564"/>
      <c r="II227" s="564"/>
      <c r="IJ227" s="564"/>
      <c r="IK227" s="564"/>
      <c r="IL227" s="564"/>
      <c r="IM227" s="564"/>
      <c r="IN227" s="564"/>
      <c r="IO227" s="564"/>
      <c r="IP227" s="564"/>
      <c r="IQ227" s="564"/>
      <c r="IR227" s="564"/>
      <c r="IS227" s="564"/>
      <c r="IT227" s="564"/>
      <c r="IU227" s="564"/>
      <c r="IV227" s="564"/>
      <c r="IW227" s="564"/>
      <c r="IX227" s="564"/>
      <c r="IY227" s="564"/>
      <c r="IZ227" s="564"/>
      <c r="JA227" s="564"/>
      <c r="JB227" s="564"/>
      <c r="JC227" s="564"/>
      <c r="JD227" s="564"/>
      <c r="JE227" s="564"/>
      <c r="JF227" s="564"/>
      <c r="JG227" s="564"/>
      <c r="JH227" s="564"/>
      <c r="JI227" s="564"/>
      <c r="JJ227" s="564"/>
      <c r="JK227" s="564"/>
      <c r="JL227" s="564"/>
      <c r="JM227" s="564"/>
      <c r="JN227" s="564"/>
      <c r="JO227" s="564"/>
      <c r="JP227" s="564"/>
      <c r="JQ227" s="564"/>
      <c r="JR227" s="564"/>
      <c r="JS227" s="564"/>
      <c r="JT227" s="564"/>
      <c r="JU227" s="564"/>
      <c r="JV227" s="564"/>
    </row>
    <row r="228" spans="1:282" ht="50.1" customHeight="1" x14ac:dyDescent="0.2">
      <c r="A228" s="298"/>
      <c r="B228" s="30" t="s">
        <v>1137</v>
      </c>
      <c r="C228" s="30"/>
      <c r="D228" s="30"/>
      <c r="E228" s="30" t="s">
        <v>1850</v>
      </c>
      <c r="F228" s="196" t="s">
        <v>1888</v>
      </c>
      <c r="G228" s="30" t="s">
        <v>684</v>
      </c>
      <c r="H228" s="30" t="s">
        <v>1806</v>
      </c>
      <c r="I228" s="30"/>
      <c r="J228" s="30" t="s">
        <v>40</v>
      </c>
      <c r="K228" s="30" t="s">
        <v>1394</v>
      </c>
      <c r="L228" s="29" t="s">
        <v>685</v>
      </c>
      <c r="M228" s="29" t="s">
        <v>1615</v>
      </c>
      <c r="N228" s="73">
        <v>41895</v>
      </c>
      <c r="O228" s="31" t="s">
        <v>1851</v>
      </c>
      <c r="P228" s="31"/>
      <c r="Q228" s="31"/>
      <c r="R228" s="31"/>
      <c r="S228" s="31"/>
      <c r="T228" s="560"/>
      <c r="U228" s="560"/>
      <c r="V228" s="560"/>
      <c r="W228" s="560"/>
      <c r="X228" s="560"/>
      <c r="Y228" s="560"/>
      <c r="Z228" s="560"/>
      <c r="AA228" s="560"/>
      <c r="AB228" s="560"/>
      <c r="AC228" s="560"/>
      <c r="AD228" s="560"/>
      <c r="AE228" s="560"/>
      <c r="AF228" s="560"/>
      <c r="AG228" s="560"/>
      <c r="AH228" s="560"/>
      <c r="AI228" s="560"/>
      <c r="AJ228" s="73">
        <v>42191</v>
      </c>
      <c r="AK228" s="648"/>
      <c r="AL228" s="174"/>
      <c r="AM228" s="564"/>
      <c r="AN228" s="564"/>
      <c r="AO228" s="564"/>
      <c r="AP228" s="564"/>
      <c r="AQ228" s="564"/>
      <c r="AR228" s="564"/>
      <c r="AS228" s="564"/>
      <c r="AT228" s="564"/>
      <c r="AU228" s="564"/>
      <c r="AV228" s="564"/>
      <c r="AW228" s="564"/>
      <c r="AX228" s="564"/>
      <c r="AY228" s="564"/>
      <c r="AZ228" s="564"/>
      <c r="BA228" s="564"/>
      <c r="BB228" s="564"/>
      <c r="BC228" s="564"/>
      <c r="BD228" s="564"/>
      <c r="BE228" s="564"/>
      <c r="BF228" s="564"/>
      <c r="BG228" s="564"/>
      <c r="BH228" s="564"/>
      <c r="BI228" s="564"/>
      <c r="BJ228" s="564"/>
      <c r="BK228" s="564"/>
      <c r="BL228" s="564"/>
      <c r="BM228" s="564"/>
      <c r="BN228" s="564"/>
      <c r="BO228" s="564"/>
      <c r="BP228" s="564"/>
      <c r="BQ228" s="564"/>
      <c r="BR228" s="564"/>
      <c r="BS228" s="564"/>
      <c r="BT228" s="564"/>
      <c r="BU228" s="564"/>
      <c r="BV228" s="564"/>
      <c r="BW228" s="564"/>
      <c r="BX228" s="564"/>
      <c r="BY228" s="564"/>
      <c r="BZ228" s="564"/>
      <c r="CA228" s="564"/>
      <c r="CB228" s="564"/>
      <c r="CC228" s="564"/>
      <c r="CD228" s="564"/>
      <c r="CE228" s="564"/>
      <c r="CF228" s="564"/>
      <c r="CG228" s="564"/>
      <c r="CH228" s="564"/>
      <c r="CI228" s="564"/>
      <c r="CJ228" s="564"/>
      <c r="CK228" s="564"/>
      <c r="CL228" s="564"/>
      <c r="CM228" s="564"/>
      <c r="CN228" s="564"/>
      <c r="CO228" s="564"/>
      <c r="CP228" s="564"/>
      <c r="CQ228" s="564"/>
      <c r="CR228" s="564"/>
      <c r="CS228" s="564"/>
      <c r="CT228" s="564"/>
      <c r="CU228" s="564"/>
      <c r="CV228" s="564"/>
      <c r="CW228" s="564"/>
      <c r="CX228" s="564"/>
      <c r="CY228" s="564"/>
      <c r="CZ228" s="564"/>
      <c r="DA228" s="564"/>
      <c r="DB228" s="564"/>
      <c r="DC228" s="564"/>
      <c r="DD228" s="564"/>
      <c r="DE228" s="564"/>
      <c r="DF228" s="564"/>
      <c r="DG228" s="564"/>
      <c r="DH228" s="564"/>
      <c r="DI228" s="564"/>
      <c r="DJ228" s="564"/>
      <c r="DK228" s="564"/>
      <c r="DL228" s="564"/>
      <c r="DM228" s="564"/>
      <c r="DN228" s="564"/>
      <c r="DO228" s="564"/>
      <c r="DP228" s="564"/>
      <c r="DQ228" s="564"/>
      <c r="DR228" s="564"/>
      <c r="DS228" s="564"/>
      <c r="DT228" s="564"/>
      <c r="DU228" s="564"/>
      <c r="DV228" s="564"/>
      <c r="DW228" s="564"/>
      <c r="DX228" s="564"/>
      <c r="DY228" s="564"/>
      <c r="DZ228" s="564"/>
      <c r="EA228" s="564"/>
      <c r="EB228" s="564"/>
      <c r="EC228" s="564"/>
      <c r="ED228" s="564"/>
      <c r="EE228" s="564"/>
      <c r="EF228" s="564"/>
      <c r="EG228" s="564"/>
      <c r="EH228" s="564"/>
      <c r="EI228" s="564"/>
      <c r="EJ228" s="564"/>
      <c r="EK228" s="564"/>
      <c r="EL228" s="564"/>
      <c r="EM228" s="564"/>
      <c r="EN228" s="564"/>
      <c r="EO228" s="564"/>
      <c r="EP228" s="564"/>
      <c r="EQ228" s="564"/>
      <c r="ER228" s="564"/>
      <c r="ES228" s="564"/>
      <c r="ET228" s="564"/>
      <c r="EU228" s="564"/>
      <c r="EV228" s="564"/>
      <c r="EW228" s="564"/>
      <c r="EX228" s="564"/>
      <c r="EY228" s="564"/>
      <c r="EZ228" s="564"/>
      <c r="FA228" s="564"/>
      <c r="FB228" s="564"/>
      <c r="FC228" s="564"/>
      <c r="FD228" s="564"/>
      <c r="FE228" s="564"/>
      <c r="FF228" s="564"/>
      <c r="FG228" s="564"/>
      <c r="FH228" s="564"/>
      <c r="FI228" s="564"/>
      <c r="FJ228" s="564"/>
      <c r="FK228" s="564"/>
      <c r="FL228" s="564"/>
      <c r="FM228" s="564"/>
      <c r="FN228" s="564"/>
      <c r="FO228" s="564"/>
      <c r="FP228" s="564"/>
      <c r="FQ228" s="564"/>
      <c r="FR228" s="564"/>
      <c r="FS228" s="564"/>
      <c r="FT228" s="564"/>
      <c r="FU228" s="564"/>
      <c r="FV228" s="564"/>
      <c r="FW228" s="564"/>
      <c r="FX228" s="564"/>
      <c r="FY228" s="564"/>
      <c r="FZ228" s="564"/>
      <c r="GA228" s="564"/>
      <c r="GB228" s="564"/>
      <c r="GC228" s="564"/>
      <c r="GD228" s="564"/>
      <c r="GE228" s="564"/>
      <c r="GF228" s="564"/>
      <c r="GG228" s="564"/>
      <c r="GH228" s="564"/>
      <c r="GI228" s="564"/>
      <c r="GJ228" s="564"/>
      <c r="GK228" s="564"/>
      <c r="GL228" s="564"/>
      <c r="GM228" s="564"/>
      <c r="GN228" s="564"/>
      <c r="GO228" s="564"/>
      <c r="GP228" s="564"/>
      <c r="GQ228" s="564"/>
      <c r="GR228" s="564"/>
      <c r="GS228" s="564"/>
      <c r="GT228" s="564"/>
      <c r="GU228" s="564"/>
      <c r="GV228" s="564"/>
      <c r="GW228" s="564"/>
      <c r="GX228" s="564"/>
      <c r="GY228" s="564"/>
      <c r="GZ228" s="564"/>
      <c r="HA228" s="564"/>
      <c r="HB228" s="564"/>
      <c r="HC228" s="564"/>
      <c r="HD228" s="564"/>
      <c r="HE228" s="564"/>
      <c r="HF228" s="564"/>
      <c r="HG228" s="564"/>
      <c r="HH228" s="564"/>
      <c r="HI228" s="564"/>
      <c r="HJ228" s="564"/>
      <c r="HK228" s="564"/>
      <c r="HL228" s="564"/>
      <c r="HM228" s="564"/>
      <c r="HN228" s="564"/>
      <c r="HO228" s="564"/>
      <c r="HP228" s="564"/>
      <c r="HQ228" s="564"/>
      <c r="HR228" s="564"/>
      <c r="HS228" s="564"/>
      <c r="HT228" s="564"/>
      <c r="HU228" s="564"/>
      <c r="HV228" s="564"/>
      <c r="HW228" s="564"/>
      <c r="HX228" s="564"/>
      <c r="HY228" s="564"/>
      <c r="HZ228" s="564"/>
      <c r="IA228" s="564"/>
      <c r="IB228" s="564"/>
      <c r="IC228" s="564"/>
      <c r="ID228" s="564"/>
      <c r="IE228" s="564"/>
      <c r="IF228" s="564"/>
      <c r="IG228" s="564"/>
      <c r="IH228" s="564"/>
      <c r="II228" s="564"/>
      <c r="IJ228" s="564"/>
      <c r="IK228" s="564"/>
      <c r="IL228" s="564"/>
      <c r="IM228" s="564"/>
      <c r="IN228" s="564"/>
      <c r="IO228" s="564"/>
      <c r="IP228" s="564"/>
      <c r="IQ228" s="564"/>
      <c r="IR228" s="564"/>
      <c r="IS228" s="564"/>
      <c r="IT228" s="564"/>
      <c r="IU228" s="564"/>
      <c r="IV228" s="564"/>
      <c r="IW228" s="564"/>
      <c r="IX228" s="564"/>
      <c r="IY228" s="564"/>
      <c r="IZ228" s="564"/>
      <c r="JA228" s="564"/>
      <c r="JB228" s="564"/>
      <c r="JC228" s="564"/>
      <c r="JD228" s="564"/>
      <c r="JE228" s="564"/>
      <c r="JF228" s="564"/>
      <c r="JG228" s="564"/>
      <c r="JH228" s="564"/>
      <c r="JI228" s="564"/>
      <c r="JJ228" s="564"/>
      <c r="JK228" s="564"/>
      <c r="JL228" s="564"/>
      <c r="JM228" s="564"/>
      <c r="JN228" s="564"/>
      <c r="JO228" s="564"/>
      <c r="JP228" s="564"/>
      <c r="JQ228" s="564"/>
      <c r="JR228" s="564"/>
      <c r="JS228" s="564"/>
      <c r="JT228" s="564"/>
      <c r="JU228" s="564"/>
      <c r="JV228" s="564"/>
    </row>
    <row r="229" spans="1:282" ht="50.1" customHeight="1" x14ac:dyDescent="0.2">
      <c r="A229" s="298"/>
      <c r="B229" s="30" t="s">
        <v>1137</v>
      </c>
      <c r="C229" s="30"/>
      <c r="D229" s="30"/>
      <c r="E229" s="30" t="s">
        <v>1727</v>
      </c>
      <c r="F229" s="196" t="s">
        <v>1080</v>
      </c>
      <c r="G229" s="30" t="s">
        <v>1058</v>
      </c>
      <c r="H229" s="30" t="s">
        <v>112</v>
      </c>
      <c r="I229" s="30"/>
      <c r="J229" s="30" t="s">
        <v>1728</v>
      </c>
      <c r="K229" s="30" t="s">
        <v>1393</v>
      </c>
      <c r="L229" s="29" t="s">
        <v>685</v>
      </c>
      <c r="M229" s="29" t="s">
        <v>2446</v>
      </c>
      <c r="N229" s="73">
        <v>42083</v>
      </c>
      <c r="O229" s="32" t="s">
        <v>1729</v>
      </c>
      <c r="P229" s="32"/>
      <c r="Q229" s="32"/>
      <c r="R229" s="32"/>
      <c r="S229" s="32"/>
      <c r="T229" s="560"/>
      <c r="U229" s="560"/>
      <c r="V229" s="560"/>
      <c r="W229" s="560"/>
      <c r="X229" s="560"/>
      <c r="Y229" s="560"/>
      <c r="Z229" s="560"/>
      <c r="AA229" s="560"/>
      <c r="AB229" s="560"/>
      <c r="AC229" s="560"/>
      <c r="AD229" s="560"/>
      <c r="AE229" s="560"/>
      <c r="AF229" s="560"/>
      <c r="AG229" s="560"/>
      <c r="AH229" s="560"/>
      <c r="AI229" s="560"/>
      <c r="AJ229" s="73">
        <v>42198</v>
      </c>
      <c r="AK229" s="648"/>
      <c r="AL229" s="174"/>
      <c r="AM229" s="564"/>
      <c r="AN229" s="564"/>
      <c r="AO229" s="564"/>
      <c r="AP229" s="564"/>
      <c r="AQ229" s="564"/>
      <c r="AR229" s="564"/>
      <c r="AS229" s="564"/>
      <c r="AT229" s="564"/>
      <c r="AU229" s="564"/>
      <c r="AV229" s="564"/>
      <c r="AW229" s="564"/>
      <c r="AX229" s="564"/>
      <c r="AY229" s="564"/>
      <c r="AZ229" s="564"/>
      <c r="BA229" s="564"/>
      <c r="BB229" s="564"/>
      <c r="BC229" s="564"/>
      <c r="BD229" s="564"/>
      <c r="BE229" s="564"/>
      <c r="BF229" s="564"/>
      <c r="BG229" s="564"/>
      <c r="BH229" s="564"/>
      <c r="BI229" s="564"/>
      <c r="BJ229" s="564"/>
      <c r="BK229" s="564"/>
      <c r="BL229" s="564"/>
      <c r="BM229" s="564"/>
      <c r="BN229" s="564"/>
      <c r="BO229" s="564"/>
      <c r="BP229" s="564"/>
      <c r="BQ229" s="564"/>
      <c r="BR229" s="564"/>
      <c r="BS229" s="564"/>
      <c r="BT229" s="564"/>
      <c r="BU229" s="564"/>
      <c r="BV229" s="564"/>
      <c r="BW229" s="564"/>
      <c r="BX229" s="564"/>
      <c r="BY229" s="564"/>
      <c r="BZ229" s="564"/>
      <c r="CA229" s="564"/>
      <c r="CB229" s="564"/>
      <c r="CC229" s="564"/>
      <c r="CD229" s="564"/>
      <c r="CE229" s="564"/>
      <c r="CF229" s="564"/>
      <c r="CG229" s="564"/>
      <c r="CH229" s="564"/>
      <c r="CI229" s="564"/>
      <c r="CJ229" s="564"/>
      <c r="CK229" s="564"/>
      <c r="CL229" s="564"/>
      <c r="CM229" s="564"/>
      <c r="CN229" s="564"/>
      <c r="CO229" s="564"/>
      <c r="CP229" s="564"/>
      <c r="CQ229" s="564"/>
      <c r="CR229" s="564"/>
      <c r="CS229" s="564"/>
      <c r="CT229" s="564"/>
      <c r="CU229" s="564"/>
      <c r="CV229" s="564"/>
      <c r="CW229" s="564"/>
      <c r="CX229" s="564"/>
      <c r="CY229" s="564"/>
      <c r="CZ229" s="564"/>
      <c r="DA229" s="564"/>
      <c r="DB229" s="564"/>
      <c r="DC229" s="564"/>
      <c r="DD229" s="564"/>
      <c r="DE229" s="564"/>
      <c r="DF229" s="564"/>
      <c r="DG229" s="564"/>
      <c r="DH229" s="564"/>
      <c r="DI229" s="564"/>
      <c r="DJ229" s="564"/>
      <c r="DK229" s="564"/>
      <c r="DL229" s="564"/>
      <c r="DM229" s="564"/>
      <c r="DN229" s="564"/>
      <c r="DO229" s="564"/>
      <c r="DP229" s="564"/>
      <c r="DQ229" s="564"/>
      <c r="DR229" s="564"/>
      <c r="DS229" s="564"/>
      <c r="DT229" s="564"/>
      <c r="DU229" s="564"/>
      <c r="DV229" s="564"/>
      <c r="DW229" s="564"/>
      <c r="DX229" s="564"/>
      <c r="DY229" s="564"/>
      <c r="DZ229" s="564"/>
      <c r="EA229" s="564"/>
      <c r="EB229" s="564"/>
      <c r="EC229" s="564"/>
      <c r="ED229" s="564"/>
      <c r="EE229" s="564"/>
      <c r="EF229" s="564"/>
      <c r="EG229" s="564"/>
      <c r="EH229" s="564"/>
      <c r="EI229" s="564"/>
      <c r="EJ229" s="564"/>
      <c r="EK229" s="564"/>
      <c r="EL229" s="564"/>
      <c r="EM229" s="564"/>
      <c r="EN229" s="564"/>
      <c r="EO229" s="564"/>
      <c r="EP229" s="564"/>
      <c r="EQ229" s="564"/>
      <c r="ER229" s="564"/>
      <c r="ES229" s="564"/>
      <c r="ET229" s="564"/>
      <c r="EU229" s="564"/>
      <c r="EV229" s="564"/>
      <c r="EW229" s="564"/>
      <c r="EX229" s="564"/>
      <c r="EY229" s="564"/>
      <c r="EZ229" s="564"/>
      <c r="FA229" s="564"/>
      <c r="FB229" s="564"/>
      <c r="FC229" s="564"/>
      <c r="FD229" s="564"/>
      <c r="FE229" s="564"/>
      <c r="FF229" s="564"/>
      <c r="FG229" s="564"/>
      <c r="FH229" s="564"/>
      <c r="FI229" s="564"/>
      <c r="FJ229" s="564"/>
      <c r="FK229" s="564"/>
      <c r="FL229" s="564"/>
      <c r="FM229" s="564"/>
      <c r="FN229" s="564"/>
      <c r="FO229" s="564"/>
      <c r="FP229" s="564"/>
      <c r="FQ229" s="564"/>
      <c r="FR229" s="564"/>
      <c r="FS229" s="564"/>
      <c r="FT229" s="564"/>
      <c r="FU229" s="564"/>
      <c r="FV229" s="564"/>
      <c r="FW229" s="564"/>
      <c r="FX229" s="564"/>
      <c r="FY229" s="564"/>
      <c r="FZ229" s="564"/>
      <c r="GA229" s="564"/>
      <c r="GB229" s="564"/>
      <c r="GC229" s="564"/>
      <c r="GD229" s="564"/>
      <c r="GE229" s="564"/>
      <c r="GF229" s="564"/>
      <c r="GG229" s="564"/>
      <c r="GH229" s="564"/>
      <c r="GI229" s="564"/>
      <c r="GJ229" s="564"/>
      <c r="GK229" s="564"/>
      <c r="GL229" s="564"/>
      <c r="GM229" s="564"/>
      <c r="GN229" s="564"/>
      <c r="GO229" s="564"/>
      <c r="GP229" s="564"/>
      <c r="GQ229" s="564"/>
      <c r="GR229" s="564"/>
      <c r="GS229" s="564"/>
      <c r="GT229" s="564"/>
      <c r="GU229" s="564"/>
      <c r="GV229" s="564"/>
      <c r="GW229" s="564"/>
      <c r="GX229" s="564"/>
      <c r="GY229" s="564"/>
      <c r="GZ229" s="564"/>
      <c r="HA229" s="564"/>
      <c r="HB229" s="564"/>
      <c r="HC229" s="564"/>
      <c r="HD229" s="564"/>
      <c r="HE229" s="564"/>
      <c r="HF229" s="564"/>
      <c r="HG229" s="564"/>
      <c r="HH229" s="564"/>
      <c r="HI229" s="564"/>
      <c r="HJ229" s="564"/>
      <c r="HK229" s="564"/>
      <c r="HL229" s="564"/>
      <c r="HM229" s="564"/>
      <c r="HN229" s="564"/>
      <c r="HO229" s="564"/>
      <c r="HP229" s="564"/>
      <c r="HQ229" s="564"/>
      <c r="HR229" s="564"/>
      <c r="HS229" s="564"/>
      <c r="HT229" s="564"/>
      <c r="HU229" s="564"/>
      <c r="HV229" s="564"/>
      <c r="HW229" s="564"/>
      <c r="HX229" s="564"/>
      <c r="HY229" s="564"/>
      <c r="HZ229" s="564"/>
      <c r="IA229" s="564"/>
      <c r="IB229" s="564"/>
      <c r="IC229" s="564"/>
      <c r="ID229" s="564"/>
      <c r="IE229" s="564"/>
      <c r="IF229" s="564"/>
      <c r="IG229" s="564"/>
      <c r="IH229" s="564"/>
      <c r="II229" s="564"/>
      <c r="IJ229" s="564"/>
      <c r="IK229" s="564"/>
      <c r="IL229" s="564"/>
      <c r="IM229" s="564"/>
      <c r="IN229" s="564"/>
      <c r="IO229" s="564"/>
      <c r="IP229" s="564"/>
      <c r="IQ229" s="564"/>
      <c r="IR229" s="564"/>
      <c r="IS229" s="564"/>
      <c r="IT229" s="564"/>
      <c r="IU229" s="564"/>
      <c r="IV229" s="564"/>
      <c r="IW229" s="564"/>
      <c r="IX229" s="564"/>
      <c r="IY229" s="564"/>
      <c r="IZ229" s="564"/>
      <c r="JA229" s="564"/>
      <c r="JB229" s="564"/>
      <c r="JC229" s="564"/>
      <c r="JD229" s="564"/>
      <c r="JE229" s="564"/>
      <c r="JF229" s="564"/>
      <c r="JG229" s="564"/>
      <c r="JH229" s="564"/>
      <c r="JI229" s="564"/>
      <c r="JJ229" s="564"/>
      <c r="JK229" s="564"/>
      <c r="JL229" s="564"/>
      <c r="JM229" s="564"/>
      <c r="JN229" s="564"/>
      <c r="JO229" s="564"/>
      <c r="JP229" s="564"/>
      <c r="JQ229" s="564"/>
      <c r="JR229" s="564"/>
      <c r="JS229" s="564"/>
      <c r="JT229" s="564"/>
      <c r="JU229" s="564"/>
      <c r="JV229" s="564"/>
    </row>
    <row r="230" spans="1:282" s="14" customFormat="1" ht="50.1" customHeight="1" x14ac:dyDescent="0.2">
      <c r="A230" s="706"/>
      <c r="B230" s="68" t="s">
        <v>1137</v>
      </c>
      <c r="C230" s="68"/>
      <c r="D230" s="68"/>
      <c r="E230" s="29" t="s">
        <v>390</v>
      </c>
      <c r="F230" s="198" t="s">
        <v>391</v>
      </c>
      <c r="G230" s="74" t="s">
        <v>99</v>
      </c>
      <c r="H230" s="29" t="s">
        <v>387</v>
      </c>
      <c r="I230" s="29"/>
      <c r="J230" s="74" t="s">
        <v>386</v>
      </c>
      <c r="K230" s="29" t="s">
        <v>1393</v>
      </c>
      <c r="L230" s="29" t="s">
        <v>12</v>
      </c>
      <c r="M230" s="29" t="s">
        <v>2444</v>
      </c>
      <c r="N230" s="74">
        <v>41086</v>
      </c>
      <c r="O230" s="69" t="s">
        <v>401</v>
      </c>
      <c r="P230" s="69"/>
      <c r="Q230" s="69"/>
      <c r="R230" s="69"/>
      <c r="S230" s="69"/>
      <c r="T230" s="155"/>
      <c r="U230" s="155"/>
      <c r="V230" s="155"/>
      <c r="W230" s="155"/>
      <c r="X230" s="155"/>
      <c r="Y230" s="155"/>
      <c r="Z230" s="155"/>
      <c r="AA230" s="155"/>
      <c r="AB230" s="155"/>
      <c r="AC230" s="155"/>
      <c r="AD230" s="155"/>
      <c r="AE230" s="155"/>
      <c r="AF230" s="155"/>
      <c r="AG230" s="155"/>
      <c r="AH230" s="155"/>
      <c r="AI230" s="155"/>
      <c r="AJ230" s="73">
        <v>42205</v>
      </c>
      <c r="AK230" s="648"/>
      <c r="AL230" s="602"/>
      <c r="AM230" s="7"/>
      <c r="AN230" s="7"/>
      <c r="AO230" s="7"/>
      <c r="AP230" s="587"/>
      <c r="AQ230" s="587"/>
      <c r="AR230" s="587"/>
      <c r="AS230" s="587"/>
      <c r="AT230" s="587"/>
      <c r="AU230" s="587"/>
      <c r="AV230" s="587"/>
      <c r="AW230" s="587"/>
      <c r="AX230" s="587"/>
      <c r="AY230" s="587"/>
      <c r="AZ230" s="587"/>
      <c r="BA230" s="587"/>
      <c r="BB230" s="587"/>
      <c r="BC230" s="587"/>
      <c r="BD230" s="587"/>
      <c r="BE230" s="587"/>
      <c r="BF230" s="587"/>
      <c r="BG230" s="587"/>
      <c r="BH230" s="587"/>
      <c r="BI230" s="587"/>
      <c r="BJ230" s="587"/>
      <c r="BK230" s="587"/>
      <c r="BL230" s="587"/>
      <c r="BM230" s="587"/>
      <c r="BN230" s="587"/>
      <c r="BO230" s="587"/>
      <c r="BP230" s="587"/>
      <c r="BQ230" s="587"/>
      <c r="BR230" s="587"/>
      <c r="BS230" s="587"/>
      <c r="BT230" s="587"/>
      <c r="BU230" s="587"/>
      <c r="BV230" s="587"/>
      <c r="BW230" s="587"/>
      <c r="BX230" s="587"/>
      <c r="BY230" s="587"/>
      <c r="BZ230" s="587"/>
      <c r="CA230" s="587"/>
      <c r="CB230" s="587"/>
      <c r="CC230" s="587"/>
      <c r="CD230" s="587"/>
      <c r="CE230" s="587"/>
      <c r="CF230" s="587"/>
      <c r="CG230" s="587"/>
      <c r="CH230" s="587"/>
      <c r="CI230" s="587"/>
      <c r="CJ230" s="587"/>
      <c r="CK230" s="587"/>
      <c r="CL230" s="587"/>
      <c r="CM230" s="587"/>
      <c r="CN230" s="587"/>
      <c r="CO230" s="587"/>
      <c r="CP230" s="587"/>
      <c r="CQ230" s="587"/>
      <c r="CR230" s="587"/>
      <c r="CS230" s="587"/>
      <c r="CT230" s="587"/>
      <c r="CU230" s="587"/>
      <c r="CV230" s="587"/>
      <c r="CW230" s="587"/>
      <c r="CX230" s="587"/>
      <c r="CY230" s="587"/>
      <c r="CZ230" s="587"/>
      <c r="DA230" s="587"/>
      <c r="DB230" s="587"/>
      <c r="DC230" s="587"/>
      <c r="DD230" s="587"/>
      <c r="DE230" s="587"/>
    </row>
    <row r="231" spans="1:282" s="3" customFormat="1" ht="50.1" customHeight="1" x14ac:dyDescent="0.2">
      <c r="A231" s="693"/>
      <c r="B231" s="30" t="s">
        <v>1137</v>
      </c>
      <c r="C231" s="30"/>
      <c r="D231" s="30"/>
      <c r="E231" s="30" t="s">
        <v>1725</v>
      </c>
      <c r="F231" s="196" t="s">
        <v>1726</v>
      </c>
      <c r="G231" s="30" t="s">
        <v>846</v>
      </c>
      <c r="H231" s="30" t="s">
        <v>112</v>
      </c>
      <c r="I231" s="30"/>
      <c r="J231" s="30" t="s">
        <v>848</v>
      </c>
      <c r="K231" s="30" t="s">
        <v>1393</v>
      </c>
      <c r="L231" s="29" t="s">
        <v>685</v>
      </c>
      <c r="M231" s="29" t="s">
        <v>2446</v>
      </c>
      <c r="N231" s="73">
        <v>42083</v>
      </c>
      <c r="O231" s="32" t="s">
        <v>1730</v>
      </c>
      <c r="P231" s="32"/>
      <c r="Q231" s="32"/>
      <c r="R231" s="32"/>
      <c r="S231" s="32"/>
      <c r="T231" s="174"/>
      <c r="U231" s="174"/>
      <c r="V231" s="174"/>
      <c r="W231" s="174"/>
      <c r="X231" s="174"/>
      <c r="Y231" s="174"/>
      <c r="Z231" s="174"/>
      <c r="AA231" s="174"/>
      <c r="AB231" s="174"/>
      <c r="AC231" s="174"/>
      <c r="AD231" s="174"/>
      <c r="AE231" s="174"/>
      <c r="AF231" s="174"/>
      <c r="AG231" s="174"/>
      <c r="AH231" s="174"/>
      <c r="AI231" s="174"/>
      <c r="AJ231" s="73">
        <v>42205</v>
      </c>
      <c r="AK231" s="648"/>
      <c r="AL231" s="174"/>
      <c r="AM231" s="587"/>
      <c r="AN231" s="587"/>
      <c r="AO231" s="587"/>
      <c r="AP231" s="587"/>
      <c r="AQ231" s="587"/>
      <c r="AR231" s="587"/>
      <c r="AS231" s="587"/>
      <c r="AT231" s="587"/>
      <c r="AU231" s="587"/>
      <c r="AV231" s="587"/>
      <c r="AW231" s="587"/>
      <c r="AX231" s="587"/>
      <c r="AY231" s="587"/>
      <c r="AZ231" s="587"/>
      <c r="BA231" s="587"/>
      <c r="BB231" s="587"/>
      <c r="BC231" s="587"/>
      <c r="BD231" s="587"/>
      <c r="BE231" s="587"/>
      <c r="BF231" s="587"/>
      <c r="BG231" s="587"/>
      <c r="BH231" s="587"/>
      <c r="BI231" s="587"/>
      <c r="BJ231" s="587"/>
      <c r="BK231" s="587"/>
      <c r="BL231" s="587"/>
      <c r="BM231" s="587"/>
      <c r="BN231" s="587"/>
      <c r="BO231" s="587"/>
      <c r="BP231" s="587"/>
      <c r="BQ231" s="587"/>
      <c r="BR231" s="587"/>
      <c r="BS231" s="587"/>
      <c r="BT231" s="587"/>
      <c r="BU231" s="587"/>
      <c r="BV231" s="587"/>
      <c r="BW231" s="587"/>
      <c r="BX231" s="587"/>
      <c r="BY231" s="587"/>
      <c r="BZ231" s="587"/>
      <c r="CA231" s="587"/>
      <c r="CB231" s="587"/>
      <c r="CC231" s="587"/>
      <c r="CD231" s="587"/>
      <c r="CE231" s="587"/>
      <c r="CF231" s="587"/>
      <c r="CG231" s="587"/>
      <c r="CH231" s="587"/>
      <c r="CI231" s="587"/>
      <c r="CJ231" s="587"/>
      <c r="CK231" s="587"/>
      <c r="CL231" s="587"/>
      <c r="CM231" s="587"/>
      <c r="CN231" s="587"/>
      <c r="CO231" s="587"/>
      <c r="CP231" s="587"/>
      <c r="CQ231" s="587"/>
      <c r="CR231" s="587"/>
      <c r="CS231" s="587"/>
      <c r="CT231" s="587"/>
      <c r="CU231" s="587"/>
      <c r="CV231" s="587"/>
      <c r="CW231" s="587"/>
      <c r="CX231" s="587"/>
      <c r="CY231" s="587"/>
      <c r="CZ231" s="587"/>
      <c r="DA231" s="587"/>
      <c r="DB231" s="587"/>
      <c r="DC231" s="587"/>
      <c r="DD231" s="587"/>
      <c r="DE231" s="587"/>
      <c r="DF231" s="587"/>
      <c r="DG231" s="587"/>
      <c r="DH231" s="587"/>
      <c r="DI231" s="587"/>
      <c r="DJ231" s="587"/>
      <c r="DK231" s="587"/>
      <c r="DL231" s="587"/>
      <c r="DM231" s="587"/>
      <c r="DN231" s="587"/>
      <c r="DO231" s="587"/>
      <c r="DP231" s="587"/>
      <c r="DQ231" s="587"/>
      <c r="DR231" s="587"/>
      <c r="DS231" s="587"/>
      <c r="DT231" s="587"/>
      <c r="DU231" s="587"/>
      <c r="DV231" s="587"/>
      <c r="DW231" s="587"/>
      <c r="DX231" s="587"/>
      <c r="DY231" s="587"/>
      <c r="DZ231" s="587"/>
      <c r="EA231" s="587"/>
      <c r="EB231" s="587"/>
      <c r="EC231" s="587"/>
      <c r="ED231" s="587"/>
      <c r="EE231" s="587"/>
      <c r="EF231" s="587"/>
      <c r="EG231" s="587"/>
      <c r="EH231" s="587"/>
      <c r="EI231" s="587"/>
      <c r="EJ231" s="587"/>
      <c r="EK231" s="587"/>
      <c r="EL231" s="587"/>
      <c r="EM231" s="587"/>
      <c r="EN231" s="587"/>
      <c r="EO231" s="587"/>
      <c r="EP231" s="587"/>
      <c r="EQ231" s="587"/>
      <c r="ER231" s="587"/>
      <c r="ES231" s="587"/>
      <c r="ET231" s="587"/>
      <c r="EU231" s="587"/>
      <c r="EV231" s="587"/>
      <c r="EW231" s="587"/>
      <c r="EX231" s="587"/>
      <c r="EY231" s="587"/>
      <c r="EZ231" s="587"/>
      <c r="FA231" s="587"/>
      <c r="FB231" s="587"/>
      <c r="FC231" s="587"/>
      <c r="FD231" s="587"/>
      <c r="FE231" s="587"/>
      <c r="FF231" s="587"/>
      <c r="FG231" s="587"/>
      <c r="FH231" s="587"/>
      <c r="FI231" s="587"/>
      <c r="FJ231" s="587"/>
      <c r="FK231" s="587"/>
      <c r="FL231" s="587"/>
      <c r="FM231" s="587"/>
      <c r="FN231" s="587"/>
      <c r="FO231" s="587"/>
      <c r="FP231" s="587"/>
      <c r="FQ231" s="587"/>
      <c r="FR231" s="587"/>
      <c r="FS231" s="587"/>
      <c r="FT231" s="587"/>
      <c r="FU231" s="587"/>
      <c r="FV231" s="587"/>
      <c r="FW231" s="587"/>
      <c r="FX231" s="587"/>
      <c r="FY231" s="587"/>
      <c r="FZ231" s="587"/>
      <c r="GA231" s="587"/>
      <c r="GB231" s="587"/>
      <c r="GC231" s="587"/>
      <c r="GD231" s="587"/>
      <c r="GE231" s="587"/>
      <c r="GF231" s="587"/>
      <c r="GG231" s="587"/>
      <c r="GH231" s="587"/>
      <c r="GI231" s="587"/>
      <c r="GJ231" s="587"/>
      <c r="GK231" s="587"/>
      <c r="GL231" s="587"/>
      <c r="GM231" s="587"/>
      <c r="GN231" s="587"/>
      <c r="GO231" s="587"/>
      <c r="GP231" s="587"/>
      <c r="GQ231" s="587"/>
      <c r="GR231" s="587"/>
      <c r="GS231" s="587"/>
      <c r="GT231" s="587"/>
      <c r="GU231" s="587"/>
      <c r="GV231" s="587"/>
      <c r="GW231" s="587"/>
      <c r="GX231" s="587"/>
      <c r="GY231" s="587"/>
      <c r="GZ231" s="587"/>
      <c r="HA231" s="587"/>
      <c r="HB231" s="587"/>
      <c r="HC231" s="587"/>
      <c r="HD231" s="587"/>
      <c r="HE231" s="587"/>
      <c r="HF231" s="587"/>
      <c r="HG231" s="587"/>
      <c r="HH231" s="587"/>
      <c r="HI231" s="587"/>
      <c r="HJ231" s="587"/>
      <c r="HK231" s="587"/>
      <c r="HL231" s="587"/>
      <c r="HM231" s="587"/>
      <c r="HN231" s="587"/>
      <c r="HO231" s="587"/>
      <c r="HP231" s="587"/>
      <c r="HQ231" s="587"/>
      <c r="HR231" s="587"/>
      <c r="HS231" s="587"/>
      <c r="HT231" s="587"/>
      <c r="HU231" s="587"/>
      <c r="HV231" s="587"/>
      <c r="HW231" s="587"/>
      <c r="HX231" s="587"/>
      <c r="HY231" s="587"/>
      <c r="HZ231" s="587"/>
      <c r="IA231" s="587"/>
      <c r="IB231" s="587"/>
      <c r="IC231" s="587"/>
      <c r="ID231" s="587"/>
      <c r="IE231" s="587"/>
      <c r="IF231" s="587"/>
      <c r="IG231" s="587"/>
      <c r="IH231" s="587"/>
      <c r="II231" s="587"/>
      <c r="IJ231" s="587"/>
      <c r="IK231" s="587"/>
      <c r="IL231" s="587"/>
      <c r="IM231" s="587"/>
      <c r="IN231" s="587"/>
      <c r="IO231" s="587"/>
      <c r="IP231" s="587"/>
      <c r="IQ231" s="587"/>
      <c r="IR231" s="587"/>
      <c r="IS231" s="587"/>
      <c r="IT231" s="587"/>
      <c r="IU231" s="587"/>
      <c r="IV231" s="587"/>
      <c r="IW231" s="587"/>
      <c r="IX231" s="587"/>
      <c r="IY231" s="587"/>
      <c r="IZ231" s="587"/>
      <c r="JA231" s="587"/>
      <c r="JB231" s="587"/>
      <c r="JC231" s="587"/>
      <c r="JD231" s="587"/>
      <c r="JE231" s="587"/>
      <c r="JF231" s="587"/>
      <c r="JG231" s="587"/>
      <c r="JH231" s="587"/>
      <c r="JI231" s="587"/>
      <c r="JJ231" s="587"/>
      <c r="JK231" s="587"/>
      <c r="JL231" s="587"/>
      <c r="JM231" s="587"/>
      <c r="JN231" s="587"/>
      <c r="JO231" s="587"/>
      <c r="JP231" s="587"/>
      <c r="JQ231" s="587"/>
      <c r="JR231" s="587"/>
      <c r="JS231" s="587"/>
      <c r="JT231" s="587"/>
      <c r="JU231" s="587"/>
      <c r="JV231" s="587"/>
    </row>
    <row r="232" spans="1:282" ht="50.1" customHeight="1" x14ac:dyDescent="0.2">
      <c r="A232" s="298"/>
      <c r="B232" s="30" t="s">
        <v>1137</v>
      </c>
      <c r="C232" s="30"/>
      <c r="D232" s="30"/>
      <c r="E232" s="30" t="s">
        <v>1958</v>
      </c>
      <c r="F232" s="196" t="s">
        <v>1959</v>
      </c>
      <c r="G232" s="30" t="s">
        <v>507</v>
      </c>
      <c r="H232" s="30" t="s">
        <v>1806</v>
      </c>
      <c r="I232" s="30"/>
      <c r="J232" s="30" t="s">
        <v>40</v>
      </c>
      <c r="K232" s="30" t="s">
        <v>1540</v>
      </c>
      <c r="L232" s="30" t="s">
        <v>12</v>
      </c>
      <c r="M232" s="30" t="s">
        <v>1615</v>
      </c>
      <c r="N232" s="73">
        <v>42144</v>
      </c>
      <c r="O232" s="32" t="s">
        <v>1960</v>
      </c>
      <c r="P232" s="32"/>
      <c r="Q232" s="32"/>
      <c r="R232" s="32"/>
      <c r="S232" s="32"/>
      <c r="T232" s="560"/>
      <c r="U232" s="560"/>
      <c r="V232" s="560"/>
      <c r="W232" s="560"/>
      <c r="X232" s="560"/>
      <c r="Y232" s="560"/>
      <c r="Z232" s="560"/>
      <c r="AA232" s="560"/>
      <c r="AB232" s="560"/>
      <c r="AC232" s="560"/>
      <c r="AD232" s="560"/>
      <c r="AE232" s="560"/>
      <c r="AF232" s="560"/>
      <c r="AG232" s="560"/>
      <c r="AH232" s="560"/>
      <c r="AI232" s="560"/>
      <c r="AJ232" s="73">
        <v>42233</v>
      </c>
      <c r="AK232" s="648"/>
      <c r="AL232" s="174"/>
      <c r="AM232" s="564"/>
      <c r="AN232" s="564"/>
      <c r="AO232" s="564"/>
      <c r="AP232" s="564"/>
      <c r="AQ232" s="564"/>
      <c r="AR232" s="564"/>
      <c r="AS232" s="564"/>
      <c r="AT232" s="564"/>
      <c r="AU232" s="564"/>
      <c r="AV232" s="564"/>
      <c r="AW232" s="564"/>
      <c r="AX232" s="564"/>
      <c r="AY232" s="564"/>
      <c r="AZ232" s="564"/>
      <c r="BA232" s="564"/>
      <c r="BB232" s="564"/>
      <c r="BC232" s="564"/>
      <c r="BD232" s="564"/>
      <c r="BE232" s="564"/>
      <c r="BF232" s="564"/>
      <c r="BG232" s="564"/>
      <c r="BH232" s="564"/>
      <c r="BI232" s="564"/>
      <c r="BJ232" s="564"/>
      <c r="BK232" s="564"/>
      <c r="BL232" s="564"/>
      <c r="BM232" s="564"/>
      <c r="BN232" s="564"/>
      <c r="BO232" s="564"/>
      <c r="BP232" s="564"/>
      <c r="BQ232" s="564"/>
      <c r="BR232" s="564"/>
      <c r="BS232" s="564"/>
      <c r="BT232" s="564"/>
      <c r="BU232" s="564"/>
      <c r="BV232" s="564"/>
      <c r="BW232" s="564"/>
      <c r="BX232" s="564"/>
      <c r="BY232" s="564"/>
      <c r="BZ232" s="564"/>
      <c r="CA232" s="564"/>
      <c r="CB232" s="564"/>
      <c r="CC232" s="564"/>
      <c r="CD232" s="564"/>
      <c r="CE232" s="564"/>
      <c r="CF232" s="564"/>
      <c r="CG232" s="564"/>
      <c r="CH232" s="564"/>
      <c r="CI232" s="564"/>
      <c r="CJ232" s="564"/>
      <c r="CK232" s="564"/>
      <c r="CL232" s="564"/>
      <c r="CM232" s="564"/>
      <c r="CN232" s="564"/>
      <c r="CO232" s="564"/>
      <c r="CP232" s="564"/>
      <c r="CQ232" s="564"/>
      <c r="CR232" s="564"/>
      <c r="CS232" s="564"/>
      <c r="CT232" s="564"/>
      <c r="CU232" s="564"/>
      <c r="CV232" s="564"/>
      <c r="CW232" s="564"/>
      <c r="CX232" s="564"/>
      <c r="CY232" s="564"/>
      <c r="CZ232" s="564"/>
      <c r="DA232" s="564"/>
      <c r="DB232" s="564"/>
      <c r="DC232" s="564"/>
      <c r="DD232" s="564"/>
      <c r="DE232" s="564"/>
      <c r="DF232" s="564"/>
      <c r="DG232" s="564"/>
      <c r="DH232" s="564"/>
      <c r="DI232" s="564"/>
      <c r="DJ232" s="564"/>
      <c r="DK232" s="564"/>
      <c r="DL232" s="564"/>
      <c r="DM232" s="564"/>
      <c r="DN232" s="564"/>
      <c r="DO232" s="564"/>
      <c r="DP232" s="564"/>
      <c r="DQ232" s="564"/>
      <c r="DR232" s="564"/>
      <c r="DS232" s="564"/>
      <c r="DT232" s="564"/>
      <c r="DU232" s="564"/>
      <c r="DV232" s="564"/>
      <c r="DW232" s="564"/>
      <c r="DX232" s="564"/>
      <c r="DY232" s="564"/>
      <c r="DZ232" s="564"/>
      <c r="EA232" s="564"/>
      <c r="EB232" s="564"/>
      <c r="EC232" s="564"/>
      <c r="ED232" s="564"/>
      <c r="EE232" s="564"/>
      <c r="EF232" s="564"/>
      <c r="EG232" s="564"/>
      <c r="EH232" s="564"/>
      <c r="EI232" s="564"/>
      <c r="EJ232" s="564"/>
      <c r="EK232" s="564"/>
      <c r="EL232" s="564"/>
      <c r="EM232" s="564"/>
      <c r="EN232" s="564"/>
      <c r="EO232" s="564"/>
      <c r="EP232" s="564"/>
      <c r="EQ232" s="564"/>
      <c r="ER232" s="564"/>
      <c r="ES232" s="564"/>
      <c r="ET232" s="564"/>
      <c r="EU232" s="564"/>
      <c r="EV232" s="564"/>
      <c r="EW232" s="564"/>
      <c r="EX232" s="564"/>
      <c r="EY232" s="564"/>
      <c r="EZ232" s="564"/>
      <c r="FA232" s="564"/>
      <c r="FB232" s="564"/>
      <c r="FC232" s="564"/>
      <c r="FD232" s="564"/>
      <c r="FE232" s="564"/>
      <c r="FF232" s="564"/>
      <c r="FG232" s="564"/>
      <c r="FH232" s="564"/>
      <c r="FI232" s="564"/>
      <c r="FJ232" s="564"/>
      <c r="FK232" s="564"/>
      <c r="FL232" s="564"/>
      <c r="FM232" s="564"/>
      <c r="FN232" s="564"/>
      <c r="FO232" s="564"/>
      <c r="FP232" s="564"/>
      <c r="FQ232" s="564"/>
      <c r="FR232" s="564"/>
      <c r="FS232" s="564"/>
      <c r="FT232" s="564"/>
      <c r="FU232" s="564"/>
      <c r="FV232" s="564"/>
      <c r="FW232" s="564"/>
      <c r="FX232" s="564"/>
      <c r="FY232" s="564"/>
      <c r="FZ232" s="564"/>
      <c r="GA232" s="564"/>
      <c r="GB232" s="564"/>
      <c r="GC232" s="564"/>
      <c r="GD232" s="564"/>
      <c r="GE232" s="564"/>
      <c r="GF232" s="564"/>
      <c r="GG232" s="564"/>
      <c r="GH232" s="564"/>
      <c r="GI232" s="564"/>
      <c r="GJ232" s="564"/>
      <c r="GK232" s="564"/>
      <c r="GL232" s="564"/>
      <c r="GM232" s="564"/>
      <c r="GN232" s="564"/>
      <c r="GO232" s="564"/>
      <c r="GP232" s="564"/>
      <c r="GQ232" s="564"/>
      <c r="GR232" s="564"/>
      <c r="GS232" s="564"/>
      <c r="GT232" s="564"/>
      <c r="GU232" s="564"/>
      <c r="GV232" s="564"/>
      <c r="GW232" s="564"/>
      <c r="GX232" s="564"/>
      <c r="GY232" s="564"/>
      <c r="GZ232" s="564"/>
      <c r="HA232" s="564"/>
      <c r="HB232" s="564"/>
      <c r="HC232" s="564"/>
      <c r="HD232" s="564"/>
      <c r="HE232" s="564"/>
      <c r="HF232" s="564"/>
      <c r="HG232" s="564"/>
      <c r="HH232" s="564"/>
      <c r="HI232" s="564"/>
      <c r="HJ232" s="564"/>
      <c r="HK232" s="564"/>
      <c r="HL232" s="564"/>
      <c r="HM232" s="564"/>
      <c r="HN232" s="564"/>
      <c r="HO232" s="564"/>
      <c r="HP232" s="564"/>
      <c r="HQ232" s="564"/>
      <c r="HR232" s="564"/>
      <c r="HS232" s="564"/>
      <c r="HT232" s="564"/>
      <c r="HU232" s="564"/>
      <c r="HV232" s="564"/>
      <c r="HW232" s="564"/>
      <c r="HX232" s="564"/>
      <c r="HY232" s="564"/>
      <c r="HZ232" s="564"/>
      <c r="IA232" s="564"/>
      <c r="IB232" s="564"/>
      <c r="IC232" s="564"/>
      <c r="ID232" s="564"/>
      <c r="IE232" s="564"/>
      <c r="IF232" s="564"/>
      <c r="IG232" s="564"/>
      <c r="IH232" s="564"/>
      <c r="II232" s="564"/>
      <c r="IJ232" s="564"/>
      <c r="IK232" s="564"/>
      <c r="IL232" s="564"/>
      <c r="IM232" s="564"/>
      <c r="IN232" s="564"/>
      <c r="IO232" s="564"/>
      <c r="IP232" s="564"/>
      <c r="IQ232" s="564"/>
      <c r="IR232" s="564"/>
      <c r="IS232" s="564"/>
      <c r="IT232" s="564"/>
      <c r="IU232" s="564"/>
      <c r="IV232" s="564"/>
      <c r="IW232" s="564"/>
      <c r="IX232" s="564"/>
      <c r="IY232" s="564"/>
      <c r="IZ232" s="564"/>
      <c r="JA232" s="564"/>
      <c r="JB232" s="564"/>
      <c r="JC232" s="564"/>
      <c r="JD232" s="564"/>
      <c r="JE232" s="564"/>
      <c r="JF232" s="564"/>
      <c r="JG232" s="564"/>
      <c r="JH232" s="564"/>
      <c r="JI232" s="564"/>
      <c r="JJ232" s="564"/>
      <c r="JK232" s="564"/>
      <c r="JL232" s="564"/>
      <c r="JM232" s="564"/>
      <c r="JN232" s="564"/>
      <c r="JO232" s="564"/>
      <c r="JP232" s="564"/>
      <c r="JQ232" s="564"/>
      <c r="JR232" s="564"/>
      <c r="JS232" s="564"/>
      <c r="JT232" s="564"/>
      <c r="JU232" s="564"/>
      <c r="JV232" s="564"/>
    </row>
    <row r="233" spans="1:282" ht="50.1" customHeight="1" x14ac:dyDescent="0.2">
      <c r="A233" s="298"/>
      <c r="B233" s="30" t="s">
        <v>1137</v>
      </c>
      <c r="C233" s="30"/>
      <c r="D233" s="30"/>
      <c r="E233" s="29" t="s">
        <v>1857</v>
      </c>
      <c r="F233" s="196" t="s">
        <v>1886</v>
      </c>
      <c r="G233" s="30" t="s">
        <v>103</v>
      </c>
      <c r="H233" s="30" t="s">
        <v>1806</v>
      </c>
      <c r="I233" s="30"/>
      <c r="J233" s="30" t="s">
        <v>79</v>
      </c>
      <c r="K233" s="30" t="s">
        <v>1393</v>
      </c>
      <c r="L233" s="30" t="s">
        <v>1856</v>
      </c>
      <c r="M233" s="29" t="s">
        <v>1615</v>
      </c>
      <c r="N233" s="73">
        <v>41880</v>
      </c>
      <c r="O233" s="69" t="s">
        <v>1858</v>
      </c>
      <c r="P233" s="69"/>
      <c r="Q233" s="69"/>
      <c r="R233" s="69"/>
      <c r="S233" s="69"/>
      <c r="T233" s="560"/>
      <c r="U233" s="560"/>
      <c r="V233" s="560"/>
      <c r="W233" s="560"/>
      <c r="X233" s="560"/>
      <c r="Y233" s="560"/>
      <c r="Z233" s="560"/>
      <c r="AA233" s="560"/>
      <c r="AB233" s="560"/>
      <c r="AC233" s="560"/>
      <c r="AD233" s="560"/>
      <c r="AE233" s="560"/>
      <c r="AF233" s="560"/>
      <c r="AG233" s="560"/>
      <c r="AH233" s="560"/>
      <c r="AI233" s="560"/>
      <c r="AJ233" s="73">
        <v>42233</v>
      </c>
      <c r="AK233" s="648"/>
      <c r="AL233" s="174"/>
      <c r="AM233" s="564"/>
      <c r="AN233" s="564"/>
      <c r="AO233" s="564"/>
      <c r="AP233" s="564"/>
      <c r="AQ233" s="564"/>
      <c r="AR233" s="564"/>
      <c r="AS233" s="564"/>
      <c r="AT233" s="564"/>
      <c r="AU233" s="564"/>
      <c r="AV233" s="564"/>
      <c r="AW233" s="564"/>
      <c r="AX233" s="564"/>
      <c r="AY233" s="564"/>
      <c r="AZ233" s="564"/>
      <c r="BA233" s="564"/>
      <c r="BB233" s="564"/>
      <c r="BC233" s="564"/>
      <c r="BD233" s="564"/>
      <c r="BE233" s="564"/>
      <c r="BF233" s="564"/>
      <c r="BG233" s="564"/>
      <c r="BH233" s="564"/>
      <c r="BI233" s="564"/>
      <c r="BJ233" s="564"/>
      <c r="BK233" s="564"/>
      <c r="BL233" s="564"/>
      <c r="BM233" s="564"/>
      <c r="BN233" s="564"/>
      <c r="BO233" s="564"/>
      <c r="BP233" s="564"/>
      <c r="BQ233" s="564"/>
      <c r="BR233" s="564"/>
      <c r="BS233" s="564"/>
      <c r="BT233" s="564"/>
      <c r="BU233" s="564"/>
      <c r="BV233" s="564"/>
      <c r="BW233" s="564"/>
      <c r="BX233" s="564"/>
      <c r="BY233" s="564"/>
      <c r="BZ233" s="564"/>
      <c r="CA233" s="564"/>
      <c r="CB233" s="564"/>
      <c r="CC233" s="564"/>
      <c r="CD233" s="564"/>
      <c r="CE233" s="564"/>
      <c r="CF233" s="564"/>
      <c r="CG233" s="564"/>
      <c r="CH233" s="564"/>
      <c r="CI233" s="564"/>
      <c r="CJ233" s="564"/>
      <c r="CK233" s="564"/>
      <c r="CL233" s="564"/>
      <c r="CM233" s="564"/>
      <c r="CN233" s="564"/>
      <c r="CO233" s="564"/>
      <c r="CP233" s="564"/>
      <c r="CQ233" s="564"/>
      <c r="CR233" s="564"/>
      <c r="CS233" s="564"/>
      <c r="CT233" s="564"/>
      <c r="CU233" s="564"/>
      <c r="CV233" s="564"/>
      <c r="CW233" s="564"/>
      <c r="CX233" s="564"/>
      <c r="CY233" s="564"/>
      <c r="CZ233" s="564"/>
      <c r="DA233" s="564"/>
      <c r="DB233" s="564"/>
      <c r="DC233" s="564"/>
      <c r="DD233" s="564"/>
      <c r="DE233" s="564"/>
      <c r="DF233" s="564"/>
      <c r="DG233" s="564"/>
      <c r="DH233" s="564"/>
      <c r="DI233" s="564"/>
      <c r="DJ233" s="564"/>
      <c r="DK233" s="564"/>
      <c r="DL233" s="564"/>
      <c r="DM233" s="564"/>
      <c r="DN233" s="564"/>
      <c r="DO233" s="564"/>
      <c r="DP233" s="564"/>
      <c r="DQ233" s="564"/>
      <c r="DR233" s="564"/>
      <c r="DS233" s="564"/>
      <c r="DT233" s="564"/>
      <c r="DU233" s="564"/>
      <c r="DV233" s="564"/>
      <c r="DW233" s="564"/>
      <c r="DX233" s="564"/>
      <c r="DY233" s="564"/>
      <c r="DZ233" s="564"/>
      <c r="EA233" s="564"/>
      <c r="EB233" s="564"/>
      <c r="EC233" s="564"/>
      <c r="ED233" s="564"/>
      <c r="EE233" s="564"/>
      <c r="EF233" s="564"/>
      <c r="EG233" s="564"/>
      <c r="EH233" s="564"/>
      <c r="EI233" s="564"/>
      <c r="EJ233" s="564"/>
      <c r="EK233" s="564"/>
      <c r="EL233" s="564"/>
      <c r="EM233" s="564"/>
      <c r="EN233" s="564"/>
      <c r="EO233" s="564"/>
      <c r="EP233" s="564"/>
      <c r="EQ233" s="564"/>
      <c r="ER233" s="564"/>
      <c r="ES233" s="564"/>
      <c r="ET233" s="564"/>
      <c r="EU233" s="564"/>
      <c r="EV233" s="564"/>
      <c r="EW233" s="564"/>
      <c r="EX233" s="564"/>
      <c r="EY233" s="564"/>
      <c r="EZ233" s="564"/>
      <c r="FA233" s="564"/>
      <c r="FB233" s="564"/>
      <c r="FC233" s="564"/>
      <c r="FD233" s="564"/>
      <c r="FE233" s="564"/>
      <c r="FF233" s="564"/>
      <c r="FG233" s="564"/>
      <c r="FH233" s="564"/>
      <c r="FI233" s="564"/>
      <c r="FJ233" s="564"/>
      <c r="FK233" s="564"/>
      <c r="FL233" s="564"/>
      <c r="FM233" s="564"/>
      <c r="FN233" s="564"/>
      <c r="FO233" s="564"/>
      <c r="FP233" s="564"/>
      <c r="FQ233" s="564"/>
      <c r="FR233" s="564"/>
      <c r="FS233" s="564"/>
      <c r="FT233" s="564"/>
      <c r="FU233" s="564"/>
      <c r="FV233" s="564"/>
      <c r="FW233" s="564"/>
      <c r="FX233" s="564"/>
      <c r="FY233" s="564"/>
      <c r="FZ233" s="564"/>
      <c r="GA233" s="564"/>
      <c r="GB233" s="564"/>
      <c r="GC233" s="564"/>
      <c r="GD233" s="564"/>
      <c r="GE233" s="564"/>
      <c r="GF233" s="564"/>
      <c r="GG233" s="564"/>
      <c r="GH233" s="564"/>
      <c r="GI233" s="564"/>
      <c r="GJ233" s="564"/>
      <c r="GK233" s="564"/>
      <c r="GL233" s="564"/>
      <c r="GM233" s="564"/>
      <c r="GN233" s="564"/>
      <c r="GO233" s="564"/>
      <c r="GP233" s="564"/>
      <c r="GQ233" s="564"/>
      <c r="GR233" s="564"/>
      <c r="GS233" s="564"/>
      <c r="GT233" s="564"/>
      <c r="GU233" s="564"/>
      <c r="GV233" s="564"/>
      <c r="GW233" s="564"/>
      <c r="GX233" s="564"/>
      <c r="GY233" s="564"/>
      <c r="GZ233" s="564"/>
      <c r="HA233" s="564"/>
      <c r="HB233" s="564"/>
      <c r="HC233" s="564"/>
      <c r="HD233" s="564"/>
      <c r="HE233" s="564"/>
      <c r="HF233" s="564"/>
      <c r="HG233" s="564"/>
      <c r="HH233" s="564"/>
      <c r="HI233" s="564"/>
      <c r="HJ233" s="564"/>
      <c r="HK233" s="564"/>
      <c r="HL233" s="564"/>
      <c r="HM233" s="564"/>
      <c r="HN233" s="564"/>
      <c r="HO233" s="564"/>
      <c r="HP233" s="564"/>
      <c r="HQ233" s="564"/>
      <c r="HR233" s="564"/>
      <c r="HS233" s="564"/>
      <c r="HT233" s="564"/>
      <c r="HU233" s="564"/>
      <c r="HV233" s="564"/>
      <c r="HW233" s="564"/>
      <c r="HX233" s="564"/>
      <c r="HY233" s="564"/>
      <c r="HZ233" s="564"/>
      <c r="IA233" s="564"/>
      <c r="IB233" s="564"/>
      <c r="IC233" s="564"/>
      <c r="ID233" s="564"/>
      <c r="IE233" s="564"/>
      <c r="IF233" s="564"/>
      <c r="IG233" s="564"/>
      <c r="IH233" s="564"/>
      <c r="II233" s="564"/>
      <c r="IJ233" s="564"/>
      <c r="IK233" s="564"/>
      <c r="IL233" s="564"/>
      <c r="IM233" s="564"/>
      <c r="IN233" s="564"/>
      <c r="IO233" s="564"/>
      <c r="IP233" s="564"/>
      <c r="IQ233" s="564"/>
      <c r="IR233" s="564"/>
      <c r="IS233" s="564"/>
      <c r="IT233" s="564"/>
      <c r="IU233" s="564"/>
      <c r="IV233" s="564"/>
      <c r="IW233" s="564"/>
      <c r="IX233" s="564"/>
      <c r="IY233" s="564"/>
      <c r="IZ233" s="564"/>
      <c r="JA233" s="564"/>
      <c r="JB233" s="564"/>
      <c r="JC233" s="564"/>
      <c r="JD233" s="564"/>
      <c r="JE233" s="564"/>
      <c r="JF233" s="564"/>
      <c r="JG233" s="564"/>
      <c r="JH233" s="564"/>
      <c r="JI233" s="564"/>
      <c r="JJ233" s="564"/>
      <c r="JK233" s="564"/>
      <c r="JL233" s="564"/>
      <c r="JM233" s="564"/>
      <c r="JN233" s="564"/>
      <c r="JO233" s="564"/>
      <c r="JP233" s="564"/>
      <c r="JQ233" s="564"/>
      <c r="JR233" s="564"/>
      <c r="JS233" s="564"/>
      <c r="JT233" s="564"/>
      <c r="JU233" s="564"/>
      <c r="JV233" s="564"/>
    </row>
    <row r="234" spans="1:282" ht="50.1" customHeight="1" x14ac:dyDescent="0.2">
      <c r="A234" s="298"/>
      <c r="B234" s="705" t="s">
        <v>1137</v>
      </c>
      <c r="C234" s="705"/>
      <c r="D234" s="705"/>
      <c r="E234" s="729" t="s">
        <v>1807</v>
      </c>
      <c r="F234" s="722" t="s">
        <v>1809</v>
      </c>
      <c r="G234" s="729" t="s">
        <v>205</v>
      </c>
      <c r="H234" s="729" t="s">
        <v>1806</v>
      </c>
      <c r="I234" s="729"/>
      <c r="J234" s="729" t="s">
        <v>1810</v>
      </c>
      <c r="K234" s="729" t="s">
        <v>1394</v>
      </c>
      <c r="L234" s="165" t="s">
        <v>685</v>
      </c>
      <c r="M234" s="165" t="s">
        <v>1615</v>
      </c>
      <c r="N234" s="739">
        <v>41808</v>
      </c>
      <c r="O234" s="752" t="s">
        <v>1811</v>
      </c>
      <c r="P234" s="752"/>
      <c r="Q234" s="752"/>
      <c r="R234" s="752"/>
      <c r="S234" s="752"/>
      <c r="T234" s="171" t="s">
        <v>2674</v>
      </c>
      <c r="U234" s="171"/>
      <c r="V234" s="171"/>
      <c r="W234" s="171"/>
      <c r="X234" s="171"/>
      <c r="Y234" s="171"/>
      <c r="Z234" s="171"/>
      <c r="AA234" s="171"/>
      <c r="AB234" s="171"/>
      <c r="AC234" s="171"/>
      <c r="AD234" s="171"/>
      <c r="AE234" s="171"/>
      <c r="AF234" s="171"/>
      <c r="AG234" s="171"/>
      <c r="AH234" s="171"/>
      <c r="AI234" s="171"/>
      <c r="AJ234" s="739">
        <v>42247</v>
      </c>
      <c r="AK234" s="648"/>
      <c r="AL234" s="174"/>
      <c r="AM234" s="564"/>
      <c r="AN234" s="564"/>
      <c r="AO234" s="564"/>
      <c r="AP234" s="564"/>
      <c r="AQ234" s="564"/>
      <c r="AR234" s="564"/>
      <c r="AS234" s="564"/>
      <c r="AT234" s="564"/>
      <c r="AU234" s="564"/>
      <c r="AV234" s="564"/>
      <c r="AW234" s="564"/>
      <c r="AX234" s="564"/>
      <c r="AY234" s="564"/>
      <c r="AZ234" s="564"/>
      <c r="BA234" s="564"/>
      <c r="BB234" s="564"/>
      <c r="BC234" s="564"/>
      <c r="BD234" s="564"/>
      <c r="BE234" s="564"/>
      <c r="BF234" s="564"/>
      <c r="BG234" s="564"/>
      <c r="BH234" s="564"/>
      <c r="BI234" s="564"/>
      <c r="BJ234" s="564"/>
      <c r="BK234" s="564"/>
      <c r="BL234" s="564"/>
      <c r="BM234" s="564"/>
      <c r="BN234" s="564"/>
      <c r="BO234" s="564"/>
      <c r="BP234" s="564"/>
      <c r="BQ234" s="564"/>
      <c r="BR234" s="564"/>
      <c r="BS234" s="564"/>
      <c r="BT234" s="564"/>
      <c r="BU234" s="564"/>
      <c r="BV234" s="564"/>
      <c r="BW234" s="564"/>
      <c r="BX234" s="564"/>
      <c r="BY234" s="564"/>
      <c r="BZ234" s="564"/>
      <c r="CA234" s="564"/>
      <c r="CB234" s="564"/>
      <c r="CC234" s="564"/>
      <c r="CD234" s="564"/>
      <c r="CE234" s="564"/>
      <c r="CF234" s="564"/>
      <c r="CG234" s="564"/>
      <c r="CH234" s="564"/>
      <c r="CI234" s="564"/>
      <c r="CJ234" s="564"/>
      <c r="CK234" s="564"/>
      <c r="CL234" s="564"/>
      <c r="CM234" s="564"/>
      <c r="CN234" s="564"/>
      <c r="CO234" s="564"/>
      <c r="CP234" s="564"/>
      <c r="CQ234" s="564"/>
      <c r="CR234" s="564"/>
      <c r="CS234" s="564"/>
      <c r="CT234" s="564"/>
      <c r="CU234" s="564"/>
      <c r="CV234" s="564"/>
      <c r="CW234" s="564"/>
      <c r="CX234" s="564"/>
      <c r="CY234" s="564"/>
      <c r="CZ234" s="564"/>
      <c r="DA234" s="564"/>
      <c r="DB234" s="564"/>
      <c r="DC234" s="564"/>
      <c r="DD234" s="564"/>
      <c r="DE234" s="564"/>
      <c r="DF234" s="564"/>
      <c r="DG234" s="564"/>
      <c r="DH234" s="564"/>
      <c r="DI234" s="564"/>
      <c r="DJ234" s="564"/>
      <c r="DK234" s="564"/>
      <c r="DL234" s="564"/>
      <c r="DM234" s="564"/>
      <c r="DN234" s="564"/>
      <c r="DO234" s="564"/>
      <c r="DP234" s="564"/>
      <c r="DQ234" s="564"/>
      <c r="DR234" s="564"/>
      <c r="DS234" s="564"/>
      <c r="DT234" s="564"/>
      <c r="DU234" s="564"/>
      <c r="DV234" s="564"/>
      <c r="DW234" s="564"/>
      <c r="DX234" s="564"/>
      <c r="DY234" s="564"/>
      <c r="DZ234" s="564"/>
      <c r="EA234" s="564"/>
      <c r="EB234" s="564"/>
      <c r="EC234" s="564"/>
      <c r="ED234" s="564"/>
      <c r="EE234" s="564"/>
      <c r="EF234" s="564"/>
      <c r="EG234" s="564"/>
      <c r="EH234" s="564"/>
      <c r="EI234" s="564"/>
      <c r="EJ234" s="564"/>
      <c r="EK234" s="564"/>
      <c r="EL234" s="564"/>
      <c r="EM234" s="564"/>
      <c r="EN234" s="564"/>
      <c r="EO234" s="564"/>
      <c r="EP234" s="564"/>
      <c r="EQ234" s="564"/>
      <c r="ER234" s="564"/>
      <c r="ES234" s="564"/>
      <c r="ET234" s="564"/>
      <c r="EU234" s="564"/>
      <c r="EV234" s="564"/>
      <c r="EW234" s="564"/>
      <c r="EX234" s="564"/>
      <c r="EY234" s="564"/>
      <c r="EZ234" s="564"/>
      <c r="FA234" s="564"/>
      <c r="FB234" s="564"/>
      <c r="FC234" s="564"/>
      <c r="FD234" s="564"/>
      <c r="FE234" s="564"/>
      <c r="FF234" s="564"/>
      <c r="FG234" s="564"/>
      <c r="FH234" s="564"/>
      <c r="FI234" s="564"/>
      <c r="FJ234" s="564"/>
      <c r="FK234" s="564"/>
      <c r="FL234" s="564"/>
      <c r="FM234" s="564"/>
      <c r="FN234" s="564"/>
      <c r="FO234" s="564"/>
      <c r="FP234" s="564"/>
      <c r="FQ234" s="564"/>
      <c r="FR234" s="564"/>
      <c r="FS234" s="564"/>
      <c r="FT234" s="564"/>
      <c r="FU234" s="564"/>
      <c r="FV234" s="564"/>
      <c r="FW234" s="564"/>
      <c r="FX234" s="564"/>
      <c r="FY234" s="564"/>
      <c r="FZ234" s="564"/>
      <c r="GA234" s="564"/>
      <c r="GB234" s="564"/>
      <c r="GC234" s="564"/>
      <c r="GD234" s="564"/>
      <c r="GE234" s="564"/>
      <c r="GF234" s="564"/>
      <c r="GG234" s="564"/>
      <c r="GH234" s="564"/>
      <c r="GI234" s="564"/>
      <c r="GJ234" s="564"/>
      <c r="GK234" s="564"/>
      <c r="GL234" s="564"/>
      <c r="GM234" s="564"/>
      <c r="GN234" s="564"/>
      <c r="GO234" s="564"/>
      <c r="GP234" s="564"/>
      <c r="GQ234" s="564"/>
      <c r="GR234" s="564"/>
      <c r="GS234" s="564"/>
      <c r="GT234" s="564"/>
      <c r="GU234" s="564"/>
      <c r="GV234" s="564"/>
      <c r="GW234" s="564"/>
      <c r="GX234" s="564"/>
      <c r="GY234" s="564"/>
      <c r="GZ234" s="564"/>
      <c r="HA234" s="564"/>
      <c r="HB234" s="564"/>
      <c r="HC234" s="564"/>
      <c r="HD234" s="564"/>
      <c r="HE234" s="564"/>
      <c r="HF234" s="564"/>
      <c r="HG234" s="564"/>
      <c r="HH234" s="564"/>
      <c r="HI234" s="564"/>
      <c r="HJ234" s="564"/>
      <c r="HK234" s="564"/>
      <c r="HL234" s="564"/>
      <c r="HM234" s="564"/>
      <c r="HN234" s="564"/>
      <c r="HO234" s="564"/>
      <c r="HP234" s="564"/>
      <c r="HQ234" s="564"/>
      <c r="HR234" s="564"/>
      <c r="HS234" s="564"/>
      <c r="HT234" s="564"/>
      <c r="HU234" s="564"/>
      <c r="HV234" s="564"/>
      <c r="HW234" s="564"/>
      <c r="HX234" s="564"/>
      <c r="HY234" s="564"/>
      <c r="HZ234" s="564"/>
      <c r="IA234" s="564"/>
      <c r="IB234" s="564"/>
      <c r="IC234" s="564"/>
      <c r="ID234" s="564"/>
      <c r="IE234" s="564"/>
      <c r="IF234" s="564"/>
      <c r="IG234" s="564"/>
      <c r="IH234" s="564"/>
      <c r="II234" s="564"/>
      <c r="IJ234" s="564"/>
      <c r="IK234" s="564"/>
      <c r="IL234" s="564"/>
      <c r="IM234" s="564"/>
      <c r="IN234" s="564"/>
      <c r="IO234" s="564"/>
      <c r="IP234" s="564"/>
      <c r="IQ234" s="564"/>
      <c r="IR234" s="564"/>
      <c r="IS234" s="564"/>
      <c r="IT234" s="564"/>
      <c r="IU234" s="564"/>
      <c r="IV234" s="564"/>
      <c r="IW234" s="564"/>
      <c r="IX234" s="564"/>
      <c r="IY234" s="564"/>
      <c r="IZ234" s="564"/>
      <c r="JA234" s="564"/>
      <c r="JB234" s="564"/>
      <c r="JC234" s="564"/>
      <c r="JD234" s="564"/>
      <c r="JE234" s="564"/>
      <c r="JF234" s="564"/>
      <c r="JG234" s="564"/>
      <c r="JH234" s="564"/>
      <c r="JI234" s="564"/>
      <c r="JJ234" s="564"/>
      <c r="JK234" s="564"/>
      <c r="JL234" s="564"/>
      <c r="JM234" s="564"/>
      <c r="JN234" s="564"/>
      <c r="JO234" s="564"/>
      <c r="JP234" s="564"/>
      <c r="JQ234" s="564"/>
      <c r="JR234" s="564"/>
      <c r="JS234" s="564"/>
      <c r="JT234" s="564"/>
      <c r="JU234" s="564"/>
      <c r="JV234" s="564"/>
    </row>
    <row r="235" spans="1:282" ht="50.1" customHeight="1" x14ac:dyDescent="0.2">
      <c r="A235" s="298"/>
      <c r="B235" s="704" t="s">
        <v>1137</v>
      </c>
      <c r="C235" s="704"/>
      <c r="D235" s="704"/>
      <c r="E235" s="703" t="s">
        <v>434</v>
      </c>
      <c r="F235" s="722" t="s">
        <v>1757</v>
      </c>
      <c r="G235" s="738" t="s">
        <v>470</v>
      </c>
      <c r="H235" s="188" t="s">
        <v>1565</v>
      </c>
      <c r="I235" s="188"/>
      <c r="J235" s="723" t="s">
        <v>360</v>
      </c>
      <c r="K235" s="165" t="s">
        <v>1394</v>
      </c>
      <c r="L235" s="165" t="s">
        <v>12</v>
      </c>
      <c r="M235" s="165" t="s">
        <v>1615</v>
      </c>
      <c r="N235" s="723">
        <v>41155</v>
      </c>
      <c r="O235" s="703" t="s">
        <v>435</v>
      </c>
      <c r="P235" s="703"/>
      <c r="Q235" s="703"/>
      <c r="R235" s="703"/>
      <c r="S235" s="703"/>
      <c r="T235" s="171" t="s">
        <v>2983</v>
      </c>
      <c r="U235" s="171"/>
      <c r="V235" s="171"/>
      <c r="W235" s="171"/>
      <c r="X235" s="171"/>
      <c r="Y235" s="171"/>
      <c r="Z235" s="171"/>
      <c r="AA235" s="171"/>
      <c r="AB235" s="171"/>
      <c r="AC235" s="171"/>
      <c r="AD235" s="171"/>
      <c r="AE235" s="171"/>
      <c r="AF235" s="171"/>
      <c r="AG235" s="171"/>
      <c r="AH235" s="171"/>
      <c r="AI235" s="171"/>
      <c r="AJ235" s="739">
        <v>42247</v>
      </c>
      <c r="AK235" s="648"/>
      <c r="AL235" s="174"/>
      <c r="AM235" s="564"/>
      <c r="AN235" s="564"/>
      <c r="AO235" s="564"/>
      <c r="AP235" s="564"/>
      <c r="AQ235" s="564"/>
      <c r="AR235" s="564"/>
      <c r="AS235" s="564"/>
      <c r="AT235" s="564"/>
      <c r="AU235" s="564"/>
      <c r="AV235" s="564"/>
      <c r="AW235" s="564"/>
      <c r="AX235" s="564"/>
      <c r="AY235" s="564"/>
      <c r="AZ235" s="564"/>
      <c r="BA235" s="564"/>
      <c r="BB235" s="564"/>
      <c r="BC235" s="564"/>
      <c r="BD235" s="564"/>
      <c r="BE235" s="564"/>
      <c r="BF235" s="564"/>
      <c r="BG235" s="564"/>
      <c r="BH235" s="564"/>
      <c r="BI235" s="564"/>
      <c r="BJ235" s="564"/>
      <c r="BK235" s="564"/>
      <c r="BL235" s="564"/>
      <c r="BM235" s="564"/>
      <c r="BN235" s="564"/>
      <c r="BO235" s="564"/>
      <c r="BP235" s="564"/>
      <c r="BQ235" s="564"/>
      <c r="BR235" s="564"/>
      <c r="BS235" s="564"/>
      <c r="BT235" s="564"/>
      <c r="BU235" s="564"/>
      <c r="BV235" s="564"/>
      <c r="BW235" s="564"/>
      <c r="BX235" s="564"/>
      <c r="BY235" s="564"/>
      <c r="BZ235" s="564"/>
      <c r="CA235" s="564"/>
      <c r="CB235" s="564"/>
      <c r="CC235" s="564"/>
      <c r="CD235" s="564"/>
      <c r="CE235" s="564"/>
      <c r="CF235" s="564"/>
      <c r="CG235" s="564"/>
      <c r="CH235" s="564"/>
      <c r="CI235" s="564"/>
      <c r="CJ235" s="564"/>
      <c r="CK235" s="564"/>
      <c r="CL235" s="564"/>
      <c r="CM235" s="564"/>
      <c r="CN235" s="564"/>
      <c r="CO235" s="564"/>
      <c r="CP235" s="564"/>
      <c r="CQ235" s="564"/>
      <c r="CR235" s="564"/>
      <c r="CS235" s="564"/>
      <c r="CT235" s="564"/>
      <c r="CU235" s="564"/>
      <c r="CV235" s="564"/>
      <c r="CW235" s="564"/>
      <c r="CX235" s="564"/>
      <c r="CY235" s="564"/>
      <c r="CZ235" s="564"/>
      <c r="DA235" s="564"/>
      <c r="DB235" s="564"/>
      <c r="DC235" s="564"/>
      <c r="DD235" s="564"/>
      <c r="DE235" s="564"/>
      <c r="DF235" s="564"/>
      <c r="DG235" s="564"/>
      <c r="DH235" s="564"/>
      <c r="DI235" s="564"/>
      <c r="DJ235" s="564"/>
      <c r="DK235" s="564"/>
      <c r="DL235" s="564"/>
      <c r="DM235" s="564"/>
      <c r="DN235" s="564"/>
      <c r="DO235" s="564"/>
      <c r="DP235" s="564"/>
      <c r="DQ235" s="564"/>
      <c r="DR235" s="564"/>
      <c r="DS235" s="564"/>
      <c r="DT235" s="564"/>
      <c r="DU235" s="564"/>
      <c r="DV235" s="564"/>
      <c r="DW235" s="564"/>
      <c r="DX235" s="564"/>
      <c r="DY235" s="564"/>
      <c r="DZ235" s="564"/>
      <c r="EA235" s="564"/>
      <c r="EB235" s="564"/>
      <c r="EC235" s="564"/>
      <c r="ED235" s="564"/>
      <c r="EE235" s="564"/>
      <c r="EF235" s="564"/>
      <c r="EG235" s="564"/>
      <c r="EH235" s="564"/>
      <c r="EI235" s="564"/>
      <c r="EJ235" s="564"/>
      <c r="EK235" s="564"/>
      <c r="EL235" s="564"/>
      <c r="EM235" s="564"/>
      <c r="EN235" s="564"/>
      <c r="EO235" s="564"/>
      <c r="EP235" s="564"/>
      <c r="EQ235" s="564"/>
      <c r="ER235" s="564"/>
      <c r="ES235" s="564"/>
      <c r="ET235" s="564"/>
      <c r="EU235" s="564"/>
      <c r="EV235" s="564"/>
      <c r="EW235" s="564"/>
      <c r="EX235" s="564"/>
      <c r="EY235" s="564"/>
      <c r="EZ235" s="564"/>
      <c r="FA235" s="564"/>
      <c r="FB235" s="564"/>
      <c r="FC235" s="564"/>
      <c r="FD235" s="564"/>
      <c r="FE235" s="564"/>
      <c r="FF235" s="564"/>
      <c r="FG235" s="564"/>
      <c r="FH235" s="564"/>
      <c r="FI235" s="564"/>
      <c r="FJ235" s="564"/>
      <c r="FK235" s="564"/>
      <c r="FL235" s="564"/>
      <c r="FM235" s="564"/>
      <c r="FN235" s="564"/>
      <c r="FO235" s="564"/>
      <c r="FP235" s="564"/>
      <c r="FQ235" s="564"/>
      <c r="FR235" s="564"/>
      <c r="FS235" s="564"/>
      <c r="FT235" s="564"/>
      <c r="FU235" s="564"/>
      <c r="FV235" s="564"/>
      <c r="FW235" s="564"/>
      <c r="FX235" s="564"/>
      <c r="FY235" s="564"/>
      <c r="FZ235" s="564"/>
      <c r="GA235" s="564"/>
      <c r="GB235" s="564"/>
      <c r="GC235" s="564"/>
      <c r="GD235" s="564"/>
      <c r="GE235" s="564"/>
      <c r="GF235" s="564"/>
      <c r="GG235" s="564"/>
      <c r="GH235" s="564"/>
      <c r="GI235" s="564"/>
      <c r="GJ235" s="564"/>
      <c r="GK235" s="564"/>
      <c r="GL235" s="564"/>
      <c r="GM235" s="564"/>
      <c r="GN235" s="564"/>
      <c r="GO235" s="564"/>
      <c r="GP235" s="564"/>
      <c r="GQ235" s="564"/>
      <c r="GR235" s="564"/>
      <c r="GS235" s="564"/>
      <c r="GT235" s="564"/>
      <c r="GU235" s="564"/>
      <c r="GV235" s="564"/>
      <c r="GW235" s="564"/>
      <c r="GX235" s="564"/>
      <c r="GY235" s="564"/>
      <c r="GZ235" s="564"/>
      <c r="HA235" s="564"/>
      <c r="HB235" s="564"/>
      <c r="HC235" s="564"/>
      <c r="HD235" s="564"/>
      <c r="HE235" s="564"/>
      <c r="HF235" s="564"/>
      <c r="HG235" s="564"/>
      <c r="HH235" s="564"/>
      <c r="HI235" s="564"/>
      <c r="HJ235" s="564"/>
      <c r="HK235" s="564"/>
      <c r="HL235" s="564"/>
      <c r="HM235" s="564"/>
      <c r="HN235" s="564"/>
      <c r="HO235" s="564"/>
      <c r="HP235" s="564"/>
      <c r="HQ235" s="564"/>
      <c r="HR235" s="564"/>
      <c r="HS235" s="564"/>
      <c r="HT235" s="564"/>
      <c r="HU235" s="564"/>
      <c r="HV235" s="564"/>
      <c r="HW235" s="564"/>
      <c r="HX235" s="564"/>
      <c r="HY235" s="564"/>
      <c r="HZ235" s="564"/>
      <c r="IA235" s="564"/>
      <c r="IB235" s="564"/>
      <c r="IC235" s="564"/>
      <c r="ID235" s="564"/>
      <c r="IE235" s="564"/>
      <c r="IF235" s="564"/>
      <c r="IG235" s="564"/>
      <c r="IH235" s="564"/>
      <c r="II235" s="564"/>
      <c r="IJ235" s="564"/>
      <c r="IK235" s="564"/>
      <c r="IL235" s="564"/>
      <c r="IM235" s="564"/>
      <c r="IN235" s="564"/>
      <c r="IO235" s="564"/>
      <c r="IP235" s="564"/>
      <c r="IQ235" s="564"/>
      <c r="IR235" s="564"/>
      <c r="IS235" s="564"/>
      <c r="IT235" s="564"/>
      <c r="IU235" s="564"/>
      <c r="IV235" s="564"/>
      <c r="IW235" s="564"/>
      <c r="IX235" s="564"/>
      <c r="IY235" s="564"/>
      <c r="IZ235" s="564"/>
      <c r="JA235" s="564"/>
      <c r="JB235" s="564"/>
      <c r="JC235" s="564"/>
      <c r="JD235" s="564"/>
      <c r="JE235" s="564"/>
      <c r="JF235" s="564"/>
      <c r="JG235" s="564"/>
      <c r="JH235" s="564"/>
      <c r="JI235" s="564"/>
      <c r="JJ235" s="564"/>
      <c r="JK235" s="564"/>
      <c r="JL235" s="564"/>
      <c r="JM235" s="564"/>
      <c r="JN235" s="564"/>
      <c r="JO235" s="564"/>
      <c r="JP235" s="564"/>
      <c r="JQ235" s="564"/>
      <c r="JR235" s="564"/>
      <c r="JS235" s="564"/>
      <c r="JT235" s="564"/>
      <c r="JU235" s="564"/>
      <c r="JV235" s="564"/>
    </row>
    <row r="236" spans="1:282" ht="50.1" customHeight="1" x14ac:dyDescent="0.2">
      <c r="A236" s="298"/>
      <c r="B236" s="704" t="s">
        <v>1137</v>
      </c>
      <c r="C236" s="704"/>
      <c r="D236" s="704"/>
      <c r="E236" s="703" t="s">
        <v>442</v>
      </c>
      <c r="F236" s="756" t="s">
        <v>1758</v>
      </c>
      <c r="G236" s="738" t="s">
        <v>470</v>
      </c>
      <c r="H236" s="188" t="s">
        <v>1565</v>
      </c>
      <c r="I236" s="188"/>
      <c r="J236" s="723" t="s">
        <v>360</v>
      </c>
      <c r="K236" s="165" t="s">
        <v>1393</v>
      </c>
      <c r="L236" s="165" t="s">
        <v>12</v>
      </c>
      <c r="M236" s="165" t="s">
        <v>1615</v>
      </c>
      <c r="N236" s="723">
        <v>41193</v>
      </c>
      <c r="O236" s="703" t="s">
        <v>441</v>
      </c>
      <c r="P236" s="703"/>
      <c r="Q236" s="703"/>
      <c r="R236" s="703"/>
      <c r="S236" s="703"/>
      <c r="T236" s="171" t="s">
        <v>2983</v>
      </c>
      <c r="U236" s="171"/>
      <c r="V236" s="171"/>
      <c r="W236" s="171"/>
      <c r="X236" s="171"/>
      <c r="Y236" s="171"/>
      <c r="Z236" s="171"/>
      <c r="AA236" s="171"/>
      <c r="AB236" s="171"/>
      <c r="AC236" s="171"/>
      <c r="AD236" s="171"/>
      <c r="AE236" s="171"/>
      <c r="AF236" s="171"/>
      <c r="AG236" s="171"/>
      <c r="AH236" s="171"/>
      <c r="AI236" s="171"/>
      <c r="AJ236" s="739">
        <v>42247</v>
      </c>
      <c r="AK236" s="648"/>
      <c r="AL236" s="174"/>
      <c r="AM236" s="564"/>
      <c r="AN236" s="564"/>
      <c r="AO236" s="564"/>
      <c r="AP236" s="564"/>
      <c r="AQ236" s="564"/>
      <c r="AR236" s="564"/>
      <c r="AS236" s="564"/>
      <c r="AT236" s="564"/>
      <c r="AU236" s="564"/>
      <c r="AV236" s="564"/>
      <c r="AW236" s="564"/>
      <c r="AX236" s="564"/>
      <c r="AY236" s="564"/>
      <c r="AZ236" s="564"/>
      <c r="BA236" s="564"/>
      <c r="BB236" s="564"/>
      <c r="BC236" s="564"/>
      <c r="BD236" s="564"/>
      <c r="BE236" s="564"/>
      <c r="BF236" s="564"/>
      <c r="BG236" s="564"/>
      <c r="BH236" s="564"/>
      <c r="BI236" s="564"/>
      <c r="BJ236" s="564"/>
      <c r="BK236" s="564"/>
      <c r="BL236" s="564"/>
      <c r="BM236" s="564"/>
      <c r="BN236" s="564"/>
      <c r="BO236" s="564"/>
      <c r="BP236" s="564"/>
      <c r="BQ236" s="564"/>
      <c r="BR236" s="564"/>
      <c r="BS236" s="564"/>
      <c r="BT236" s="564"/>
      <c r="BU236" s="564"/>
      <c r="BV236" s="564"/>
      <c r="BW236" s="564"/>
      <c r="BX236" s="564"/>
      <c r="BY236" s="564"/>
      <c r="BZ236" s="564"/>
      <c r="CA236" s="564"/>
      <c r="CB236" s="564"/>
      <c r="CC236" s="564"/>
      <c r="CD236" s="564"/>
      <c r="CE236" s="564"/>
      <c r="CF236" s="564"/>
      <c r="CG236" s="564"/>
      <c r="CH236" s="564"/>
      <c r="CI236" s="564"/>
      <c r="CJ236" s="564"/>
      <c r="CK236" s="564"/>
      <c r="CL236" s="564"/>
      <c r="CM236" s="564"/>
      <c r="CN236" s="564"/>
      <c r="CO236" s="564"/>
      <c r="CP236" s="564"/>
      <c r="CQ236" s="564"/>
      <c r="CR236" s="564"/>
      <c r="CS236" s="564"/>
      <c r="CT236" s="564"/>
      <c r="CU236" s="564"/>
      <c r="CV236" s="564"/>
      <c r="CW236" s="564"/>
      <c r="CX236" s="564"/>
      <c r="CY236" s="564"/>
      <c r="CZ236" s="564"/>
      <c r="DA236" s="564"/>
      <c r="DB236" s="564"/>
      <c r="DC236" s="564"/>
      <c r="DD236" s="564"/>
      <c r="DE236" s="564"/>
      <c r="DF236" s="564"/>
      <c r="DG236" s="564"/>
      <c r="DH236" s="564"/>
      <c r="DI236" s="564"/>
      <c r="DJ236" s="564"/>
      <c r="DK236" s="564"/>
      <c r="DL236" s="564"/>
      <c r="DM236" s="564"/>
      <c r="DN236" s="564"/>
      <c r="DO236" s="564"/>
      <c r="DP236" s="564"/>
      <c r="DQ236" s="564"/>
      <c r="DR236" s="564"/>
      <c r="DS236" s="564"/>
      <c r="DT236" s="564"/>
      <c r="DU236" s="564"/>
      <c r="DV236" s="564"/>
      <c r="DW236" s="564"/>
      <c r="DX236" s="564"/>
      <c r="DY236" s="564"/>
      <c r="DZ236" s="564"/>
      <c r="EA236" s="564"/>
      <c r="EB236" s="564"/>
      <c r="EC236" s="564"/>
      <c r="ED236" s="564"/>
      <c r="EE236" s="564"/>
      <c r="EF236" s="564"/>
      <c r="EG236" s="564"/>
      <c r="EH236" s="564"/>
      <c r="EI236" s="564"/>
      <c r="EJ236" s="564"/>
      <c r="EK236" s="564"/>
      <c r="EL236" s="564"/>
      <c r="EM236" s="564"/>
      <c r="EN236" s="564"/>
      <c r="EO236" s="564"/>
      <c r="EP236" s="564"/>
      <c r="EQ236" s="564"/>
      <c r="ER236" s="564"/>
      <c r="ES236" s="564"/>
      <c r="ET236" s="564"/>
      <c r="EU236" s="564"/>
      <c r="EV236" s="564"/>
      <c r="EW236" s="564"/>
      <c r="EX236" s="564"/>
      <c r="EY236" s="564"/>
      <c r="EZ236" s="564"/>
      <c r="FA236" s="564"/>
      <c r="FB236" s="564"/>
      <c r="FC236" s="564"/>
      <c r="FD236" s="564"/>
      <c r="FE236" s="564"/>
      <c r="FF236" s="564"/>
      <c r="FG236" s="564"/>
      <c r="FH236" s="564"/>
      <c r="FI236" s="564"/>
      <c r="FJ236" s="564"/>
      <c r="FK236" s="564"/>
      <c r="FL236" s="564"/>
      <c r="FM236" s="564"/>
      <c r="FN236" s="564"/>
      <c r="FO236" s="564"/>
      <c r="FP236" s="564"/>
      <c r="FQ236" s="564"/>
      <c r="FR236" s="564"/>
      <c r="FS236" s="564"/>
      <c r="FT236" s="564"/>
      <c r="FU236" s="564"/>
      <c r="FV236" s="564"/>
      <c r="FW236" s="564"/>
      <c r="FX236" s="564"/>
      <c r="FY236" s="564"/>
      <c r="FZ236" s="564"/>
      <c r="GA236" s="564"/>
      <c r="GB236" s="564"/>
      <c r="GC236" s="564"/>
      <c r="GD236" s="564"/>
      <c r="GE236" s="564"/>
      <c r="GF236" s="564"/>
      <c r="GG236" s="564"/>
      <c r="GH236" s="564"/>
      <c r="GI236" s="564"/>
      <c r="GJ236" s="564"/>
      <c r="GK236" s="564"/>
      <c r="GL236" s="564"/>
      <c r="GM236" s="564"/>
      <c r="GN236" s="564"/>
      <c r="GO236" s="564"/>
      <c r="GP236" s="564"/>
      <c r="GQ236" s="564"/>
      <c r="GR236" s="564"/>
      <c r="GS236" s="564"/>
      <c r="GT236" s="564"/>
      <c r="GU236" s="564"/>
      <c r="GV236" s="564"/>
      <c r="GW236" s="564"/>
      <c r="GX236" s="564"/>
      <c r="GY236" s="564"/>
      <c r="GZ236" s="564"/>
      <c r="HA236" s="564"/>
      <c r="HB236" s="564"/>
      <c r="HC236" s="564"/>
      <c r="HD236" s="564"/>
      <c r="HE236" s="564"/>
      <c r="HF236" s="564"/>
      <c r="HG236" s="564"/>
      <c r="HH236" s="564"/>
      <c r="HI236" s="564"/>
      <c r="HJ236" s="564"/>
      <c r="HK236" s="564"/>
      <c r="HL236" s="564"/>
      <c r="HM236" s="564"/>
      <c r="HN236" s="564"/>
      <c r="HO236" s="564"/>
      <c r="HP236" s="564"/>
      <c r="HQ236" s="564"/>
      <c r="HR236" s="564"/>
      <c r="HS236" s="564"/>
      <c r="HT236" s="564"/>
      <c r="HU236" s="564"/>
      <c r="HV236" s="564"/>
      <c r="HW236" s="564"/>
      <c r="HX236" s="564"/>
      <c r="HY236" s="564"/>
      <c r="HZ236" s="564"/>
      <c r="IA236" s="564"/>
      <c r="IB236" s="564"/>
      <c r="IC236" s="564"/>
      <c r="ID236" s="564"/>
      <c r="IE236" s="564"/>
      <c r="IF236" s="564"/>
      <c r="IG236" s="564"/>
      <c r="IH236" s="564"/>
      <c r="II236" s="564"/>
      <c r="IJ236" s="564"/>
      <c r="IK236" s="564"/>
      <c r="IL236" s="564"/>
      <c r="IM236" s="564"/>
      <c r="IN236" s="564"/>
      <c r="IO236" s="564"/>
      <c r="IP236" s="564"/>
      <c r="IQ236" s="564"/>
      <c r="IR236" s="564"/>
      <c r="IS236" s="564"/>
      <c r="IT236" s="564"/>
      <c r="IU236" s="564"/>
      <c r="IV236" s="564"/>
      <c r="IW236" s="564"/>
      <c r="IX236" s="564"/>
      <c r="IY236" s="564"/>
      <c r="IZ236" s="564"/>
      <c r="JA236" s="564"/>
      <c r="JB236" s="564"/>
      <c r="JC236" s="564"/>
      <c r="JD236" s="564"/>
      <c r="JE236" s="564"/>
      <c r="JF236" s="564"/>
      <c r="JG236" s="564"/>
      <c r="JH236" s="564"/>
      <c r="JI236" s="564"/>
      <c r="JJ236" s="564"/>
      <c r="JK236" s="564"/>
      <c r="JL236" s="564"/>
      <c r="JM236" s="564"/>
      <c r="JN236" s="564"/>
      <c r="JO236" s="564"/>
      <c r="JP236" s="564"/>
      <c r="JQ236" s="564"/>
      <c r="JR236" s="564"/>
      <c r="JS236" s="564"/>
      <c r="JT236" s="564"/>
      <c r="JU236" s="564"/>
      <c r="JV236" s="564"/>
    </row>
    <row r="237" spans="1:282" ht="50.1" customHeight="1" x14ac:dyDescent="0.2">
      <c r="A237" s="298"/>
      <c r="B237" s="29" t="s">
        <v>584</v>
      </c>
      <c r="C237" s="29"/>
      <c r="D237" s="29"/>
      <c r="E237" s="38" t="s">
        <v>1635</v>
      </c>
      <c r="F237" s="201" t="s">
        <v>1771</v>
      </c>
      <c r="G237" s="749" t="s">
        <v>1612</v>
      </c>
      <c r="H237" s="29" t="s">
        <v>588</v>
      </c>
      <c r="I237" s="29"/>
      <c r="J237" s="29" t="s">
        <v>1654</v>
      </c>
      <c r="K237" s="29" t="s">
        <v>1614</v>
      </c>
      <c r="L237" s="29" t="s">
        <v>2126</v>
      </c>
      <c r="M237" s="29" t="s">
        <v>1615</v>
      </c>
      <c r="N237" s="74">
        <v>41838</v>
      </c>
      <c r="O237" s="69" t="s">
        <v>1636</v>
      </c>
      <c r="P237" s="69"/>
      <c r="Q237" s="69"/>
      <c r="R237" s="69"/>
      <c r="S237" s="69"/>
      <c r="T237" s="560"/>
      <c r="U237" s="560"/>
      <c r="V237" s="560"/>
      <c r="W237" s="560"/>
      <c r="X237" s="560"/>
      <c r="Y237" s="560"/>
      <c r="Z237" s="560"/>
      <c r="AA237" s="560"/>
      <c r="AB237" s="560"/>
      <c r="AC237" s="560"/>
      <c r="AD237" s="560"/>
      <c r="AE237" s="560"/>
      <c r="AF237" s="560"/>
      <c r="AG237" s="560"/>
      <c r="AH237" s="560"/>
      <c r="AI237" s="560"/>
      <c r="AJ237" s="73">
        <v>42247</v>
      </c>
      <c r="AK237" s="648"/>
      <c r="AL237" s="174"/>
      <c r="AM237" s="564"/>
      <c r="AN237" s="564"/>
      <c r="AO237" s="564"/>
      <c r="AP237" s="564"/>
      <c r="AQ237" s="564"/>
      <c r="AR237" s="564"/>
      <c r="AS237" s="564"/>
      <c r="AT237" s="564"/>
      <c r="AU237" s="564"/>
      <c r="AV237" s="564"/>
      <c r="AW237" s="564"/>
      <c r="AX237" s="564"/>
      <c r="AY237" s="564"/>
      <c r="AZ237" s="564"/>
      <c r="BA237" s="564"/>
      <c r="BB237" s="564"/>
      <c r="BC237" s="564"/>
      <c r="BD237" s="564"/>
      <c r="BE237" s="564"/>
      <c r="BF237" s="564"/>
      <c r="BG237" s="564"/>
      <c r="BH237" s="564"/>
      <c r="BI237" s="564"/>
      <c r="BJ237" s="564"/>
      <c r="BK237" s="564"/>
      <c r="BL237" s="564"/>
      <c r="BM237" s="564"/>
      <c r="BN237" s="564"/>
      <c r="BO237" s="564"/>
      <c r="BP237" s="564"/>
      <c r="BQ237" s="564"/>
      <c r="BR237" s="564"/>
      <c r="BS237" s="564"/>
      <c r="BT237" s="564"/>
      <c r="BU237" s="564"/>
      <c r="BV237" s="564"/>
      <c r="BW237" s="564"/>
      <c r="BX237" s="564"/>
      <c r="BY237" s="564"/>
      <c r="BZ237" s="564"/>
      <c r="CA237" s="564"/>
      <c r="CB237" s="564"/>
      <c r="CC237" s="564"/>
      <c r="CD237" s="564"/>
      <c r="CE237" s="564"/>
      <c r="CF237" s="564"/>
      <c r="CG237" s="564"/>
      <c r="CH237" s="564"/>
      <c r="CI237" s="564"/>
      <c r="CJ237" s="564"/>
      <c r="CK237" s="564"/>
      <c r="CL237" s="564"/>
      <c r="CM237" s="564"/>
      <c r="CN237" s="564"/>
      <c r="CO237" s="564"/>
      <c r="CP237" s="564"/>
      <c r="CQ237" s="564"/>
      <c r="CR237" s="564"/>
      <c r="CS237" s="564"/>
      <c r="CT237" s="564"/>
      <c r="CU237" s="564"/>
      <c r="CV237" s="564"/>
      <c r="CW237" s="564"/>
      <c r="CX237" s="564"/>
      <c r="CY237" s="564"/>
      <c r="CZ237" s="564"/>
      <c r="DA237" s="564"/>
      <c r="DB237" s="564"/>
      <c r="DC237" s="564"/>
      <c r="DD237" s="564"/>
      <c r="DE237" s="564"/>
      <c r="DF237" s="564"/>
      <c r="DG237" s="564"/>
      <c r="DH237" s="564"/>
      <c r="DI237" s="564"/>
      <c r="DJ237" s="564"/>
      <c r="DK237" s="564"/>
      <c r="DL237" s="564"/>
      <c r="DM237" s="564"/>
      <c r="DN237" s="564"/>
      <c r="DO237" s="564"/>
      <c r="DP237" s="564"/>
      <c r="DQ237" s="564"/>
      <c r="DR237" s="564"/>
      <c r="DS237" s="564"/>
      <c r="DT237" s="564"/>
      <c r="DU237" s="564"/>
      <c r="DV237" s="564"/>
      <c r="DW237" s="564"/>
      <c r="DX237" s="564"/>
      <c r="DY237" s="564"/>
      <c r="DZ237" s="564"/>
      <c r="EA237" s="564"/>
      <c r="EB237" s="564"/>
      <c r="EC237" s="564"/>
      <c r="ED237" s="564"/>
      <c r="EE237" s="564"/>
      <c r="EF237" s="564"/>
      <c r="EG237" s="564"/>
      <c r="EH237" s="564"/>
      <c r="EI237" s="564"/>
      <c r="EJ237" s="564"/>
      <c r="EK237" s="564"/>
      <c r="EL237" s="564"/>
      <c r="EM237" s="564"/>
      <c r="EN237" s="564"/>
      <c r="EO237" s="564"/>
      <c r="EP237" s="564"/>
      <c r="EQ237" s="564"/>
      <c r="ER237" s="564"/>
      <c r="ES237" s="564"/>
      <c r="ET237" s="564"/>
      <c r="EU237" s="564"/>
      <c r="EV237" s="564"/>
      <c r="EW237" s="564"/>
      <c r="EX237" s="564"/>
      <c r="EY237" s="564"/>
      <c r="EZ237" s="564"/>
      <c r="FA237" s="564"/>
      <c r="FB237" s="564"/>
      <c r="FC237" s="564"/>
      <c r="FD237" s="564"/>
      <c r="FE237" s="564"/>
      <c r="FF237" s="564"/>
      <c r="FG237" s="564"/>
      <c r="FH237" s="564"/>
      <c r="FI237" s="564"/>
      <c r="FJ237" s="564"/>
      <c r="FK237" s="564"/>
      <c r="FL237" s="564"/>
      <c r="FM237" s="564"/>
      <c r="FN237" s="564"/>
      <c r="FO237" s="564"/>
      <c r="FP237" s="564"/>
      <c r="FQ237" s="564"/>
      <c r="FR237" s="564"/>
      <c r="FS237" s="564"/>
      <c r="FT237" s="564"/>
      <c r="FU237" s="564"/>
      <c r="FV237" s="564"/>
      <c r="FW237" s="564"/>
      <c r="FX237" s="564"/>
      <c r="FY237" s="564"/>
      <c r="FZ237" s="564"/>
      <c r="GA237" s="564"/>
      <c r="GB237" s="564"/>
      <c r="GC237" s="564"/>
      <c r="GD237" s="564"/>
      <c r="GE237" s="564"/>
      <c r="GF237" s="564"/>
      <c r="GG237" s="564"/>
      <c r="GH237" s="564"/>
      <c r="GI237" s="564"/>
      <c r="GJ237" s="564"/>
      <c r="GK237" s="564"/>
      <c r="GL237" s="564"/>
      <c r="GM237" s="564"/>
      <c r="GN237" s="564"/>
      <c r="GO237" s="564"/>
      <c r="GP237" s="564"/>
      <c r="GQ237" s="564"/>
      <c r="GR237" s="564"/>
      <c r="GS237" s="564"/>
      <c r="GT237" s="564"/>
      <c r="GU237" s="564"/>
      <c r="GV237" s="564"/>
      <c r="GW237" s="564"/>
      <c r="GX237" s="564"/>
      <c r="GY237" s="564"/>
      <c r="GZ237" s="564"/>
      <c r="HA237" s="564"/>
      <c r="HB237" s="564"/>
      <c r="HC237" s="564"/>
      <c r="HD237" s="564"/>
      <c r="HE237" s="564"/>
      <c r="HF237" s="564"/>
      <c r="HG237" s="564"/>
      <c r="HH237" s="564"/>
      <c r="HI237" s="564"/>
      <c r="HJ237" s="564"/>
      <c r="HK237" s="564"/>
      <c r="HL237" s="564"/>
      <c r="HM237" s="564"/>
      <c r="HN237" s="564"/>
      <c r="HO237" s="564"/>
      <c r="HP237" s="564"/>
      <c r="HQ237" s="564"/>
      <c r="HR237" s="564"/>
      <c r="HS237" s="564"/>
      <c r="HT237" s="564"/>
      <c r="HU237" s="564"/>
      <c r="HV237" s="564"/>
      <c r="HW237" s="564"/>
      <c r="HX237" s="564"/>
      <c r="HY237" s="564"/>
      <c r="HZ237" s="564"/>
      <c r="IA237" s="564"/>
      <c r="IB237" s="564"/>
      <c r="IC237" s="564"/>
      <c r="ID237" s="564"/>
      <c r="IE237" s="564"/>
      <c r="IF237" s="564"/>
      <c r="IG237" s="564"/>
      <c r="IH237" s="564"/>
      <c r="II237" s="564"/>
      <c r="IJ237" s="564"/>
      <c r="IK237" s="564"/>
      <c r="IL237" s="564"/>
      <c r="IM237" s="564"/>
      <c r="IN237" s="564"/>
      <c r="IO237" s="564"/>
      <c r="IP237" s="564"/>
      <c r="IQ237" s="564"/>
      <c r="IR237" s="564"/>
      <c r="IS237" s="564"/>
      <c r="IT237" s="564"/>
      <c r="IU237" s="564"/>
      <c r="IV237" s="564"/>
      <c r="IW237" s="564"/>
      <c r="IX237" s="564"/>
      <c r="IY237" s="564"/>
      <c r="IZ237" s="564"/>
      <c r="JA237" s="564"/>
      <c r="JB237" s="564"/>
      <c r="JC237" s="564"/>
      <c r="JD237" s="564"/>
      <c r="JE237" s="564"/>
      <c r="JF237" s="564"/>
      <c r="JG237" s="564"/>
      <c r="JH237" s="564"/>
      <c r="JI237" s="564"/>
      <c r="JJ237" s="564"/>
      <c r="JK237" s="564"/>
      <c r="JL237" s="564"/>
      <c r="JM237" s="564"/>
      <c r="JN237" s="564"/>
      <c r="JO237" s="564"/>
      <c r="JP237" s="564"/>
      <c r="JQ237" s="564"/>
      <c r="JR237" s="564"/>
      <c r="JS237" s="564"/>
      <c r="JT237" s="564"/>
      <c r="JU237" s="564"/>
      <c r="JV237" s="564"/>
    </row>
    <row r="238" spans="1:282" ht="50.1" customHeight="1" x14ac:dyDescent="0.2">
      <c r="A238" s="298"/>
      <c r="B238" s="30" t="s">
        <v>1137</v>
      </c>
      <c r="C238" s="30"/>
      <c r="D238" s="30"/>
      <c r="E238" s="30" t="s">
        <v>2035</v>
      </c>
      <c r="F238" s="196" t="s">
        <v>2020</v>
      </c>
      <c r="G238" s="30" t="s">
        <v>663</v>
      </c>
      <c r="H238" s="30" t="s">
        <v>1806</v>
      </c>
      <c r="I238" s="30"/>
      <c r="J238" s="30" t="s">
        <v>2021</v>
      </c>
      <c r="K238" s="30" t="s">
        <v>1394</v>
      </c>
      <c r="L238" s="30" t="s">
        <v>2022</v>
      </c>
      <c r="M238" s="29" t="s">
        <v>2094</v>
      </c>
      <c r="N238" s="73">
        <v>42193</v>
      </c>
      <c r="O238" s="32" t="s">
        <v>2064</v>
      </c>
      <c r="P238" s="32"/>
      <c r="Q238" s="32"/>
      <c r="R238" s="32"/>
      <c r="S238" s="32"/>
      <c r="T238" s="560"/>
      <c r="U238" s="560"/>
      <c r="V238" s="560"/>
      <c r="W238" s="560"/>
      <c r="X238" s="560"/>
      <c r="Y238" s="560"/>
      <c r="Z238" s="560"/>
      <c r="AA238" s="560"/>
      <c r="AB238" s="560"/>
      <c r="AC238" s="560"/>
      <c r="AD238" s="560"/>
      <c r="AE238" s="560"/>
      <c r="AF238" s="560"/>
      <c r="AG238" s="560"/>
      <c r="AH238" s="560"/>
      <c r="AI238" s="560"/>
      <c r="AJ238" s="73">
        <v>42261</v>
      </c>
      <c r="AK238" s="648"/>
      <c r="AL238" s="174"/>
      <c r="AM238" s="564"/>
      <c r="AN238" s="564"/>
      <c r="AO238" s="564"/>
      <c r="AP238" s="564"/>
      <c r="AQ238" s="564"/>
      <c r="AR238" s="564"/>
      <c r="AS238" s="564"/>
      <c r="AT238" s="564"/>
      <c r="AU238" s="564"/>
      <c r="AV238" s="564"/>
      <c r="AW238" s="564"/>
      <c r="AX238" s="564"/>
      <c r="AY238" s="564"/>
      <c r="AZ238" s="564"/>
      <c r="BA238" s="564"/>
      <c r="BB238" s="564"/>
      <c r="BC238" s="564"/>
      <c r="BD238" s="564"/>
      <c r="BE238" s="564"/>
      <c r="BF238" s="564"/>
      <c r="BG238" s="564"/>
      <c r="BH238" s="564"/>
      <c r="BI238" s="564"/>
      <c r="BJ238" s="564"/>
      <c r="BK238" s="564"/>
      <c r="BL238" s="564"/>
      <c r="BM238" s="564"/>
      <c r="BN238" s="564"/>
      <c r="BO238" s="564"/>
      <c r="BP238" s="564"/>
      <c r="BQ238" s="564"/>
      <c r="BR238" s="564"/>
      <c r="BS238" s="564"/>
      <c r="BT238" s="564"/>
      <c r="BU238" s="564"/>
      <c r="BV238" s="564"/>
      <c r="BW238" s="564"/>
      <c r="BX238" s="564"/>
      <c r="BY238" s="564"/>
      <c r="BZ238" s="564"/>
      <c r="CA238" s="564"/>
      <c r="CB238" s="564"/>
      <c r="CC238" s="564"/>
      <c r="CD238" s="564"/>
      <c r="CE238" s="564"/>
      <c r="CF238" s="564"/>
      <c r="CG238" s="564"/>
      <c r="CH238" s="564"/>
      <c r="CI238" s="564"/>
      <c r="CJ238" s="564"/>
      <c r="CK238" s="564"/>
      <c r="CL238" s="564"/>
      <c r="CM238" s="564"/>
      <c r="CN238" s="564"/>
      <c r="CO238" s="564"/>
      <c r="CP238" s="564"/>
      <c r="CQ238" s="564"/>
      <c r="CR238" s="564"/>
      <c r="CS238" s="564"/>
      <c r="CT238" s="564"/>
      <c r="CU238" s="564"/>
      <c r="CV238" s="564"/>
      <c r="CW238" s="564"/>
      <c r="CX238" s="564"/>
      <c r="CY238" s="564"/>
      <c r="CZ238" s="564"/>
      <c r="DA238" s="564"/>
      <c r="DB238" s="564"/>
      <c r="DC238" s="564"/>
      <c r="DD238" s="564"/>
      <c r="DE238" s="564"/>
      <c r="DF238" s="564"/>
      <c r="DG238" s="564"/>
      <c r="DH238" s="564"/>
      <c r="DI238" s="564"/>
      <c r="DJ238" s="564"/>
      <c r="DK238" s="564"/>
      <c r="DL238" s="564"/>
      <c r="DM238" s="564"/>
      <c r="DN238" s="564"/>
      <c r="DO238" s="564"/>
      <c r="DP238" s="564"/>
      <c r="DQ238" s="564"/>
      <c r="DR238" s="564"/>
      <c r="DS238" s="564"/>
      <c r="DT238" s="564"/>
      <c r="DU238" s="564"/>
      <c r="DV238" s="564"/>
      <c r="DW238" s="564"/>
      <c r="DX238" s="564"/>
      <c r="DY238" s="564"/>
      <c r="DZ238" s="564"/>
      <c r="EA238" s="564"/>
      <c r="EB238" s="564"/>
      <c r="EC238" s="564"/>
      <c r="ED238" s="564"/>
      <c r="EE238" s="564"/>
      <c r="EF238" s="564"/>
      <c r="EG238" s="564"/>
      <c r="EH238" s="564"/>
      <c r="EI238" s="564"/>
      <c r="EJ238" s="564"/>
      <c r="EK238" s="564"/>
      <c r="EL238" s="564"/>
      <c r="EM238" s="564"/>
      <c r="EN238" s="564"/>
      <c r="EO238" s="564"/>
      <c r="EP238" s="564"/>
      <c r="EQ238" s="564"/>
      <c r="ER238" s="564"/>
      <c r="ES238" s="564"/>
      <c r="ET238" s="564"/>
      <c r="EU238" s="564"/>
      <c r="EV238" s="564"/>
      <c r="EW238" s="564"/>
      <c r="EX238" s="564"/>
      <c r="EY238" s="564"/>
      <c r="EZ238" s="564"/>
      <c r="FA238" s="564"/>
      <c r="FB238" s="564"/>
      <c r="FC238" s="564"/>
      <c r="FD238" s="564"/>
      <c r="FE238" s="564"/>
      <c r="FF238" s="564"/>
      <c r="FG238" s="564"/>
      <c r="FH238" s="564"/>
      <c r="FI238" s="564"/>
      <c r="FJ238" s="564"/>
      <c r="FK238" s="564"/>
      <c r="FL238" s="564"/>
      <c r="FM238" s="564"/>
      <c r="FN238" s="564"/>
      <c r="FO238" s="564"/>
      <c r="FP238" s="564"/>
      <c r="FQ238" s="564"/>
      <c r="FR238" s="564"/>
      <c r="FS238" s="564"/>
      <c r="FT238" s="564"/>
      <c r="FU238" s="564"/>
      <c r="FV238" s="564"/>
      <c r="FW238" s="564"/>
      <c r="FX238" s="564"/>
      <c r="FY238" s="564"/>
      <c r="FZ238" s="564"/>
      <c r="GA238" s="564"/>
      <c r="GB238" s="564"/>
      <c r="GC238" s="564"/>
      <c r="GD238" s="564"/>
      <c r="GE238" s="564"/>
      <c r="GF238" s="564"/>
      <c r="GG238" s="564"/>
      <c r="GH238" s="564"/>
      <c r="GI238" s="564"/>
      <c r="GJ238" s="564"/>
      <c r="GK238" s="564"/>
      <c r="GL238" s="564"/>
      <c r="GM238" s="564"/>
      <c r="GN238" s="564"/>
      <c r="GO238" s="564"/>
      <c r="GP238" s="564"/>
      <c r="GQ238" s="564"/>
      <c r="GR238" s="564"/>
      <c r="GS238" s="564"/>
      <c r="GT238" s="564"/>
      <c r="GU238" s="564"/>
      <c r="GV238" s="564"/>
      <c r="GW238" s="564"/>
      <c r="GX238" s="564"/>
      <c r="GY238" s="564"/>
      <c r="GZ238" s="564"/>
      <c r="HA238" s="564"/>
      <c r="HB238" s="564"/>
      <c r="HC238" s="564"/>
      <c r="HD238" s="564"/>
      <c r="HE238" s="564"/>
      <c r="HF238" s="564"/>
      <c r="HG238" s="564"/>
      <c r="HH238" s="564"/>
      <c r="HI238" s="564"/>
      <c r="HJ238" s="564"/>
      <c r="HK238" s="564"/>
      <c r="HL238" s="564"/>
      <c r="HM238" s="564"/>
      <c r="HN238" s="564"/>
      <c r="HO238" s="564"/>
      <c r="HP238" s="564"/>
      <c r="HQ238" s="564"/>
      <c r="HR238" s="564"/>
      <c r="HS238" s="564"/>
      <c r="HT238" s="564"/>
      <c r="HU238" s="564"/>
      <c r="HV238" s="564"/>
      <c r="HW238" s="564"/>
      <c r="HX238" s="564"/>
      <c r="HY238" s="564"/>
      <c r="HZ238" s="564"/>
      <c r="IA238" s="564"/>
      <c r="IB238" s="564"/>
      <c r="IC238" s="564"/>
      <c r="ID238" s="564"/>
      <c r="IE238" s="564"/>
      <c r="IF238" s="564"/>
      <c r="IG238" s="564"/>
      <c r="IH238" s="564"/>
      <c r="II238" s="564"/>
      <c r="IJ238" s="564"/>
      <c r="IK238" s="564"/>
      <c r="IL238" s="564"/>
      <c r="IM238" s="564"/>
      <c r="IN238" s="564"/>
      <c r="IO238" s="564"/>
      <c r="IP238" s="564"/>
      <c r="IQ238" s="564"/>
      <c r="IR238" s="564"/>
      <c r="IS238" s="564"/>
      <c r="IT238" s="564"/>
      <c r="IU238" s="564"/>
      <c r="IV238" s="564"/>
      <c r="IW238" s="564"/>
      <c r="IX238" s="564"/>
      <c r="IY238" s="564"/>
      <c r="IZ238" s="564"/>
      <c r="JA238" s="564"/>
      <c r="JB238" s="564"/>
      <c r="JC238" s="564"/>
      <c r="JD238" s="564"/>
      <c r="JE238" s="564"/>
      <c r="JF238" s="564"/>
      <c r="JG238" s="564"/>
      <c r="JH238" s="564"/>
      <c r="JI238" s="564"/>
      <c r="JJ238" s="564"/>
      <c r="JK238" s="564"/>
      <c r="JL238" s="564"/>
      <c r="JM238" s="564"/>
      <c r="JN238" s="564"/>
      <c r="JO238" s="564"/>
      <c r="JP238" s="564"/>
      <c r="JQ238" s="564"/>
      <c r="JR238" s="564"/>
      <c r="JS238" s="564"/>
      <c r="JT238" s="564"/>
      <c r="JU238" s="564"/>
      <c r="JV238" s="564"/>
    </row>
    <row r="239" spans="1:282" ht="50.1" customHeight="1" x14ac:dyDescent="0.2">
      <c r="A239" s="298"/>
      <c r="B239" s="29" t="s">
        <v>1137</v>
      </c>
      <c r="C239" s="29"/>
      <c r="D239" s="29"/>
      <c r="E239" s="38" t="s">
        <v>2159</v>
      </c>
      <c r="F239" s="104" t="s">
        <v>1834</v>
      </c>
      <c r="G239" s="29" t="s">
        <v>103</v>
      </c>
      <c r="H239" s="30" t="s">
        <v>1806</v>
      </c>
      <c r="I239" s="30"/>
      <c r="J239" s="30" t="s">
        <v>603</v>
      </c>
      <c r="K239" s="30" t="s">
        <v>1394</v>
      </c>
      <c r="L239" s="30" t="s">
        <v>685</v>
      </c>
      <c r="M239" s="29" t="s">
        <v>1615</v>
      </c>
      <c r="N239" s="74">
        <v>42066</v>
      </c>
      <c r="O239" s="32" t="s">
        <v>1979</v>
      </c>
      <c r="P239" s="32"/>
      <c r="Q239" s="32"/>
      <c r="R239" s="32"/>
      <c r="S239" s="32"/>
      <c r="T239" s="560"/>
      <c r="U239" s="560"/>
      <c r="V239" s="560"/>
      <c r="W239" s="560"/>
      <c r="X239" s="560"/>
      <c r="Y239" s="560"/>
      <c r="Z239" s="560"/>
      <c r="AA239" s="560"/>
      <c r="AB239" s="560"/>
      <c r="AC239" s="560"/>
      <c r="AD239" s="560"/>
      <c r="AE239" s="560"/>
      <c r="AF239" s="560"/>
      <c r="AG239" s="560"/>
      <c r="AH239" s="560"/>
      <c r="AI239" s="560"/>
      <c r="AJ239" s="73">
        <v>42282</v>
      </c>
      <c r="AK239" s="648"/>
      <c r="AL239" s="174"/>
      <c r="AM239" s="564"/>
      <c r="AN239" s="564"/>
      <c r="AO239" s="564"/>
      <c r="AP239" s="564"/>
      <c r="AQ239" s="564"/>
      <c r="AR239" s="564"/>
      <c r="AS239" s="564"/>
      <c r="AT239" s="564"/>
      <c r="AU239" s="564"/>
      <c r="AV239" s="564"/>
      <c r="AW239" s="564"/>
      <c r="AX239" s="564"/>
      <c r="AY239" s="564"/>
      <c r="AZ239" s="564"/>
      <c r="BA239" s="564"/>
      <c r="BB239" s="564"/>
      <c r="BC239" s="564"/>
      <c r="BD239" s="564"/>
      <c r="BE239" s="564"/>
      <c r="BF239" s="564"/>
      <c r="BG239" s="564"/>
      <c r="BH239" s="564"/>
      <c r="BI239" s="564"/>
      <c r="BJ239" s="564"/>
      <c r="BK239" s="564"/>
      <c r="BL239" s="564"/>
      <c r="BM239" s="564"/>
      <c r="BN239" s="564"/>
      <c r="BO239" s="564"/>
      <c r="BP239" s="564"/>
      <c r="BQ239" s="564"/>
      <c r="BR239" s="564"/>
      <c r="BS239" s="564"/>
      <c r="BT239" s="564"/>
      <c r="BU239" s="564"/>
      <c r="BV239" s="564"/>
      <c r="BW239" s="564"/>
      <c r="BX239" s="564"/>
      <c r="BY239" s="564"/>
      <c r="BZ239" s="564"/>
      <c r="CA239" s="564"/>
      <c r="CB239" s="564"/>
      <c r="CC239" s="564"/>
      <c r="CD239" s="564"/>
      <c r="CE239" s="564"/>
      <c r="CF239" s="564"/>
      <c r="CG239" s="564"/>
      <c r="CH239" s="564"/>
      <c r="CI239" s="564"/>
      <c r="CJ239" s="564"/>
      <c r="CK239" s="564"/>
      <c r="CL239" s="564"/>
      <c r="CM239" s="564"/>
      <c r="CN239" s="564"/>
      <c r="CO239" s="564"/>
      <c r="CP239" s="564"/>
      <c r="CQ239" s="564"/>
      <c r="CR239" s="564"/>
      <c r="CS239" s="564"/>
      <c r="CT239" s="564"/>
      <c r="CU239" s="564"/>
      <c r="CV239" s="564"/>
      <c r="CW239" s="564"/>
      <c r="CX239" s="564"/>
      <c r="CY239" s="564"/>
      <c r="CZ239" s="564"/>
      <c r="DA239" s="564"/>
      <c r="DB239" s="564"/>
      <c r="DC239" s="564"/>
      <c r="DD239" s="564"/>
      <c r="DE239" s="564"/>
      <c r="DF239" s="564"/>
      <c r="DG239" s="564"/>
      <c r="DH239" s="564"/>
      <c r="DI239" s="564"/>
      <c r="DJ239" s="564"/>
      <c r="DK239" s="564"/>
      <c r="DL239" s="564"/>
      <c r="DM239" s="564"/>
      <c r="DN239" s="564"/>
      <c r="DO239" s="564"/>
      <c r="DP239" s="564"/>
      <c r="DQ239" s="564"/>
      <c r="DR239" s="564"/>
      <c r="DS239" s="564"/>
      <c r="DT239" s="564"/>
      <c r="DU239" s="564"/>
      <c r="DV239" s="564"/>
      <c r="DW239" s="564"/>
      <c r="DX239" s="564"/>
      <c r="DY239" s="564"/>
      <c r="DZ239" s="564"/>
      <c r="EA239" s="564"/>
      <c r="EB239" s="564"/>
      <c r="EC239" s="564"/>
      <c r="ED239" s="564"/>
      <c r="EE239" s="564"/>
      <c r="EF239" s="564"/>
      <c r="EG239" s="564"/>
      <c r="EH239" s="564"/>
      <c r="EI239" s="564"/>
      <c r="EJ239" s="564"/>
      <c r="EK239" s="564"/>
      <c r="EL239" s="564"/>
      <c r="EM239" s="564"/>
      <c r="EN239" s="564"/>
      <c r="EO239" s="564"/>
      <c r="EP239" s="564"/>
      <c r="EQ239" s="564"/>
      <c r="ER239" s="564"/>
      <c r="ES239" s="564"/>
      <c r="ET239" s="564"/>
      <c r="EU239" s="564"/>
      <c r="EV239" s="564"/>
      <c r="EW239" s="564"/>
      <c r="EX239" s="564"/>
      <c r="EY239" s="564"/>
      <c r="EZ239" s="564"/>
      <c r="FA239" s="564"/>
      <c r="FB239" s="564"/>
      <c r="FC239" s="564"/>
      <c r="FD239" s="564"/>
      <c r="FE239" s="564"/>
      <c r="FF239" s="564"/>
      <c r="FG239" s="564"/>
      <c r="FH239" s="564"/>
      <c r="FI239" s="564"/>
      <c r="FJ239" s="564"/>
      <c r="FK239" s="564"/>
      <c r="FL239" s="564"/>
      <c r="FM239" s="564"/>
      <c r="FN239" s="564"/>
      <c r="FO239" s="564"/>
      <c r="FP239" s="564"/>
      <c r="FQ239" s="564"/>
      <c r="FR239" s="564"/>
      <c r="FS239" s="564"/>
      <c r="FT239" s="564"/>
      <c r="FU239" s="564"/>
      <c r="FV239" s="564"/>
      <c r="FW239" s="564"/>
      <c r="FX239" s="564"/>
      <c r="FY239" s="564"/>
      <c r="FZ239" s="564"/>
      <c r="GA239" s="564"/>
      <c r="GB239" s="564"/>
      <c r="GC239" s="564"/>
      <c r="GD239" s="564"/>
      <c r="GE239" s="564"/>
      <c r="GF239" s="564"/>
      <c r="GG239" s="564"/>
      <c r="GH239" s="564"/>
      <c r="GI239" s="564"/>
      <c r="GJ239" s="564"/>
      <c r="GK239" s="564"/>
      <c r="GL239" s="564"/>
      <c r="GM239" s="564"/>
      <c r="GN239" s="564"/>
      <c r="GO239" s="564"/>
      <c r="GP239" s="564"/>
      <c r="GQ239" s="564"/>
      <c r="GR239" s="564"/>
      <c r="GS239" s="564"/>
      <c r="GT239" s="564"/>
      <c r="GU239" s="564"/>
      <c r="GV239" s="564"/>
      <c r="GW239" s="564"/>
      <c r="GX239" s="564"/>
      <c r="GY239" s="564"/>
      <c r="GZ239" s="564"/>
      <c r="HA239" s="564"/>
      <c r="HB239" s="564"/>
      <c r="HC239" s="564"/>
      <c r="HD239" s="564"/>
      <c r="HE239" s="564"/>
      <c r="HF239" s="564"/>
      <c r="HG239" s="564"/>
      <c r="HH239" s="564"/>
      <c r="HI239" s="564"/>
      <c r="HJ239" s="564"/>
      <c r="HK239" s="564"/>
      <c r="HL239" s="564"/>
      <c r="HM239" s="564"/>
      <c r="HN239" s="564"/>
      <c r="HO239" s="564"/>
      <c r="HP239" s="564"/>
      <c r="HQ239" s="564"/>
      <c r="HR239" s="564"/>
      <c r="HS239" s="564"/>
      <c r="HT239" s="564"/>
      <c r="HU239" s="564"/>
      <c r="HV239" s="564"/>
      <c r="HW239" s="564"/>
      <c r="HX239" s="564"/>
      <c r="HY239" s="564"/>
      <c r="HZ239" s="564"/>
      <c r="IA239" s="564"/>
      <c r="IB239" s="564"/>
      <c r="IC239" s="564"/>
      <c r="ID239" s="564"/>
      <c r="IE239" s="564"/>
      <c r="IF239" s="564"/>
      <c r="IG239" s="564"/>
      <c r="IH239" s="564"/>
      <c r="II239" s="564"/>
      <c r="IJ239" s="564"/>
      <c r="IK239" s="564"/>
      <c r="IL239" s="564"/>
      <c r="IM239" s="564"/>
      <c r="IN239" s="564"/>
      <c r="IO239" s="564"/>
      <c r="IP239" s="564"/>
      <c r="IQ239" s="564"/>
      <c r="IR239" s="564"/>
      <c r="IS239" s="564"/>
      <c r="IT239" s="564"/>
      <c r="IU239" s="564"/>
      <c r="IV239" s="564"/>
      <c r="IW239" s="564"/>
      <c r="IX239" s="564"/>
      <c r="IY239" s="564"/>
      <c r="IZ239" s="564"/>
      <c r="JA239" s="564"/>
      <c r="JB239" s="564"/>
      <c r="JC239" s="564"/>
      <c r="JD239" s="564"/>
      <c r="JE239" s="564"/>
      <c r="JF239" s="564"/>
      <c r="JG239" s="564"/>
      <c r="JH239" s="564"/>
      <c r="JI239" s="564"/>
      <c r="JJ239" s="564"/>
      <c r="JK239" s="564"/>
      <c r="JL239" s="564"/>
      <c r="JM239" s="564"/>
      <c r="JN239" s="564"/>
      <c r="JO239" s="564"/>
      <c r="JP239" s="564"/>
      <c r="JQ239" s="564"/>
      <c r="JR239" s="564"/>
      <c r="JS239" s="564"/>
      <c r="JT239" s="564"/>
      <c r="JU239" s="564"/>
      <c r="JV239" s="564"/>
    </row>
    <row r="240" spans="1:282" ht="50.1" customHeight="1" x14ac:dyDescent="0.2">
      <c r="A240" s="298"/>
      <c r="B240" s="30" t="s">
        <v>584</v>
      </c>
      <c r="C240" s="30"/>
      <c r="D240" s="30"/>
      <c r="E240" s="30" t="s">
        <v>1718</v>
      </c>
      <c r="F240" s="196" t="s">
        <v>1720</v>
      </c>
      <c r="G240" s="30" t="s">
        <v>1721</v>
      </c>
      <c r="H240" s="30" t="s">
        <v>1723</v>
      </c>
      <c r="I240" s="30"/>
      <c r="J240" s="30" t="s">
        <v>1722</v>
      </c>
      <c r="K240" s="30" t="s">
        <v>1540</v>
      </c>
      <c r="L240" s="30" t="s">
        <v>1095</v>
      </c>
      <c r="M240" s="29" t="s">
        <v>2446</v>
      </c>
      <c r="N240" s="73">
        <v>41453</v>
      </c>
      <c r="O240" s="32" t="s">
        <v>1719</v>
      </c>
      <c r="P240" s="32"/>
      <c r="Q240" s="32"/>
      <c r="R240" s="32"/>
      <c r="S240" s="32"/>
      <c r="T240" s="560"/>
      <c r="U240" s="560"/>
      <c r="V240" s="560"/>
      <c r="W240" s="560"/>
      <c r="X240" s="560"/>
      <c r="Y240" s="560"/>
      <c r="Z240" s="560"/>
      <c r="AA240" s="560"/>
      <c r="AB240" s="560"/>
      <c r="AC240" s="560"/>
      <c r="AD240" s="560"/>
      <c r="AE240" s="560"/>
      <c r="AF240" s="560"/>
      <c r="AG240" s="560"/>
      <c r="AH240" s="560"/>
      <c r="AI240" s="560"/>
      <c r="AJ240" s="73">
        <v>42282</v>
      </c>
      <c r="AK240" s="648"/>
      <c r="AL240" s="174"/>
      <c r="AM240" s="564"/>
      <c r="AN240" s="564"/>
      <c r="AO240" s="564"/>
      <c r="AP240" s="564"/>
      <c r="AQ240" s="564"/>
      <c r="AR240" s="564"/>
      <c r="AS240" s="564"/>
      <c r="AT240" s="564"/>
      <c r="AU240" s="564"/>
      <c r="AV240" s="564"/>
      <c r="AW240" s="564"/>
      <c r="AX240" s="564"/>
      <c r="AY240" s="564"/>
      <c r="AZ240" s="564"/>
      <c r="BA240" s="564"/>
      <c r="BB240" s="564"/>
      <c r="BC240" s="564"/>
      <c r="BD240" s="564"/>
      <c r="BE240" s="564"/>
      <c r="BF240" s="564"/>
      <c r="BG240" s="564"/>
      <c r="BH240" s="564"/>
      <c r="BI240" s="564"/>
      <c r="BJ240" s="564"/>
      <c r="BK240" s="564"/>
      <c r="BL240" s="564"/>
      <c r="BM240" s="564"/>
      <c r="BN240" s="564"/>
      <c r="BO240" s="564"/>
      <c r="BP240" s="564"/>
      <c r="BQ240" s="564"/>
      <c r="BR240" s="564"/>
      <c r="BS240" s="564"/>
      <c r="BT240" s="564"/>
      <c r="BU240" s="564"/>
      <c r="BV240" s="564"/>
      <c r="BW240" s="564"/>
      <c r="BX240" s="564"/>
      <c r="BY240" s="564"/>
      <c r="BZ240" s="564"/>
      <c r="CA240" s="564"/>
      <c r="CB240" s="564"/>
      <c r="CC240" s="564"/>
      <c r="CD240" s="564"/>
      <c r="CE240" s="564"/>
      <c r="CF240" s="564"/>
      <c r="CG240" s="564"/>
      <c r="CH240" s="564"/>
      <c r="CI240" s="564"/>
      <c r="CJ240" s="564"/>
      <c r="CK240" s="564"/>
      <c r="CL240" s="564"/>
      <c r="CM240" s="564"/>
      <c r="CN240" s="564"/>
      <c r="CO240" s="564"/>
      <c r="CP240" s="564"/>
      <c r="CQ240" s="564"/>
      <c r="CR240" s="564"/>
      <c r="CS240" s="564"/>
      <c r="CT240" s="564"/>
      <c r="CU240" s="564"/>
      <c r="CV240" s="564"/>
      <c r="CW240" s="564"/>
      <c r="CX240" s="564"/>
      <c r="CY240" s="564"/>
      <c r="CZ240" s="564"/>
      <c r="DA240" s="564"/>
      <c r="DB240" s="564"/>
      <c r="DC240" s="564"/>
      <c r="DD240" s="564"/>
      <c r="DE240" s="564"/>
      <c r="DF240" s="564"/>
      <c r="DG240" s="564"/>
      <c r="DH240" s="564"/>
      <c r="DI240" s="564"/>
      <c r="DJ240" s="564"/>
      <c r="DK240" s="564"/>
      <c r="DL240" s="564"/>
      <c r="DM240" s="564"/>
      <c r="DN240" s="564"/>
      <c r="DO240" s="564"/>
      <c r="DP240" s="564"/>
      <c r="DQ240" s="564"/>
      <c r="DR240" s="564"/>
      <c r="DS240" s="564"/>
      <c r="DT240" s="564"/>
      <c r="DU240" s="564"/>
      <c r="DV240" s="564"/>
      <c r="DW240" s="564"/>
      <c r="DX240" s="564"/>
      <c r="DY240" s="564"/>
      <c r="DZ240" s="564"/>
      <c r="EA240" s="564"/>
      <c r="EB240" s="564"/>
      <c r="EC240" s="564"/>
      <c r="ED240" s="564"/>
      <c r="EE240" s="564"/>
      <c r="EF240" s="564"/>
      <c r="EG240" s="564"/>
      <c r="EH240" s="564"/>
      <c r="EI240" s="564"/>
      <c r="EJ240" s="564"/>
      <c r="EK240" s="564"/>
      <c r="EL240" s="564"/>
      <c r="EM240" s="564"/>
      <c r="EN240" s="564"/>
      <c r="EO240" s="564"/>
      <c r="EP240" s="564"/>
      <c r="EQ240" s="564"/>
      <c r="ER240" s="564"/>
      <c r="ES240" s="564"/>
      <c r="ET240" s="564"/>
      <c r="EU240" s="564"/>
      <c r="EV240" s="564"/>
      <c r="EW240" s="564"/>
      <c r="EX240" s="564"/>
      <c r="EY240" s="564"/>
      <c r="EZ240" s="564"/>
      <c r="FA240" s="564"/>
      <c r="FB240" s="564"/>
      <c r="FC240" s="564"/>
      <c r="FD240" s="564"/>
      <c r="FE240" s="564"/>
      <c r="FF240" s="564"/>
      <c r="FG240" s="564"/>
      <c r="FH240" s="564"/>
      <c r="FI240" s="564"/>
      <c r="FJ240" s="564"/>
      <c r="FK240" s="564"/>
      <c r="FL240" s="564"/>
      <c r="FM240" s="564"/>
      <c r="FN240" s="564"/>
      <c r="FO240" s="564"/>
      <c r="FP240" s="564"/>
      <c r="FQ240" s="564"/>
      <c r="FR240" s="564"/>
      <c r="FS240" s="564"/>
      <c r="FT240" s="564"/>
      <c r="FU240" s="564"/>
      <c r="FV240" s="564"/>
      <c r="FW240" s="564"/>
      <c r="FX240" s="564"/>
      <c r="FY240" s="564"/>
      <c r="FZ240" s="564"/>
      <c r="GA240" s="564"/>
      <c r="GB240" s="564"/>
      <c r="GC240" s="564"/>
      <c r="GD240" s="564"/>
      <c r="GE240" s="564"/>
      <c r="GF240" s="564"/>
      <c r="GG240" s="564"/>
      <c r="GH240" s="564"/>
      <c r="GI240" s="564"/>
      <c r="GJ240" s="564"/>
      <c r="GK240" s="564"/>
      <c r="GL240" s="564"/>
      <c r="GM240" s="564"/>
      <c r="GN240" s="564"/>
      <c r="GO240" s="564"/>
      <c r="GP240" s="564"/>
      <c r="GQ240" s="564"/>
      <c r="GR240" s="564"/>
      <c r="GS240" s="564"/>
      <c r="GT240" s="564"/>
      <c r="GU240" s="564"/>
      <c r="GV240" s="564"/>
      <c r="GW240" s="564"/>
      <c r="GX240" s="564"/>
      <c r="GY240" s="564"/>
      <c r="GZ240" s="564"/>
      <c r="HA240" s="564"/>
      <c r="HB240" s="564"/>
      <c r="HC240" s="564"/>
      <c r="HD240" s="564"/>
      <c r="HE240" s="564"/>
      <c r="HF240" s="564"/>
      <c r="HG240" s="564"/>
      <c r="HH240" s="564"/>
      <c r="HI240" s="564"/>
      <c r="HJ240" s="564"/>
      <c r="HK240" s="564"/>
      <c r="HL240" s="564"/>
      <c r="HM240" s="564"/>
      <c r="HN240" s="564"/>
      <c r="HO240" s="564"/>
      <c r="HP240" s="564"/>
      <c r="HQ240" s="564"/>
      <c r="HR240" s="564"/>
      <c r="HS240" s="564"/>
      <c r="HT240" s="564"/>
      <c r="HU240" s="564"/>
      <c r="HV240" s="564"/>
      <c r="HW240" s="564"/>
      <c r="HX240" s="564"/>
      <c r="HY240" s="564"/>
      <c r="HZ240" s="564"/>
      <c r="IA240" s="564"/>
      <c r="IB240" s="564"/>
      <c r="IC240" s="564"/>
      <c r="ID240" s="564"/>
      <c r="IE240" s="564"/>
      <c r="IF240" s="564"/>
      <c r="IG240" s="564"/>
      <c r="IH240" s="564"/>
      <c r="II240" s="564"/>
      <c r="IJ240" s="564"/>
      <c r="IK240" s="564"/>
      <c r="IL240" s="564"/>
      <c r="IM240" s="564"/>
      <c r="IN240" s="564"/>
      <c r="IO240" s="564"/>
      <c r="IP240" s="564"/>
      <c r="IQ240" s="564"/>
      <c r="IR240" s="564"/>
      <c r="IS240" s="564"/>
      <c r="IT240" s="564"/>
      <c r="IU240" s="564"/>
      <c r="IV240" s="564"/>
      <c r="IW240" s="564"/>
      <c r="IX240" s="564"/>
      <c r="IY240" s="564"/>
      <c r="IZ240" s="564"/>
      <c r="JA240" s="564"/>
      <c r="JB240" s="564"/>
      <c r="JC240" s="564"/>
      <c r="JD240" s="564"/>
      <c r="JE240" s="564"/>
      <c r="JF240" s="564"/>
      <c r="JG240" s="564"/>
      <c r="JH240" s="564"/>
      <c r="JI240" s="564"/>
      <c r="JJ240" s="564"/>
      <c r="JK240" s="564"/>
      <c r="JL240" s="564"/>
      <c r="JM240" s="564"/>
      <c r="JN240" s="564"/>
      <c r="JO240" s="564"/>
      <c r="JP240" s="564"/>
      <c r="JQ240" s="564"/>
      <c r="JR240" s="564"/>
      <c r="JS240" s="564"/>
      <c r="JT240" s="564"/>
      <c r="JU240" s="564"/>
      <c r="JV240" s="564"/>
    </row>
    <row r="241" spans="1:282" ht="50.1" customHeight="1" x14ac:dyDescent="0.2">
      <c r="A241" s="298"/>
      <c r="B241" s="30" t="s">
        <v>1137</v>
      </c>
      <c r="C241" s="30"/>
      <c r="D241" s="30"/>
      <c r="E241" s="30" t="s">
        <v>1973</v>
      </c>
      <c r="F241" s="196" t="s">
        <v>1952</v>
      </c>
      <c r="G241" s="30" t="s">
        <v>1953</v>
      </c>
      <c r="H241" s="30" t="s">
        <v>1806</v>
      </c>
      <c r="I241" s="30"/>
      <c r="J241" s="30" t="s">
        <v>2132</v>
      </c>
      <c r="K241" s="30" t="s">
        <v>1394</v>
      </c>
      <c r="L241" s="30" t="s">
        <v>2133</v>
      </c>
      <c r="M241" s="29" t="s">
        <v>2094</v>
      </c>
      <c r="N241" s="73">
        <v>42153</v>
      </c>
      <c r="O241" s="32" t="s">
        <v>1974</v>
      </c>
      <c r="P241" s="32"/>
      <c r="Q241" s="32"/>
      <c r="R241" s="32"/>
      <c r="S241" s="32"/>
      <c r="T241" s="560"/>
      <c r="U241" s="560"/>
      <c r="V241" s="560"/>
      <c r="W241" s="560"/>
      <c r="X241" s="560"/>
      <c r="Y241" s="560"/>
      <c r="Z241" s="560"/>
      <c r="AA241" s="560"/>
      <c r="AB241" s="560"/>
      <c r="AC241" s="560"/>
      <c r="AD241" s="560"/>
      <c r="AE241" s="560"/>
      <c r="AF241" s="560"/>
      <c r="AG241" s="560"/>
      <c r="AH241" s="560"/>
      <c r="AI241" s="560"/>
      <c r="AJ241" s="73">
        <v>42290</v>
      </c>
      <c r="AK241" s="648"/>
      <c r="AL241" s="174"/>
      <c r="AM241" s="564"/>
      <c r="AN241" s="564"/>
      <c r="AO241" s="564"/>
      <c r="AP241" s="564"/>
      <c r="AQ241" s="564"/>
      <c r="AR241" s="564"/>
      <c r="AS241" s="564"/>
      <c r="AT241" s="564"/>
      <c r="AU241" s="564"/>
      <c r="AV241" s="564"/>
      <c r="AW241" s="564"/>
      <c r="AX241" s="564"/>
      <c r="AY241" s="564"/>
      <c r="AZ241" s="564"/>
      <c r="BA241" s="564"/>
      <c r="BB241" s="564"/>
      <c r="BC241" s="564"/>
      <c r="BD241" s="564"/>
      <c r="BE241" s="564"/>
      <c r="BF241" s="564"/>
      <c r="BG241" s="564"/>
      <c r="BH241" s="564"/>
      <c r="BI241" s="564"/>
      <c r="BJ241" s="564"/>
      <c r="BK241" s="564"/>
      <c r="BL241" s="564"/>
      <c r="BM241" s="564"/>
      <c r="BN241" s="564"/>
      <c r="BO241" s="564"/>
      <c r="BP241" s="564"/>
      <c r="BQ241" s="564"/>
      <c r="BR241" s="564"/>
      <c r="BS241" s="564"/>
      <c r="BT241" s="564"/>
      <c r="BU241" s="564"/>
      <c r="BV241" s="564"/>
      <c r="BW241" s="564"/>
      <c r="BX241" s="564"/>
      <c r="BY241" s="564"/>
      <c r="BZ241" s="564"/>
      <c r="CA241" s="564"/>
      <c r="CB241" s="564"/>
      <c r="CC241" s="564"/>
      <c r="CD241" s="564"/>
      <c r="CE241" s="564"/>
      <c r="CF241" s="564"/>
      <c r="CG241" s="564"/>
      <c r="CH241" s="564"/>
      <c r="CI241" s="564"/>
      <c r="CJ241" s="564"/>
      <c r="CK241" s="564"/>
      <c r="CL241" s="564"/>
      <c r="CM241" s="564"/>
      <c r="CN241" s="564"/>
      <c r="CO241" s="564"/>
      <c r="CP241" s="564"/>
      <c r="CQ241" s="564"/>
      <c r="CR241" s="564"/>
      <c r="CS241" s="564"/>
      <c r="CT241" s="564"/>
      <c r="CU241" s="564"/>
      <c r="CV241" s="564"/>
      <c r="CW241" s="564"/>
      <c r="CX241" s="564"/>
      <c r="CY241" s="564"/>
      <c r="CZ241" s="564"/>
      <c r="DA241" s="564"/>
      <c r="DB241" s="564"/>
      <c r="DC241" s="564"/>
      <c r="DD241" s="564"/>
      <c r="DE241" s="564"/>
      <c r="DF241" s="564"/>
      <c r="DG241" s="564"/>
      <c r="DH241" s="564"/>
      <c r="DI241" s="564"/>
      <c r="DJ241" s="564"/>
      <c r="DK241" s="564"/>
      <c r="DL241" s="564"/>
      <c r="DM241" s="564"/>
      <c r="DN241" s="564"/>
      <c r="DO241" s="564"/>
      <c r="DP241" s="564"/>
      <c r="DQ241" s="564"/>
      <c r="DR241" s="564"/>
      <c r="DS241" s="564"/>
      <c r="DT241" s="564"/>
      <c r="DU241" s="564"/>
      <c r="DV241" s="564"/>
      <c r="DW241" s="564"/>
      <c r="DX241" s="564"/>
      <c r="DY241" s="564"/>
      <c r="DZ241" s="564"/>
      <c r="EA241" s="564"/>
      <c r="EB241" s="564"/>
      <c r="EC241" s="564"/>
      <c r="ED241" s="564"/>
      <c r="EE241" s="564"/>
      <c r="EF241" s="564"/>
      <c r="EG241" s="564"/>
      <c r="EH241" s="564"/>
      <c r="EI241" s="564"/>
      <c r="EJ241" s="564"/>
      <c r="EK241" s="564"/>
      <c r="EL241" s="564"/>
      <c r="EM241" s="564"/>
      <c r="EN241" s="564"/>
      <c r="EO241" s="564"/>
      <c r="EP241" s="564"/>
      <c r="EQ241" s="564"/>
      <c r="ER241" s="564"/>
      <c r="ES241" s="564"/>
      <c r="ET241" s="564"/>
      <c r="EU241" s="564"/>
      <c r="EV241" s="564"/>
      <c r="EW241" s="564"/>
      <c r="EX241" s="564"/>
      <c r="EY241" s="564"/>
      <c r="EZ241" s="564"/>
      <c r="FA241" s="564"/>
      <c r="FB241" s="564"/>
      <c r="FC241" s="564"/>
      <c r="FD241" s="564"/>
      <c r="FE241" s="564"/>
      <c r="FF241" s="564"/>
      <c r="FG241" s="564"/>
      <c r="FH241" s="564"/>
      <c r="FI241" s="564"/>
      <c r="FJ241" s="564"/>
      <c r="FK241" s="564"/>
      <c r="FL241" s="564"/>
      <c r="FM241" s="564"/>
      <c r="FN241" s="564"/>
      <c r="FO241" s="564"/>
      <c r="FP241" s="564"/>
      <c r="FQ241" s="564"/>
      <c r="FR241" s="564"/>
      <c r="FS241" s="564"/>
      <c r="FT241" s="564"/>
      <c r="FU241" s="564"/>
      <c r="FV241" s="564"/>
      <c r="FW241" s="564"/>
      <c r="FX241" s="564"/>
      <c r="FY241" s="564"/>
      <c r="FZ241" s="564"/>
      <c r="GA241" s="564"/>
      <c r="GB241" s="564"/>
      <c r="GC241" s="564"/>
      <c r="GD241" s="564"/>
      <c r="GE241" s="564"/>
      <c r="GF241" s="564"/>
      <c r="GG241" s="564"/>
      <c r="GH241" s="564"/>
      <c r="GI241" s="564"/>
      <c r="GJ241" s="564"/>
      <c r="GK241" s="564"/>
      <c r="GL241" s="564"/>
      <c r="GM241" s="564"/>
      <c r="GN241" s="564"/>
      <c r="GO241" s="564"/>
      <c r="GP241" s="564"/>
      <c r="GQ241" s="564"/>
      <c r="GR241" s="564"/>
      <c r="GS241" s="564"/>
      <c r="GT241" s="564"/>
      <c r="GU241" s="564"/>
      <c r="GV241" s="564"/>
      <c r="GW241" s="564"/>
      <c r="GX241" s="564"/>
      <c r="GY241" s="564"/>
      <c r="GZ241" s="564"/>
      <c r="HA241" s="564"/>
      <c r="HB241" s="564"/>
      <c r="HC241" s="564"/>
      <c r="HD241" s="564"/>
      <c r="HE241" s="564"/>
      <c r="HF241" s="564"/>
      <c r="HG241" s="564"/>
      <c r="HH241" s="564"/>
      <c r="HI241" s="564"/>
      <c r="HJ241" s="564"/>
      <c r="HK241" s="564"/>
      <c r="HL241" s="564"/>
      <c r="HM241" s="564"/>
      <c r="HN241" s="564"/>
      <c r="HO241" s="564"/>
      <c r="HP241" s="564"/>
      <c r="HQ241" s="564"/>
      <c r="HR241" s="564"/>
      <c r="HS241" s="564"/>
      <c r="HT241" s="564"/>
      <c r="HU241" s="564"/>
      <c r="HV241" s="564"/>
      <c r="HW241" s="564"/>
      <c r="HX241" s="564"/>
      <c r="HY241" s="564"/>
      <c r="HZ241" s="564"/>
      <c r="IA241" s="564"/>
      <c r="IB241" s="564"/>
      <c r="IC241" s="564"/>
      <c r="ID241" s="564"/>
      <c r="IE241" s="564"/>
      <c r="IF241" s="564"/>
      <c r="IG241" s="564"/>
      <c r="IH241" s="564"/>
      <c r="II241" s="564"/>
      <c r="IJ241" s="564"/>
      <c r="IK241" s="564"/>
      <c r="IL241" s="564"/>
      <c r="IM241" s="564"/>
      <c r="IN241" s="564"/>
      <c r="IO241" s="564"/>
      <c r="IP241" s="564"/>
      <c r="IQ241" s="564"/>
      <c r="IR241" s="564"/>
      <c r="IS241" s="564"/>
      <c r="IT241" s="564"/>
      <c r="IU241" s="564"/>
      <c r="IV241" s="564"/>
      <c r="IW241" s="564"/>
      <c r="IX241" s="564"/>
      <c r="IY241" s="564"/>
      <c r="IZ241" s="564"/>
      <c r="JA241" s="564"/>
      <c r="JB241" s="564"/>
      <c r="JC241" s="564"/>
      <c r="JD241" s="564"/>
      <c r="JE241" s="564"/>
      <c r="JF241" s="564"/>
      <c r="JG241" s="564"/>
      <c r="JH241" s="564"/>
      <c r="JI241" s="564"/>
      <c r="JJ241" s="564"/>
      <c r="JK241" s="564"/>
      <c r="JL241" s="564"/>
      <c r="JM241" s="564"/>
      <c r="JN241" s="564"/>
      <c r="JO241" s="564"/>
      <c r="JP241" s="564"/>
      <c r="JQ241" s="564"/>
      <c r="JR241" s="564"/>
      <c r="JS241" s="564"/>
      <c r="JT241" s="564"/>
      <c r="JU241" s="564"/>
      <c r="JV241" s="564"/>
    </row>
    <row r="242" spans="1:282" ht="50.1" customHeight="1" x14ac:dyDescent="0.2">
      <c r="A242" s="298"/>
      <c r="B242" s="38" t="s">
        <v>1137</v>
      </c>
      <c r="C242" s="38"/>
      <c r="D242" s="38"/>
      <c r="E242" s="757" t="s">
        <v>1942</v>
      </c>
      <c r="F242" s="203" t="s">
        <v>1940</v>
      </c>
      <c r="G242" s="29" t="s">
        <v>1941</v>
      </c>
      <c r="H242" s="29" t="s">
        <v>1806</v>
      </c>
      <c r="I242" s="29"/>
      <c r="J242" s="69" t="s">
        <v>884</v>
      </c>
      <c r="K242" s="30" t="s">
        <v>1394</v>
      </c>
      <c r="L242" s="29" t="s">
        <v>685</v>
      </c>
      <c r="M242" s="29" t="s">
        <v>2094</v>
      </c>
      <c r="N242" s="76">
        <v>41915</v>
      </c>
      <c r="O242" s="69" t="s">
        <v>1943</v>
      </c>
      <c r="P242" s="69"/>
      <c r="Q242" s="69"/>
      <c r="R242" s="69"/>
      <c r="S242" s="69"/>
      <c r="T242" s="560"/>
      <c r="U242" s="560"/>
      <c r="V242" s="560"/>
      <c r="W242" s="560"/>
      <c r="X242" s="560"/>
      <c r="Y242" s="560"/>
      <c r="Z242" s="560"/>
      <c r="AA242" s="560"/>
      <c r="AB242" s="560"/>
      <c r="AC242" s="560"/>
      <c r="AD242" s="560"/>
      <c r="AE242" s="560"/>
      <c r="AF242" s="560"/>
      <c r="AG242" s="560"/>
      <c r="AH242" s="560"/>
      <c r="AI242" s="560"/>
      <c r="AJ242" s="73">
        <v>42297</v>
      </c>
      <c r="AK242" s="648"/>
      <c r="AL242" s="174"/>
      <c r="AM242" s="564"/>
      <c r="AN242" s="564"/>
      <c r="AO242" s="564"/>
      <c r="AP242" s="564"/>
      <c r="AQ242" s="564"/>
      <c r="AR242" s="564"/>
      <c r="AS242" s="564"/>
      <c r="AT242" s="564"/>
      <c r="AU242" s="564"/>
      <c r="AV242" s="564"/>
      <c r="AW242" s="564"/>
      <c r="AX242" s="564"/>
      <c r="AY242" s="564"/>
      <c r="AZ242" s="564"/>
      <c r="BA242" s="564"/>
      <c r="BB242" s="564"/>
      <c r="BC242" s="564"/>
      <c r="BD242" s="564"/>
      <c r="BE242" s="564"/>
      <c r="BF242" s="564"/>
      <c r="BG242" s="564"/>
      <c r="BH242" s="564"/>
      <c r="BI242" s="564"/>
      <c r="BJ242" s="564"/>
      <c r="BK242" s="564"/>
      <c r="BL242" s="564"/>
      <c r="BM242" s="564"/>
      <c r="BN242" s="564"/>
      <c r="BO242" s="564"/>
      <c r="BP242" s="564"/>
      <c r="BQ242" s="564"/>
      <c r="BR242" s="564"/>
      <c r="BS242" s="564"/>
      <c r="BT242" s="564"/>
      <c r="BU242" s="564"/>
      <c r="BV242" s="564"/>
      <c r="BW242" s="564"/>
      <c r="BX242" s="564"/>
      <c r="BY242" s="564"/>
      <c r="BZ242" s="564"/>
      <c r="CA242" s="564"/>
      <c r="CB242" s="564"/>
      <c r="CC242" s="564"/>
      <c r="CD242" s="564"/>
      <c r="CE242" s="564"/>
      <c r="CF242" s="564"/>
      <c r="CG242" s="564"/>
      <c r="CH242" s="564"/>
      <c r="CI242" s="564"/>
      <c r="CJ242" s="564"/>
      <c r="CK242" s="564"/>
      <c r="CL242" s="564"/>
      <c r="CM242" s="564"/>
      <c r="CN242" s="564"/>
      <c r="CO242" s="564"/>
      <c r="CP242" s="564"/>
      <c r="CQ242" s="564"/>
      <c r="CR242" s="564"/>
      <c r="CS242" s="564"/>
      <c r="CT242" s="564"/>
      <c r="CU242" s="564"/>
      <c r="CV242" s="564"/>
      <c r="CW242" s="564"/>
      <c r="CX242" s="564"/>
      <c r="CY242" s="564"/>
      <c r="CZ242" s="564"/>
      <c r="DA242" s="564"/>
      <c r="DB242" s="564"/>
      <c r="DC242" s="564"/>
      <c r="DD242" s="564"/>
      <c r="DE242" s="564"/>
      <c r="DF242" s="564"/>
      <c r="DG242" s="564"/>
      <c r="DH242" s="564"/>
      <c r="DI242" s="564"/>
      <c r="DJ242" s="564"/>
      <c r="DK242" s="564"/>
      <c r="DL242" s="564"/>
      <c r="DM242" s="564"/>
      <c r="DN242" s="564"/>
      <c r="DO242" s="564"/>
      <c r="DP242" s="564"/>
      <c r="DQ242" s="564"/>
      <c r="DR242" s="564"/>
      <c r="DS242" s="564"/>
      <c r="DT242" s="564"/>
      <c r="DU242" s="564"/>
      <c r="DV242" s="564"/>
      <c r="DW242" s="564"/>
      <c r="DX242" s="564"/>
      <c r="DY242" s="564"/>
      <c r="DZ242" s="564"/>
      <c r="EA242" s="564"/>
      <c r="EB242" s="564"/>
      <c r="EC242" s="564"/>
      <c r="ED242" s="564"/>
      <c r="EE242" s="564"/>
      <c r="EF242" s="564"/>
      <c r="EG242" s="564"/>
      <c r="EH242" s="564"/>
      <c r="EI242" s="564"/>
      <c r="EJ242" s="564"/>
      <c r="EK242" s="564"/>
      <c r="EL242" s="564"/>
      <c r="EM242" s="564"/>
      <c r="EN242" s="564"/>
      <c r="EO242" s="564"/>
      <c r="EP242" s="564"/>
      <c r="EQ242" s="564"/>
      <c r="ER242" s="564"/>
      <c r="ES242" s="564"/>
      <c r="ET242" s="564"/>
      <c r="EU242" s="564"/>
      <c r="EV242" s="564"/>
      <c r="EW242" s="564"/>
      <c r="EX242" s="564"/>
      <c r="EY242" s="564"/>
      <c r="EZ242" s="564"/>
      <c r="FA242" s="564"/>
      <c r="FB242" s="564"/>
      <c r="FC242" s="564"/>
      <c r="FD242" s="564"/>
      <c r="FE242" s="564"/>
      <c r="FF242" s="564"/>
      <c r="FG242" s="564"/>
      <c r="FH242" s="564"/>
      <c r="FI242" s="564"/>
      <c r="FJ242" s="564"/>
      <c r="FK242" s="564"/>
      <c r="FL242" s="564"/>
      <c r="FM242" s="564"/>
      <c r="FN242" s="564"/>
      <c r="FO242" s="564"/>
      <c r="FP242" s="564"/>
      <c r="FQ242" s="564"/>
      <c r="FR242" s="564"/>
      <c r="FS242" s="564"/>
      <c r="FT242" s="564"/>
      <c r="FU242" s="564"/>
      <c r="FV242" s="564"/>
      <c r="FW242" s="564"/>
      <c r="FX242" s="564"/>
      <c r="FY242" s="564"/>
      <c r="FZ242" s="564"/>
      <c r="GA242" s="564"/>
      <c r="GB242" s="564"/>
      <c r="GC242" s="564"/>
      <c r="GD242" s="564"/>
      <c r="GE242" s="564"/>
      <c r="GF242" s="564"/>
      <c r="GG242" s="564"/>
      <c r="GH242" s="564"/>
      <c r="GI242" s="564"/>
      <c r="GJ242" s="564"/>
      <c r="GK242" s="564"/>
      <c r="GL242" s="564"/>
      <c r="GM242" s="564"/>
      <c r="GN242" s="564"/>
      <c r="GO242" s="564"/>
      <c r="GP242" s="564"/>
      <c r="GQ242" s="564"/>
      <c r="GR242" s="564"/>
      <c r="GS242" s="564"/>
      <c r="GT242" s="564"/>
      <c r="GU242" s="564"/>
      <c r="GV242" s="564"/>
      <c r="GW242" s="564"/>
      <c r="GX242" s="564"/>
      <c r="GY242" s="564"/>
      <c r="GZ242" s="564"/>
      <c r="HA242" s="564"/>
      <c r="HB242" s="564"/>
      <c r="HC242" s="564"/>
      <c r="HD242" s="564"/>
      <c r="HE242" s="564"/>
      <c r="HF242" s="564"/>
      <c r="HG242" s="564"/>
      <c r="HH242" s="564"/>
      <c r="HI242" s="564"/>
      <c r="HJ242" s="564"/>
      <c r="HK242" s="564"/>
      <c r="HL242" s="564"/>
      <c r="HM242" s="564"/>
      <c r="HN242" s="564"/>
      <c r="HO242" s="564"/>
      <c r="HP242" s="564"/>
      <c r="HQ242" s="564"/>
      <c r="HR242" s="564"/>
      <c r="HS242" s="564"/>
      <c r="HT242" s="564"/>
      <c r="HU242" s="564"/>
      <c r="HV242" s="564"/>
      <c r="HW242" s="564"/>
      <c r="HX242" s="564"/>
      <c r="HY242" s="564"/>
      <c r="HZ242" s="564"/>
      <c r="IA242" s="564"/>
      <c r="IB242" s="564"/>
      <c r="IC242" s="564"/>
      <c r="ID242" s="564"/>
      <c r="IE242" s="564"/>
      <c r="IF242" s="564"/>
      <c r="IG242" s="564"/>
      <c r="IH242" s="564"/>
      <c r="II242" s="564"/>
      <c r="IJ242" s="564"/>
      <c r="IK242" s="564"/>
      <c r="IL242" s="564"/>
      <c r="IM242" s="564"/>
      <c r="IN242" s="564"/>
      <c r="IO242" s="564"/>
      <c r="IP242" s="564"/>
      <c r="IQ242" s="564"/>
      <c r="IR242" s="564"/>
      <c r="IS242" s="564"/>
      <c r="IT242" s="564"/>
      <c r="IU242" s="564"/>
      <c r="IV242" s="564"/>
      <c r="IW242" s="564"/>
      <c r="IX242" s="564"/>
      <c r="IY242" s="564"/>
      <c r="IZ242" s="564"/>
      <c r="JA242" s="564"/>
      <c r="JB242" s="564"/>
      <c r="JC242" s="564"/>
      <c r="JD242" s="564"/>
      <c r="JE242" s="564"/>
      <c r="JF242" s="564"/>
      <c r="JG242" s="564"/>
      <c r="JH242" s="564"/>
      <c r="JI242" s="564"/>
      <c r="JJ242" s="564"/>
      <c r="JK242" s="564"/>
      <c r="JL242" s="564"/>
      <c r="JM242" s="564"/>
      <c r="JN242" s="564"/>
      <c r="JO242" s="564"/>
      <c r="JP242" s="564"/>
      <c r="JQ242" s="564"/>
      <c r="JR242" s="564"/>
      <c r="JS242" s="564"/>
      <c r="JT242" s="564"/>
      <c r="JU242" s="564"/>
      <c r="JV242" s="564"/>
    </row>
    <row r="243" spans="1:282" ht="50.1" customHeight="1" x14ac:dyDescent="0.2">
      <c r="A243" s="298"/>
      <c r="B243" s="30" t="s">
        <v>584</v>
      </c>
      <c r="C243" s="30"/>
      <c r="D243" s="30"/>
      <c r="E243" s="30" t="s">
        <v>1846</v>
      </c>
      <c r="F243" s="196" t="s">
        <v>2435</v>
      </c>
      <c r="G243" s="30" t="s">
        <v>1844</v>
      </c>
      <c r="H243" s="30" t="s">
        <v>1806</v>
      </c>
      <c r="I243" s="30"/>
      <c r="J243" s="30" t="s">
        <v>79</v>
      </c>
      <c r="K243" s="30" t="s">
        <v>1393</v>
      </c>
      <c r="L243" s="29" t="s">
        <v>1845</v>
      </c>
      <c r="M243" s="29" t="s">
        <v>1615</v>
      </c>
      <c r="N243" s="74">
        <v>41838</v>
      </c>
      <c r="O243" s="204" t="s">
        <v>1847</v>
      </c>
      <c r="P243" s="204"/>
      <c r="Q243" s="204"/>
      <c r="R243" s="204"/>
      <c r="S243" s="204"/>
      <c r="T243" s="560"/>
      <c r="U243" s="560"/>
      <c r="V243" s="560"/>
      <c r="W243" s="560"/>
      <c r="X243" s="560"/>
      <c r="Y243" s="560"/>
      <c r="Z243" s="560"/>
      <c r="AA243" s="560"/>
      <c r="AB243" s="560"/>
      <c r="AC243" s="560"/>
      <c r="AD243" s="560"/>
      <c r="AE243" s="560"/>
      <c r="AF243" s="560"/>
      <c r="AG243" s="560"/>
      <c r="AH243" s="560"/>
      <c r="AI243" s="560"/>
      <c r="AJ243" s="73">
        <v>42297</v>
      </c>
      <c r="AK243" s="648"/>
      <c r="AL243" s="174"/>
      <c r="AM243" s="564"/>
      <c r="AN243" s="564"/>
      <c r="AO243" s="564"/>
      <c r="AP243" s="564"/>
      <c r="AQ243" s="564"/>
      <c r="AR243" s="564"/>
      <c r="AS243" s="564"/>
      <c r="AT243" s="564"/>
      <c r="AU243" s="564"/>
      <c r="AV243" s="564"/>
      <c r="AW243" s="564"/>
      <c r="AX243" s="564"/>
      <c r="AY243" s="564"/>
      <c r="AZ243" s="564"/>
      <c r="BA243" s="564"/>
      <c r="BB243" s="564"/>
      <c r="BC243" s="564"/>
      <c r="BD243" s="564"/>
      <c r="BE243" s="564"/>
      <c r="BF243" s="564"/>
      <c r="BG243" s="564"/>
      <c r="BH243" s="564"/>
      <c r="BI243" s="564"/>
      <c r="BJ243" s="564"/>
      <c r="BK243" s="564"/>
      <c r="BL243" s="564"/>
      <c r="BM243" s="564"/>
      <c r="BN243" s="564"/>
      <c r="BO243" s="564"/>
      <c r="BP243" s="564"/>
      <c r="BQ243" s="564"/>
      <c r="BR243" s="564"/>
      <c r="BS243" s="564"/>
      <c r="BT243" s="564"/>
      <c r="BU243" s="564"/>
      <c r="BV243" s="564"/>
      <c r="BW243" s="564"/>
      <c r="BX243" s="564"/>
      <c r="BY243" s="564"/>
      <c r="BZ243" s="564"/>
      <c r="CA243" s="564"/>
      <c r="CB243" s="564"/>
      <c r="CC243" s="564"/>
      <c r="CD243" s="564"/>
      <c r="CE243" s="564"/>
      <c r="CF243" s="564"/>
      <c r="CG243" s="564"/>
      <c r="CH243" s="564"/>
      <c r="CI243" s="564"/>
      <c r="CJ243" s="564"/>
      <c r="CK243" s="564"/>
      <c r="CL243" s="564"/>
      <c r="CM243" s="564"/>
      <c r="CN243" s="564"/>
      <c r="CO243" s="564"/>
      <c r="CP243" s="564"/>
      <c r="CQ243" s="564"/>
      <c r="CR243" s="564"/>
      <c r="CS243" s="564"/>
      <c r="CT243" s="564"/>
      <c r="CU243" s="564"/>
      <c r="CV243" s="564"/>
      <c r="CW243" s="564"/>
      <c r="CX243" s="564"/>
      <c r="CY243" s="564"/>
      <c r="CZ243" s="564"/>
      <c r="DA243" s="564"/>
      <c r="DB243" s="564"/>
      <c r="DC243" s="564"/>
      <c r="DD243" s="564"/>
      <c r="DE243" s="564"/>
      <c r="DF243" s="564"/>
      <c r="DG243" s="564"/>
      <c r="DH243" s="564"/>
      <c r="DI243" s="564"/>
      <c r="DJ243" s="564"/>
      <c r="DK243" s="564"/>
      <c r="DL243" s="564"/>
      <c r="DM243" s="564"/>
      <c r="DN243" s="564"/>
      <c r="DO243" s="564"/>
      <c r="DP243" s="564"/>
      <c r="DQ243" s="564"/>
      <c r="DR243" s="564"/>
      <c r="DS243" s="564"/>
      <c r="DT243" s="564"/>
      <c r="DU243" s="564"/>
      <c r="DV243" s="564"/>
      <c r="DW243" s="564"/>
      <c r="DX243" s="564"/>
      <c r="DY243" s="564"/>
      <c r="DZ243" s="564"/>
      <c r="EA243" s="564"/>
      <c r="EB243" s="564"/>
      <c r="EC243" s="564"/>
      <c r="ED243" s="564"/>
      <c r="EE243" s="564"/>
      <c r="EF243" s="564"/>
      <c r="EG243" s="564"/>
      <c r="EH243" s="564"/>
      <c r="EI243" s="564"/>
      <c r="EJ243" s="564"/>
      <c r="EK243" s="564"/>
      <c r="EL243" s="564"/>
      <c r="EM243" s="564"/>
      <c r="EN243" s="564"/>
      <c r="EO243" s="564"/>
      <c r="EP243" s="564"/>
      <c r="EQ243" s="564"/>
      <c r="ER243" s="564"/>
      <c r="ES243" s="564"/>
      <c r="ET243" s="564"/>
      <c r="EU243" s="564"/>
      <c r="EV243" s="564"/>
      <c r="EW243" s="564"/>
      <c r="EX243" s="564"/>
      <c r="EY243" s="564"/>
      <c r="EZ243" s="564"/>
      <c r="FA243" s="564"/>
      <c r="FB243" s="564"/>
      <c r="FC243" s="564"/>
      <c r="FD243" s="564"/>
      <c r="FE243" s="564"/>
      <c r="FF243" s="564"/>
      <c r="FG243" s="564"/>
      <c r="FH243" s="564"/>
      <c r="FI243" s="564"/>
      <c r="FJ243" s="564"/>
      <c r="FK243" s="564"/>
      <c r="FL243" s="564"/>
      <c r="FM243" s="564"/>
      <c r="FN243" s="564"/>
      <c r="FO243" s="564"/>
      <c r="FP243" s="564"/>
      <c r="FQ243" s="564"/>
      <c r="FR243" s="564"/>
      <c r="FS243" s="564"/>
      <c r="FT243" s="564"/>
      <c r="FU243" s="564"/>
      <c r="FV243" s="564"/>
      <c r="FW243" s="564"/>
      <c r="FX243" s="564"/>
      <c r="FY243" s="564"/>
      <c r="FZ243" s="564"/>
      <c r="GA243" s="564"/>
      <c r="GB243" s="564"/>
      <c r="GC243" s="564"/>
      <c r="GD243" s="564"/>
      <c r="GE243" s="564"/>
      <c r="GF243" s="564"/>
      <c r="GG243" s="564"/>
      <c r="GH243" s="564"/>
      <c r="GI243" s="564"/>
      <c r="GJ243" s="564"/>
      <c r="GK243" s="564"/>
      <c r="GL243" s="564"/>
      <c r="GM243" s="564"/>
      <c r="GN243" s="564"/>
      <c r="GO243" s="564"/>
      <c r="GP243" s="564"/>
      <c r="GQ243" s="564"/>
      <c r="GR243" s="564"/>
      <c r="GS243" s="564"/>
      <c r="GT243" s="564"/>
      <c r="GU243" s="564"/>
      <c r="GV243" s="564"/>
      <c r="GW243" s="564"/>
      <c r="GX243" s="564"/>
      <c r="GY243" s="564"/>
      <c r="GZ243" s="564"/>
      <c r="HA243" s="564"/>
      <c r="HB243" s="564"/>
      <c r="HC243" s="564"/>
      <c r="HD243" s="564"/>
      <c r="HE243" s="564"/>
      <c r="HF243" s="564"/>
      <c r="HG243" s="564"/>
      <c r="HH243" s="564"/>
      <c r="HI243" s="564"/>
      <c r="HJ243" s="564"/>
      <c r="HK243" s="564"/>
      <c r="HL243" s="564"/>
      <c r="HM243" s="564"/>
      <c r="HN243" s="564"/>
      <c r="HO243" s="564"/>
      <c r="HP243" s="564"/>
      <c r="HQ243" s="564"/>
      <c r="HR243" s="564"/>
      <c r="HS243" s="564"/>
      <c r="HT243" s="564"/>
      <c r="HU243" s="564"/>
      <c r="HV243" s="564"/>
      <c r="HW243" s="564"/>
      <c r="HX243" s="564"/>
      <c r="HY243" s="564"/>
      <c r="HZ243" s="564"/>
      <c r="IA243" s="564"/>
      <c r="IB243" s="564"/>
      <c r="IC243" s="564"/>
      <c r="ID243" s="564"/>
      <c r="IE243" s="564"/>
      <c r="IF243" s="564"/>
      <c r="IG243" s="564"/>
      <c r="IH243" s="564"/>
      <c r="II243" s="564"/>
      <c r="IJ243" s="564"/>
      <c r="IK243" s="564"/>
      <c r="IL243" s="564"/>
      <c r="IM243" s="564"/>
      <c r="IN243" s="564"/>
      <c r="IO243" s="564"/>
      <c r="IP243" s="564"/>
      <c r="IQ243" s="564"/>
      <c r="IR243" s="564"/>
      <c r="IS243" s="564"/>
      <c r="IT243" s="564"/>
      <c r="IU243" s="564"/>
      <c r="IV243" s="564"/>
      <c r="IW243" s="564"/>
      <c r="IX243" s="564"/>
      <c r="IY243" s="564"/>
      <c r="IZ243" s="564"/>
      <c r="JA243" s="564"/>
      <c r="JB243" s="564"/>
      <c r="JC243" s="564"/>
      <c r="JD243" s="564"/>
      <c r="JE243" s="564"/>
      <c r="JF243" s="564"/>
      <c r="JG243" s="564"/>
      <c r="JH243" s="564"/>
      <c r="JI243" s="564"/>
      <c r="JJ243" s="564"/>
      <c r="JK243" s="564"/>
      <c r="JL243" s="564"/>
      <c r="JM243" s="564"/>
      <c r="JN243" s="564"/>
      <c r="JO243" s="564"/>
      <c r="JP243" s="564"/>
      <c r="JQ243" s="564"/>
      <c r="JR243" s="564"/>
      <c r="JS243" s="564"/>
      <c r="JT243" s="564"/>
      <c r="JU243" s="564"/>
      <c r="JV243" s="564"/>
    </row>
    <row r="244" spans="1:282" ht="50.1" customHeight="1" x14ac:dyDescent="0.2">
      <c r="A244" s="298"/>
      <c r="B244" s="29" t="s">
        <v>584</v>
      </c>
      <c r="C244" s="29"/>
      <c r="D244" s="29"/>
      <c r="E244" s="29" t="s">
        <v>1245</v>
      </c>
      <c r="F244" s="104" t="s">
        <v>2436</v>
      </c>
      <c r="G244" s="29" t="s">
        <v>420</v>
      </c>
      <c r="H244" s="29" t="s">
        <v>1552</v>
      </c>
      <c r="I244" s="29"/>
      <c r="J244" s="29" t="s">
        <v>1553</v>
      </c>
      <c r="K244" s="29" t="s">
        <v>1393</v>
      </c>
      <c r="L244" s="29" t="s">
        <v>12</v>
      </c>
      <c r="M244" s="29" t="s">
        <v>1615</v>
      </c>
      <c r="N244" s="74">
        <v>41589</v>
      </c>
      <c r="O244" s="69" t="s">
        <v>1259</v>
      </c>
      <c r="P244" s="69"/>
      <c r="Q244" s="69"/>
      <c r="R244" s="69"/>
      <c r="S244" s="69"/>
      <c r="T244" s="560"/>
      <c r="U244" s="560"/>
      <c r="V244" s="560"/>
      <c r="W244" s="560"/>
      <c r="X244" s="560"/>
      <c r="Y244" s="560"/>
      <c r="Z244" s="560"/>
      <c r="AA244" s="560"/>
      <c r="AB244" s="560"/>
      <c r="AC244" s="560"/>
      <c r="AD244" s="560"/>
      <c r="AE244" s="560"/>
      <c r="AF244" s="560"/>
      <c r="AG244" s="560"/>
      <c r="AH244" s="560"/>
      <c r="AI244" s="560"/>
      <c r="AJ244" s="73">
        <v>42297</v>
      </c>
      <c r="AK244" s="648"/>
      <c r="AL244" s="174"/>
      <c r="AM244" s="564"/>
      <c r="AN244" s="564"/>
      <c r="AO244" s="564"/>
      <c r="AP244" s="564"/>
      <c r="AQ244" s="564"/>
      <c r="AR244" s="564"/>
      <c r="AS244" s="564"/>
      <c r="AT244" s="564"/>
      <c r="AU244" s="564"/>
      <c r="AV244" s="564"/>
      <c r="AW244" s="564"/>
      <c r="AX244" s="564"/>
      <c r="AY244" s="564"/>
      <c r="AZ244" s="564"/>
      <c r="BA244" s="564"/>
      <c r="BB244" s="564"/>
      <c r="BC244" s="564"/>
      <c r="BD244" s="564"/>
      <c r="BE244" s="564"/>
      <c r="BF244" s="564"/>
      <c r="BG244" s="564"/>
      <c r="BH244" s="564"/>
      <c r="BI244" s="564"/>
      <c r="BJ244" s="564"/>
      <c r="BK244" s="564"/>
      <c r="BL244" s="564"/>
      <c r="BM244" s="564"/>
      <c r="BN244" s="564"/>
      <c r="BO244" s="564"/>
      <c r="BP244" s="564"/>
      <c r="BQ244" s="564"/>
      <c r="BR244" s="564"/>
      <c r="BS244" s="564"/>
      <c r="BT244" s="564"/>
      <c r="BU244" s="564"/>
      <c r="BV244" s="564"/>
      <c r="BW244" s="564"/>
      <c r="BX244" s="564"/>
      <c r="BY244" s="564"/>
      <c r="BZ244" s="564"/>
      <c r="CA244" s="564"/>
      <c r="CB244" s="564"/>
      <c r="CC244" s="564"/>
      <c r="CD244" s="564"/>
      <c r="CE244" s="564"/>
      <c r="CF244" s="564"/>
      <c r="CG244" s="564"/>
      <c r="CH244" s="564"/>
      <c r="CI244" s="564"/>
      <c r="CJ244" s="564"/>
      <c r="CK244" s="564"/>
      <c r="CL244" s="564"/>
      <c r="CM244" s="564"/>
      <c r="CN244" s="564"/>
      <c r="CO244" s="564"/>
      <c r="CP244" s="564"/>
      <c r="CQ244" s="564"/>
      <c r="CR244" s="564"/>
      <c r="CS244" s="564"/>
      <c r="CT244" s="564"/>
      <c r="CU244" s="564"/>
      <c r="CV244" s="564"/>
      <c r="CW244" s="564"/>
      <c r="CX244" s="564"/>
      <c r="CY244" s="564"/>
      <c r="CZ244" s="564"/>
      <c r="DA244" s="564"/>
      <c r="DB244" s="564"/>
      <c r="DC244" s="564"/>
      <c r="DD244" s="564"/>
      <c r="DE244" s="564"/>
      <c r="DF244" s="564"/>
      <c r="DG244" s="564"/>
      <c r="DH244" s="564"/>
      <c r="DI244" s="564"/>
      <c r="DJ244" s="564"/>
      <c r="DK244" s="564"/>
      <c r="DL244" s="564"/>
      <c r="DM244" s="564"/>
      <c r="DN244" s="564"/>
      <c r="DO244" s="564"/>
      <c r="DP244" s="564"/>
      <c r="DQ244" s="564"/>
      <c r="DR244" s="564"/>
      <c r="DS244" s="564"/>
      <c r="DT244" s="564"/>
      <c r="DU244" s="564"/>
      <c r="DV244" s="564"/>
      <c r="DW244" s="564"/>
      <c r="DX244" s="564"/>
      <c r="DY244" s="564"/>
      <c r="DZ244" s="564"/>
      <c r="EA244" s="564"/>
      <c r="EB244" s="564"/>
      <c r="EC244" s="564"/>
      <c r="ED244" s="564"/>
      <c r="EE244" s="564"/>
      <c r="EF244" s="564"/>
      <c r="EG244" s="564"/>
      <c r="EH244" s="564"/>
      <c r="EI244" s="564"/>
      <c r="EJ244" s="564"/>
      <c r="EK244" s="564"/>
      <c r="EL244" s="564"/>
      <c r="EM244" s="564"/>
      <c r="EN244" s="564"/>
      <c r="EO244" s="564"/>
      <c r="EP244" s="564"/>
      <c r="EQ244" s="564"/>
      <c r="ER244" s="564"/>
      <c r="ES244" s="564"/>
      <c r="ET244" s="564"/>
      <c r="EU244" s="564"/>
      <c r="EV244" s="564"/>
      <c r="EW244" s="564"/>
      <c r="EX244" s="564"/>
      <c r="EY244" s="564"/>
      <c r="EZ244" s="564"/>
      <c r="FA244" s="564"/>
      <c r="FB244" s="564"/>
      <c r="FC244" s="564"/>
      <c r="FD244" s="564"/>
      <c r="FE244" s="564"/>
      <c r="FF244" s="564"/>
      <c r="FG244" s="564"/>
      <c r="FH244" s="564"/>
      <c r="FI244" s="564"/>
      <c r="FJ244" s="564"/>
      <c r="FK244" s="564"/>
      <c r="FL244" s="564"/>
      <c r="FM244" s="564"/>
      <c r="FN244" s="564"/>
      <c r="FO244" s="564"/>
      <c r="FP244" s="564"/>
      <c r="FQ244" s="564"/>
      <c r="FR244" s="564"/>
      <c r="FS244" s="564"/>
      <c r="FT244" s="564"/>
      <c r="FU244" s="564"/>
      <c r="FV244" s="564"/>
      <c r="FW244" s="564"/>
      <c r="FX244" s="564"/>
      <c r="FY244" s="564"/>
      <c r="FZ244" s="564"/>
      <c r="GA244" s="564"/>
      <c r="GB244" s="564"/>
      <c r="GC244" s="564"/>
      <c r="GD244" s="564"/>
      <c r="GE244" s="564"/>
      <c r="GF244" s="564"/>
      <c r="GG244" s="564"/>
      <c r="GH244" s="564"/>
      <c r="GI244" s="564"/>
      <c r="GJ244" s="564"/>
      <c r="GK244" s="564"/>
      <c r="GL244" s="564"/>
      <c r="GM244" s="564"/>
      <c r="GN244" s="564"/>
      <c r="GO244" s="564"/>
      <c r="GP244" s="564"/>
      <c r="GQ244" s="564"/>
      <c r="GR244" s="564"/>
      <c r="GS244" s="564"/>
      <c r="GT244" s="564"/>
      <c r="GU244" s="564"/>
      <c r="GV244" s="564"/>
      <c r="GW244" s="564"/>
      <c r="GX244" s="564"/>
      <c r="GY244" s="564"/>
      <c r="GZ244" s="564"/>
      <c r="HA244" s="564"/>
      <c r="HB244" s="564"/>
      <c r="HC244" s="564"/>
      <c r="HD244" s="564"/>
      <c r="HE244" s="564"/>
      <c r="HF244" s="564"/>
      <c r="HG244" s="564"/>
      <c r="HH244" s="564"/>
      <c r="HI244" s="564"/>
      <c r="HJ244" s="564"/>
      <c r="HK244" s="564"/>
      <c r="HL244" s="564"/>
      <c r="HM244" s="564"/>
      <c r="HN244" s="564"/>
      <c r="HO244" s="564"/>
      <c r="HP244" s="564"/>
      <c r="HQ244" s="564"/>
      <c r="HR244" s="564"/>
      <c r="HS244" s="564"/>
      <c r="HT244" s="564"/>
      <c r="HU244" s="564"/>
      <c r="HV244" s="564"/>
      <c r="HW244" s="564"/>
      <c r="HX244" s="564"/>
      <c r="HY244" s="564"/>
      <c r="HZ244" s="564"/>
      <c r="IA244" s="564"/>
      <c r="IB244" s="564"/>
      <c r="IC244" s="564"/>
      <c r="ID244" s="564"/>
      <c r="IE244" s="564"/>
      <c r="IF244" s="564"/>
      <c r="IG244" s="564"/>
      <c r="IH244" s="564"/>
      <c r="II244" s="564"/>
      <c r="IJ244" s="564"/>
      <c r="IK244" s="564"/>
      <c r="IL244" s="564"/>
      <c r="IM244" s="564"/>
      <c r="IN244" s="564"/>
      <c r="IO244" s="564"/>
      <c r="IP244" s="564"/>
      <c r="IQ244" s="564"/>
      <c r="IR244" s="564"/>
      <c r="IS244" s="564"/>
      <c r="IT244" s="564"/>
      <c r="IU244" s="564"/>
      <c r="IV244" s="564"/>
      <c r="IW244" s="564"/>
      <c r="IX244" s="564"/>
      <c r="IY244" s="564"/>
      <c r="IZ244" s="564"/>
      <c r="JA244" s="564"/>
      <c r="JB244" s="564"/>
      <c r="JC244" s="564"/>
      <c r="JD244" s="564"/>
      <c r="JE244" s="564"/>
      <c r="JF244" s="564"/>
      <c r="JG244" s="564"/>
      <c r="JH244" s="564"/>
      <c r="JI244" s="564"/>
      <c r="JJ244" s="564"/>
      <c r="JK244" s="564"/>
      <c r="JL244" s="564"/>
      <c r="JM244" s="564"/>
      <c r="JN244" s="564"/>
      <c r="JO244" s="564"/>
      <c r="JP244" s="564"/>
      <c r="JQ244" s="564"/>
      <c r="JR244" s="564"/>
      <c r="JS244" s="564"/>
      <c r="JT244" s="564"/>
      <c r="JU244" s="564"/>
      <c r="JV244" s="564"/>
    </row>
    <row r="245" spans="1:282" ht="50.1" customHeight="1" x14ac:dyDescent="0.2">
      <c r="A245" s="298"/>
      <c r="B245" s="30" t="s">
        <v>1137</v>
      </c>
      <c r="C245" s="30"/>
      <c r="D245" s="30"/>
      <c r="E245" s="30" t="s">
        <v>1794</v>
      </c>
      <c r="F245" s="104" t="s">
        <v>1795</v>
      </c>
      <c r="G245" s="30" t="s">
        <v>1796</v>
      </c>
      <c r="H245" s="30" t="s">
        <v>1798</v>
      </c>
      <c r="I245" s="30"/>
      <c r="J245" s="30" t="s">
        <v>884</v>
      </c>
      <c r="K245" s="29" t="s">
        <v>1540</v>
      </c>
      <c r="L245" s="30" t="s">
        <v>685</v>
      </c>
      <c r="M245" s="29" t="s">
        <v>2094</v>
      </c>
      <c r="N245" s="73">
        <v>42061</v>
      </c>
      <c r="O245" s="32" t="s">
        <v>1797</v>
      </c>
      <c r="P245" s="32"/>
      <c r="Q245" s="32"/>
      <c r="R245" s="32"/>
      <c r="S245" s="32"/>
      <c r="T245" s="560"/>
      <c r="U245" s="560"/>
      <c r="V245" s="560"/>
      <c r="W245" s="560"/>
      <c r="X245" s="560"/>
      <c r="Y245" s="560"/>
      <c r="Z245" s="560"/>
      <c r="AA245" s="560"/>
      <c r="AB245" s="560"/>
      <c r="AC245" s="560"/>
      <c r="AD245" s="560"/>
      <c r="AE245" s="560"/>
      <c r="AF245" s="560"/>
      <c r="AG245" s="560"/>
      <c r="AH245" s="560"/>
      <c r="AI245" s="560"/>
      <c r="AJ245" s="73">
        <v>42303</v>
      </c>
      <c r="AK245" s="648"/>
      <c r="AL245" s="174"/>
      <c r="AM245" s="564"/>
      <c r="AN245" s="564"/>
      <c r="AO245" s="564"/>
      <c r="AP245" s="564"/>
      <c r="AQ245" s="564"/>
      <c r="AR245" s="564"/>
      <c r="AS245" s="564"/>
      <c r="AT245" s="564"/>
      <c r="AU245" s="564"/>
      <c r="AV245" s="564"/>
      <c r="AW245" s="564"/>
      <c r="AX245" s="564"/>
      <c r="AY245" s="564"/>
      <c r="AZ245" s="564"/>
      <c r="BA245" s="564"/>
      <c r="BB245" s="564"/>
      <c r="BC245" s="564"/>
      <c r="BD245" s="564"/>
      <c r="BE245" s="564"/>
      <c r="BF245" s="564"/>
      <c r="BG245" s="564"/>
      <c r="BH245" s="564"/>
      <c r="BI245" s="564"/>
      <c r="BJ245" s="564"/>
      <c r="BK245" s="564"/>
      <c r="BL245" s="564"/>
      <c r="BM245" s="564"/>
      <c r="BN245" s="564"/>
      <c r="BO245" s="564"/>
      <c r="BP245" s="564"/>
      <c r="BQ245" s="564"/>
      <c r="BR245" s="564"/>
      <c r="BS245" s="564"/>
      <c r="BT245" s="564"/>
      <c r="BU245" s="564"/>
      <c r="BV245" s="564"/>
      <c r="BW245" s="564"/>
      <c r="BX245" s="564"/>
      <c r="BY245" s="564"/>
      <c r="BZ245" s="564"/>
      <c r="CA245" s="564"/>
      <c r="CB245" s="564"/>
      <c r="CC245" s="564"/>
      <c r="CD245" s="564"/>
      <c r="CE245" s="564"/>
      <c r="CF245" s="564"/>
      <c r="CG245" s="564"/>
      <c r="CH245" s="564"/>
      <c r="CI245" s="564"/>
      <c r="CJ245" s="564"/>
      <c r="CK245" s="564"/>
      <c r="CL245" s="564"/>
      <c r="CM245" s="564"/>
      <c r="CN245" s="564"/>
      <c r="CO245" s="564"/>
      <c r="CP245" s="564"/>
      <c r="CQ245" s="564"/>
      <c r="CR245" s="564"/>
      <c r="CS245" s="564"/>
      <c r="CT245" s="564"/>
      <c r="CU245" s="564"/>
      <c r="CV245" s="564"/>
      <c r="CW245" s="564"/>
      <c r="CX245" s="564"/>
      <c r="CY245" s="564"/>
      <c r="CZ245" s="564"/>
      <c r="DA245" s="564"/>
      <c r="DB245" s="564"/>
      <c r="DC245" s="564"/>
      <c r="DD245" s="564"/>
      <c r="DE245" s="564"/>
      <c r="DF245" s="564"/>
      <c r="DG245" s="564"/>
      <c r="DH245" s="564"/>
      <c r="DI245" s="564"/>
      <c r="DJ245" s="564"/>
      <c r="DK245" s="564"/>
      <c r="DL245" s="564"/>
      <c r="DM245" s="564"/>
      <c r="DN245" s="564"/>
      <c r="DO245" s="564"/>
      <c r="DP245" s="564"/>
      <c r="DQ245" s="564"/>
      <c r="DR245" s="564"/>
      <c r="DS245" s="564"/>
      <c r="DT245" s="564"/>
      <c r="DU245" s="564"/>
      <c r="DV245" s="564"/>
      <c r="DW245" s="564"/>
      <c r="DX245" s="564"/>
      <c r="DY245" s="564"/>
      <c r="DZ245" s="564"/>
      <c r="EA245" s="564"/>
      <c r="EB245" s="564"/>
      <c r="EC245" s="564"/>
      <c r="ED245" s="564"/>
      <c r="EE245" s="564"/>
      <c r="EF245" s="564"/>
      <c r="EG245" s="564"/>
      <c r="EH245" s="564"/>
      <c r="EI245" s="564"/>
      <c r="EJ245" s="564"/>
      <c r="EK245" s="564"/>
      <c r="EL245" s="564"/>
      <c r="EM245" s="564"/>
      <c r="EN245" s="564"/>
      <c r="EO245" s="564"/>
      <c r="EP245" s="564"/>
      <c r="EQ245" s="564"/>
      <c r="ER245" s="564"/>
      <c r="ES245" s="564"/>
      <c r="ET245" s="564"/>
      <c r="EU245" s="564"/>
      <c r="EV245" s="564"/>
      <c r="EW245" s="564"/>
      <c r="EX245" s="564"/>
      <c r="EY245" s="564"/>
      <c r="EZ245" s="564"/>
      <c r="FA245" s="564"/>
      <c r="FB245" s="564"/>
      <c r="FC245" s="564"/>
      <c r="FD245" s="564"/>
      <c r="FE245" s="564"/>
      <c r="FF245" s="564"/>
      <c r="FG245" s="564"/>
      <c r="FH245" s="564"/>
      <c r="FI245" s="564"/>
      <c r="FJ245" s="564"/>
      <c r="FK245" s="564"/>
      <c r="FL245" s="564"/>
      <c r="FM245" s="564"/>
      <c r="FN245" s="564"/>
      <c r="FO245" s="564"/>
      <c r="FP245" s="564"/>
      <c r="FQ245" s="564"/>
      <c r="FR245" s="564"/>
      <c r="FS245" s="564"/>
      <c r="FT245" s="564"/>
      <c r="FU245" s="564"/>
      <c r="FV245" s="564"/>
      <c r="FW245" s="564"/>
      <c r="FX245" s="564"/>
      <c r="FY245" s="564"/>
      <c r="FZ245" s="564"/>
      <c r="GA245" s="564"/>
      <c r="GB245" s="564"/>
      <c r="GC245" s="564"/>
      <c r="GD245" s="564"/>
      <c r="GE245" s="564"/>
      <c r="GF245" s="564"/>
      <c r="GG245" s="564"/>
      <c r="GH245" s="564"/>
      <c r="GI245" s="564"/>
      <c r="GJ245" s="564"/>
      <c r="GK245" s="564"/>
      <c r="GL245" s="564"/>
      <c r="GM245" s="564"/>
      <c r="GN245" s="564"/>
      <c r="GO245" s="564"/>
      <c r="GP245" s="564"/>
      <c r="GQ245" s="564"/>
      <c r="GR245" s="564"/>
      <c r="GS245" s="564"/>
      <c r="GT245" s="564"/>
      <c r="GU245" s="564"/>
      <c r="GV245" s="564"/>
      <c r="GW245" s="564"/>
      <c r="GX245" s="564"/>
      <c r="GY245" s="564"/>
      <c r="GZ245" s="564"/>
      <c r="HA245" s="564"/>
      <c r="HB245" s="564"/>
      <c r="HC245" s="564"/>
      <c r="HD245" s="564"/>
      <c r="HE245" s="564"/>
      <c r="HF245" s="564"/>
      <c r="HG245" s="564"/>
      <c r="HH245" s="564"/>
      <c r="HI245" s="564"/>
      <c r="HJ245" s="564"/>
      <c r="HK245" s="564"/>
      <c r="HL245" s="564"/>
      <c r="HM245" s="564"/>
      <c r="HN245" s="564"/>
      <c r="HO245" s="564"/>
      <c r="HP245" s="564"/>
      <c r="HQ245" s="564"/>
      <c r="HR245" s="564"/>
      <c r="HS245" s="564"/>
      <c r="HT245" s="564"/>
      <c r="HU245" s="564"/>
      <c r="HV245" s="564"/>
      <c r="HW245" s="564"/>
      <c r="HX245" s="564"/>
      <c r="HY245" s="564"/>
      <c r="HZ245" s="564"/>
      <c r="IA245" s="564"/>
      <c r="IB245" s="564"/>
      <c r="IC245" s="564"/>
      <c r="ID245" s="564"/>
      <c r="IE245" s="564"/>
      <c r="IF245" s="564"/>
      <c r="IG245" s="564"/>
      <c r="IH245" s="564"/>
      <c r="II245" s="564"/>
      <c r="IJ245" s="564"/>
      <c r="IK245" s="564"/>
      <c r="IL245" s="564"/>
      <c r="IM245" s="564"/>
      <c r="IN245" s="564"/>
      <c r="IO245" s="564"/>
      <c r="IP245" s="564"/>
      <c r="IQ245" s="564"/>
      <c r="IR245" s="564"/>
      <c r="IS245" s="564"/>
      <c r="IT245" s="564"/>
      <c r="IU245" s="564"/>
      <c r="IV245" s="564"/>
      <c r="IW245" s="564"/>
      <c r="IX245" s="564"/>
      <c r="IY245" s="564"/>
      <c r="IZ245" s="564"/>
      <c r="JA245" s="564"/>
      <c r="JB245" s="564"/>
      <c r="JC245" s="564"/>
      <c r="JD245" s="564"/>
      <c r="JE245" s="564"/>
      <c r="JF245" s="564"/>
      <c r="JG245" s="564"/>
      <c r="JH245" s="564"/>
      <c r="JI245" s="564"/>
      <c r="JJ245" s="564"/>
      <c r="JK245" s="564"/>
      <c r="JL245" s="564"/>
      <c r="JM245" s="564"/>
      <c r="JN245" s="564"/>
      <c r="JO245" s="564"/>
      <c r="JP245" s="564"/>
      <c r="JQ245" s="564"/>
      <c r="JR245" s="564"/>
      <c r="JS245" s="564"/>
      <c r="JT245" s="564"/>
      <c r="JU245" s="564"/>
      <c r="JV245" s="564"/>
    </row>
    <row r="246" spans="1:282" ht="50.1" customHeight="1" x14ac:dyDescent="0.2">
      <c r="A246" s="298"/>
      <c r="B246" s="30" t="s">
        <v>1137</v>
      </c>
      <c r="C246" s="30"/>
      <c r="D246" s="30"/>
      <c r="E246" s="30" t="s">
        <v>2082</v>
      </c>
      <c r="F246" s="196" t="s">
        <v>2072</v>
      </c>
      <c r="G246" s="30" t="s">
        <v>824</v>
      </c>
      <c r="H246" s="30" t="s">
        <v>1806</v>
      </c>
      <c r="I246" s="30"/>
      <c r="J246" s="30" t="s">
        <v>735</v>
      </c>
      <c r="K246" s="30" t="s">
        <v>1540</v>
      </c>
      <c r="L246" s="30" t="s">
        <v>685</v>
      </c>
      <c r="M246" s="29" t="s">
        <v>2094</v>
      </c>
      <c r="N246" s="73">
        <v>42230</v>
      </c>
      <c r="O246" s="32" t="s">
        <v>2083</v>
      </c>
      <c r="P246" s="32"/>
      <c r="Q246" s="32"/>
      <c r="R246" s="32"/>
      <c r="S246" s="32"/>
      <c r="T246" s="560"/>
      <c r="U246" s="560"/>
      <c r="V246" s="560"/>
      <c r="W246" s="560"/>
      <c r="X246" s="560"/>
      <c r="Y246" s="560"/>
      <c r="Z246" s="560"/>
      <c r="AA246" s="560"/>
      <c r="AB246" s="560"/>
      <c r="AC246" s="560"/>
      <c r="AD246" s="560"/>
      <c r="AE246" s="560"/>
      <c r="AF246" s="560"/>
      <c r="AG246" s="560"/>
      <c r="AH246" s="560"/>
      <c r="AI246" s="560"/>
      <c r="AJ246" s="73">
        <v>42303</v>
      </c>
      <c r="AK246" s="648"/>
      <c r="AL246" s="174"/>
      <c r="AM246" s="564"/>
      <c r="AN246" s="564"/>
      <c r="AO246" s="564"/>
      <c r="AP246" s="564"/>
      <c r="AQ246" s="564"/>
      <c r="AR246" s="564"/>
      <c r="AS246" s="564"/>
      <c r="AT246" s="564"/>
      <c r="AU246" s="564"/>
      <c r="AV246" s="564"/>
      <c r="AW246" s="564"/>
      <c r="AX246" s="564"/>
      <c r="AY246" s="564"/>
      <c r="AZ246" s="564"/>
      <c r="BA246" s="564"/>
      <c r="BB246" s="564"/>
      <c r="BC246" s="564"/>
      <c r="BD246" s="564"/>
      <c r="BE246" s="564"/>
      <c r="BF246" s="564"/>
      <c r="BG246" s="564"/>
      <c r="BH246" s="564"/>
      <c r="BI246" s="564"/>
      <c r="BJ246" s="564"/>
      <c r="BK246" s="564"/>
      <c r="BL246" s="564"/>
      <c r="BM246" s="564"/>
      <c r="BN246" s="564"/>
      <c r="BO246" s="564"/>
      <c r="BP246" s="564"/>
      <c r="BQ246" s="564"/>
      <c r="BR246" s="564"/>
      <c r="BS246" s="564"/>
      <c r="BT246" s="564"/>
      <c r="BU246" s="564"/>
      <c r="BV246" s="564"/>
      <c r="BW246" s="564"/>
      <c r="BX246" s="564"/>
      <c r="BY246" s="564"/>
      <c r="BZ246" s="564"/>
      <c r="CA246" s="564"/>
      <c r="CB246" s="564"/>
      <c r="CC246" s="564"/>
      <c r="CD246" s="564"/>
      <c r="CE246" s="564"/>
      <c r="CF246" s="564"/>
      <c r="CG246" s="564"/>
      <c r="CH246" s="564"/>
      <c r="CI246" s="564"/>
      <c r="CJ246" s="564"/>
      <c r="CK246" s="564"/>
      <c r="CL246" s="564"/>
      <c r="CM246" s="564"/>
      <c r="CN246" s="564"/>
      <c r="CO246" s="564"/>
      <c r="CP246" s="564"/>
      <c r="CQ246" s="564"/>
      <c r="CR246" s="564"/>
      <c r="CS246" s="564"/>
      <c r="CT246" s="564"/>
      <c r="CU246" s="564"/>
      <c r="CV246" s="564"/>
      <c r="CW246" s="564"/>
      <c r="CX246" s="564"/>
      <c r="CY246" s="564"/>
      <c r="CZ246" s="564"/>
      <c r="DA246" s="564"/>
      <c r="DB246" s="564"/>
      <c r="DC246" s="564"/>
      <c r="DD246" s="564"/>
      <c r="DE246" s="564"/>
      <c r="DF246" s="564"/>
      <c r="DG246" s="564"/>
      <c r="DH246" s="564"/>
      <c r="DI246" s="564"/>
      <c r="DJ246" s="564"/>
      <c r="DK246" s="564"/>
      <c r="DL246" s="564"/>
      <c r="DM246" s="564"/>
      <c r="DN246" s="564"/>
      <c r="DO246" s="564"/>
      <c r="DP246" s="564"/>
      <c r="DQ246" s="564"/>
      <c r="DR246" s="564"/>
      <c r="DS246" s="564"/>
      <c r="DT246" s="564"/>
      <c r="DU246" s="564"/>
      <c r="DV246" s="564"/>
      <c r="DW246" s="564"/>
      <c r="DX246" s="564"/>
      <c r="DY246" s="564"/>
      <c r="DZ246" s="564"/>
      <c r="EA246" s="564"/>
      <c r="EB246" s="564"/>
      <c r="EC246" s="564"/>
      <c r="ED246" s="564"/>
      <c r="EE246" s="564"/>
      <c r="EF246" s="564"/>
      <c r="EG246" s="564"/>
      <c r="EH246" s="564"/>
      <c r="EI246" s="564"/>
      <c r="EJ246" s="564"/>
      <c r="EK246" s="564"/>
      <c r="EL246" s="564"/>
      <c r="EM246" s="564"/>
      <c r="EN246" s="564"/>
      <c r="EO246" s="564"/>
      <c r="EP246" s="564"/>
      <c r="EQ246" s="564"/>
      <c r="ER246" s="564"/>
      <c r="ES246" s="564"/>
      <c r="ET246" s="564"/>
      <c r="EU246" s="564"/>
      <c r="EV246" s="564"/>
      <c r="EW246" s="564"/>
      <c r="EX246" s="564"/>
      <c r="EY246" s="564"/>
      <c r="EZ246" s="564"/>
      <c r="FA246" s="564"/>
      <c r="FB246" s="564"/>
      <c r="FC246" s="564"/>
      <c r="FD246" s="564"/>
      <c r="FE246" s="564"/>
      <c r="FF246" s="564"/>
      <c r="FG246" s="564"/>
      <c r="FH246" s="564"/>
      <c r="FI246" s="564"/>
      <c r="FJ246" s="564"/>
      <c r="FK246" s="564"/>
      <c r="FL246" s="564"/>
      <c r="FM246" s="564"/>
      <c r="FN246" s="564"/>
      <c r="FO246" s="564"/>
      <c r="FP246" s="564"/>
      <c r="FQ246" s="564"/>
      <c r="FR246" s="564"/>
      <c r="FS246" s="564"/>
      <c r="FT246" s="564"/>
      <c r="FU246" s="564"/>
      <c r="FV246" s="564"/>
      <c r="FW246" s="564"/>
      <c r="FX246" s="564"/>
      <c r="FY246" s="564"/>
      <c r="FZ246" s="564"/>
      <c r="GA246" s="564"/>
      <c r="GB246" s="564"/>
      <c r="GC246" s="564"/>
      <c r="GD246" s="564"/>
      <c r="GE246" s="564"/>
      <c r="GF246" s="564"/>
      <c r="GG246" s="564"/>
      <c r="GH246" s="564"/>
      <c r="GI246" s="564"/>
      <c r="GJ246" s="564"/>
      <c r="GK246" s="564"/>
      <c r="GL246" s="564"/>
      <c r="GM246" s="564"/>
      <c r="GN246" s="564"/>
      <c r="GO246" s="564"/>
      <c r="GP246" s="564"/>
      <c r="GQ246" s="564"/>
      <c r="GR246" s="564"/>
      <c r="GS246" s="564"/>
      <c r="GT246" s="564"/>
      <c r="GU246" s="564"/>
      <c r="GV246" s="564"/>
      <c r="GW246" s="564"/>
      <c r="GX246" s="564"/>
      <c r="GY246" s="564"/>
      <c r="GZ246" s="564"/>
      <c r="HA246" s="564"/>
      <c r="HB246" s="564"/>
      <c r="HC246" s="564"/>
      <c r="HD246" s="564"/>
      <c r="HE246" s="564"/>
      <c r="HF246" s="564"/>
      <c r="HG246" s="564"/>
      <c r="HH246" s="564"/>
      <c r="HI246" s="564"/>
      <c r="HJ246" s="564"/>
      <c r="HK246" s="564"/>
      <c r="HL246" s="564"/>
      <c r="HM246" s="564"/>
      <c r="HN246" s="564"/>
      <c r="HO246" s="564"/>
      <c r="HP246" s="564"/>
      <c r="HQ246" s="564"/>
      <c r="HR246" s="564"/>
      <c r="HS246" s="564"/>
      <c r="HT246" s="564"/>
      <c r="HU246" s="564"/>
      <c r="HV246" s="564"/>
      <c r="HW246" s="564"/>
      <c r="HX246" s="564"/>
      <c r="HY246" s="564"/>
      <c r="HZ246" s="564"/>
      <c r="IA246" s="564"/>
      <c r="IB246" s="564"/>
      <c r="IC246" s="564"/>
      <c r="ID246" s="564"/>
      <c r="IE246" s="564"/>
      <c r="IF246" s="564"/>
      <c r="IG246" s="564"/>
      <c r="IH246" s="564"/>
      <c r="II246" s="564"/>
      <c r="IJ246" s="564"/>
      <c r="IK246" s="564"/>
      <c r="IL246" s="564"/>
      <c r="IM246" s="564"/>
      <c r="IN246" s="564"/>
      <c r="IO246" s="564"/>
      <c r="IP246" s="564"/>
      <c r="IQ246" s="564"/>
      <c r="IR246" s="564"/>
      <c r="IS246" s="564"/>
      <c r="IT246" s="564"/>
      <c r="IU246" s="564"/>
      <c r="IV246" s="564"/>
      <c r="IW246" s="564"/>
      <c r="IX246" s="564"/>
      <c r="IY246" s="564"/>
      <c r="IZ246" s="564"/>
      <c r="JA246" s="564"/>
      <c r="JB246" s="564"/>
      <c r="JC246" s="564"/>
      <c r="JD246" s="564"/>
      <c r="JE246" s="564"/>
      <c r="JF246" s="564"/>
      <c r="JG246" s="564"/>
      <c r="JH246" s="564"/>
      <c r="JI246" s="564"/>
      <c r="JJ246" s="564"/>
      <c r="JK246" s="564"/>
      <c r="JL246" s="564"/>
      <c r="JM246" s="564"/>
      <c r="JN246" s="564"/>
      <c r="JO246" s="564"/>
      <c r="JP246" s="564"/>
      <c r="JQ246" s="564"/>
      <c r="JR246" s="564"/>
      <c r="JS246" s="564"/>
      <c r="JT246" s="564"/>
      <c r="JU246" s="564"/>
      <c r="JV246" s="564"/>
    </row>
    <row r="247" spans="1:282" ht="50.1" customHeight="1" x14ac:dyDescent="0.2">
      <c r="A247" s="298"/>
      <c r="B247" s="68" t="s">
        <v>1137</v>
      </c>
      <c r="C247" s="68"/>
      <c r="D247" s="68"/>
      <c r="E247" s="30" t="s">
        <v>1273</v>
      </c>
      <c r="F247" s="196" t="s">
        <v>2433</v>
      </c>
      <c r="G247" s="30" t="s">
        <v>1269</v>
      </c>
      <c r="H247" s="30" t="s">
        <v>1683</v>
      </c>
      <c r="I247" s="30"/>
      <c r="J247" s="30" t="s">
        <v>1272</v>
      </c>
      <c r="K247" s="30" t="s">
        <v>1540</v>
      </c>
      <c r="L247" s="30" t="s">
        <v>18</v>
      </c>
      <c r="M247" s="29" t="s">
        <v>1615</v>
      </c>
      <c r="N247" s="73">
        <v>41619</v>
      </c>
      <c r="O247" s="32" t="s">
        <v>1980</v>
      </c>
      <c r="P247" s="32"/>
      <c r="Q247" s="32"/>
      <c r="R247" s="32"/>
      <c r="S247" s="32"/>
      <c r="T247" s="560"/>
      <c r="U247" s="560"/>
      <c r="V247" s="560"/>
      <c r="W247" s="560"/>
      <c r="X247" s="560"/>
      <c r="Y247" s="560"/>
      <c r="Z247" s="560"/>
      <c r="AA247" s="560"/>
      <c r="AB247" s="560"/>
      <c r="AC247" s="560"/>
      <c r="AD247" s="560"/>
      <c r="AE247" s="560"/>
      <c r="AF247" s="560"/>
      <c r="AG247" s="560"/>
      <c r="AH247" s="560"/>
      <c r="AI247" s="560"/>
      <c r="AJ247" s="73">
        <v>42303</v>
      </c>
      <c r="AK247" s="648"/>
      <c r="AL247" s="174"/>
      <c r="AM247" s="564"/>
      <c r="AN247" s="564"/>
      <c r="AO247" s="564"/>
      <c r="AP247" s="564"/>
      <c r="AQ247" s="564"/>
      <c r="AR247" s="564"/>
      <c r="AS247" s="564"/>
      <c r="AT247" s="564"/>
      <c r="AU247" s="564"/>
      <c r="AV247" s="564"/>
      <c r="AW247" s="564"/>
      <c r="AX247" s="564"/>
      <c r="AY247" s="564"/>
      <c r="AZ247" s="564"/>
      <c r="BA247" s="564"/>
      <c r="BB247" s="564"/>
      <c r="BC247" s="564"/>
      <c r="BD247" s="564"/>
      <c r="BE247" s="564"/>
      <c r="BF247" s="564"/>
      <c r="BG247" s="564"/>
      <c r="BH247" s="564"/>
      <c r="BI247" s="564"/>
      <c r="BJ247" s="564"/>
      <c r="BK247" s="564"/>
      <c r="BL247" s="564"/>
      <c r="BM247" s="564"/>
      <c r="BN247" s="564"/>
      <c r="BO247" s="564"/>
      <c r="BP247" s="564"/>
      <c r="BQ247" s="564"/>
      <c r="BR247" s="564"/>
      <c r="BS247" s="564"/>
      <c r="BT247" s="564"/>
      <c r="BU247" s="564"/>
      <c r="BV247" s="564"/>
      <c r="BW247" s="564"/>
      <c r="BX247" s="564"/>
      <c r="BY247" s="564"/>
      <c r="BZ247" s="564"/>
      <c r="CA247" s="564"/>
      <c r="CB247" s="564"/>
      <c r="CC247" s="564"/>
      <c r="CD247" s="564"/>
      <c r="CE247" s="564"/>
      <c r="CF247" s="564"/>
      <c r="CG247" s="564"/>
      <c r="CH247" s="564"/>
      <c r="CI247" s="564"/>
      <c r="CJ247" s="564"/>
      <c r="CK247" s="564"/>
      <c r="CL247" s="564"/>
      <c r="CM247" s="564"/>
      <c r="CN247" s="564"/>
      <c r="CO247" s="564"/>
      <c r="CP247" s="564"/>
      <c r="CQ247" s="564"/>
      <c r="CR247" s="564"/>
      <c r="CS247" s="564"/>
      <c r="CT247" s="564"/>
      <c r="CU247" s="564"/>
      <c r="CV247" s="564"/>
      <c r="CW247" s="564"/>
      <c r="CX247" s="564"/>
      <c r="CY247" s="564"/>
      <c r="CZ247" s="564"/>
      <c r="DA247" s="564"/>
      <c r="DB247" s="564"/>
      <c r="DC247" s="564"/>
      <c r="DD247" s="564"/>
      <c r="DE247" s="564"/>
      <c r="DF247" s="564"/>
      <c r="DG247" s="564"/>
      <c r="DH247" s="564"/>
      <c r="DI247" s="564"/>
      <c r="DJ247" s="564"/>
      <c r="DK247" s="564"/>
      <c r="DL247" s="564"/>
      <c r="DM247" s="564"/>
      <c r="DN247" s="564"/>
      <c r="DO247" s="564"/>
      <c r="DP247" s="564"/>
      <c r="DQ247" s="564"/>
      <c r="DR247" s="564"/>
      <c r="DS247" s="564"/>
      <c r="DT247" s="564"/>
      <c r="DU247" s="564"/>
      <c r="DV247" s="564"/>
      <c r="DW247" s="564"/>
      <c r="DX247" s="564"/>
      <c r="DY247" s="564"/>
      <c r="DZ247" s="564"/>
      <c r="EA247" s="564"/>
      <c r="EB247" s="564"/>
      <c r="EC247" s="564"/>
      <c r="ED247" s="564"/>
      <c r="EE247" s="564"/>
      <c r="EF247" s="564"/>
      <c r="EG247" s="564"/>
      <c r="EH247" s="564"/>
      <c r="EI247" s="564"/>
      <c r="EJ247" s="564"/>
      <c r="EK247" s="564"/>
      <c r="EL247" s="564"/>
      <c r="EM247" s="564"/>
      <c r="EN247" s="564"/>
      <c r="EO247" s="564"/>
      <c r="EP247" s="564"/>
      <c r="EQ247" s="564"/>
      <c r="ER247" s="564"/>
      <c r="ES247" s="564"/>
      <c r="ET247" s="564"/>
      <c r="EU247" s="564"/>
      <c r="EV247" s="564"/>
      <c r="EW247" s="564"/>
      <c r="EX247" s="564"/>
      <c r="EY247" s="564"/>
      <c r="EZ247" s="564"/>
      <c r="FA247" s="564"/>
      <c r="FB247" s="564"/>
      <c r="FC247" s="564"/>
      <c r="FD247" s="564"/>
      <c r="FE247" s="564"/>
      <c r="FF247" s="564"/>
      <c r="FG247" s="564"/>
      <c r="FH247" s="564"/>
      <c r="FI247" s="564"/>
      <c r="FJ247" s="564"/>
      <c r="FK247" s="564"/>
      <c r="FL247" s="564"/>
      <c r="FM247" s="564"/>
      <c r="FN247" s="564"/>
      <c r="FO247" s="564"/>
      <c r="FP247" s="564"/>
      <c r="FQ247" s="564"/>
      <c r="FR247" s="564"/>
      <c r="FS247" s="564"/>
      <c r="FT247" s="564"/>
      <c r="FU247" s="564"/>
      <c r="FV247" s="564"/>
      <c r="FW247" s="564"/>
      <c r="FX247" s="564"/>
      <c r="FY247" s="564"/>
      <c r="FZ247" s="564"/>
      <c r="GA247" s="564"/>
      <c r="GB247" s="564"/>
      <c r="GC247" s="564"/>
      <c r="GD247" s="564"/>
      <c r="GE247" s="564"/>
      <c r="GF247" s="564"/>
      <c r="GG247" s="564"/>
      <c r="GH247" s="564"/>
      <c r="GI247" s="564"/>
      <c r="GJ247" s="564"/>
      <c r="GK247" s="564"/>
      <c r="GL247" s="564"/>
      <c r="GM247" s="564"/>
      <c r="GN247" s="564"/>
      <c r="GO247" s="564"/>
      <c r="GP247" s="564"/>
      <c r="GQ247" s="564"/>
      <c r="GR247" s="564"/>
      <c r="GS247" s="564"/>
      <c r="GT247" s="564"/>
      <c r="GU247" s="564"/>
      <c r="GV247" s="564"/>
      <c r="GW247" s="564"/>
      <c r="GX247" s="564"/>
      <c r="GY247" s="564"/>
      <c r="GZ247" s="564"/>
      <c r="HA247" s="564"/>
      <c r="HB247" s="564"/>
      <c r="HC247" s="564"/>
      <c r="HD247" s="564"/>
      <c r="HE247" s="564"/>
      <c r="HF247" s="564"/>
      <c r="HG247" s="564"/>
      <c r="HH247" s="564"/>
      <c r="HI247" s="564"/>
      <c r="HJ247" s="564"/>
      <c r="HK247" s="564"/>
      <c r="HL247" s="564"/>
      <c r="HM247" s="564"/>
      <c r="HN247" s="564"/>
      <c r="HO247" s="564"/>
      <c r="HP247" s="564"/>
      <c r="HQ247" s="564"/>
      <c r="HR247" s="564"/>
      <c r="HS247" s="564"/>
      <c r="HT247" s="564"/>
      <c r="HU247" s="564"/>
      <c r="HV247" s="564"/>
      <c r="HW247" s="564"/>
      <c r="HX247" s="564"/>
      <c r="HY247" s="564"/>
      <c r="HZ247" s="564"/>
      <c r="IA247" s="564"/>
      <c r="IB247" s="564"/>
      <c r="IC247" s="564"/>
      <c r="ID247" s="564"/>
      <c r="IE247" s="564"/>
      <c r="IF247" s="564"/>
      <c r="IG247" s="564"/>
      <c r="IH247" s="564"/>
      <c r="II247" s="564"/>
      <c r="IJ247" s="564"/>
      <c r="IK247" s="564"/>
      <c r="IL247" s="564"/>
      <c r="IM247" s="564"/>
      <c r="IN247" s="564"/>
      <c r="IO247" s="564"/>
      <c r="IP247" s="564"/>
      <c r="IQ247" s="564"/>
      <c r="IR247" s="564"/>
      <c r="IS247" s="564"/>
      <c r="IT247" s="564"/>
      <c r="IU247" s="564"/>
      <c r="IV247" s="564"/>
      <c r="IW247" s="564"/>
      <c r="IX247" s="564"/>
      <c r="IY247" s="564"/>
      <c r="IZ247" s="564"/>
      <c r="JA247" s="564"/>
      <c r="JB247" s="564"/>
      <c r="JC247" s="564"/>
      <c r="JD247" s="564"/>
      <c r="JE247" s="564"/>
      <c r="JF247" s="564"/>
      <c r="JG247" s="564"/>
      <c r="JH247" s="564"/>
      <c r="JI247" s="564"/>
      <c r="JJ247" s="564"/>
      <c r="JK247" s="564"/>
      <c r="JL247" s="564"/>
      <c r="JM247" s="564"/>
      <c r="JN247" s="564"/>
      <c r="JO247" s="564"/>
      <c r="JP247" s="564"/>
      <c r="JQ247" s="564"/>
      <c r="JR247" s="564"/>
      <c r="JS247" s="564"/>
      <c r="JT247" s="564"/>
      <c r="JU247" s="564"/>
      <c r="JV247" s="564"/>
    </row>
    <row r="248" spans="1:282" ht="50.1" customHeight="1" x14ac:dyDescent="0.2">
      <c r="A248" s="298"/>
      <c r="B248" s="30" t="s">
        <v>584</v>
      </c>
      <c r="C248" s="30"/>
      <c r="D248" s="30"/>
      <c r="E248" s="30" t="s">
        <v>2045</v>
      </c>
      <c r="F248" s="196" t="s">
        <v>2038</v>
      </c>
      <c r="G248" s="30" t="s">
        <v>2036</v>
      </c>
      <c r="H248" s="30" t="s">
        <v>1806</v>
      </c>
      <c r="I248" s="30"/>
      <c r="J248" s="30" t="s">
        <v>2037</v>
      </c>
      <c r="K248" s="30" t="s">
        <v>1540</v>
      </c>
      <c r="L248" s="30" t="s">
        <v>1923</v>
      </c>
      <c r="M248" s="29" t="s">
        <v>2094</v>
      </c>
      <c r="N248" s="73">
        <v>42209</v>
      </c>
      <c r="O248" s="32" t="s">
        <v>2046</v>
      </c>
      <c r="P248" s="32"/>
      <c r="Q248" s="32"/>
      <c r="R248" s="32"/>
      <c r="S248" s="32"/>
      <c r="T248" s="560"/>
      <c r="U248" s="560"/>
      <c r="V248" s="560"/>
      <c r="W248" s="560"/>
      <c r="X248" s="560"/>
      <c r="Y248" s="560"/>
      <c r="Z248" s="560"/>
      <c r="AA248" s="560"/>
      <c r="AB248" s="560"/>
      <c r="AC248" s="560"/>
      <c r="AD248" s="560"/>
      <c r="AE248" s="560"/>
      <c r="AF248" s="560"/>
      <c r="AG248" s="560"/>
      <c r="AH248" s="560"/>
      <c r="AI248" s="560"/>
      <c r="AJ248" s="73">
        <v>42303</v>
      </c>
      <c r="AK248" s="648"/>
      <c r="AL248" s="174"/>
      <c r="AM248" s="564"/>
      <c r="AN248" s="564"/>
      <c r="AO248" s="564"/>
      <c r="AP248" s="564"/>
      <c r="AQ248" s="564"/>
      <c r="AR248" s="564"/>
      <c r="AS248" s="564"/>
      <c r="AT248" s="564"/>
      <c r="AU248" s="564"/>
      <c r="AV248" s="564"/>
      <c r="AW248" s="564"/>
      <c r="AX248" s="564"/>
      <c r="AY248" s="564"/>
      <c r="AZ248" s="564"/>
      <c r="BA248" s="564"/>
      <c r="BB248" s="564"/>
      <c r="BC248" s="564"/>
      <c r="BD248" s="564"/>
      <c r="BE248" s="564"/>
      <c r="BF248" s="564"/>
      <c r="BG248" s="564"/>
      <c r="BH248" s="564"/>
      <c r="BI248" s="564"/>
      <c r="BJ248" s="564"/>
      <c r="BK248" s="564"/>
      <c r="BL248" s="564"/>
      <c r="BM248" s="564"/>
      <c r="BN248" s="564"/>
      <c r="BO248" s="564"/>
      <c r="BP248" s="564"/>
      <c r="BQ248" s="564"/>
      <c r="BR248" s="564"/>
      <c r="BS248" s="564"/>
      <c r="BT248" s="564"/>
      <c r="BU248" s="564"/>
      <c r="BV248" s="564"/>
      <c r="BW248" s="564"/>
      <c r="BX248" s="564"/>
      <c r="BY248" s="564"/>
      <c r="BZ248" s="564"/>
      <c r="CA248" s="564"/>
      <c r="CB248" s="564"/>
      <c r="CC248" s="564"/>
      <c r="CD248" s="564"/>
      <c r="CE248" s="564"/>
      <c r="CF248" s="564"/>
      <c r="CG248" s="564"/>
      <c r="CH248" s="564"/>
      <c r="CI248" s="564"/>
      <c r="CJ248" s="564"/>
      <c r="CK248" s="564"/>
      <c r="CL248" s="564"/>
      <c r="CM248" s="564"/>
      <c r="CN248" s="564"/>
      <c r="CO248" s="564"/>
      <c r="CP248" s="564"/>
      <c r="CQ248" s="564"/>
      <c r="CR248" s="564"/>
      <c r="CS248" s="564"/>
      <c r="CT248" s="564"/>
      <c r="CU248" s="564"/>
      <c r="CV248" s="564"/>
      <c r="CW248" s="564"/>
      <c r="CX248" s="564"/>
      <c r="CY248" s="564"/>
      <c r="CZ248" s="564"/>
      <c r="DA248" s="564"/>
      <c r="DB248" s="564"/>
      <c r="DC248" s="564"/>
      <c r="DD248" s="564"/>
      <c r="DE248" s="564"/>
      <c r="DF248" s="564"/>
      <c r="DG248" s="564"/>
      <c r="DH248" s="564"/>
      <c r="DI248" s="564"/>
      <c r="DJ248" s="564"/>
      <c r="DK248" s="564"/>
      <c r="DL248" s="564"/>
      <c r="DM248" s="564"/>
      <c r="DN248" s="564"/>
      <c r="DO248" s="564"/>
      <c r="DP248" s="564"/>
      <c r="DQ248" s="564"/>
      <c r="DR248" s="564"/>
      <c r="DS248" s="564"/>
      <c r="DT248" s="564"/>
      <c r="DU248" s="564"/>
      <c r="DV248" s="564"/>
      <c r="DW248" s="564"/>
      <c r="DX248" s="564"/>
      <c r="DY248" s="564"/>
      <c r="DZ248" s="564"/>
      <c r="EA248" s="564"/>
      <c r="EB248" s="564"/>
      <c r="EC248" s="564"/>
      <c r="ED248" s="564"/>
      <c r="EE248" s="564"/>
      <c r="EF248" s="564"/>
      <c r="EG248" s="564"/>
      <c r="EH248" s="564"/>
      <c r="EI248" s="564"/>
      <c r="EJ248" s="564"/>
      <c r="EK248" s="564"/>
      <c r="EL248" s="564"/>
      <c r="EM248" s="564"/>
      <c r="EN248" s="564"/>
      <c r="EO248" s="564"/>
      <c r="EP248" s="564"/>
      <c r="EQ248" s="564"/>
      <c r="ER248" s="564"/>
      <c r="ES248" s="564"/>
      <c r="ET248" s="564"/>
      <c r="EU248" s="564"/>
      <c r="EV248" s="564"/>
      <c r="EW248" s="564"/>
      <c r="EX248" s="564"/>
      <c r="EY248" s="564"/>
      <c r="EZ248" s="564"/>
      <c r="FA248" s="564"/>
      <c r="FB248" s="564"/>
      <c r="FC248" s="564"/>
      <c r="FD248" s="564"/>
      <c r="FE248" s="564"/>
      <c r="FF248" s="564"/>
      <c r="FG248" s="564"/>
      <c r="FH248" s="564"/>
      <c r="FI248" s="564"/>
      <c r="FJ248" s="564"/>
      <c r="FK248" s="564"/>
      <c r="FL248" s="564"/>
      <c r="FM248" s="564"/>
      <c r="FN248" s="564"/>
      <c r="FO248" s="564"/>
      <c r="FP248" s="564"/>
      <c r="FQ248" s="564"/>
      <c r="FR248" s="564"/>
      <c r="FS248" s="564"/>
      <c r="FT248" s="564"/>
      <c r="FU248" s="564"/>
      <c r="FV248" s="564"/>
      <c r="FW248" s="564"/>
      <c r="FX248" s="564"/>
      <c r="FY248" s="564"/>
      <c r="FZ248" s="564"/>
      <c r="GA248" s="564"/>
      <c r="GB248" s="564"/>
      <c r="GC248" s="564"/>
      <c r="GD248" s="564"/>
      <c r="GE248" s="564"/>
      <c r="GF248" s="564"/>
      <c r="GG248" s="564"/>
      <c r="GH248" s="564"/>
      <c r="GI248" s="564"/>
      <c r="GJ248" s="564"/>
      <c r="GK248" s="564"/>
      <c r="GL248" s="564"/>
      <c r="GM248" s="564"/>
      <c r="GN248" s="564"/>
      <c r="GO248" s="564"/>
      <c r="GP248" s="564"/>
      <c r="GQ248" s="564"/>
      <c r="GR248" s="564"/>
      <c r="GS248" s="564"/>
      <c r="GT248" s="564"/>
      <c r="GU248" s="564"/>
      <c r="GV248" s="564"/>
      <c r="GW248" s="564"/>
      <c r="GX248" s="564"/>
      <c r="GY248" s="564"/>
      <c r="GZ248" s="564"/>
      <c r="HA248" s="564"/>
      <c r="HB248" s="564"/>
      <c r="HC248" s="564"/>
      <c r="HD248" s="564"/>
      <c r="HE248" s="564"/>
      <c r="HF248" s="564"/>
      <c r="HG248" s="564"/>
      <c r="HH248" s="564"/>
      <c r="HI248" s="564"/>
      <c r="HJ248" s="564"/>
      <c r="HK248" s="564"/>
      <c r="HL248" s="564"/>
      <c r="HM248" s="564"/>
      <c r="HN248" s="564"/>
      <c r="HO248" s="564"/>
      <c r="HP248" s="564"/>
      <c r="HQ248" s="564"/>
      <c r="HR248" s="564"/>
      <c r="HS248" s="564"/>
      <c r="HT248" s="564"/>
      <c r="HU248" s="564"/>
      <c r="HV248" s="564"/>
      <c r="HW248" s="564"/>
      <c r="HX248" s="564"/>
      <c r="HY248" s="564"/>
      <c r="HZ248" s="564"/>
      <c r="IA248" s="564"/>
      <c r="IB248" s="564"/>
      <c r="IC248" s="564"/>
      <c r="ID248" s="564"/>
      <c r="IE248" s="564"/>
      <c r="IF248" s="564"/>
      <c r="IG248" s="564"/>
      <c r="IH248" s="564"/>
      <c r="II248" s="564"/>
      <c r="IJ248" s="564"/>
      <c r="IK248" s="564"/>
      <c r="IL248" s="564"/>
      <c r="IM248" s="564"/>
      <c r="IN248" s="564"/>
      <c r="IO248" s="564"/>
      <c r="IP248" s="564"/>
      <c r="IQ248" s="564"/>
      <c r="IR248" s="564"/>
      <c r="IS248" s="564"/>
      <c r="IT248" s="564"/>
      <c r="IU248" s="564"/>
      <c r="IV248" s="564"/>
      <c r="IW248" s="564"/>
      <c r="IX248" s="564"/>
      <c r="IY248" s="564"/>
      <c r="IZ248" s="564"/>
      <c r="JA248" s="564"/>
      <c r="JB248" s="564"/>
      <c r="JC248" s="564"/>
      <c r="JD248" s="564"/>
      <c r="JE248" s="564"/>
      <c r="JF248" s="564"/>
      <c r="JG248" s="564"/>
      <c r="JH248" s="564"/>
      <c r="JI248" s="564"/>
      <c r="JJ248" s="564"/>
      <c r="JK248" s="564"/>
      <c r="JL248" s="564"/>
      <c r="JM248" s="564"/>
      <c r="JN248" s="564"/>
      <c r="JO248" s="564"/>
      <c r="JP248" s="564"/>
      <c r="JQ248" s="564"/>
      <c r="JR248" s="564"/>
      <c r="JS248" s="564"/>
      <c r="JT248" s="564"/>
      <c r="JU248" s="564"/>
      <c r="JV248" s="564"/>
    </row>
    <row r="249" spans="1:282" ht="50.1" customHeight="1" x14ac:dyDescent="0.2">
      <c r="A249" s="298"/>
      <c r="B249" s="29" t="s">
        <v>584</v>
      </c>
      <c r="C249" s="29"/>
      <c r="D249" s="29"/>
      <c r="E249" s="30" t="s">
        <v>1892</v>
      </c>
      <c r="F249" s="196" t="s">
        <v>2185</v>
      </c>
      <c r="G249" s="30" t="s">
        <v>3138</v>
      </c>
      <c r="H249" s="30" t="s">
        <v>1806</v>
      </c>
      <c r="I249" s="30"/>
      <c r="J249" s="30" t="s">
        <v>1824</v>
      </c>
      <c r="K249" s="30" t="s">
        <v>1392</v>
      </c>
      <c r="L249" s="30" t="s">
        <v>12</v>
      </c>
      <c r="M249" s="29" t="s">
        <v>1615</v>
      </c>
      <c r="N249" s="76">
        <v>42079</v>
      </c>
      <c r="O249" s="32" t="s">
        <v>1891</v>
      </c>
      <c r="P249" s="32"/>
      <c r="Q249" s="32"/>
      <c r="R249" s="32"/>
      <c r="S249" s="32"/>
      <c r="T249" s="560"/>
      <c r="U249" s="560"/>
      <c r="V249" s="560"/>
      <c r="W249" s="560"/>
      <c r="X249" s="560"/>
      <c r="Y249" s="560"/>
      <c r="Z249" s="560"/>
      <c r="AA249" s="560"/>
      <c r="AB249" s="560"/>
      <c r="AC249" s="560"/>
      <c r="AD249" s="560"/>
      <c r="AE249" s="560"/>
      <c r="AF249" s="560"/>
      <c r="AG249" s="560"/>
      <c r="AH249" s="560"/>
      <c r="AI249" s="560"/>
      <c r="AJ249" s="73">
        <v>42331</v>
      </c>
      <c r="AK249" s="648"/>
      <c r="AL249" s="174"/>
      <c r="AM249" s="564"/>
      <c r="AN249" s="564"/>
      <c r="AO249" s="564"/>
      <c r="AP249" s="564"/>
      <c r="AQ249" s="564"/>
      <c r="AR249" s="564"/>
      <c r="AS249" s="564"/>
      <c r="AT249" s="564"/>
      <c r="AU249" s="564"/>
      <c r="AV249" s="564"/>
      <c r="AW249" s="564"/>
      <c r="AX249" s="564"/>
      <c r="AY249" s="564"/>
      <c r="AZ249" s="564"/>
      <c r="BA249" s="564"/>
      <c r="BB249" s="564"/>
      <c r="BC249" s="564"/>
      <c r="BD249" s="564"/>
      <c r="BE249" s="564"/>
      <c r="BF249" s="564"/>
      <c r="BG249" s="564"/>
      <c r="BH249" s="564"/>
      <c r="BI249" s="564"/>
      <c r="BJ249" s="564"/>
      <c r="BK249" s="564"/>
      <c r="BL249" s="564"/>
      <c r="BM249" s="564"/>
      <c r="BN249" s="564"/>
      <c r="BO249" s="564"/>
      <c r="BP249" s="564"/>
      <c r="BQ249" s="564"/>
      <c r="BR249" s="564"/>
      <c r="BS249" s="564"/>
      <c r="BT249" s="564"/>
      <c r="BU249" s="564"/>
      <c r="BV249" s="564"/>
      <c r="BW249" s="564"/>
      <c r="BX249" s="564"/>
      <c r="BY249" s="564"/>
      <c r="BZ249" s="564"/>
      <c r="CA249" s="564"/>
      <c r="CB249" s="564"/>
      <c r="CC249" s="564"/>
      <c r="CD249" s="564"/>
      <c r="CE249" s="564"/>
      <c r="CF249" s="564"/>
      <c r="CG249" s="564"/>
      <c r="CH249" s="564"/>
      <c r="CI249" s="564"/>
      <c r="CJ249" s="564"/>
      <c r="CK249" s="564"/>
      <c r="CL249" s="564"/>
      <c r="CM249" s="564"/>
      <c r="CN249" s="564"/>
      <c r="CO249" s="564"/>
      <c r="CP249" s="564"/>
      <c r="CQ249" s="564"/>
      <c r="CR249" s="564"/>
      <c r="CS249" s="564"/>
      <c r="CT249" s="564"/>
      <c r="CU249" s="564"/>
      <c r="CV249" s="564"/>
      <c r="CW249" s="564"/>
      <c r="CX249" s="564"/>
      <c r="CY249" s="564"/>
      <c r="CZ249" s="564"/>
      <c r="DA249" s="564"/>
      <c r="DB249" s="564"/>
      <c r="DC249" s="564"/>
      <c r="DD249" s="564"/>
      <c r="DE249" s="564"/>
      <c r="DF249" s="564"/>
      <c r="DG249" s="564"/>
      <c r="DH249" s="564"/>
      <c r="DI249" s="564"/>
      <c r="DJ249" s="564"/>
      <c r="DK249" s="564"/>
      <c r="DL249" s="564"/>
      <c r="DM249" s="564"/>
      <c r="DN249" s="564"/>
      <c r="DO249" s="564"/>
      <c r="DP249" s="564"/>
      <c r="DQ249" s="564"/>
      <c r="DR249" s="564"/>
      <c r="DS249" s="564"/>
      <c r="DT249" s="564"/>
      <c r="DU249" s="564"/>
      <c r="DV249" s="564"/>
      <c r="DW249" s="564"/>
      <c r="DX249" s="564"/>
      <c r="DY249" s="564"/>
      <c r="DZ249" s="564"/>
      <c r="EA249" s="564"/>
      <c r="EB249" s="564"/>
      <c r="EC249" s="564"/>
      <c r="ED249" s="564"/>
      <c r="EE249" s="564"/>
      <c r="EF249" s="564"/>
      <c r="EG249" s="564"/>
      <c r="EH249" s="564"/>
      <c r="EI249" s="564"/>
      <c r="EJ249" s="564"/>
      <c r="EK249" s="564"/>
      <c r="EL249" s="564"/>
      <c r="EM249" s="564"/>
      <c r="EN249" s="564"/>
      <c r="EO249" s="564"/>
      <c r="EP249" s="564"/>
      <c r="EQ249" s="564"/>
      <c r="ER249" s="564"/>
      <c r="ES249" s="564"/>
      <c r="ET249" s="564"/>
      <c r="EU249" s="564"/>
      <c r="EV249" s="564"/>
      <c r="EW249" s="564"/>
      <c r="EX249" s="564"/>
      <c r="EY249" s="564"/>
      <c r="EZ249" s="564"/>
      <c r="FA249" s="564"/>
      <c r="FB249" s="564"/>
      <c r="FC249" s="564"/>
      <c r="FD249" s="564"/>
      <c r="FE249" s="564"/>
      <c r="FF249" s="564"/>
      <c r="FG249" s="564"/>
      <c r="FH249" s="564"/>
      <c r="FI249" s="564"/>
      <c r="FJ249" s="564"/>
      <c r="FK249" s="564"/>
      <c r="FL249" s="564"/>
      <c r="FM249" s="564"/>
      <c r="FN249" s="564"/>
      <c r="FO249" s="564"/>
      <c r="FP249" s="564"/>
      <c r="FQ249" s="564"/>
      <c r="FR249" s="564"/>
      <c r="FS249" s="564"/>
      <c r="FT249" s="564"/>
      <c r="FU249" s="564"/>
      <c r="FV249" s="564"/>
      <c r="FW249" s="564"/>
      <c r="FX249" s="564"/>
      <c r="FY249" s="564"/>
      <c r="FZ249" s="564"/>
      <c r="GA249" s="564"/>
      <c r="GB249" s="564"/>
      <c r="GC249" s="564"/>
      <c r="GD249" s="564"/>
      <c r="GE249" s="564"/>
      <c r="GF249" s="564"/>
      <c r="GG249" s="564"/>
      <c r="GH249" s="564"/>
      <c r="GI249" s="564"/>
      <c r="GJ249" s="564"/>
      <c r="GK249" s="564"/>
      <c r="GL249" s="564"/>
      <c r="GM249" s="564"/>
      <c r="GN249" s="564"/>
      <c r="GO249" s="564"/>
      <c r="GP249" s="564"/>
      <c r="GQ249" s="564"/>
      <c r="GR249" s="564"/>
      <c r="GS249" s="564"/>
      <c r="GT249" s="564"/>
      <c r="GU249" s="564"/>
      <c r="GV249" s="564"/>
      <c r="GW249" s="564"/>
      <c r="GX249" s="564"/>
      <c r="GY249" s="564"/>
      <c r="GZ249" s="564"/>
      <c r="HA249" s="564"/>
      <c r="HB249" s="564"/>
      <c r="HC249" s="564"/>
      <c r="HD249" s="564"/>
      <c r="HE249" s="564"/>
      <c r="HF249" s="564"/>
      <c r="HG249" s="564"/>
      <c r="HH249" s="564"/>
      <c r="HI249" s="564"/>
      <c r="HJ249" s="564"/>
      <c r="HK249" s="564"/>
      <c r="HL249" s="564"/>
      <c r="HM249" s="564"/>
      <c r="HN249" s="564"/>
      <c r="HO249" s="564"/>
      <c r="HP249" s="564"/>
      <c r="HQ249" s="564"/>
      <c r="HR249" s="564"/>
      <c r="HS249" s="564"/>
      <c r="HT249" s="564"/>
      <c r="HU249" s="564"/>
      <c r="HV249" s="564"/>
      <c r="HW249" s="564"/>
      <c r="HX249" s="564"/>
      <c r="HY249" s="564"/>
      <c r="HZ249" s="564"/>
      <c r="IA249" s="564"/>
      <c r="IB249" s="564"/>
      <c r="IC249" s="564"/>
      <c r="ID249" s="564"/>
      <c r="IE249" s="564"/>
      <c r="IF249" s="564"/>
      <c r="IG249" s="564"/>
      <c r="IH249" s="564"/>
      <c r="II249" s="564"/>
      <c r="IJ249" s="564"/>
      <c r="IK249" s="564"/>
      <c r="IL249" s="564"/>
      <c r="IM249" s="564"/>
      <c r="IN249" s="564"/>
      <c r="IO249" s="564"/>
      <c r="IP249" s="564"/>
      <c r="IQ249" s="564"/>
      <c r="IR249" s="564"/>
      <c r="IS249" s="564"/>
      <c r="IT249" s="564"/>
      <c r="IU249" s="564"/>
      <c r="IV249" s="564"/>
      <c r="IW249" s="564"/>
      <c r="IX249" s="564"/>
      <c r="IY249" s="564"/>
      <c r="IZ249" s="564"/>
      <c r="JA249" s="564"/>
      <c r="JB249" s="564"/>
      <c r="JC249" s="564"/>
      <c r="JD249" s="564"/>
      <c r="JE249" s="564"/>
      <c r="JF249" s="564"/>
      <c r="JG249" s="564"/>
      <c r="JH249" s="564"/>
      <c r="JI249" s="564"/>
      <c r="JJ249" s="564"/>
      <c r="JK249" s="564"/>
      <c r="JL249" s="564"/>
      <c r="JM249" s="564"/>
      <c r="JN249" s="564"/>
      <c r="JO249" s="564"/>
      <c r="JP249" s="564"/>
      <c r="JQ249" s="564"/>
      <c r="JR249" s="564"/>
      <c r="JS249" s="564"/>
      <c r="JT249" s="564"/>
      <c r="JU249" s="564"/>
      <c r="JV249" s="564"/>
    </row>
    <row r="250" spans="1:282" ht="50.1" customHeight="1" x14ac:dyDescent="0.2">
      <c r="A250" s="298"/>
      <c r="B250" s="30" t="s">
        <v>1137</v>
      </c>
      <c r="C250" s="30"/>
      <c r="D250" s="30"/>
      <c r="E250" s="30" t="s">
        <v>2157</v>
      </c>
      <c r="F250" s="196" t="s">
        <v>2237</v>
      </c>
      <c r="G250" s="30" t="s">
        <v>2087</v>
      </c>
      <c r="H250" s="30" t="s">
        <v>1806</v>
      </c>
      <c r="I250" s="30"/>
      <c r="J250" s="30" t="s">
        <v>2088</v>
      </c>
      <c r="K250" s="30" t="s">
        <v>1540</v>
      </c>
      <c r="L250" s="30" t="s">
        <v>685</v>
      </c>
      <c r="M250" s="30" t="s">
        <v>2094</v>
      </c>
      <c r="N250" s="73">
        <v>42262</v>
      </c>
      <c r="O250" s="32" t="s">
        <v>2158</v>
      </c>
      <c r="P250" s="32"/>
      <c r="Q250" s="32"/>
      <c r="R250" s="32"/>
      <c r="S250" s="32"/>
      <c r="T250" s="560"/>
      <c r="U250" s="560"/>
      <c r="V250" s="560"/>
      <c r="W250" s="560"/>
      <c r="X250" s="560"/>
      <c r="Y250" s="560"/>
      <c r="Z250" s="560"/>
      <c r="AA250" s="560"/>
      <c r="AB250" s="560"/>
      <c r="AC250" s="560"/>
      <c r="AD250" s="560"/>
      <c r="AE250" s="560"/>
      <c r="AF250" s="560"/>
      <c r="AG250" s="560"/>
      <c r="AH250" s="560"/>
      <c r="AI250" s="560"/>
      <c r="AJ250" s="73">
        <v>42331</v>
      </c>
      <c r="AK250" s="648"/>
      <c r="AL250" s="174"/>
      <c r="AM250" s="564"/>
      <c r="AN250" s="564"/>
      <c r="AO250" s="564"/>
      <c r="AP250" s="564"/>
      <c r="AQ250" s="564"/>
      <c r="AR250" s="564"/>
      <c r="AS250" s="564"/>
      <c r="AT250" s="564"/>
      <c r="AU250" s="564"/>
      <c r="AV250" s="564"/>
      <c r="AW250" s="564"/>
      <c r="AX250" s="564"/>
      <c r="AY250" s="564"/>
      <c r="AZ250" s="564"/>
      <c r="BA250" s="564"/>
      <c r="BB250" s="564"/>
      <c r="BC250" s="564"/>
      <c r="BD250" s="564"/>
      <c r="BE250" s="564"/>
      <c r="BF250" s="564"/>
      <c r="BG250" s="564"/>
      <c r="BH250" s="564"/>
      <c r="BI250" s="564"/>
      <c r="BJ250" s="564"/>
      <c r="BK250" s="564"/>
      <c r="BL250" s="564"/>
      <c r="BM250" s="564"/>
      <c r="BN250" s="564"/>
      <c r="BO250" s="564"/>
      <c r="BP250" s="564"/>
      <c r="BQ250" s="564"/>
      <c r="BR250" s="564"/>
      <c r="BS250" s="564"/>
      <c r="BT250" s="564"/>
      <c r="BU250" s="564"/>
      <c r="BV250" s="564"/>
      <c r="BW250" s="564"/>
      <c r="BX250" s="564"/>
      <c r="BY250" s="564"/>
      <c r="BZ250" s="564"/>
      <c r="CA250" s="564"/>
      <c r="CB250" s="564"/>
      <c r="CC250" s="564"/>
      <c r="CD250" s="564"/>
      <c r="CE250" s="564"/>
      <c r="CF250" s="564"/>
      <c r="CG250" s="564"/>
      <c r="CH250" s="564"/>
      <c r="CI250" s="564"/>
      <c r="CJ250" s="564"/>
      <c r="CK250" s="564"/>
      <c r="CL250" s="564"/>
      <c r="CM250" s="564"/>
      <c r="CN250" s="564"/>
      <c r="CO250" s="564"/>
      <c r="CP250" s="564"/>
      <c r="CQ250" s="564"/>
      <c r="CR250" s="564"/>
      <c r="CS250" s="564"/>
      <c r="CT250" s="564"/>
      <c r="CU250" s="564"/>
      <c r="CV250" s="564"/>
      <c r="CW250" s="564"/>
      <c r="CX250" s="564"/>
      <c r="CY250" s="564"/>
      <c r="CZ250" s="564"/>
      <c r="DA250" s="564"/>
      <c r="DB250" s="564"/>
      <c r="DC250" s="564"/>
      <c r="DD250" s="564"/>
      <c r="DE250" s="564"/>
      <c r="DF250" s="564"/>
      <c r="DG250" s="564"/>
      <c r="DH250" s="564"/>
      <c r="DI250" s="564"/>
      <c r="DJ250" s="564"/>
      <c r="DK250" s="564"/>
      <c r="DL250" s="564"/>
      <c r="DM250" s="564"/>
      <c r="DN250" s="564"/>
      <c r="DO250" s="564"/>
      <c r="DP250" s="564"/>
      <c r="DQ250" s="564"/>
      <c r="DR250" s="564"/>
      <c r="DS250" s="564"/>
      <c r="DT250" s="564"/>
      <c r="DU250" s="564"/>
      <c r="DV250" s="564"/>
      <c r="DW250" s="564"/>
      <c r="DX250" s="564"/>
      <c r="DY250" s="564"/>
      <c r="DZ250" s="564"/>
      <c r="EA250" s="564"/>
      <c r="EB250" s="564"/>
      <c r="EC250" s="564"/>
      <c r="ED250" s="564"/>
      <c r="EE250" s="564"/>
      <c r="EF250" s="564"/>
      <c r="EG250" s="564"/>
      <c r="EH250" s="564"/>
      <c r="EI250" s="564"/>
      <c r="EJ250" s="564"/>
      <c r="EK250" s="564"/>
      <c r="EL250" s="564"/>
      <c r="EM250" s="564"/>
      <c r="EN250" s="564"/>
      <c r="EO250" s="564"/>
      <c r="EP250" s="564"/>
      <c r="EQ250" s="564"/>
      <c r="ER250" s="564"/>
      <c r="ES250" s="564"/>
      <c r="ET250" s="564"/>
      <c r="EU250" s="564"/>
      <c r="EV250" s="564"/>
      <c r="EW250" s="564"/>
      <c r="EX250" s="564"/>
      <c r="EY250" s="564"/>
      <c r="EZ250" s="564"/>
      <c r="FA250" s="564"/>
      <c r="FB250" s="564"/>
      <c r="FC250" s="564"/>
      <c r="FD250" s="564"/>
      <c r="FE250" s="564"/>
      <c r="FF250" s="564"/>
      <c r="FG250" s="564"/>
      <c r="FH250" s="564"/>
      <c r="FI250" s="564"/>
      <c r="FJ250" s="564"/>
      <c r="FK250" s="564"/>
      <c r="FL250" s="564"/>
      <c r="FM250" s="564"/>
      <c r="FN250" s="564"/>
      <c r="FO250" s="564"/>
      <c r="FP250" s="564"/>
      <c r="FQ250" s="564"/>
      <c r="FR250" s="564"/>
      <c r="FS250" s="564"/>
      <c r="FT250" s="564"/>
      <c r="FU250" s="564"/>
      <c r="FV250" s="564"/>
      <c r="FW250" s="564"/>
      <c r="FX250" s="564"/>
      <c r="FY250" s="564"/>
      <c r="FZ250" s="564"/>
      <c r="GA250" s="564"/>
      <c r="GB250" s="564"/>
      <c r="GC250" s="564"/>
      <c r="GD250" s="564"/>
      <c r="GE250" s="564"/>
      <c r="GF250" s="564"/>
      <c r="GG250" s="564"/>
      <c r="GH250" s="564"/>
      <c r="GI250" s="564"/>
      <c r="GJ250" s="564"/>
      <c r="GK250" s="564"/>
      <c r="GL250" s="564"/>
      <c r="GM250" s="564"/>
      <c r="GN250" s="564"/>
      <c r="GO250" s="564"/>
      <c r="GP250" s="564"/>
      <c r="GQ250" s="564"/>
      <c r="GR250" s="564"/>
      <c r="GS250" s="564"/>
      <c r="GT250" s="564"/>
      <c r="GU250" s="564"/>
      <c r="GV250" s="564"/>
      <c r="GW250" s="564"/>
      <c r="GX250" s="564"/>
      <c r="GY250" s="564"/>
      <c r="GZ250" s="564"/>
      <c r="HA250" s="564"/>
      <c r="HB250" s="564"/>
      <c r="HC250" s="564"/>
      <c r="HD250" s="564"/>
      <c r="HE250" s="564"/>
      <c r="HF250" s="564"/>
      <c r="HG250" s="564"/>
      <c r="HH250" s="564"/>
      <c r="HI250" s="564"/>
      <c r="HJ250" s="564"/>
      <c r="HK250" s="564"/>
      <c r="HL250" s="564"/>
      <c r="HM250" s="564"/>
      <c r="HN250" s="564"/>
      <c r="HO250" s="564"/>
      <c r="HP250" s="564"/>
      <c r="HQ250" s="564"/>
      <c r="HR250" s="564"/>
      <c r="HS250" s="564"/>
      <c r="HT250" s="564"/>
      <c r="HU250" s="564"/>
      <c r="HV250" s="564"/>
      <c r="HW250" s="564"/>
      <c r="HX250" s="564"/>
      <c r="HY250" s="564"/>
      <c r="HZ250" s="564"/>
      <c r="IA250" s="564"/>
      <c r="IB250" s="564"/>
      <c r="IC250" s="564"/>
      <c r="ID250" s="564"/>
      <c r="IE250" s="564"/>
      <c r="IF250" s="564"/>
      <c r="IG250" s="564"/>
      <c r="IH250" s="564"/>
      <c r="II250" s="564"/>
      <c r="IJ250" s="564"/>
      <c r="IK250" s="564"/>
      <c r="IL250" s="564"/>
      <c r="IM250" s="564"/>
      <c r="IN250" s="564"/>
      <c r="IO250" s="564"/>
      <c r="IP250" s="564"/>
      <c r="IQ250" s="564"/>
      <c r="IR250" s="564"/>
      <c r="IS250" s="564"/>
      <c r="IT250" s="564"/>
      <c r="IU250" s="564"/>
      <c r="IV250" s="564"/>
      <c r="IW250" s="564"/>
      <c r="IX250" s="564"/>
      <c r="IY250" s="564"/>
      <c r="IZ250" s="564"/>
      <c r="JA250" s="564"/>
      <c r="JB250" s="564"/>
      <c r="JC250" s="564"/>
      <c r="JD250" s="564"/>
      <c r="JE250" s="564"/>
      <c r="JF250" s="564"/>
      <c r="JG250" s="564"/>
      <c r="JH250" s="564"/>
      <c r="JI250" s="564"/>
      <c r="JJ250" s="564"/>
      <c r="JK250" s="564"/>
      <c r="JL250" s="564"/>
      <c r="JM250" s="564"/>
      <c r="JN250" s="564"/>
      <c r="JO250" s="564"/>
      <c r="JP250" s="564"/>
      <c r="JQ250" s="564"/>
      <c r="JR250" s="564"/>
      <c r="JS250" s="564"/>
      <c r="JT250" s="564"/>
      <c r="JU250" s="564"/>
      <c r="JV250" s="564"/>
    </row>
    <row r="251" spans="1:282" ht="50.1" customHeight="1" x14ac:dyDescent="0.2">
      <c r="A251" s="298"/>
      <c r="B251" s="30" t="s">
        <v>584</v>
      </c>
      <c r="C251" s="30"/>
      <c r="D251" s="30"/>
      <c r="E251" s="30" t="s">
        <v>1951</v>
      </c>
      <c r="F251" s="104" t="s">
        <v>2241</v>
      </c>
      <c r="G251" s="30" t="s">
        <v>1269</v>
      </c>
      <c r="H251" s="30" t="s">
        <v>1806</v>
      </c>
      <c r="I251" s="30"/>
      <c r="J251" s="30" t="s">
        <v>1272</v>
      </c>
      <c r="K251" s="30" t="s">
        <v>1540</v>
      </c>
      <c r="L251" s="30" t="s">
        <v>18</v>
      </c>
      <c r="M251" s="30" t="s">
        <v>1615</v>
      </c>
      <c r="N251" s="73">
        <v>42116</v>
      </c>
      <c r="O251" s="32" t="s">
        <v>1950</v>
      </c>
      <c r="P251" s="32"/>
      <c r="Q251" s="32"/>
      <c r="R251" s="32"/>
      <c r="S251" s="32"/>
      <c r="T251" s="560"/>
      <c r="U251" s="560"/>
      <c r="V251" s="560"/>
      <c r="W251" s="560"/>
      <c r="X251" s="560"/>
      <c r="Y251" s="560"/>
      <c r="Z251" s="560"/>
      <c r="AA251" s="560"/>
      <c r="AB251" s="560"/>
      <c r="AC251" s="560"/>
      <c r="AD251" s="560"/>
      <c r="AE251" s="560"/>
      <c r="AF251" s="560"/>
      <c r="AG251" s="560"/>
      <c r="AH251" s="560"/>
      <c r="AI251" s="560"/>
      <c r="AJ251" s="73">
        <v>42338</v>
      </c>
      <c r="AK251" s="648"/>
      <c r="AL251" s="174"/>
      <c r="AM251" s="564"/>
      <c r="AN251" s="564"/>
      <c r="AO251" s="564"/>
      <c r="AP251" s="564"/>
      <c r="AQ251" s="564"/>
      <c r="AR251" s="564"/>
      <c r="AS251" s="564"/>
      <c r="AT251" s="564"/>
      <c r="AU251" s="564"/>
      <c r="AV251" s="564"/>
      <c r="AW251" s="564"/>
      <c r="AX251" s="564"/>
      <c r="AY251" s="564"/>
      <c r="AZ251" s="564"/>
      <c r="BA251" s="564"/>
      <c r="BB251" s="564"/>
      <c r="BC251" s="564"/>
      <c r="BD251" s="564"/>
      <c r="BE251" s="564"/>
      <c r="BF251" s="564"/>
      <c r="BG251" s="564"/>
      <c r="BH251" s="564"/>
      <c r="BI251" s="564"/>
      <c r="BJ251" s="564"/>
      <c r="BK251" s="564"/>
      <c r="BL251" s="564"/>
      <c r="BM251" s="564"/>
      <c r="BN251" s="564"/>
      <c r="BO251" s="564"/>
      <c r="BP251" s="564"/>
      <c r="BQ251" s="564"/>
      <c r="BR251" s="564"/>
      <c r="BS251" s="564"/>
      <c r="BT251" s="564"/>
      <c r="BU251" s="564"/>
      <c r="BV251" s="564"/>
      <c r="BW251" s="564"/>
      <c r="BX251" s="564"/>
      <c r="BY251" s="564"/>
      <c r="BZ251" s="564"/>
      <c r="CA251" s="564"/>
      <c r="CB251" s="564"/>
      <c r="CC251" s="564"/>
      <c r="CD251" s="564"/>
      <c r="CE251" s="564"/>
      <c r="CF251" s="564"/>
      <c r="CG251" s="564"/>
      <c r="CH251" s="564"/>
      <c r="CI251" s="564"/>
      <c r="CJ251" s="564"/>
      <c r="CK251" s="564"/>
      <c r="CL251" s="564"/>
      <c r="CM251" s="564"/>
      <c r="CN251" s="564"/>
      <c r="CO251" s="564"/>
      <c r="CP251" s="564"/>
      <c r="CQ251" s="564"/>
      <c r="CR251" s="564"/>
      <c r="CS251" s="564"/>
      <c r="CT251" s="564"/>
      <c r="CU251" s="564"/>
      <c r="CV251" s="564"/>
      <c r="CW251" s="564"/>
      <c r="CX251" s="564"/>
      <c r="CY251" s="564"/>
      <c r="CZ251" s="564"/>
      <c r="DA251" s="564"/>
      <c r="DB251" s="564"/>
      <c r="DC251" s="564"/>
      <c r="DD251" s="564"/>
      <c r="DE251" s="564"/>
      <c r="DF251" s="564"/>
      <c r="DG251" s="564"/>
      <c r="DH251" s="564"/>
      <c r="DI251" s="564"/>
      <c r="DJ251" s="564"/>
      <c r="DK251" s="564"/>
      <c r="DL251" s="564"/>
      <c r="DM251" s="564"/>
      <c r="DN251" s="564"/>
      <c r="DO251" s="564"/>
      <c r="DP251" s="564"/>
      <c r="DQ251" s="564"/>
      <c r="DR251" s="564"/>
      <c r="DS251" s="564"/>
      <c r="DT251" s="564"/>
      <c r="DU251" s="564"/>
      <c r="DV251" s="564"/>
      <c r="DW251" s="564"/>
      <c r="DX251" s="564"/>
      <c r="DY251" s="564"/>
      <c r="DZ251" s="564"/>
      <c r="EA251" s="564"/>
      <c r="EB251" s="564"/>
      <c r="EC251" s="564"/>
      <c r="ED251" s="564"/>
      <c r="EE251" s="564"/>
      <c r="EF251" s="564"/>
      <c r="EG251" s="564"/>
      <c r="EH251" s="564"/>
      <c r="EI251" s="564"/>
      <c r="EJ251" s="564"/>
      <c r="EK251" s="564"/>
      <c r="EL251" s="564"/>
      <c r="EM251" s="564"/>
      <c r="EN251" s="564"/>
      <c r="EO251" s="564"/>
      <c r="EP251" s="564"/>
      <c r="EQ251" s="564"/>
      <c r="ER251" s="564"/>
      <c r="ES251" s="564"/>
      <c r="ET251" s="564"/>
      <c r="EU251" s="564"/>
      <c r="EV251" s="564"/>
      <c r="EW251" s="564"/>
      <c r="EX251" s="564"/>
      <c r="EY251" s="564"/>
      <c r="EZ251" s="564"/>
      <c r="FA251" s="564"/>
      <c r="FB251" s="564"/>
      <c r="FC251" s="564"/>
      <c r="FD251" s="564"/>
      <c r="FE251" s="564"/>
      <c r="FF251" s="564"/>
      <c r="FG251" s="564"/>
      <c r="FH251" s="564"/>
      <c r="FI251" s="564"/>
      <c r="FJ251" s="564"/>
      <c r="FK251" s="564"/>
      <c r="FL251" s="564"/>
      <c r="FM251" s="564"/>
      <c r="FN251" s="564"/>
      <c r="FO251" s="564"/>
      <c r="FP251" s="564"/>
      <c r="FQ251" s="564"/>
      <c r="FR251" s="564"/>
      <c r="FS251" s="564"/>
      <c r="FT251" s="564"/>
      <c r="FU251" s="564"/>
      <c r="FV251" s="564"/>
      <c r="FW251" s="564"/>
      <c r="FX251" s="564"/>
      <c r="FY251" s="564"/>
      <c r="FZ251" s="564"/>
      <c r="GA251" s="564"/>
      <c r="GB251" s="564"/>
      <c r="GC251" s="564"/>
      <c r="GD251" s="564"/>
      <c r="GE251" s="564"/>
      <c r="GF251" s="564"/>
      <c r="GG251" s="564"/>
      <c r="GH251" s="564"/>
      <c r="GI251" s="564"/>
      <c r="GJ251" s="564"/>
      <c r="GK251" s="564"/>
      <c r="GL251" s="564"/>
      <c r="GM251" s="564"/>
      <c r="GN251" s="564"/>
      <c r="GO251" s="564"/>
      <c r="GP251" s="564"/>
      <c r="GQ251" s="564"/>
      <c r="GR251" s="564"/>
      <c r="GS251" s="564"/>
      <c r="GT251" s="564"/>
      <c r="GU251" s="564"/>
      <c r="GV251" s="564"/>
      <c r="GW251" s="564"/>
      <c r="GX251" s="564"/>
      <c r="GY251" s="564"/>
      <c r="GZ251" s="564"/>
      <c r="HA251" s="564"/>
      <c r="HB251" s="564"/>
      <c r="HC251" s="564"/>
      <c r="HD251" s="564"/>
      <c r="HE251" s="564"/>
      <c r="HF251" s="564"/>
      <c r="HG251" s="564"/>
      <c r="HH251" s="564"/>
      <c r="HI251" s="564"/>
      <c r="HJ251" s="564"/>
      <c r="HK251" s="564"/>
      <c r="HL251" s="564"/>
      <c r="HM251" s="564"/>
      <c r="HN251" s="564"/>
      <c r="HO251" s="564"/>
      <c r="HP251" s="564"/>
      <c r="HQ251" s="564"/>
      <c r="HR251" s="564"/>
      <c r="HS251" s="564"/>
      <c r="HT251" s="564"/>
      <c r="HU251" s="564"/>
      <c r="HV251" s="564"/>
      <c r="HW251" s="564"/>
      <c r="HX251" s="564"/>
      <c r="HY251" s="564"/>
      <c r="HZ251" s="564"/>
      <c r="IA251" s="564"/>
      <c r="IB251" s="564"/>
      <c r="IC251" s="564"/>
      <c r="ID251" s="564"/>
      <c r="IE251" s="564"/>
      <c r="IF251" s="564"/>
      <c r="IG251" s="564"/>
      <c r="IH251" s="564"/>
      <c r="II251" s="564"/>
      <c r="IJ251" s="564"/>
      <c r="IK251" s="564"/>
      <c r="IL251" s="564"/>
      <c r="IM251" s="564"/>
      <c r="IN251" s="564"/>
      <c r="IO251" s="564"/>
      <c r="IP251" s="564"/>
      <c r="IQ251" s="564"/>
      <c r="IR251" s="564"/>
      <c r="IS251" s="564"/>
      <c r="IT251" s="564"/>
      <c r="IU251" s="564"/>
      <c r="IV251" s="564"/>
      <c r="IW251" s="564"/>
      <c r="IX251" s="564"/>
      <c r="IY251" s="564"/>
      <c r="IZ251" s="564"/>
      <c r="JA251" s="564"/>
      <c r="JB251" s="564"/>
      <c r="JC251" s="564"/>
      <c r="JD251" s="564"/>
      <c r="JE251" s="564"/>
      <c r="JF251" s="564"/>
      <c r="JG251" s="564"/>
      <c r="JH251" s="564"/>
      <c r="JI251" s="564"/>
      <c r="JJ251" s="564"/>
      <c r="JK251" s="564"/>
      <c r="JL251" s="564"/>
      <c r="JM251" s="564"/>
      <c r="JN251" s="564"/>
      <c r="JO251" s="564"/>
      <c r="JP251" s="564"/>
      <c r="JQ251" s="564"/>
      <c r="JR251" s="564"/>
      <c r="JS251" s="564"/>
      <c r="JT251" s="564"/>
      <c r="JU251" s="564"/>
      <c r="JV251" s="564"/>
    </row>
    <row r="252" spans="1:282" ht="50.1" customHeight="1" x14ac:dyDescent="0.2">
      <c r="A252" s="298"/>
      <c r="B252" s="30" t="s">
        <v>1137</v>
      </c>
      <c r="C252" s="30"/>
      <c r="D252" s="30"/>
      <c r="E252" s="30" t="s">
        <v>2153</v>
      </c>
      <c r="F252" s="196" t="s">
        <v>2238</v>
      </c>
      <c r="G252" s="30" t="s">
        <v>2087</v>
      </c>
      <c r="H252" s="30" t="s">
        <v>1806</v>
      </c>
      <c r="I252" s="30"/>
      <c r="J252" s="30" t="s">
        <v>2088</v>
      </c>
      <c r="K252" s="30" t="s">
        <v>1394</v>
      </c>
      <c r="L252" s="30" t="s">
        <v>685</v>
      </c>
      <c r="M252" s="30" t="s">
        <v>1615</v>
      </c>
      <c r="N252" s="73">
        <v>42243</v>
      </c>
      <c r="O252" s="32" t="s">
        <v>2154</v>
      </c>
      <c r="P252" s="32"/>
      <c r="Q252" s="32"/>
      <c r="R252" s="32"/>
      <c r="S252" s="32"/>
      <c r="T252" s="560"/>
      <c r="U252" s="560"/>
      <c r="V252" s="560"/>
      <c r="W252" s="560"/>
      <c r="X252" s="560"/>
      <c r="Y252" s="560"/>
      <c r="Z252" s="560"/>
      <c r="AA252" s="560"/>
      <c r="AB252" s="560"/>
      <c r="AC252" s="560"/>
      <c r="AD252" s="560"/>
      <c r="AE252" s="560"/>
      <c r="AF252" s="560"/>
      <c r="AG252" s="560"/>
      <c r="AH252" s="560"/>
      <c r="AI252" s="560"/>
      <c r="AJ252" s="73">
        <v>42345</v>
      </c>
      <c r="AK252" s="648"/>
      <c r="AL252" s="174"/>
      <c r="AM252" s="564"/>
      <c r="AN252" s="564"/>
      <c r="AO252" s="564"/>
      <c r="AP252" s="564"/>
      <c r="AQ252" s="564"/>
      <c r="AR252" s="564"/>
      <c r="AS252" s="564"/>
      <c r="AT252" s="564"/>
      <c r="AU252" s="564"/>
      <c r="AV252" s="564"/>
      <c r="AW252" s="564"/>
      <c r="AX252" s="564"/>
      <c r="AY252" s="564"/>
      <c r="AZ252" s="564"/>
      <c r="BA252" s="564"/>
      <c r="BB252" s="564"/>
      <c r="BC252" s="564"/>
      <c r="BD252" s="564"/>
      <c r="BE252" s="564"/>
      <c r="BF252" s="564"/>
      <c r="BG252" s="564"/>
      <c r="BH252" s="564"/>
      <c r="BI252" s="564"/>
      <c r="BJ252" s="564"/>
      <c r="BK252" s="564"/>
      <c r="BL252" s="564"/>
      <c r="BM252" s="564"/>
      <c r="BN252" s="564"/>
      <c r="BO252" s="564"/>
      <c r="BP252" s="564"/>
      <c r="BQ252" s="564"/>
      <c r="BR252" s="564"/>
      <c r="BS252" s="564"/>
      <c r="BT252" s="564"/>
      <c r="BU252" s="564"/>
      <c r="BV252" s="564"/>
      <c r="BW252" s="564"/>
      <c r="BX252" s="564"/>
      <c r="BY252" s="564"/>
      <c r="BZ252" s="564"/>
      <c r="CA252" s="564"/>
      <c r="CB252" s="564"/>
      <c r="CC252" s="564"/>
      <c r="CD252" s="564"/>
      <c r="CE252" s="564"/>
      <c r="CF252" s="564"/>
      <c r="CG252" s="564"/>
      <c r="CH252" s="564"/>
      <c r="CI252" s="564"/>
      <c r="CJ252" s="564"/>
      <c r="CK252" s="564"/>
      <c r="CL252" s="564"/>
      <c r="CM252" s="564"/>
      <c r="CN252" s="564"/>
      <c r="CO252" s="564"/>
      <c r="CP252" s="564"/>
      <c r="CQ252" s="564"/>
      <c r="CR252" s="564"/>
      <c r="CS252" s="564"/>
      <c r="CT252" s="564"/>
      <c r="CU252" s="564"/>
      <c r="CV252" s="564"/>
      <c r="CW252" s="564"/>
      <c r="CX252" s="564"/>
      <c r="CY252" s="564"/>
      <c r="CZ252" s="564"/>
      <c r="DA252" s="564"/>
      <c r="DB252" s="564"/>
      <c r="DC252" s="564"/>
      <c r="DD252" s="564"/>
      <c r="DE252" s="564"/>
      <c r="DF252" s="564"/>
      <c r="DG252" s="564"/>
      <c r="DH252" s="564"/>
      <c r="DI252" s="564"/>
      <c r="DJ252" s="564"/>
      <c r="DK252" s="564"/>
      <c r="DL252" s="564"/>
      <c r="DM252" s="564"/>
      <c r="DN252" s="564"/>
      <c r="DO252" s="564"/>
      <c r="DP252" s="564"/>
      <c r="DQ252" s="564"/>
      <c r="DR252" s="564"/>
      <c r="DS252" s="564"/>
      <c r="DT252" s="564"/>
      <c r="DU252" s="564"/>
      <c r="DV252" s="564"/>
      <c r="DW252" s="564"/>
      <c r="DX252" s="564"/>
      <c r="DY252" s="564"/>
      <c r="DZ252" s="564"/>
      <c r="EA252" s="564"/>
      <c r="EB252" s="564"/>
      <c r="EC252" s="564"/>
      <c r="ED252" s="564"/>
      <c r="EE252" s="564"/>
      <c r="EF252" s="564"/>
      <c r="EG252" s="564"/>
      <c r="EH252" s="564"/>
      <c r="EI252" s="564"/>
      <c r="EJ252" s="564"/>
      <c r="EK252" s="564"/>
      <c r="EL252" s="564"/>
      <c r="EM252" s="564"/>
      <c r="EN252" s="564"/>
      <c r="EO252" s="564"/>
      <c r="EP252" s="564"/>
      <c r="EQ252" s="564"/>
      <c r="ER252" s="564"/>
      <c r="ES252" s="564"/>
      <c r="ET252" s="564"/>
      <c r="EU252" s="564"/>
      <c r="EV252" s="564"/>
      <c r="EW252" s="564"/>
      <c r="EX252" s="564"/>
      <c r="EY252" s="564"/>
      <c r="EZ252" s="564"/>
      <c r="FA252" s="564"/>
      <c r="FB252" s="564"/>
      <c r="FC252" s="564"/>
      <c r="FD252" s="564"/>
      <c r="FE252" s="564"/>
      <c r="FF252" s="564"/>
      <c r="FG252" s="564"/>
      <c r="FH252" s="564"/>
      <c r="FI252" s="564"/>
      <c r="FJ252" s="564"/>
      <c r="FK252" s="564"/>
      <c r="FL252" s="564"/>
      <c r="FM252" s="564"/>
      <c r="FN252" s="564"/>
      <c r="FO252" s="564"/>
      <c r="FP252" s="564"/>
      <c r="FQ252" s="564"/>
      <c r="FR252" s="564"/>
      <c r="FS252" s="564"/>
      <c r="FT252" s="564"/>
      <c r="FU252" s="564"/>
      <c r="FV252" s="564"/>
      <c r="FW252" s="564"/>
      <c r="FX252" s="564"/>
      <c r="FY252" s="564"/>
      <c r="FZ252" s="564"/>
      <c r="GA252" s="564"/>
      <c r="GB252" s="564"/>
      <c r="GC252" s="564"/>
      <c r="GD252" s="564"/>
      <c r="GE252" s="564"/>
      <c r="GF252" s="564"/>
      <c r="GG252" s="564"/>
      <c r="GH252" s="564"/>
      <c r="GI252" s="564"/>
      <c r="GJ252" s="564"/>
      <c r="GK252" s="564"/>
      <c r="GL252" s="564"/>
      <c r="GM252" s="564"/>
      <c r="GN252" s="564"/>
      <c r="GO252" s="564"/>
      <c r="GP252" s="564"/>
      <c r="GQ252" s="564"/>
      <c r="GR252" s="564"/>
      <c r="GS252" s="564"/>
      <c r="GT252" s="564"/>
      <c r="GU252" s="564"/>
      <c r="GV252" s="564"/>
      <c r="GW252" s="564"/>
      <c r="GX252" s="564"/>
      <c r="GY252" s="564"/>
      <c r="GZ252" s="564"/>
      <c r="HA252" s="564"/>
      <c r="HB252" s="564"/>
      <c r="HC252" s="564"/>
      <c r="HD252" s="564"/>
      <c r="HE252" s="564"/>
      <c r="HF252" s="564"/>
      <c r="HG252" s="564"/>
      <c r="HH252" s="564"/>
      <c r="HI252" s="564"/>
      <c r="HJ252" s="564"/>
      <c r="HK252" s="564"/>
      <c r="HL252" s="564"/>
      <c r="HM252" s="564"/>
      <c r="HN252" s="564"/>
      <c r="HO252" s="564"/>
      <c r="HP252" s="564"/>
      <c r="HQ252" s="564"/>
      <c r="HR252" s="564"/>
      <c r="HS252" s="564"/>
      <c r="HT252" s="564"/>
      <c r="HU252" s="564"/>
      <c r="HV252" s="564"/>
      <c r="HW252" s="564"/>
      <c r="HX252" s="564"/>
      <c r="HY252" s="564"/>
      <c r="HZ252" s="564"/>
      <c r="IA252" s="564"/>
      <c r="IB252" s="564"/>
      <c r="IC252" s="564"/>
      <c r="ID252" s="564"/>
      <c r="IE252" s="564"/>
      <c r="IF252" s="564"/>
      <c r="IG252" s="564"/>
      <c r="IH252" s="564"/>
      <c r="II252" s="564"/>
      <c r="IJ252" s="564"/>
      <c r="IK252" s="564"/>
      <c r="IL252" s="564"/>
      <c r="IM252" s="564"/>
      <c r="IN252" s="564"/>
      <c r="IO252" s="564"/>
      <c r="IP252" s="564"/>
      <c r="IQ252" s="564"/>
      <c r="IR252" s="564"/>
      <c r="IS252" s="564"/>
      <c r="IT252" s="564"/>
      <c r="IU252" s="564"/>
      <c r="IV252" s="564"/>
      <c r="IW252" s="564"/>
      <c r="IX252" s="564"/>
      <c r="IY252" s="564"/>
      <c r="IZ252" s="564"/>
      <c r="JA252" s="564"/>
      <c r="JB252" s="564"/>
      <c r="JC252" s="564"/>
      <c r="JD252" s="564"/>
      <c r="JE252" s="564"/>
      <c r="JF252" s="564"/>
      <c r="JG252" s="564"/>
      <c r="JH252" s="564"/>
      <c r="JI252" s="564"/>
      <c r="JJ252" s="564"/>
      <c r="JK252" s="564"/>
      <c r="JL252" s="564"/>
      <c r="JM252" s="564"/>
      <c r="JN252" s="564"/>
      <c r="JO252" s="564"/>
      <c r="JP252" s="564"/>
      <c r="JQ252" s="564"/>
      <c r="JR252" s="564"/>
      <c r="JS252" s="564"/>
      <c r="JT252" s="564"/>
      <c r="JU252" s="564"/>
      <c r="JV252" s="564"/>
    </row>
    <row r="253" spans="1:282" ht="50.1" customHeight="1" x14ac:dyDescent="0.2">
      <c r="A253" s="298"/>
      <c r="B253" s="29" t="s">
        <v>1137</v>
      </c>
      <c r="C253" s="29"/>
      <c r="D253" s="29"/>
      <c r="E253" s="30" t="s">
        <v>1401</v>
      </c>
      <c r="F253" s="196" t="s">
        <v>1402</v>
      </c>
      <c r="G253" s="30" t="s">
        <v>1402</v>
      </c>
      <c r="H253" s="30" t="s">
        <v>1684</v>
      </c>
      <c r="I253" s="30"/>
      <c r="J253" s="30" t="s">
        <v>1403</v>
      </c>
      <c r="K253" s="30" t="s">
        <v>1394</v>
      </c>
      <c r="L253" s="29" t="s">
        <v>12</v>
      </c>
      <c r="M253" s="29" t="s">
        <v>1528</v>
      </c>
      <c r="N253" s="73">
        <v>41827</v>
      </c>
      <c r="O253" s="69" t="s">
        <v>1405</v>
      </c>
      <c r="P253" s="69"/>
      <c r="Q253" s="69"/>
      <c r="R253" s="69"/>
      <c r="S253" s="69"/>
      <c r="T253" s="560"/>
      <c r="U253" s="560"/>
      <c r="V253" s="560"/>
      <c r="W253" s="560"/>
      <c r="X253" s="560"/>
      <c r="Y253" s="560"/>
      <c r="Z253" s="560"/>
      <c r="AA253" s="560"/>
      <c r="AB253" s="560"/>
      <c r="AC253" s="560"/>
      <c r="AD253" s="560"/>
      <c r="AE253" s="560"/>
      <c r="AF253" s="560"/>
      <c r="AG253" s="560"/>
      <c r="AH253" s="560"/>
      <c r="AI253" s="560"/>
      <c r="AJ253" s="73">
        <v>42352</v>
      </c>
      <c r="AK253" s="648"/>
      <c r="AL253" s="174"/>
      <c r="AM253" s="564"/>
      <c r="AN253" s="564"/>
      <c r="AO253" s="564"/>
      <c r="AP253" s="564"/>
      <c r="AQ253" s="564"/>
      <c r="AR253" s="564"/>
      <c r="AS253" s="564"/>
      <c r="AT253" s="564"/>
      <c r="AU253" s="564"/>
      <c r="AV253" s="564"/>
      <c r="AW253" s="564"/>
      <c r="AX253" s="564"/>
      <c r="AY253" s="564"/>
      <c r="AZ253" s="564"/>
      <c r="BA253" s="564"/>
      <c r="BB253" s="564"/>
      <c r="BC253" s="564"/>
      <c r="BD253" s="564"/>
      <c r="BE253" s="564"/>
      <c r="BF253" s="564"/>
      <c r="BG253" s="564"/>
      <c r="BH253" s="564"/>
      <c r="BI253" s="564"/>
      <c r="BJ253" s="564"/>
      <c r="BK253" s="564"/>
      <c r="BL253" s="564"/>
      <c r="BM253" s="564"/>
      <c r="BN253" s="564"/>
      <c r="BO253" s="564"/>
      <c r="BP253" s="564"/>
      <c r="BQ253" s="564"/>
      <c r="BR253" s="564"/>
      <c r="BS253" s="564"/>
      <c r="BT253" s="564"/>
      <c r="BU253" s="564"/>
      <c r="BV253" s="564"/>
      <c r="BW253" s="564"/>
      <c r="BX253" s="564"/>
      <c r="BY253" s="564"/>
      <c r="BZ253" s="564"/>
      <c r="CA253" s="564"/>
      <c r="CB253" s="564"/>
      <c r="CC253" s="564"/>
      <c r="CD253" s="564"/>
      <c r="CE253" s="564"/>
      <c r="CF253" s="564"/>
      <c r="CG253" s="564"/>
      <c r="CH253" s="564"/>
      <c r="CI253" s="564"/>
      <c r="CJ253" s="564"/>
      <c r="CK253" s="564"/>
      <c r="CL253" s="564"/>
      <c r="CM253" s="564"/>
      <c r="CN253" s="564"/>
      <c r="CO253" s="564"/>
      <c r="CP253" s="564"/>
      <c r="CQ253" s="564"/>
      <c r="CR253" s="564"/>
      <c r="CS253" s="564"/>
      <c r="CT253" s="564"/>
      <c r="CU253" s="564"/>
      <c r="CV253" s="564"/>
      <c r="CW253" s="564"/>
      <c r="CX253" s="564"/>
      <c r="CY253" s="564"/>
      <c r="CZ253" s="564"/>
      <c r="DA253" s="564"/>
      <c r="DB253" s="564"/>
      <c r="DC253" s="564"/>
      <c r="DD253" s="564"/>
      <c r="DE253" s="564"/>
      <c r="DF253" s="564"/>
      <c r="DG253" s="564"/>
      <c r="DH253" s="564"/>
      <c r="DI253" s="564"/>
      <c r="DJ253" s="564"/>
      <c r="DK253" s="564"/>
      <c r="DL253" s="564"/>
      <c r="DM253" s="564"/>
      <c r="DN253" s="564"/>
      <c r="DO253" s="564"/>
      <c r="DP253" s="564"/>
      <c r="DQ253" s="564"/>
      <c r="DR253" s="564"/>
      <c r="DS253" s="564"/>
      <c r="DT253" s="564"/>
      <c r="DU253" s="564"/>
      <c r="DV253" s="564"/>
      <c r="DW253" s="564"/>
      <c r="DX253" s="564"/>
      <c r="DY253" s="564"/>
      <c r="DZ253" s="564"/>
      <c r="EA253" s="564"/>
      <c r="EB253" s="564"/>
      <c r="EC253" s="564"/>
      <c r="ED253" s="564"/>
      <c r="EE253" s="564"/>
      <c r="EF253" s="564"/>
      <c r="EG253" s="564"/>
      <c r="EH253" s="564"/>
      <c r="EI253" s="564"/>
      <c r="EJ253" s="564"/>
      <c r="EK253" s="564"/>
      <c r="EL253" s="564"/>
      <c r="EM253" s="564"/>
      <c r="EN253" s="564"/>
      <c r="EO253" s="564"/>
      <c r="EP253" s="564"/>
      <c r="EQ253" s="564"/>
      <c r="ER253" s="564"/>
      <c r="ES253" s="564"/>
      <c r="ET253" s="564"/>
      <c r="EU253" s="564"/>
      <c r="EV253" s="564"/>
      <c r="EW253" s="564"/>
      <c r="EX253" s="564"/>
      <c r="EY253" s="564"/>
      <c r="EZ253" s="564"/>
      <c r="FA253" s="564"/>
      <c r="FB253" s="564"/>
      <c r="FC253" s="564"/>
      <c r="FD253" s="564"/>
      <c r="FE253" s="564"/>
      <c r="FF253" s="564"/>
      <c r="FG253" s="564"/>
      <c r="FH253" s="564"/>
      <c r="FI253" s="564"/>
      <c r="FJ253" s="564"/>
      <c r="FK253" s="564"/>
      <c r="FL253" s="564"/>
      <c r="FM253" s="564"/>
      <c r="FN253" s="564"/>
      <c r="FO253" s="564"/>
      <c r="FP253" s="564"/>
      <c r="FQ253" s="564"/>
      <c r="FR253" s="564"/>
      <c r="FS253" s="564"/>
      <c r="FT253" s="564"/>
      <c r="FU253" s="564"/>
      <c r="FV253" s="564"/>
      <c r="FW253" s="564"/>
      <c r="FX253" s="564"/>
      <c r="FY253" s="564"/>
      <c r="FZ253" s="564"/>
      <c r="GA253" s="564"/>
      <c r="GB253" s="564"/>
      <c r="GC253" s="564"/>
      <c r="GD253" s="564"/>
      <c r="GE253" s="564"/>
      <c r="GF253" s="564"/>
      <c r="GG253" s="564"/>
      <c r="GH253" s="564"/>
      <c r="GI253" s="564"/>
      <c r="GJ253" s="564"/>
      <c r="GK253" s="564"/>
      <c r="GL253" s="564"/>
      <c r="GM253" s="564"/>
      <c r="GN253" s="564"/>
      <c r="GO253" s="564"/>
      <c r="GP253" s="564"/>
      <c r="GQ253" s="564"/>
      <c r="GR253" s="564"/>
      <c r="GS253" s="564"/>
      <c r="GT253" s="564"/>
      <c r="GU253" s="564"/>
      <c r="GV253" s="564"/>
      <c r="GW253" s="564"/>
      <c r="GX253" s="564"/>
      <c r="GY253" s="564"/>
      <c r="GZ253" s="564"/>
      <c r="HA253" s="564"/>
      <c r="HB253" s="564"/>
      <c r="HC253" s="564"/>
      <c r="HD253" s="564"/>
      <c r="HE253" s="564"/>
      <c r="HF253" s="564"/>
      <c r="HG253" s="564"/>
      <c r="HH253" s="564"/>
      <c r="HI253" s="564"/>
      <c r="HJ253" s="564"/>
      <c r="HK253" s="564"/>
      <c r="HL253" s="564"/>
      <c r="HM253" s="564"/>
      <c r="HN253" s="564"/>
      <c r="HO253" s="564"/>
      <c r="HP253" s="564"/>
      <c r="HQ253" s="564"/>
      <c r="HR253" s="564"/>
      <c r="HS253" s="564"/>
      <c r="HT253" s="564"/>
      <c r="HU253" s="564"/>
      <c r="HV253" s="564"/>
      <c r="HW253" s="564"/>
      <c r="HX253" s="564"/>
      <c r="HY253" s="564"/>
      <c r="HZ253" s="564"/>
      <c r="IA253" s="564"/>
      <c r="IB253" s="564"/>
      <c r="IC253" s="564"/>
      <c r="ID253" s="564"/>
      <c r="IE253" s="564"/>
      <c r="IF253" s="564"/>
      <c r="IG253" s="564"/>
      <c r="IH253" s="564"/>
      <c r="II253" s="564"/>
      <c r="IJ253" s="564"/>
      <c r="IK253" s="564"/>
      <c r="IL253" s="564"/>
      <c r="IM253" s="564"/>
      <c r="IN253" s="564"/>
      <c r="IO253" s="564"/>
      <c r="IP253" s="564"/>
      <c r="IQ253" s="564"/>
      <c r="IR253" s="564"/>
      <c r="IS253" s="564"/>
      <c r="IT253" s="564"/>
      <c r="IU253" s="564"/>
      <c r="IV253" s="564"/>
      <c r="IW253" s="564"/>
      <c r="IX253" s="564"/>
      <c r="IY253" s="564"/>
      <c r="IZ253" s="564"/>
      <c r="JA253" s="564"/>
      <c r="JB253" s="564"/>
      <c r="JC253" s="564"/>
      <c r="JD253" s="564"/>
      <c r="JE253" s="564"/>
      <c r="JF253" s="564"/>
      <c r="JG253" s="564"/>
      <c r="JH253" s="564"/>
      <c r="JI253" s="564"/>
      <c r="JJ253" s="564"/>
      <c r="JK253" s="564"/>
      <c r="JL253" s="564"/>
      <c r="JM253" s="564"/>
      <c r="JN253" s="564"/>
      <c r="JO253" s="564"/>
      <c r="JP253" s="564"/>
      <c r="JQ253" s="564"/>
      <c r="JR253" s="564"/>
      <c r="JS253" s="564"/>
      <c r="JT253" s="564"/>
      <c r="JU253" s="564"/>
      <c r="JV253" s="564"/>
    </row>
    <row r="254" spans="1:282" ht="50.1" customHeight="1" x14ac:dyDescent="0.2">
      <c r="A254" s="298"/>
      <c r="B254" s="165" t="s">
        <v>584</v>
      </c>
      <c r="C254" s="165"/>
      <c r="D254" s="165"/>
      <c r="E254" s="758" t="s">
        <v>1613</v>
      </c>
      <c r="F254" s="751" t="s">
        <v>2232</v>
      </c>
      <c r="G254" s="759" t="s">
        <v>1612</v>
      </c>
      <c r="H254" s="729" t="s">
        <v>588</v>
      </c>
      <c r="I254" s="729"/>
      <c r="J254" s="729" t="s">
        <v>2127</v>
      </c>
      <c r="K254" s="729" t="s">
        <v>1614</v>
      </c>
      <c r="L254" s="729" t="s">
        <v>2126</v>
      </c>
      <c r="M254" s="165" t="s">
        <v>1615</v>
      </c>
      <c r="N254" s="723">
        <v>41831</v>
      </c>
      <c r="O254" s="703" t="s">
        <v>1620</v>
      </c>
      <c r="P254" s="703"/>
      <c r="Q254" s="703"/>
      <c r="R254" s="703"/>
      <c r="S254" s="703"/>
      <c r="T254" s="171" t="s">
        <v>3139</v>
      </c>
      <c r="U254" s="171"/>
      <c r="V254" s="171"/>
      <c r="W254" s="171"/>
      <c r="X254" s="171"/>
      <c r="Y254" s="171"/>
      <c r="Z254" s="171"/>
      <c r="AA254" s="171"/>
      <c r="AB254" s="171"/>
      <c r="AC254" s="171"/>
      <c r="AD254" s="171"/>
      <c r="AE254" s="171"/>
      <c r="AF254" s="171"/>
      <c r="AG254" s="171"/>
      <c r="AH254" s="171"/>
      <c r="AI254" s="171"/>
      <c r="AJ254" s="739">
        <v>42352</v>
      </c>
      <c r="AK254" s="741"/>
      <c r="AL254" s="171"/>
      <c r="AM254" s="564"/>
      <c r="AN254" s="564"/>
      <c r="AO254" s="564"/>
      <c r="AP254" s="564"/>
      <c r="AQ254" s="564"/>
      <c r="AR254" s="564"/>
      <c r="AS254" s="564"/>
      <c r="AT254" s="564"/>
      <c r="AU254" s="564"/>
      <c r="AV254" s="564"/>
      <c r="AW254" s="564"/>
      <c r="AX254" s="564"/>
      <c r="AY254" s="564"/>
      <c r="AZ254" s="564"/>
      <c r="BA254" s="564"/>
      <c r="BB254" s="564"/>
      <c r="BC254" s="564"/>
      <c r="BD254" s="564"/>
      <c r="BE254" s="564"/>
      <c r="BF254" s="564"/>
      <c r="BG254" s="564"/>
      <c r="BH254" s="564"/>
      <c r="BI254" s="564"/>
      <c r="BJ254" s="564"/>
      <c r="BK254" s="564"/>
      <c r="BL254" s="564"/>
      <c r="BM254" s="564"/>
      <c r="BN254" s="564"/>
      <c r="BO254" s="564"/>
      <c r="BP254" s="564"/>
      <c r="BQ254" s="564"/>
      <c r="BR254" s="564"/>
      <c r="BS254" s="564"/>
      <c r="BT254" s="564"/>
      <c r="BU254" s="564"/>
      <c r="BV254" s="564"/>
      <c r="BW254" s="564"/>
      <c r="BX254" s="564"/>
      <c r="BY254" s="564"/>
      <c r="BZ254" s="564"/>
      <c r="CA254" s="564"/>
      <c r="CB254" s="564"/>
      <c r="CC254" s="564"/>
      <c r="CD254" s="564"/>
      <c r="CE254" s="564"/>
      <c r="CF254" s="564"/>
      <c r="CG254" s="564"/>
      <c r="CH254" s="564"/>
      <c r="CI254" s="564"/>
      <c r="CJ254" s="564"/>
      <c r="CK254" s="564"/>
      <c r="CL254" s="564"/>
      <c r="CM254" s="564"/>
      <c r="CN254" s="564"/>
      <c r="CO254" s="564"/>
      <c r="CP254" s="564"/>
      <c r="CQ254" s="564"/>
      <c r="CR254" s="564"/>
      <c r="CS254" s="564"/>
      <c r="CT254" s="564"/>
      <c r="CU254" s="564"/>
      <c r="CV254" s="564"/>
      <c r="CW254" s="564"/>
      <c r="CX254" s="564"/>
      <c r="CY254" s="564"/>
      <c r="CZ254" s="564"/>
      <c r="DA254" s="564"/>
      <c r="DB254" s="564"/>
      <c r="DC254" s="564"/>
      <c r="DD254" s="564"/>
      <c r="DE254" s="564"/>
      <c r="DF254" s="564"/>
      <c r="DG254" s="564"/>
      <c r="DH254" s="564"/>
      <c r="DI254" s="564"/>
      <c r="DJ254" s="564"/>
      <c r="DK254" s="564"/>
      <c r="DL254" s="564"/>
      <c r="DM254" s="564"/>
      <c r="DN254" s="564"/>
      <c r="DO254" s="564"/>
      <c r="DP254" s="564"/>
      <c r="DQ254" s="564"/>
      <c r="DR254" s="564"/>
      <c r="DS254" s="564"/>
      <c r="DT254" s="564"/>
      <c r="DU254" s="564"/>
      <c r="DV254" s="564"/>
      <c r="DW254" s="564"/>
      <c r="DX254" s="564"/>
      <c r="DY254" s="564"/>
      <c r="DZ254" s="564"/>
      <c r="EA254" s="564"/>
      <c r="EB254" s="564"/>
      <c r="EC254" s="564"/>
      <c r="ED254" s="564"/>
      <c r="EE254" s="564"/>
      <c r="EF254" s="564"/>
      <c r="EG254" s="564"/>
      <c r="EH254" s="564"/>
      <c r="EI254" s="564"/>
      <c r="EJ254" s="564"/>
      <c r="EK254" s="564"/>
      <c r="EL254" s="564"/>
      <c r="EM254" s="564"/>
      <c r="EN254" s="564"/>
      <c r="EO254" s="564"/>
      <c r="EP254" s="564"/>
      <c r="EQ254" s="564"/>
      <c r="ER254" s="564"/>
      <c r="ES254" s="564"/>
      <c r="ET254" s="564"/>
      <c r="EU254" s="564"/>
      <c r="EV254" s="564"/>
      <c r="EW254" s="564"/>
      <c r="EX254" s="564"/>
      <c r="EY254" s="564"/>
      <c r="EZ254" s="564"/>
      <c r="FA254" s="564"/>
      <c r="FB254" s="564"/>
      <c r="FC254" s="564"/>
      <c r="FD254" s="564"/>
      <c r="FE254" s="564"/>
      <c r="FF254" s="564"/>
      <c r="FG254" s="564"/>
      <c r="FH254" s="564"/>
      <c r="FI254" s="564"/>
      <c r="FJ254" s="564"/>
      <c r="FK254" s="564"/>
      <c r="FL254" s="564"/>
      <c r="FM254" s="564"/>
      <c r="FN254" s="564"/>
      <c r="FO254" s="564"/>
      <c r="FP254" s="564"/>
      <c r="FQ254" s="564"/>
      <c r="FR254" s="564"/>
      <c r="FS254" s="564"/>
      <c r="FT254" s="564"/>
      <c r="FU254" s="564"/>
      <c r="FV254" s="564"/>
      <c r="FW254" s="564"/>
      <c r="FX254" s="564"/>
      <c r="FY254" s="564"/>
      <c r="FZ254" s="564"/>
      <c r="GA254" s="564"/>
      <c r="GB254" s="564"/>
      <c r="GC254" s="564"/>
      <c r="GD254" s="564"/>
      <c r="GE254" s="564"/>
      <c r="GF254" s="564"/>
      <c r="GG254" s="564"/>
      <c r="GH254" s="564"/>
      <c r="GI254" s="564"/>
      <c r="GJ254" s="564"/>
      <c r="GK254" s="564"/>
      <c r="GL254" s="564"/>
      <c r="GM254" s="564"/>
      <c r="GN254" s="564"/>
      <c r="GO254" s="564"/>
      <c r="GP254" s="564"/>
      <c r="GQ254" s="564"/>
      <c r="GR254" s="564"/>
      <c r="GS254" s="564"/>
      <c r="GT254" s="564"/>
      <c r="GU254" s="564"/>
      <c r="GV254" s="564"/>
      <c r="GW254" s="564"/>
      <c r="GX254" s="564"/>
      <c r="GY254" s="564"/>
      <c r="GZ254" s="564"/>
      <c r="HA254" s="564"/>
      <c r="HB254" s="564"/>
      <c r="HC254" s="564"/>
      <c r="HD254" s="564"/>
      <c r="HE254" s="564"/>
      <c r="HF254" s="564"/>
      <c r="HG254" s="564"/>
      <c r="HH254" s="564"/>
      <c r="HI254" s="564"/>
      <c r="HJ254" s="564"/>
      <c r="HK254" s="564"/>
      <c r="HL254" s="564"/>
      <c r="HM254" s="564"/>
      <c r="HN254" s="564"/>
      <c r="HO254" s="564"/>
      <c r="HP254" s="564"/>
      <c r="HQ254" s="564"/>
      <c r="HR254" s="564"/>
      <c r="HS254" s="564"/>
      <c r="HT254" s="564"/>
      <c r="HU254" s="564"/>
      <c r="HV254" s="564"/>
      <c r="HW254" s="564"/>
      <c r="HX254" s="564"/>
      <c r="HY254" s="564"/>
      <c r="HZ254" s="564"/>
      <c r="IA254" s="564"/>
      <c r="IB254" s="564"/>
      <c r="IC254" s="564"/>
      <c r="ID254" s="564"/>
      <c r="IE254" s="564"/>
      <c r="IF254" s="564"/>
      <c r="IG254" s="564"/>
      <c r="IH254" s="564"/>
      <c r="II254" s="564"/>
      <c r="IJ254" s="564"/>
      <c r="IK254" s="564"/>
      <c r="IL254" s="564"/>
      <c r="IM254" s="564"/>
      <c r="IN254" s="564"/>
      <c r="IO254" s="564"/>
      <c r="IP254" s="564"/>
      <c r="IQ254" s="564"/>
      <c r="IR254" s="564"/>
      <c r="IS254" s="564"/>
      <c r="IT254" s="564"/>
      <c r="IU254" s="564"/>
      <c r="IV254" s="564"/>
      <c r="IW254" s="564"/>
      <c r="IX254" s="564"/>
      <c r="IY254" s="564"/>
      <c r="IZ254" s="564"/>
      <c r="JA254" s="564"/>
      <c r="JB254" s="564"/>
      <c r="JC254" s="564"/>
      <c r="JD254" s="564"/>
      <c r="JE254" s="564"/>
      <c r="JF254" s="564"/>
      <c r="JG254" s="564"/>
      <c r="JH254" s="564"/>
      <c r="JI254" s="564"/>
      <c r="JJ254" s="564"/>
      <c r="JK254" s="564"/>
      <c r="JL254" s="564"/>
      <c r="JM254" s="564"/>
      <c r="JN254" s="564"/>
      <c r="JO254" s="564"/>
      <c r="JP254" s="564"/>
      <c r="JQ254" s="564"/>
      <c r="JR254" s="564"/>
      <c r="JS254" s="564"/>
      <c r="JT254" s="564"/>
      <c r="JU254" s="564"/>
      <c r="JV254" s="564"/>
    </row>
    <row r="255" spans="1:282" ht="50.1" customHeight="1" x14ac:dyDescent="0.2">
      <c r="A255" s="298"/>
      <c r="B255" s="704" t="s">
        <v>584</v>
      </c>
      <c r="C255" s="704"/>
      <c r="D255" s="704"/>
      <c r="E255" s="738" t="s">
        <v>469</v>
      </c>
      <c r="F255" s="760" t="s">
        <v>2952</v>
      </c>
      <c r="G255" s="738" t="s">
        <v>470</v>
      </c>
      <c r="H255" s="188" t="s">
        <v>1565</v>
      </c>
      <c r="I255" s="188"/>
      <c r="J255" s="738" t="s">
        <v>360</v>
      </c>
      <c r="K255" s="738" t="s">
        <v>1393</v>
      </c>
      <c r="L255" s="738" t="s">
        <v>12</v>
      </c>
      <c r="M255" s="165" t="s">
        <v>1615</v>
      </c>
      <c r="N255" s="739">
        <v>41176</v>
      </c>
      <c r="O255" s="703" t="s">
        <v>564</v>
      </c>
      <c r="P255" s="703"/>
      <c r="Q255" s="703"/>
      <c r="R255" s="703"/>
      <c r="S255" s="703"/>
      <c r="T255" s="171" t="s">
        <v>2983</v>
      </c>
      <c r="U255" s="171"/>
      <c r="V255" s="171"/>
      <c r="W255" s="171"/>
      <c r="X255" s="171"/>
      <c r="Y255" s="171"/>
      <c r="Z255" s="171"/>
      <c r="AA255" s="171"/>
      <c r="AB255" s="171"/>
      <c r="AC255" s="171"/>
      <c r="AD255" s="171"/>
      <c r="AE255" s="171"/>
      <c r="AF255" s="171"/>
      <c r="AG255" s="171"/>
      <c r="AH255" s="171"/>
      <c r="AI255" s="171"/>
      <c r="AJ255" s="739">
        <v>42352</v>
      </c>
      <c r="AK255" s="648"/>
      <c r="AL255" s="174"/>
      <c r="AM255" s="564"/>
      <c r="AN255" s="564"/>
      <c r="AO255" s="564"/>
      <c r="AP255" s="564"/>
      <c r="AQ255" s="564"/>
      <c r="AR255" s="564"/>
      <c r="AS255" s="564"/>
      <c r="AT255" s="564"/>
      <c r="AU255" s="564"/>
      <c r="AV255" s="564"/>
      <c r="AW255" s="564"/>
      <c r="AX255" s="564"/>
      <c r="AY255" s="564"/>
      <c r="AZ255" s="564"/>
      <c r="BA255" s="564"/>
      <c r="BB255" s="564"/>
      <c r="BC255" s="564"/>
      <c r="BD255" s="564"/>
      <c r="BE255" s="564"/>
      <c r="BF255" s="564"/>
      <c r="BG255" s="564"/>
      <c r="BH255" s="564"/>
      <c r="BI255" s="564"/>
      <c r="BJ255" s="564"/>
      <c r="BK255" s="564"/>
      <c r="BL255" s="564"/>
      <c r="BM255" s="564"/>
      <c r="BN255" s="564"/>
      <c r="BO255" s="564"/>
      <c r="BP255" s="564"/>
      <c r="BQ255" s="564"/>
      <c r="BR255" s="564"/>
      <c r="BS255" s="564"/>
      <c r="BT255" s="564"/>
      <c r="BU255" s="564"/>
      <c r="BV255" s="564"/>
      <c r="BW255" s="564"/>
      <c r="BX255" s="564"/>
      <c r="BY255" s="564"/>
      <c r="BZ255" s="564"/>
      <c r="CA255" s="564"/>
      <c r="CB255" s="564"/>
      <c r="CC255" s="564"/>
      <c r="CD255" s="564"/>
      <c r="CE255" s="564"/>
      <c r="CF255" s="564"/>
      <c r="CG255" s="564"/>
      <c r="CH255" s="564"/>
      <c r="CI255" s="564"/>
      <c r="CJ255" s="564"/>
      <c r="CK255" s="564"/>
      <c r="CL255" s="564"/>
      <c r="CM255" s="564"/>
      <c r="CN255" s="564"/>
      <c r="CO255" s="564"/>
      <c r="CP255" s="564"/>
      <c r="CQ255" s="564"/>
      <c r="CR255" s="564"/>
      <c r="CS255" s="564"/>
      <c r="CT255" s="564"/>
      <c r="CU255" s="564"/>
      <c r="CV255" s="564"/>
      <c r="CW255" s="564"/>
      <c r="CX255" s="564"/>
      <c r="CY255" s="564"/>
      <c r="CZ255" s="564"/>
      <c r="DA255" s="564"/>
      <c r="DB255" s="564"/>
      <c r="DC255" s="564"/>
      <c r="DD255" s="564"/>
      <c r="DE255" s="564"/>
      <c r="DF255" s="564"/>
      <c r="DG255" s="564"/>
      <c r="DH255" s="564"/>
      <c r="DI255" s="564"/>
      <c r="DJ255" s="564"/>
      <c r="DK255" s="564"/>
      <c r="DL255" s="564"/>
      <c r="DM255" s="564"/>
      <c r="DN255" s="564"/>
      <c r="DO255" s="564"/>
      <c r="DP255" s="564"/>
      <c r="DQ255" s="564"/>
      <c r="DR255" s="564"/>
      <c r="DS255" s="564"/>
      <c r="DT255" s="564"/>
      <c r="DU255" s="564"/>
      <c r="DV255" s="564"/>
      <c r="DW255" s="564"/>
      <c r="DX255" s="564"/>
      <c r="DY255" s="564"/>
      <c r="DZ255" s="564"/>
      <c r="EA255" s="564"/>
      <c r="EB255" s="564"/>
      <c r="EC255" s="564"/>
      <c r="ED255" s="564"/>
      <c r="EE255" s="564"/>
      <c r="EF255" s="564"/>
      <c r="EG255" s="564"/>
      <c r="EH255" s="564"/>
      <c r="EI255" s="564"/>
      <c r="EJ255" s="564"/>
      <c r="EK255" s="564"/>
      <c r="EL255" s="564"/>
      <c r="EM255" s="564"/>
      <c r="EN255" s="564"/>
      <c r="EO255" s="564"/>
      <c r="EP255" s="564"/>
      <c r="EQ255" s="564"/>
      <c r="ER255" s="564"/>
      <c r="ES255" s="564"/>
      <c r="ET255" s="564"/>
      <c r="EU255" s="564"/>
      <c r="EV255" s="564"/>
      <c r="EW255" s="564"/>
      <c r="EX255" s="564"/>
      <c r="EY255" s="564"/>
      <c r="EZ255" s="564"/>
      <c r="FA255" s="564"/>
      <c r="FB255" s="564"/>
      <c r="FC255" s="564"/>
      <c r="FD255" s="564"/>
      <c r="FE255" s="564"/>
      <c r="FF255" s="564"/>
      <c r="FG255" s="564"/>
      <c r="FH255" s="564"/>
      <c r="FI255" s="564"/>
      <c r="FJ255" s="564"/>
      <c r="FK255" s="564"/>
      <c r="FL255" s="564"/>
      <c r="FM255" s="564"/>
      <c r="FN255" s="564"/>
      <c r="FO255" s="564"/>
      <c r="FP255" s="564"/>
      <c r="FQ255" s="564"/>
      <c r="FR255" s="564"/>
      <c r="FS255" s="564"/>
      <c r="FT255" s="564"/>
      <c r="FU255" s="564"/>
      <c r="FV255" s="564"/>
      <c r="FW255" s="564"/>
      <c r="FX255" s="564"/>
      <c r="FY255" s="564"/>
      <c r="FZ255" s="564"/>
      <c r="GA255" s="564"/>
      <c r="GB255" s="564"/>
      <c r="GC255" s="564"/>
      <c r="GD255" s="564"/>
      <c r="GE255" s="564"/>
      <c r="GF255" s="564"/>
      <c r="GG255" s="564"/>
      <c r="GH255" s="564"/>
      <c r="GI255" s="564"/>
      <c r="GJ255" s="564"/>
      <c r="GK255" s="564"/>
      <c r="GL255" s="564"/>
      <c r="GM255" s="564"/>
      <c r="GN255" s="564"/>
      <c r="GO255" s="564"/>
      <c r="GP255" s="564"/>
      <c r="GQ255" s="564"/>
      <c r="GR255" s="564"/>
      <c r="GS255" s="564"/>
      <c r="GT255" s="564"/>
      <c r="GU255" s="564"/>
      <c r="GV255" s="564"/>
      <c r="GW255" s="564"/>
      <c r="GX255" s="564"/>
      <c r="GY255" s="564"/>
      <c r="GZ255" s="564"/>
      <c r="HA255" s="564"/>
      <c r="HB255" s="564"/>
      <c r="HC255" s="564"/>
      <c r="HD255" s="564"/>
      <c r="HE255" s="564"/>
      <c r="HF255" s="564"/>
      <c r="HG255" s="564"/>
      <c r="HH255" s="564"/>
      <c r="HI255" s="564"/>
      <c r="HJ255" s="564"/>
      <c r="HK255" s="564"/>
      <c r="HL255" s="564"/>
      <c r="HM255" s="564"/>
      <c r="HN255" s="564"/>
      <c r="HO255" s="564"/>
      <c r="HP255" s="564"/>
      <c r="HQ255" s="564"/>
      <c r="HR255" s="564"/>
      <c r="HS255" s="564"/>
      <c r="HT255" s="564"/>
      <c r="HU255" s="564"/>
      <c r="HV255" s="564"/>
      <c r="HW255" s="564"/>
      <c r="HX255" s="564"/>
      <c r="HY255" s="564"/>
      <c r="HZ255" s="564"/>
      <c r="IA255" s="564"/>
      <c r="IB255" s="564"/>
      <c r="IC255" s="564"/>
      <c r="ID255" s="564"/>
      <c r="IE255" s="564"/>
      <c r="IF255" s="564"/>
      <c r="IG255" s="564"/>
      <c r="IH255" s="564"/>
      <c r="II255" s="564"/>
      <c r="IJ255" s="564"/>
      <c r="IK255" s="564"/>
      <c r="IL255" s="564"/>
      <c r="IM255" s="564"/>
      <c r="IN255" s="564"/>
      <c r="IO255" s="564"/>
      <c r="IP255" s="564"/>
      <c r="IQ255" s="564"/>
      <c r="IR255" s="564"/>
      <c r="IS255" s="564"/>
      <c r="IT255" s="564"/>
      <c r="IU255" s="564"/>
      <c r="IV255" s="564"/>
      <c r="IW255" s="564"/>
      <c r="IX255" s="564"/>
      <c r="IY255" s="564"/>
      <c r="IZ255" s="564"/>
      <c r="JA255" s="564"/>
      <c r="JB255" s="564"/>
      <c r="JC255" s="564"/>
      <c r="JD255" s="564"/>
      <c r="JE255" s="564"/>
      <c r="JF255" s="564"/>
      <c r="JG255" s="564"/>
      <c r="JH255" s="564"/>
      <c r="JI255" s="564"/>
      <c r="JJ255" s="564"/>
      <c r="JK255" s="564"/>
      <c r="JL255" s="564"/>
      <c r="JM255" s="564"/>
      <c r="JN255" s="564"/>
      <c r="JO255" s="564"/>
      <c r="JP255" s="564"/>
      <c r="JQ255" s="564"/>
      <c r="JR255" s="564"/>
      <c r="JS255" s="564"/>
      <c r="JT255" s="564"/>
      <c r="JU255" s="564"/>
      <c r="JV255" s="564"/>
    </row>
    <row r="256" spans="1:282" ht="50.1" customHeight="1" x14ac:dyDescent="0.2">
      <c r="A256" s="298"/>
      <c r="B256" s="41" t="s">
        <v>1137</v>
      </c>
      <c r="C256" s="41"/>
      <c r="D256" s="41"/>
      <c r="E256" s="30" t="s">
        <v>2186</v>
      </c>
      <c r="F256" s="196" t="s">
        <v>2223</v>
      </c>
      <c r="G256" s="41" t="s">
        <v>827</v>
      </c>
      <c r="H256" s="41" t="s">
        <v>1806</v>
      </c>
      <c r="I256" s="41"/>
      <c r="J256" s="30" t="s">
        <v>1169</v>
      </c>
      <c r="K256" s="41" t="s">
        <v>1394</v>
      </c>
      <c r="L256" s="41" t="s">
        <v>685</v>
      </c>
      <c r="M256" s="30" t="s">
        <v>2094</v>
      </c>
      <c r="N256" s="70">
        <v>42306</v>
      </c>
      <c r="O256" s="32" t="s">
        <v>2187</v>
      </c>
      <c r="P256" s="32"/>
      <c r="Q256" s="32"/>
      <c r="R256" s="32"/>
      <c r="S256" s="32"/>
      <c r="T256" s="560"/>
      <c r="U256" s="560"/>
      <c r="V256" s="560"/>
      <c r="W256" s="560"/>
      <c r="X256" s="560"/>
      <c r="Y256" s="560"/>
      <c r="Z256" s="560"/>
      <c r="AA256" s="560"/>
      <c r="AB256" s="560"/>
      <c r="AC256" s="560"/>
      <c r="AD256" s="560"/>
      <c r="AE256" s="560"/>
      <c r="AF256" s="560"/>
      <c r="AG256" s="560"/>
      <c r="AH256" s="560"/>
      <c r="AI256" s="560"/>
      <c r="AJ256" s="73">
        <v>42387</v>
      </c>
      <c r="AK256" s="648"/>
      <c r="AL256" s="174"/>
      <c r="AM256" s="564"/>
      <c r="AN256" s="564"/>
      <c r="AO256" s="564"/>
      <c r="AP256" s="564"/>
      <c r="AQ256" s="564"/>
      <c r="AR256" s="564"/>
      <c r="AS256" s="564"/>
      <c r="AT256" s="564"/>
      <c r="AU256" s="564"/>
      <c r="AV256" s="564"/>
      <c r="AW256" s="564"/>
      <c r="AX256" s="564"/>
      <c r="AY256" s="564"/>
      <c r="AZ256" s="564"/>
      <c r="BA256" s="564"/>
      <c r="BB256" s="564"/>
      <c r="BC256" s="564"/>
      <c r="BD256" s="564"/>
      <c r="BE256" s="564"/>
      <c r="BF256" s="564"/>
      <c r="BG256" s="564"/>
      <c r="BH256" s="564"/>
      <c r="BI256" s="564"/>
      <c r="BJ256" s="564"/>
      <c r="BK256" s="564"/>
      <c r="BL256" s="564"/>
      <c r="BM256" s="564"/>
      <c r="BN256" s="564"/>
      <c r="BO256" s="564"/>
      <c r="BP256" s="564"/>
      <c r="BQ256" s="564"/>
      <c r="BR256" s="564"/>
      <c r="BS256" s="564"/>
      <c r="BT256" s="564"/>
      <c r="BU256" s="564"/>
      <c r="BV256" s="564"/>
      <c r="BW256" s="564"/>
      <c r="BX256" s="564"/>
      <c r="BY256" s="564"/>
      <c r="BZ256" s="564"/>
      <c r="CA256" s="564"/>
      <c r="CB256" s="564"/>
      <c r="CC256" s="564"/>
      <c r="CD256" s="564"/>
      <c r="CE256" s="564"/>
      <c r="CF256" s="564"/>
      <c r="CG256" s="564"/>
      <c r="CH256" s="564"/>
      <c r="CI256" s="564"/>
      <c r="CJ256" s="564"/>
      <c r="CK256" s="564"/>
      <c r="CL256" s="564"/>
      <c r="CM256" s="564"/>
      <c r="CN256" s="564"/>
      <c r="CO256" s="564"/>
      <c r="CP256" s="564"/>
      <c r="CQ256" s="564"/>
      <c r="CR256" s="564"/>
      <c r="CS256" s="564"/>
      <c r="CT256" s="564"/>
      <c r="CU256" s="564"/>
      <c r="CV256" s="564"/>
      <c r="CW256" s="564"/>
      <c r="CX256" s="564"/>
      <c r="CY256" s="564"/>
      <c r="CZ256" s="564"/>
      <c r="DA256" s="564"/>
      <c r="DB256" s="564"/>
      <c r="DC256" s="564"/>
      <c r="DD256" s="564"/>
      <c r="DE256" s="564"/>
      <c r="DF256" s="564"/>
      <c r="DG256" s="564"/>
      <c r="DH256" s="564"/>
      <c r="DI256" s="564"/>
      <c r="DJ256" s="564"/>
      <c r="DK256" s="564"/>
      <c r="DL256" s="564"/>
      <c r="DM256" s="564"/>
      <c r="DN256" s="564"/>
      <c r="DO256" s="564"/>
      <c r="DP256" s="564"/>
      <c r="DQ256" s="564"/>
      <c r="DR256" s="564"/>
      <c r="DS256" s="564"/>
      <c r="DT256" s="564"/>
      <c r="DU256" s="564"/>
      <c r="DV256" s="564"/>
      <c r="DW256" s="564"/>
      <c r="DX256" s="564"/>
      <c r="DY256" s="564"/>
      <c r="DZ256" s="564"/>
      <c r="EA256" s="564"/>
      <c r="EB256" s="564"/>
      <c r="EC256" s="564"/>
      <c r="ED256" s="564"/>
      <c r="EE256" s="564"/>
      <c r="EF256" s="564"/>
      <c r="EG256" s="564"/>
      <c r="EH256" s="564"/>
      <c r="EI256" s="564"/>
      <c r="EJ256" s="564"/>
      <c r="EK256" s="564"/>
      <c r="EL256" s="564"/>
      <c r="EM256" s="564"/>
      <c r="EN256" s="564"/>
      <c r="EO256" s="564"/>
      <c r="EP256" s="564"/>
      <c r="EQ256" s="564"/>
      <c r="ER256" s="564"/>
      <c r="ES256" s="564"/>
      <c r="ET256" s="564"/>
      <c r="EU256" s="564"/>
      <c r="EV256" s="564"/>
      <c r="EW256" s="564"/>
      <c r="EX256" s="564"/>
      <c r="EY256" s="564"/>
      <c r="EZ256" s="564"/>
      <c r="FA256" s="564"/>
      <c r="FB256" s="564"/>
      <c r="FC256" s="564"/>
      <c r="FD256" s="564"/>
      <c r="FE256" s="564"/>
      <c r="FF256" s="564"/>
      <c r="FG256" s="564"/>
      <c r="FH256" s="564"/>
      <c r="FI256" s="564"/>
      <c r="FJ256" s="564"/>
      <c r="FK256" s="564"/>
      <c r="FL256" s="564"/>
      <c r="FM256" s="564"/>
      <c r="FN256" s="564"/>
      <c r="FO256" s="564"/>
      <c r="FP256" s="564"/>
      <c r="FQ256" s="564"/>
      <c r="FR256" s="564"/>
      <c r="FS256" s="564"/>
      <c r="FT256" s="564"/>
      <c r="FU256" s="564"/>
      <c r="FV256" s="564"/>
      <c r="FW256" s="564"/>
      <c r="FX256" s="564"/>
      <c r="FY256" s="564"/>
      <c r="FZ256" s="564"/>
      <c r="GA256" s="564"/>
      <c r="GB256" s="564"/>
      <c r="GC256" s="564"/>
      <c r="GD256" s="564"/>
      <c r="GE256" s="564"/>
      <c r="GF256" s="564"/>
      <c r="GG256" s="564"/>
      <c r="GH256" s="564"/>
      <c r="GI256" s="564"/>
      <c r="GJ256" s="564"/>
      <c r="GK256" s="564"/>
      <c r="GL256" s="564"/>
      <c r="GM256" s="564"/>
      <c r="GN256" s="564"/>
      <c r="GO256" s="564"/>
      <c r="GP256" s="564"/>
      <c r="GQ256" s="564"/>
      <c r="GR256" s="564"/>
      <c r="GS256" s="564"/>
      <c r="GT256" s="564"/>
      <c r="GU256" s="564"/>
      <c r="GV256" s="564"/>
      <c r="GW256" s="564"/>
      <c r="GX256" s="564"/>
      <c r="GY256" s="564"/>
      <c r="GZ256" s="564"/>
      <c r="HA256" s="564"/>
      <c r="HB256" s="564"/>
      <c r="HC256" s="564"/>
      <c r="HD256" s="564"/>
      <c r="HE256" s="564"/>
      <c r="HF256" s="564"/>
      <c r="HG256" s="564"/>
      <c r="HH256" s="564"/>
      <c r="HI256" s="564"/>
      <c r="HJ256" s="564"/>
      <c r="HK256" s="564"/>
      <c r="HL256" s="564"/>
      <c r="HM256" s="564"/>
      <c r="HN256" s="564"/>
      <c r="HO256" s="564"/>
      <c r="HP256" s="564"/>
      <c r="HQ256" s="564"/>
      <c r="HR256" s="564"/>
      <c r="HS256" s="564"/>
      <c r="HT256" s="564"/>
      <c r="HU256" s="564"/>
      <c r="HV256" s="564"/>
      <c r="HW256" s="564"/>
      <c r="HX256" s="564"/>
      <c r="HY256" s="564"/>
      <c r="HZ256" s="564"/>
      <c r="IA256" s="564"/>
      <c r="IB256" s="564"/>
      <c r="IC256" s="564"/>
      <c r="ID256" s="564"/>
      <c r="IE256" s="564"/>
      <c r="IF256" s="564"/>
      <c r="IG256" s="564"/>
      <c r="IH256" s="564"/>
      <c r="II256" s="564"/>
      <c r="IJ256" s="564"/>
      <c r="IK256" s="564"/>
      <c r="IL256" s="564"/>
      <c r="IM256" s="564"/>
      <c r="IN256" s="564"/>
      <c r="IO256" s="564"/>
      <c r="IP256" s="564"/>
      <c r="IQ256" s="564"/>
      <c r="IR256" s="564"/>
      <c r="IS256" s="564"/>
      <c r="IT256" s="564"/>
      <c r="IU256" s="564"/>
      <c r="IV256" s="564"/>
      <c r="IW256" s="564"/>
      <c r="IX256" s="564"/>
      <c r="IY256" s="564"/>
      <c r="IZ256" s="564"/>
      <c r="JA256" s="564"/>
      <c r="JB256" s="564"/>
      <c r="JC256" s="564"/>
      <c r="JD256" s="564"/>
      <c r="JE256" s="564"/>
      <c r="JF256" s="564"/>
      <c r="JG256" s="564"/>
      <c r="JH256" s="564"/>
      <c r="JI256" s="564"/>
      <c r="JJ256" s="564"/>
      <c r="JK256" s="564"/>
      <c r="JL256" s="564"/>
      <c r="JM256" s="564"/>
      <c r="JN256" s="564"/>
      <c r="JO256" s="564"/>
      <c r="JP256" s="564"/>
      <c r="JQ256" s="564"/>
      <c r="JR256" s="564"/>
      <c r="JS256" s="564"/>
      <c r="JT256" s="564"/>
      <c r="JU256" s="564"/>
      <c r="JV256" s="564"/>
    </row>
    <row r="257" spans="1:282" ht="50.1" customHeight="1" x14ac:dyDescent="0.2">
      <c r="A257" s="298"/>
      <c r="B257" s="41" t="s">
        <v>1137</v>
      </c>
      <c r="C257" s="41"/>
      <c r="D257" s="41"/>
      <c r="E257" s="30" t="s">
        <v>2106</v>
      </c>
      <c r="F257" s="196" t="s">
        <v>2434</v>
      </c>
      <c r="G257" s="30" t="s">
        <v>1181</v>
      </c>
      <c r="H257" s="41" t="s">
        <v>1806</v>
      </c>
      <c r="I257" s="41"/>
      <c r="J257" s="30" t="s">
        <v>2081</v>
      </c>
      <c r="K257" s="41" t="s">
        <v>1540</v>
      </c>
      <c r="L257" s="30" t="s">
        <v>12</v>
      </c>
      <c r="M257" s="41" t="s">
        <v>1615</v>
      </c>
      <c r="N257" s="70">
        <v>42240</v>
      </c>
      <c r="O257" s="32" t="s">
        <v>2107</v>
      </c>
      <c r="P257" s="32"/>
      <c r="Q257" s="32"/>
      <c r="R257" s="32"/>
      <c r="S257" s="32"/>
      <c r="T257" s="560"/>
      <c r="U257" s="560"/>
      <c r="V257" s="560"/>
      <c r="W257" s="560"/>
      <c r="X257" s="560"/>
      <c r="Y257" s="560"/>
      <c r="Z257" s="560"/>
      <c r="AA257" s="560"/>
      <c r="AB257" s="560"/>
      <c r="AC257" s="560"/>
      <c r="AD257" s="560"/>
      <c r="AE257" s="560"/>
      <c r="AF257" s="560"/>
      <c r="AG257" s="560"/>
      <c r="AH257" s="560"/>
      <c r="AI257" s="560"/>
      <c r="AJ257" s="73">
        <v>42410</v>
      </c>
      <c r="AK257" s="648"/>
      <c r="AL257" s="174"/>
      <c r="AM257" s="564"/>
      <c r="AN257" s="564"/>
      <c r="AO257" s="564"/>
      <c r="AP257" s="564"/>
      <c r="AQ257" s="564"/>
      <c r="AR257" s="564"/>
      <c r="AS257" s="564"/>
      <c r="AT257" s="564"/>
      <c r="AU257" s="564"/>
      <c r="AV257" s="564"/>
      <c r="AW257" s="564"/>
      <c r="AX257" s="564"/>
      <c r="AY257" s="564"/>
      <c r="AZ257" s="564"/>
      <c r="BA257" s="564"/>
      <c r="BB257" s="564"/>
      <c r="BC257" s="564"/>
      <c r="BD257" s="564"/>
      <c r="BE257" s="564"/>
      <c r="BF257" s="564"/>
      <c r="BG257" s="564"/>
      <c r="BH257" s="564"/>
      <c r="BI257" s="564"/>
      <c r="BJ257" s="564"/>
      <c r="BK257" s="564"/>
      <c r="BL257" s="564"/>
      <c r="BM257" s="564"/>
      <c r="BN257" s="564"/>
      <c r="BO257" s="564"/>
      <c r="BP257" s="564"/>
      <c r="BQ257" s="564"/>
      <c r="BR257" s="564"/>
      <c r="BS257" s="564"/>
      <c r="BT257" s="564"/>
      <c r="BU257" s="564"/>
      <c r="BV257" s="564"/>
      <c r="BW257" s="564"/>
      <c r="BX257" s="564"/>
      <c r="BY257" s="564"/>
      <c r="BZ257" s="564"/>
      <c r="CA257" s="564"/>
      <c r="CB257" s="564"/>
      <c r="CC257" s="564"/>
      <c r="CD257" s="564"/>
      <c r="CE257" s="564"/>
      <c r="CF257" s="564"/>
      <c r="CG257" s="564"/>
      <c r="CH257" s="564"/>
      <c r="CI257" s="564"/>
      <c r="CJ257" s="564"/>
      <c r="CK257" s="564"/>
      <c r="CL257" s="564"/>
      <c r="CM257" s="564"/>
      <c r="CN257" s="564"/>
      <c r="CO257" s="564"/>
      <c r="CP257" s="564"/>
      <c r="CQ257" s="564"/>
      <c r="CR257" s="564"/>
      <c r="CS257" s="564"/>
      <c r="CT257" s="564"/>
      <c r="CU257" s="564"/>
      <c r="CV257" s="564"/>
      <c r="CW257" s="564"/>
      <c r="CX257" s="564"/>
      <c r="CY257" s="564"/>
      <c r="CZ257" s="564"/>
      <c r="DA257" s="564"/>
      <c r="DB257" s="564"/>
      <c r="DC257" s="564"/>
      <c r="DD257" s="564"/>
      <c r="DE257" s="564"/>
      <c r="DF257" s="564"/>
      <c r="DG257" s="564"/>
      <c r="DH257" s="564"/>
      <c r="DI257" s="564"/>
      <c r="DJ257" s="564"/>
      <c r="DK257" s="564"/>
      <c r="DL257" s="564"/>
      <c r="DM257" s="564"/>
      <c r="DN257" s="564"/>
      <c r="DO257" s="564"/>
      <c r="DP257" s="564"/>
      <c r="DQ257" s="564"/>
      <c r="DR257" s="564"/>
      <c r="DS257" s="564"/>
      <c r="DT257" s="564"/>
      <c r="DU257" s="564"/>
      <c r="DV257" s="564"/>
      <c r="DW257" s="564"/>
      <c r="DX257" s="564"/>
      <c r="DY257" s="564"/>
      <c r="DZ257" s="564"/>
      <c r="EA257" s="564"/>
      <c r="EB257" s="564"/>
      <c r="EC257" s="564"/>
      <c r="ED257" s="564"/>
      <c r="EE257" s="564"/>
      <c r="EF257" s="564"/>
      <c r="EG257" s="564"/>
      <c r="EH257" s="564"/>
      <c r="EI257" s="564"/>
      <c r="EJ257" s="564"/>
      <c r="EK257" s="564"/>
      <c r="EL257" s="564"/>
      <c r="EM257" s="564"/>
      <c r="EN257" s="564"/>
      <c r="EO257" s="564"/>
      <c r="EP257" s="564"/>
      <c r="EQ257" s="564"/>
      <c r="ER257" s="564"/>
      <c r="ES257" s="564"/>
      <c r="ET257" s="564"/>
      <c r="EU257" s="564"/>
      <c r="EV257" s="564"/>
      <c r="EW257" s="564"/>
      <c r="EX257" s="564"/>
      <c r="EY257" s="564"/>
      <c r="EZ257" s="564"/>
      <c r="FA257" s="564"/>
      <c r="FB257" s="564"/>
      <c r="FC257" s="564"/>
      <c r="FD257" s="564"/>
      <c r="FE257" s="564"/>
      <c r="FF257" s="564"/>
      <c r="FG257" s="564"/>
      <c r="FH257" s="564"/>
      <c r="FI257" s="564"/>
      <c r="FJ257" s="564"/>
      <c r="FK257" s="564"/>
      <c r="FL257" s="564"/>
      <c r="FM257" s="564"/>
      <c r="FN257" s="564"/>
      <c r="FO257" s="564"/>
      <c r="FP257" s="564"/>
      <c r="FQ257" s="564"/>
      <c r="FR257" s="564"/>
      <c r="FS257" s="564"/>
      <c r="FT257" s="564"/>
      <c r="FU257" s="564"/>
      <c r="FV257" s="564"/>
      <c r="FW257" s="564"/>
      <c r="FX257" s="564"/>
      <c r="FY257" s="564"/>
      <c r="FZ257" s="564"/>
      <c r="GA257" s="564"/>
      <c r="GB257" s="564"/>
      <c r="GC257" s="564"/>
      <c r="GD257" s="564"/>
      <c r="GE257" s="564"/>
      <c r="GF257" s="564"/>
      <c r="GG257" s="564"/>
      <c r="GH257" s="564"/>
      <c r="GI257" s="564"/>
      <c r="GJ257" s="564"/>
      <c r="GK257" s="564"/>
      <c r="GL257" s="564"/>
      <c r="GM257" s="564"/>
      <c r="GN257" s="564"/>
      <c r="GO257" s="564"/>
      <c r="GP257" s="564"/>
      <c r="GQ257" s="564"/>
      <c r="GR257" s="564"/>
      <c r="GS257" s="564"/>
      <c r="GT257" s="564"/>
      <c r="GU257" s="564"/>
      <c r="GV257" s="564"/>
      <c r="GW257" s="564"/>
      <c r="GX257" s="564"/>
      <c r="GY257" s="564"/>
      <c r="GZ257" s="564"/>
      <c r="HA257" s="564"/>
      <c r="HB257" s="564"/>
      <c r="HC257" s="564"/>
      <c r="HD257" s="564"/>
      <c r="HE257" s="564"/>
      <c r="HF257" s="564"/>
      <c r="HG257" s="564"/>
      <c r="HH257" s="564"/>
      <c r="HI257" s="564"/>
      <c r="HJ257" s="564"/>
      <c r="HK257" s="564"/>
      <c r="HL257" s="564"/>
      <c r="HM257" s="564"/>
      <c r="HN257" s="564"/>
      <c r="HO257" s="564"/>
      <c r="HP257" s="564"/>
      <c r="HQ257" s="564"/>
      <c r="HR257" s="564"/>
      <c r="HS257" s="564"/>
      <c r="HT257" s="564"/>
      <c r="HU257" s="564"/>
      <c r="HV257" s="564"/>
      <c r="HW257" s="564"/>
      <c r="HX257" s="564"/>
      <c r="HY257" s="564"/>
      <c r="HZ257" s="564"/>
      <c r="IA257" s="564"/>
      <c r="IB257" s="564"/>
      <c r="IC257" s="564"/>
      <c r="ID257" s="564"/>
      <c r="IE257" s="564"/>
      <c r="IF257" s="564"/>
      <c r="IG257" s="564"/>
      <c r="IH257" s="564"/>
      <c r="II257" s="564"/>
      <c r="IJ257" s="564"/>
      <c r="IK257" s="564"/>
      <c r="IL257" s="564"/>
      <c r="IM257" s="564"/>
      <c r="IN257" s="564"/>
      <c r="IO257" s="564"/>
      <c r="IP257" s="564"/>
      <c r="IQ257" s="564"/>
      <c r="IR257" s="564"/>
      <c r="IS257" s="564"/>
      <c r="IT257" s="564"/>
      <c r="IU257" s="564"/>
      <c r="IV257" s="564"/>
      <c r="IW257" s="564"/>
      <c r="IX257" s="564"/>
      <c r="IY257" s="564"/>
      <c r="IZ257" s="564"/>
      <c r="JA257" s="564"/>
      <c r="JB257" s="564"/>
      <c r="JC257" s="564"/>
      <c r="JD257" s="564"/>
      <c r="JE257" s="564"/>
      <c r="JF257" s="564"/>
      <c r="JG257" s="564"/>
      <c r="JH257" s="564"/>
      <c r="JI257" s="564"/>
      <c r="JJ257" s="564"/>
      <c r="JK257" s="564"/>
      <c r="JL257" s="564"/>
      <c r="JM257" s="564"/>
      <c r="JN257" s="564"/>
      <c r="JO257" s="564"/>
      <c r="JP257" s="564"/>
      <c r="JQ257" s="564"/>
      <c r="JR257" s="564"/>
      <c r="JS257" s="564"/>
      <c r="JT257" s="564"/>
      <c r="JU257" s="564"/>
      <c r="JV257" s="564"/>
    </row>
    <row r="258" spans="1:282" ht="50.1" customHeight="1" x14ac:dyDescent="0.2">
      <c r="A258" s="298"/>
      <c r="B258" s="41" t="s">
        <v>1137</v>
      </c>
      <c r="C258" s="41"/>
      <c r="D258" s="41"/>
      <c r="E258" s="29" t="s">
        <v>2246</v>
      </c>
      <c r="F258" s="196" t="s">
        <v>2227</v>
      </c>
      <c r="G258" s="30" t="s">
        <v>2210</v>
      </c>
      <c r="H258" s="41" t="s">
        <v>1806</v>
      </c>
      <c r="I258" s="41"/>
      <c r="J258" s="30" t="s">
        <v>2080</v>
      </c>
      <c r="K258" s="41" t="s">
        <v>1540</v>
      </c>
      <c r="L258" s="41" t="s">
        <v>2147</v>
      </c>
      <c r="M258" s="29" t="s">
        <v>2094</v>
      </c>
      <c r="N258" s="70">
        <v>42338</v>
      </c>
      <c r="O258" s="32" t="s">
        <v>2247</v>
      </c>
      <c r="P258" s="32"/>
      <c r="Q258" s="32"/>
      <c r="R258" s="32"/>
      <c r="S258" s="32"/>
      <c r="T258" s="560"/>
      <c r="U258" s="560"/>
      <c r="V258" s="560"/>
      <c r="W258" s="560"/>
      <c r="X258" s="560"/>
      <c r="Y258" s="560"/>
      <c r="Z258" s="560"/>
      <c r="AA258" s="560"/>
      <c r="AB258" s="560"/>
      <c r="AC258" s="560"/>
      <c r="AD258" s="560"/>
      <c r="AE258" s="560"/>
      <c r="AF258" s="560"/>
      <c r="AG258" s="560"/>
      <c r="AH258" s="560"/>
      <c r="AI258" s="560"/>
      <c r="AJ258" s="73">
        <v>42422</v>
      </c>
      <c r="AK258" s="648"/>
      <c r="AL258" s="174"/>
      <c r="AM258" s="564"/>
      <c r="AN258" s="564"/>
      <c r="AO258" s="564"/>
      <c r="AP258" s="564"/>
      <c r="AQ258" s="564"/>
      <c r="AR258" s="564"/>
      <c r="AS258" s="564"/>
      <c r="AT258" s="564"/>
      <c r="AU258" s="564"/>
      <c r="AV258" s="564"/>
      <c r="AW258" s="564"/>
      <c r="AX258" s="564"/>
      <c r="AY258" s="564"/>
      <c r="AZ258" s="564"/>
      <c r="BA258" s="564"/>
      <c r="BB258" s="564"/>
      <c r="BC258" s="564"/>
      <c r="BD258" s="564"/>
      <c r="BE258" s="564"/>
      <c r="BF258" s="564"/>
      <c r="BG258" s="564"/>
      <c r="BH258" s="564"/>
      <c r="BI258" s="564"/>
      <c r="BJ258" s="564"/>
      <c r="BK258" s="564"/>
      <c r="BL258" s="564"/>
      <c r="BM258" s="564"/>
      <c r="BN258" s="564"/>
      <c r="BO258" s="564"/>
      <c r="BP258" s="564"/>
      <c r="BQ258" s="564"/>
      <c r="BR258" s="564"/>
      <c r="BS258" s="564"/>
      <c r="BT258" s="564"/>
      <c r="BU258" s="564"/>
      <c r="BV258" s="564"/>
      <c r="BW258" s="564"/>
      <c r="BX258" s="564"/>
      <c r="BY258" s="564"/>
      <c r="BZ258" s="564"/>
      <c r="CA258" s="564"/>
      <c r="CB258" s="564"/>
      <c r="CC258" s="564"/>
      <c r="CD258" s="564"/>
      <c r="CE258" s="564"/>
      <c r="CF258" s="564"/>
      <c r="CG258" s="564"/>
      <c r="CH258" s="564"/>
      <c r="CI258" s="564"/>
      <c r="CJ258" s="564"/>
      <c r="CK258" s="564"/>
      <c r="CL258" s="564"/>
      <c r="CM258" s="564"/>
      <c r="CN258" s="564"/>
      <c r="CO258" s="564"/>
      <c r="CP258" s="564"/>
      <c r="CQ258" s="564"/>
      <c r="CR258" s="564"/>
      <c r="CS258" s="564"/>
      <c r="CT258" s="564"/>
      <c r="CU258" s="564"/>
      <c r="CV258" s="564"/>
      <c r="CW258" s="564"/>
      <c r="CX258" s="564"/>
      <c r="CY258" s="564"/>
      <c r="CZ258" s="564"/>
      <c r="DA258" s="564"/>
      <c r="DB258" s="564"/>
      <c r="DC258" s="564"/>
      <c r="DD258" s="564"/>
      <c r="DE258" s="564"/>
      <c r="DF258" s="564"/>
      <c r="DG258" s="564"/>
      <c r="DH258" s="564"/>
      <c r="DI258" s="564"/>
      <c r="DJ258" s="564"/>
      <c r="DK258" s="564"/>
      <c r="DL258" s="564"/>
      <c r="DM258" s="564"/>
      <c r="DN258" s="564"/>
      <c r="DO258" s="564"/>
      <c r="DP258" s="564"/>
      <c r="DQ258" s="564"/>
      <c r="DR258" s="564"/>
      <c r="DS258" s="564"/>
      <c r="DT258" s="564"/>
      <c r="DU258" s="564"/>
      <c r="DV258" s="564"/>
      <c r="DW258" s="564"/>
      <c r="DX258" s="564"/>
      <c r="DY258" s="564"/>
      <c r="DZ258" s="564"/>
      <c r="EA258" s="564"/>
      <c r="EB258" s="564"/>
      <c r="EC258" s="564"/>
      <c r="ED258" s="564"/>
      <c r="EE258" s="564"/>
      <c r="EF258" s="564"/>
      <c r="EG258" s="564"/>
      <c r="EH258" s="564"/>
      <c r="EI258" s="564"/>
      <c r="EJ258" s="564"/>
      <c r="EK258" s="564"/>
      <c r="EL258" s="564"/>
      <c r="EM258" s="564"/>
      <c r="EN258" s="564"/>
      <c r="EO258" s="564"/>
      <c r="EP258" s="564"/>
      <c r="EQ258" s="564"/>
      <c r="ER258" s="564"/>
      <c r="ES258" s="564"/>
      <c r="ET258" s="564"/>
      <c r="EU258" s="564"/>
      <c r="EV258" s="564"/>
      <c r="EW258" s="564"/>
      <c r="EX258" s="564"/>
      <c r="EY258" s="564"/>
      <c r="EZ258" s="564"/>
      <c r="FA258" s="564"/>
      <c r="FB258" s="564"/>
      <c r="FC258" s="564"/>
      <c r="FD258" s="564"/>
      <c r="FE258" s="564"/>
      <c r="FF258" s="564"/>
      <c r="FG258" s="564"/>
      <c r="FH258" s="564"/>
      <c r="FI258" s="564"/>
      <c r="FJ258" s="564"/>
      <c r="FK258" s="564"/>
      <c r="FL258" s="564"/>
      <c r="FM258" s="564"/>
      <c r="FN258" s="564"/>
      <c r="FO258" s="564"/>
      <c r="FP258" s="564"/>
      <c r="FQ258" s="564"/>
      <c r="FR258" s="564"/>
      <c r="FS258" s="564"/>
      <c r="FT258" s="564"/>
      <c r="FU258" s="564"/>
      <c r="FV258" s="564"/>
      <c r="FW258" s="564"/>
      <c r="FX258" s="564"/>
      <c r="FY258" s="564"/>
      <c r="FZ258" s="564"/>
      <c r="GA258" s="564"/>
      <c r="GB258" s="564"/>
      <c r="GC258" s="564"/>
      <c r="GD258" s="564"/>
      <c r="GE258" s="564"/>
      <c r="GF258" s="564"/>
      <c r="GG258" s="564"/>
      <c r="GH258" s="564"/>
      <c r="GI258" s="564"/>
      <c r="GJ258" s="564"/>
      <c r="GK258" s="564"/>
      <c r="GL258" s="564"/>
      <c r="GM258" s="564"/>
      <c r="GN258" s="564"/>
      <c r="GO258" s="564"/>
      <c r="GP258" s="564"/>
      <c r="GQ258" s="564"/>
      <c r="GR258" s="564"/>
      <c r="GS258" s="564"/>
      <c r="GT258" s="564"/>
      <c r="GU258" s="564"/>
      <c r="GV258" s="564"/>
      <c r="GW258" s="564"/>
      <c r="GX258" s="564"/>
      <c r="GY258" s="564"/>
      <c r="GZ258" s="564"/>
      <c r="HA258" s="564"/>
      <c r="HB258" s="564"/>
      <c r="HC258" s="564"/>
      <c r="HD258" s="564"/>
      <c r="HE258" s="564"/>
      <c r="HF258" s="564"/>
      <c r="HG258" s="564"/>
      <c r="HH258" s="564"/>
      <c r="HI258" s="564"/>
      <c r="HJ258" s="564"/>
      <c r="HK258" s="564"/>
      <c r="HL258" s="564"/>
      <c r="HM258" s="564"/>
      <c r="HN258" s="564"/>
      <c r="HO258" s="564"/>
      <c r="HP258" s="564"/>
      <c r="HQ258" s="564"/>
      <c r="HR258" s="564"/>
      <c r="HS258" s="564"/>
      <c r="HT258" s="564"/>
      <c r="HU258" s="564"/>
      <c r="HV258" s="564"/>
      <c r="HW258" s="564"/>
      <c r="HX258" s="564"/>
      <c r="HY258" s="564"/>
      <c r="HZ258" s="564"/>
      <c r="IA258" s="564"/>
      <c r="IB258" s="564"/>
      <c r="IC258" s="564"/>
      <c r="ID258" s="564"/>
      <c r="IE258" s="564"/>
      <c r="IF258" s="564"/>
      <c r="IG258" s="564"/>
      <c r="IH258" s="564"/>
      <c r="II258" s="564"/>
      <c r="IJ258" s="564"/>
      <c r="IK258" s="564"/>
      <c r="IL258" s="564"/>
      <c r="IM258" s="564"/>
      <c r="IN258" s="564"/>
      <c r="IO258" s="564"/>
      <c r="IP258" s="564"/>
      <c r="IQ258" s="564"/>
      <c r="IR258" s="564"/>
      <c r="IS258" s="564"/>
      <c r="IT258" s="564"/>
      <c r="IU258" s="564"/>
      <c r="IV258" s="564"/>
      <c r="IW258" s="564"/>
      <c r="IX258" s="564"/>
      <c r="IY258" s="564"/>
      <c r="IZ258" s="564"/>
      <c r="JA258" s="564"/>
      <c r="JB258" s="564"/>
      <c r="JC258" s="564"/>
      <c r="JD258" s="564"/>
      <c r="JE258" s="564"/>
      <c r="JF258" s="564"/>
      <c r="JG258" s="564"/>
      <c r="JH258" s="564"/>
      <c r="JI258" s="564"/>
      <c r="JJ258" s="564"/>
      <c r="JK258" s="564"/>
      <c r="JL258" s="564"/>
      <c r="JM258" s="564"/>
      <c r="JN258" s="564"/>
      <c r="JO258" s="564"/>
      <c r="JP258" s="564"/>
      <c r="JQ258" s="564"/>
      <c r="JR258" s="564"/>
      <c r="JS258" s="564"/>
      <c r="JT258" s="564"/>
      <c r="JU258" s="564"/>
      <c r="JV258" s="564"/>
    </row>
    <row r="259" spans="1:282" ht="50.1" customHeight="1" x14ac:dyDescent="0.2">
      <c r="A259" s="298"/>
      <c r="B259" s="107" t="s">
        <v>584</v>
      </c>
      <c r="C259" s="107"/>
      <c r="D259" s="107"/>
      <c r="E259" s="29" t="s">
        <v>2216</v>
      </c>
      <c r="F259" s="104" t="s">
        <v>2044</v>
      </c>
      <c r="G259" s="29" t="s">
        <v>2019</v>
      </c>
      <c r="H259" s="107" t="s">
        <v>1806</v>
      </c>
      <c r="I259" s="107"/>
      <c r="J259" s="29" t="s">
        <v>934</v>
      </c>
      <c r="K259" s="107" t="s">
        <v>1540</v>
      </c>
      <c r="L259" s="107" t="s">
        <v>879</v>
      </c>
      <c r="M259" s="29" t="s">
        <v>2094</v>
      </c>
      <c r="N259" s="761">
        <v>42325</v>
      </c>
      <c r="O259" s="32" t="s">
        <v>2217</v>
      </c>
      <c r="P259" s="32"/>
      <c r="Q259" s="32"/>
      <c r="R259" s="32"/>
      <c r="S259" s="32"/>
      <c r="T259" s="560"/>
      <c r="U259" s="560"/>
      <c r="V259" s="560"/>
      <c r="W259" s="560"/>
      <c r="X259" s="560"/>
      <c r="Y259" s="560"/>
      <c r="Z259" s="560"/>
      <c r="AA259" s="560"/>
      <c r="AB259" s="560"/>
      <c r="AC259" s="560"/>
      <c r="AD259" s="560"/>
      <c r="AE259" s="560"/>
      <c r="AF259" s="560"/>
      <c r="AG259" s="560"/>
      <c r="AH259" s="560"/>
      <c r="AI259" s="560"/>
      <c r="AJ259" s="73">
        <v>42422</v>
      </c>
      <c r="AK259" s="648"/>
      <c r="AL259" s="174"/>
      <c r="AM259" s="564"/>
      <c r="AN259" s="564"/>
      <c r="AO259" s="564"/>
      <c r="AP259" s="564"/>
      <c r="AQ259" s="564"/>
      <c r="AR259" s="564"/>
      <c r="AS259" s="564"/>
      <c r="AT259" s="564"/>
      <c r="AU259" s="564"/>
      <c r="AV259" s="564"/>
      <c r="AW259" s="564"/>
      <c r="AX259" s="564"/>
      <c r="AY259" s="564"/>
      <c r="AZ259" s="564"/>
      <c r="BA259" s="564"/>
      <c r="BB259" s="564"/>
      <c r="BC259" s="564"/>
      <c r="BD259" s="564"/>
      <c r="BE259" s="564"/>
      <c r="BF259" s="564"/>
      <c r="BG259" s="564"/>
      <c r="BH259" s="564"/>
      <c r="BI259" s="564"/>
      <c r="BJ259" s="564"/>
      <c r="BK259" s="564"/>
      <c r="BL259" s="564"/>
      <c r="BM259" s="564"/>
      <c r="BN259" s="564"/>
      <c r="BO259" s="564"/>
      <c r="BP259" s="564"/>
      <c r="BQ259" s="564"/>
      <c r="BR259" s="564"/>
      <c r="BS259" s="564"/>
      <c r="BT259" s="564"/>
      <c r="BU259" s="564"/>
      <c r="BV259" s="564"/>
      <c r="BW259" s="564"/>
      <c r="BX259" s="564"/>
      <c r="BY259" s="564"/>
      <c r="BZ259" s="564"/>
      <c r="CA259" s="564"/>
      <c r="CB259" s="564"/>
      <c r="CC259" s="564"/>
      <c r="CD259" s="564"/>
      <c r="CE259" s="564"/>
      <c r="CF259" s="564"/>
      <c r="CG259" s="564"/>
      <c r="CH259" s="564"/>
      <c r="CI259" s="564"/>
      <c r="CJ259" s="564"/>
      <c r="CK259" s="564"/>
      <c r="CL259" s="564"/>
      <c r="CM259" s="564"/>
      <c r="CN259" s="564"/>
      <c r="CO259" s="564"/>
      <c r="CP259" s="564"/>
      <c r="CQ259" s="564"/>
      <c r="CR259" s="564"/>
      <c r="CS259" s="564"/>
      <c r="CT259" s="564"/>
      <c r="CU259" s="564"/>
      <c r="CV259" s="564"/>
      <c r="CW259" s="564"/>
      <c r="CX259" s="564"/>
      <c r="CY259" s="564"/>
      <c r="CZ259" s="564"/>
      <c r="DA259" s="564"/>
      <c r="DB259" s="564"/>
      <c r="DC259" s="564"/>
      <c r="DD259" s="564"/>
      <c r="DE259" s="564"/>
      <c r="DF259" s="564"/>
      <c r="DG259" s="564"/>
      <c r="DH259" s="564"/>
      <c r="DI259" s="564"/>
      <c r="DJ259" s="564"/>
      <c r="DK259" s="564"/>
      <c r="DL259" s="564"/>
      <c r="DM259" s="564"/>
      <c r="DN259" s="564"/>
      <c r="DO259" s="564"/>
      <c r="DP259" s="564"/>
      <c r="DQ259" s="564"/>
      <c r="DR259" s="564"/>
      <c r="DS259" s="564"/>
      <c r="DT259" s="564"/>
      <c r="DU259" s="564"/>
      <c r="DV259" s="564"/>
      <c r="DW259" s="564"/>
      <c r="DX259" s="564"/>
      <c r="DY259" s="564"/>
      <c r="DZ259" s="564"/>
      <c r="EA259" s="564"/>
      <c r="EB259" s="564"/>
      <c r="EC259" s="564"/>
      <c r="ED259" s="564"/>
      <c r="EE259" s="564"/>
      <c r="EF259" s="564"/>
      <c r="EG259" s="564"/>
      <c r="EH259" s="564"/>
      <c r="EI259" s="564"/>
      <c r="EJ259" s="564"/>
      <c r="EK259" s="564"/>
      <c r="EL259" s="564"/>
      <c r="EM259" s="564"/>
      <c r="EN259" s="564"/>
      <c r="EO259" s="564"/>
      <c r="EP259" s="564"/>
      <c r="EQ259" s="564"/>
      <c r="ER259" s="564"/>
      <c r="ES259" s="564"/>
      <c r="ET259" s="564"/>
      <c r="EU259" s="564"/>
      <c r="EV259" s="564"/>
      <c r="EW259" s="564"/>
      <c r="EX259" s="564"/>
      <c r="EY259" s="564"/>
      <c r="EZ259" s="564"/>
      <c r="FA259" s="564"/>
      <c r="FB259" s="564"/>
      <c r="FC259" s="564"/>
      <c r="FD259" s="564"/>
      <c r="FE259" s="564"/>
      <c r="FF259" s="564"/>
      <c r="FG259" s="564"/>
      <c r="FH259" s="564"/>
      <c r="FI259" s="564"/>
      <c r="FJ259" s="564"/>
      <c r="FK259" s="564"/>
      <c r="FL259" s="564"/>
      <c r="FM259" s="564"/>
      <c r="FN259" s="564"/>
      <c r="FO259" s="564"/>
      <c r="FP259" s="564"/>
      <c r="FQ259" s="564"/>
      <c r="FR259" s="564"/>
      <c r="FS259" s="564"/>
      <c r="FT259" s="564"/>
      <c r="FU259" s="564"/>
      <c r="FV259" s="564"/>
      <c r="FW259" s="564"/>
      <c r="FX259" s="564"/>
      <c r="FY259" s="564"/>
      <c r="FZ259" s="564"/>
      <c r="GA259" s="564"/>
      <c r="GB259" s="564"/>
      <c r="GC259" s="564"/>
      <c r="GD259" s="564"/>
      <c r="GE259" s="564"/>
      <c r="GF259" s="564"/>
      <c r="GG259" s="564"/>
      <c r="GH259" s="564"/>
      <c r="GI259" s="564"/>
      <c r="GJ259" s="564"/>
      <c r="GK259" s="564"/>
      <c r="GL259" s="564"/>
      <c r="GM259" s="564"/>
      <c r="GN259" s="564"/>
      <c r="GO259" s="564"/>
      <c r="GP259" s="564"/>
      <c r="GQ259" s="564"/>
      <c r="GR259" s="564"/>
      <c r="GS259" s="564"/>
      <c r="GT259" s="564"/>
      <c r="GU259" s="564"/>
      <c r="GV259" s="564"/>
      <c r="GW259" s="564"/>
      <c r="GX259" s="564"/>
      <c r="GY259" s="564"/>
      <c r="GZ259" s="564"/>
      <c r="HA259" s="564"/>
      <c r="HB259" s="564"/>
      <c r="HC259" s="564"/>
      <c r="HD259" s="564"/>
      <c r="HE259" s="564"/>
      <c r="HF259" s="564"/>
      <c r="HG259" s="564"/>
      <c r="HH259" s="564"/>
      <c r="HI259" s="564"/>
      <c r="HJ259" s="564"/>
      <c r="HK259" s="564"/>
      <c r="HL259" s="564"/>
      <c r="HM259" s="564"/>
      <c r="HN259" s="564"/>
      <c r="HO259" s="564"/>
      <c r="HP259" s="564"/>
      <c r="HQ259" s="564"/>
      <c r="HR259" s="564"/>
      <c r="HS259" s="564"/>
      <c r="HT259" s="564"/>
      <c r="HU259" s="564"/>
      <c r="HV259" s="564"/>
      <c r="HW259" s="564"/>
      <c r="HX259" s="564"/>
      <c r="HY259" s="564"/>
      <c r="HZ259" s="564"/>
      <c r="IA259" s="564"/>
      <c r="IB259" s="564"/>
      <c r="IC259" s="564"/>
      <c r="ID259" s="564"/>
      <c r="IE259" s="564"/>
      <c r="IF259" s="564"/>
      <c r="IG259" s="564"/>
      <c r="IH259" s="564"/>
      <c r="II259" s="564"/>
      <c r="IJ259" s="564"/>
      <c r="IK259" s="564"/>
      <c r="IL259" s="564"/>
      <c r="IM259" s="564"/>
      <c r="IN259" s="564"/>
      <c r="IO259" s="564"/>
      <c r="IP259" s="564"/>
      <c r="IQ259" s="564"/>
      <c r="IR259" s="564"/>
      <c r="IS259" s="564"/>
      <c r="IT259" s="564"/>
      <c r="IU259" s="564"/>
      <c r="IV259" s="564"/>
      <c r="IW259" s="564"/>
      <c r="IX259" s="564"/>
      <c r="IY259" s="564"/>
      <c r="IZ259" s="564"/>
      <c r="JA259" s="564"/>
      <c r="JB259" s="564"/>
      <c r="JC259" s="564"/>
      <c r="JD259" s="564"/>
      <c r="JE259" s="564"/>
      <c r="JF259" s="564"/>
      <c r="JG259" s="564"/>
      <c r="JH259" s="564"/>
      <c r="JI259" s="564"/>
      <c r="JJ259" s="564"/>
      <c r="JK259" s="564"/>
      <c r="JL259" s="564"/>
      <c r="JM259" s="564"/>
      <c r="JN259" s="564"/>
      <c r="JO259" s="564"/>
      <c r="JP259" s="564"/>
      <c r="JQ259" s="564"/>
      <c r="JR259" s="564"/>
      <c r="JS259" s="564"/>
      <c r="JT259" s="564"/>
      <c r="JU259" s="564"/>
      <c r="JV259" s="564"/>
    </row>
    <row r="260" spans="1:282" ht="50.1" customHeight="1" x14ac:dyDescent="0.2">
      <c r="A260" s="298"/>
      <c r="B260" s="107" t="s">
        <v>1137</v>
      </c>
      <c r="C260" s="107"/>
      <c r="D260" s="107"/>
      <c r="E260" s="29" t="s">
        <v>2255</v>
      </c>
      <c r="F260" s="196" t="s">
        <v>2257</v>
      </c>
      <c r="G260" s="41" t="s">
        <v>2254</v>
      </c>
      <c r="H260" s="30" t="s">
        <v>1806</v>
      </c>
      <c r="I260" s="30"/>
      <c r="J260" s="30" t="s">
        <v>605</v>
      </c>
      <c r="K260" s="41" t="s">
        <v>1393</v>
      </c>
      <c r="L260" s="29" t="s">
        <v>1286</v>
      </c>
      <c r="M260" s="29" t="s">
        <v>2094</v>
      </c>
      <c r="N260" s="70">
        <v>42354</v>
      </c>
      <c r="O260" s="32" t="s">
        <v>2256</v>
      </c>
      <c r="P260" s="32"/>
      <c r="Q260" s="32"/>
      <c r="R260" s="32"/>
      <c r="S260" s="32"/>
      <c r="T260" s="560"/>
      <c r="U260" s="560"/>
      <c r="V260" s="560"/>
      <c r="W260" s="560"/>
      <c r="X260" s="560"/>
      <c r="Y260" s="560"/>
      <c r="Z260" s="560"/>
      <c r="AA260" s="560"/>
      <c r="AB260" s="560"/>
      <c r="AC260" s="560"/>
      <c r="AD260" s="560"/>
      <c r="AE260" s="560"/>
      <c r="AF260" s="560"/>
      <c r="AG260" s="560"/>
      <c r="AH260" s="560"/>
      <c r="AI260" s="560"/>
      <c r="AJ260" s="73">
        <v>42429</v>
      </c>
      <c r="AK260" s="648"/>
      <c r="AL260" s="174"/>
      <c r="AM260" s="564"/>
      <c r="AN260" s="564"/>
      <c r="AO260" s="564"/>
      <c r="AP260" s="564"/>
      <c r="AQ260" s="564"/>
      <c r="AR260" s="564"/>
      <c r="AS260" s="564"/>
      <c r="AT260" s="564"/>
      <c r="AU260" s="564"/>
      <c r="AV260" s="564"/>
      <c r="AW260" s="564"/>
      <c r="AX260" s="564"/>
      <c r="AY260" s="564"/>
      <c r="AZ260" s="564"/>
      <c r="BA260" s="564"/>
      <c r="BB260" s="564"/>
      <c r="BC260" s="564"/>
      <c r="BD260" s="564"/>
      <c r="BE260" s="564"/>
      <c r="BF260" s="564"/>
      <c r="BG260" s="564"/>
      <c r="BH260" s="564"/>
      <c r="BI260" s="564"/>
      <c r="BJ260" s="564"/>
      <c r="BK260" s="564"/>
      <c r="BL260" s="564"/>
      <c r="BM260" s="564"/>
      <c r="BN260" s="564"/>
      <c r="BO260" s="564"/>
      <c r="BP260" s="564"/>
      <c r="BQ260" s="564"/>
      <c r="BR260" s="564"/>
      <c r="BS260" s="564"/>
      <c r="BT260" s="564"/>
      <c r="BU260" s="564"/>
      <c r="BV260" s="564"/>
      <c r="BW260" s="564"/>
      <c r="BX260" s="564"/>
      <c r="BY260" s="564"/>
      <c r="BZ260" s="564"/>
      <c r="CA260" s="564"/>
      <c r="CB260" s="564"/>
      <c r="CC260" s="564"/>
      <c r="CD260" s="564"/>
      <c r="CE260" s="564"/>
      <c r="CF260" s="564"/>
      <c r="CG260" s="564"/>
      <c r="CH260" s="564"/>
      <c r="CI260" s="564"/>
      <c r="CJ260" s="564"/>
      <c r="CK260" s="564"/>
      <c r="CL260" s="564"/>
      <c r="CM260" s="564"/>
      <c r="CN260" s="564"/>
      <c r="CO260" s="564"/>
      <c r="CP260" s="564"/>
      <c r="CQ260" s="564"/>
      <c r="CR260" s="564"/>
      <c r="CS260" s="564"/>
      <c r="CT260" s="564"/>
      <c r="CU260" s="564"/>
      <c r="CV260" s="564"/>
      <c r="CW260" s="564"/>
      <c r="CX260" s="564"/>
      <c r="CY260" s="564"/>
      <c r="CZ260" s="564"/>
      <c r="DA260" s="564"/>
      <c r="DB260" s="564"/>
      <c r="DC260" s="564"/>
      <c r="DD260" s="564"/>
      <c r="DE260" s="564"/>
      <c r="DF260" s="564"/>
      <c r="DG260" s="564"/>
      <c r="DH260" s="564"/>
      <c r="DI260" s="564"/>
      <c r="DJ260" s="564"/>
      <c r="DK260" s="564"/>
      <c r="DL260" s="564"/>
      <c r="DM260" s="564"/>
      <c r="DN260" s="564"/>
      <c r="DO260" s="564"/>
      <c r="DP260" s="564"/>
      <c r="DQ260" s="564"/>
      <c r="DR260" s="564"/>
      <c r="DS260" s="564"/>
      <c r="DT260" s="564"/>
      <c r="DU260" s="564"/>
      <c r="DV260" s="564"/>
      <c r="DW260" s="564"/>
      <c r="DX260" s="564"/>
      <c r="DY260" s="564"/>
      <c r="DZ260" s="564"/>
      <c r="EA260" s="564"/>
      <c r="EB260" s="564"/>
      <c r="EC260" s="564"/>
      <c r="ED260" s="564"/>
      <c r="EE260" s="564"/>
      <c r="EF260" s="564"/>
      <c r="EG260" s="564"/>
      <c r="EH260" s="564"/>
      <c r="EI260" s="564"/>
      <c r="EJ260" s="564"/>
      <c r="EK260" s="564"/>
      <c r="EL260" s="564"/>
      <c r="EM260" s="564"/>
      <c r="EN260" s="564"/>
      <c r="EO260" s="564"/>
      <c r="EP260" s="564"/>
      <c r="EQ260" s="564"/>
      <c r="ER260" s="564"/>
      <c r="ES260" s="564"/>
      <c r="ET260" s="564"/>
      <c r="EU260" s="564"/>
      <c r="EV260" s="564"/>
      <c r="EW260" s="564"/>
      <c r="EX260" s="564"/>
      <c r="EY260" s="564"/>
      <c r="EZ260" s="564"/>
      <c r="FA260" s="564"/>
      <c r="FB260" s="564"/>
      <c r="FC260" s="564"/>
      <c r="FD260" s="564"/>
      <c r="FE260" s="564"/>
      <c r="FF260" s="564"/>
      <c r="FG260" s="564"/>
      <c r="FH260" s="564"/>
      <c r="FI260" s="564"/>
      <c r="FJ260" s="564"/>
      <c r="FK260" s="564"/>
      <c r="FL260" s="564"/>
      <c r="FM260" s="564"/>
      <c r="FN260" s="564"/>
      <c r="FO260" s="564"/>
      <c r="FP260" s="564"/>
      <c r="FQ260" s="564"/>
      <c r="FR260" s="564"/>
      <c r="FS260" s="564"/>
      <c r="FT260" s="564"/>
      <c r="FU260" s="564"/>
      <c r="FV260" s="564"/>
      <c r="FW260" s="564"/>
      <c r="FX260" s="564"/>
      <c r="FY260" s="564"/>
      <c r="FZ260" s="564"/>
      <c r="GA260" s="564"/>
      <c r="GB260" s="564"/>
      <c r="GC260" s="564"/>
      <c r="GD260" s="564"/>
      <c r="GE260" s="564"/>
      <c r="GF260" s="564"/>
      <c r="GG260" s="564"/>
      <c r="GH260" s="564"/>
      <c r="GI260" s="564"/>
      <c r="GJ260" s="564"/>
      <c r="GK260" s="564"/>
      <c r="GL260" s="564"/>
      <c r="GM260" s="564"/>
      <c r="GN260" s="564"/>
      <c r="GO260" s="564"/>
      <c r="GP260" s="564"/>
      <c r="GQ260" s="564"/>
      <c r="GR260" s="564"/>
      <c r="GS260" s="564"/>
      <c r="GT260" s="564"/>
      <c r="GU260" s="564"/>
      <c r="GV260" s="564"/>
      <c r="GW260" s="564"/>
      <c r="GX260" s="564"/>
      <c r="GY260" s="564"/>
      <c r="GZ260" s="564"/>
      <c r="HA260" s="564"/>
      <c r="HB260" s="564"/>
      <c r="HC260" s="564"/>
      <c r="HD260" s="564"/>
      <c r="HE260" s="564"/>
      <c r="HF260" s="564"/>
      <c r="HG260" s="564"/>
      <c r="HH260" s="564"/>
      <c r="HI260" s="564"/>
      <c r="HJ260" s="564"/>
      <c r="HK260" s="564"/>
      <c r="HL260" s="564"/>
      <c r="HM260" s="564"/>
      <c r="HN260" s="564"/>
      <c r="HO260" s="564"/>
      <c r="HP260" s="564"/>
      <c r="HQ260" s="564"/>
      <c r="HR260" s="564"/>
      <c r="HS260" s="564"/>
      <c r="HT260" s="564"/>
      <c r="HU260" s="564"/>
      <c r="HV260" s="564"/>
      <c r="HW260" s="564"/>
      <c r="HX260" s="564"/>
      <c r="HY260" s="564"/>
      <c r="HZ260" s="564"/>
      <c r="IA260" s="564"/>
      <c r="IB260" s="564"/>
      <c r="IC260" s="564"/>
      <c r="ID260" s="564"/>
      <c r="IE260" s="564"/>
      <c r="IF260" s="564"/>
      <c r="IG260" s="564"/>
      <c r="IH260" s="564"/>
      <c r="II260" s="564"/>
      <c r="IJ260" s="564"/>
      <c r="IK260" s="564"/>
      <c r="IL260" s="564"/>
      <c r="IM260" s="564"/>
      <c r="IN260" s="564"/>
      <c r="IO260" s="564"/>
      <c r="IP260" s="564"/>
      <c r="IQ260" s="564"/>
      <c r="IR260" s="564"/>
      <c r="IS260" s="564"/>
      <c r="IT260" s="564"/>
      <c r="IU260" s="564"/>
      <c r="IV260" s="564"/>
      <c r="IW260" s="564"/>
      <c r="IX260" s="564"/>
      <c r="IY260" s="564"/>
      <c r="IZ260" s="564"/>
      <c r="JA260" s="564"/>
      <c r="JB260" s="564"/>
      <c r="JC260" s="564"/>
      <c r="JD260" s="564"/>
      <c r="JE260" s="564"/>
      <c r="JF260" s="564"/>
      <c r="JG260" s="564"/>
      <c r="JH260" s="564"/>
      <c r="JI260" s="564"/>
      <c r="JJ260" s="564"/>
      <c r="JK260" s="564"/>
      <c r="JL260" s="564"/>
      <c r="JM260" s="564"/>
      <c r="JN260" s="564"/>
      <c r="JO260" s="564"/>
      <c r="JP260" s="564"/>
      <c r="JQ260" s="564"/>
      <c r="JR260" s="564"/>
      <c r="JS260" s="564"/>
      <c r="JT260" s="564"/>
      <c r="JU260" s="564"/>
      <c r="JV260" s="564"/>
    </row>
    <row r="261" spans="1:282" ht="50.1" customHeight="1" x14ac:dyDescent="0.2">
      <c r="A261" s="298"/>
      <c r="B261" s="107" t="s">
        <v>584</v>
      </c>
      <c r="C261" s="107"/>
      <c r="D261" s="107"/>
      <c r="E261" s="29" t="s">
        <v>2208</v>
      </c>
      <c r="F261" s="104" t="s">
        <v>2225</v>
      </c>
      <c r="G261" s="107" t="s">
        <v>907</v>
      </c>
      <c r="H261" s="107" t="s">
        <v>1806</v>
      </c>
      <c r="I261" s="107"/>
      <c r="J261" s="29" t="s">
        <v>25</v>
      </c>
      <c r="K261" s="107" t="s">
        <v>1540</v>
      </c>
      <c r="L261" s="107" t="s">
        <v>685</v>
      </c>
      <c r="M261" s="29" t="s">
        <v>2094</v>
      </c>
      <c r="N261" s="761">
        <v>42320</v>
      </c>
      <c r="O261" s="32" t="s">
        <v>2209</v>
      </c>
      <c r="P261" s="32"/>
      <c r="Q261" s="32"/>
      <c r="R261" s="32"/>
      <c r="S261" s="32"/>
      <c r="T261" s="560"/>
      <c r="U261" s="560"/>
      <c r="V261" s="560"/>
      <c r="W261" s="560"/>
      <c r="X261" s="560"/>
      <c r="Y261" s="560"/>
      <c r="Z261" s="560"/>
      <c r="AA261" s="560"/>
      <c r="AB261" s="560"/>
      <c r="AC261" s="560"/>
      <c r="AD261" s="560"/>
      <c r="AE261" s="560"/>
      <c r="AF261" s="560"/>
      <c r="AG261" s="560"/>
      <c r="AH261" s="560"/>
      <c r="AI261" s="560"/>
      <c r="AJ261" s="73">
        <v>42429</v>
      </c>
      <c r="AK261" s="648"/>
      <c r="AL261" s="174"/>
      <c r="AM261" s="564"/>
      <c r="AN261" s="564"/>
      <c r="AO261" s="564"/>
      <c r="AP261" s="564"/>
      <c r="AQ261" s="564"/>
      <c r="AR261" s="564"/>
      <c r="AS261" s="564"/>
      <c r="AT261" s="564"/>
      <c r="AU261" s="564"/>
      <c r="AV261" s="564"/>
      <c r="AW261" s="564"/>
      <c r="AX261" s="564"/>
      <c r="AY261" s="564"/>
      <c r="AZ261" s="564"/>
      <c r="BA261" s="564"/>
      <c r="BB261" s="564"/>
      <c r="BC261" s="564"/>
      <c r="BD261" s="564"/>
      <c r="BE261" s="564"/>
      <c r="BF261" s="564"/>
      <c r="BG261" s="564"/>
      <c r="BH261" s="564"/>
      <c r="BI261" s="564"/>
      <c r="BJ261" s="564"/>
      <c r="BK261" s="564"/>
      <c r="BL261" s="564"/>
      <c r="BM261" s="564"/>
      <c r="BN261" s="564"/>
      <c r="BO261" s="564"/>
      <c r="BP261" s="564"/>
      <c r="BQ261" s="564"/>
      <c r="BR261" s="564"/>
      <c r="BS261" s="564"/>
      <c r="BT261" s="564"/>
      <c r="BU261" s="564"/>
      <c r="BV261" s="564"/>
      <c r="BW261" s="564"/>
      <c r="BX261" s="564"/>
      <c r="BY261" s="564"/>
      <c r="BZ261" s="564"/>
      <c r="CA261" s="564"/>
      <c r="CB261" s="564"/>
      <c r="CC261" s="564"/>
      <c r="CD261" s="564"/>
      <c r="CE261" s="564"/>
      <c r="CF261" s="564"/>
      <c r="CG261" s="564"/>
      <c r="CH261" s="564"/>
      <c r="CI261" s="564"/>
      <c r="CJ261" s="564"/>
      <c r="CK261" s="564"/>
      <c r="CL261" s="564"/>
      <c r="CM261" s="564"/>
      <c r="CN261" s="564"/>
      <c r="CO261" s="564"/>
      <c r="CP261" s="564"/>
      <c r="CQ261" s="564"/>
      <c r="CR261" s="564"/>
      <c r="CS261" s="564"/>
      <c r="CT261" s="564"/>
      <c r="CU261" s="564"/>
      <c r="CV261" s="564"/>
      <c r="CW261" s="564"/>
      <c r="CX261" s="564"/>
      <c r="CY261" s="564"/>
      <c r="CZ261" s="564"/>
      <c r="DA261" s="564"/>
      <c r="DB261" s="564"/>
      <c r="DC261" s="564"/>
      <c r="DD261" s="564"/>
      <c r="DE261" s="564"/>
      <c r="DF261" s="564"/>
      <c r="DG261" s="564"/>
      <c r="DH261" s="564"/>
      <c r="DI261" s="564"/>
      <c r="DJ261" s="564"/>
      <c r="DK261" s="564"/>
      <c r="DL261" s="564"/>
      <c r="DM261" s="564"/>
      <c r="DN261" s="564"/>
      <c r="DO261" s="564"/>
      <c r="DP261" s="564"/>
      <c r="DQ261" s="564"/>
      <c r="DR261" s="564"/>
      <c r="DS261" s="564"/>
      <c r="DT261" s="564"/>
      <c r="DU261" s="564"/>
      <c r="DV261" s="564"/>
      <c r="DW261" s="564"/>
      <c r="DX261" s="564"/>
      <c r="DY261" s="564"/>
      <c r="DZ261" s="564"/>
      <c r="EA261" s="564"/>
      <c r="EB261" s="564"/>
      <c r="EC261" s="564"/>
      <c r="ED261" s="564"/>
      <c r="EE261" s="564"/>
      <c r="EF261" s="564"/>
      <c r="EG261" s="564"/>
      <c r="EH261" s="564"/>
      <c r="EI261" s="564"/>
      <c r="EJ261" s="564"/>
      <c r="EK261" s="564"/>
      <c r="EL261" s="564"/>
      <c r="EM261" s="564"/>
      <c r="EN261" s="564"/>
      <c r="EO261" s="564"/>
      <c r="EP261" s="564"/>
      <c r="EQ261" s="564"/>
      <c r="ER261" s="564"/>
      <c r="ES261" s="564"/>
      <c r="ET261" s="564"/>
      <c r="EU261" s="564"/>
      <c r="EV261" s="564"/>
      <c r="EW261" s="564"/>
      <c r="EX261" s="564"/>
      <c r="EY261" s="564"/>
      <c r="EZ261" s="564"/>
      <c r="FA261" s="564"/>
      <c r="FB261" s="564"/>
      <c r="FC261" s="564"/>
      <c r="FD261" s="564"/>
      <c r="FE261" s="564"/>
      <c r="FF261" s="564"/>
      <c r="FG261" s="564"/>
      <c r="FH261" s="564"/>
      <c r="FI261" s="564"/>
      <c r="FJ261" s="564"/>
      <c r="FK261" s="564"/>
      <c r="FL261" s="564"/>
      <c r="FM261" s="564"/>
      <c r="FN261" s="564"/>
      <c r="FO261" s="564"/>
      <c r="FP261" s="564"/>
      <c r="FQ261" s="564"/>
      <c r="FR261" s="564"/>
      <c r="FS261" s="564"/>
      <c r="FT261" s="564"/>
      <c r="FU261" s="564"/>
      <c r="FV261" s="564"/>
      <c r="FW261" s="564"/>
      <c r="FX261" s="564"/>
      <c r="FY261" s="564"/>
      <c r="FZ261" s="564"/>
      <c r="GA261" s="564"/>
      <c r="GB261" s="564"/>
      <c r="GC261" s="564"/>
      <c r="GD261" s="564"/>
      <c r="GE261" s="564"/>
      <c r="GF261" s="564"/>
      <c r="GG261" s="564"/>
      <c r="GH261" s="564"/>
      <c r="GI261" s="564"/>
      <c r="GJ261" s="564"/>
      <c r="GK261" s="564"/>
      <c r="GL261" s="564"/>
      <c r="GM261" s="564"/>
      <c r="GN261" s="564"/>
      <c r="GO261" s="564"/>
      <c r="GP261" s="564"/>
      <c r="GQ261" s="564"/>
      <c r="GR261" s="564"/>
      <c r="GS261" s="564"/>
      <c r="GT261" s="564"/>
      <c r="GU261" s="564"/>
      <c r="GV261" s="564"/>
      <c r="GW261" s="564"/>
      <c r="GX261" s="564"/>
      <c r="GY261" s="564"/>
      <c r="GZ261" s="564"/>
      <c r="HA261" s="564"/>
      <c r="HB261" s="564"/>
      <c r="HC261" s="564"/>
      <c r="HD261" s="564"/>
      <c r="HE261" s="564"/>
      <c r="HF261" s="564"/>
      <c r="HG261" s="564"/>
      <c r="HH261" s="564"/>
      <c r="HI261" s="564"/>
      <c r="HJ261" s="564"/>
      <c r="HK261" s="564"/>
      <c r="HL261" s="564"/>
      <c r="HM261" s="564"/>
      <c r="HN261" s="564"/>
      <c r="HO261" s="564"/>
      <c r="HP261" s="564"/>
      <c r="HQ261" s="564"/>
      <c r="HR261" s="564"/>
      <c r="HS261" s="564"/>
      <c r="HT261" s="564"/>
      <c r="HU261" s="564"/>
      <c r="HV261" s="564"/>
      <c r="HW261" s="564"/>
      <c r="HX261" s="564"/>
      <c r="HY261" s="564"/>
      <c r="HZ261" s="564"/>
      <c r="IA261" s="564"/>
      <c r="IB261" s="564"/>
      <c r="IC261" s="564"/>
      <c r="ID261" s="564"/>
      <c r="IE261" s="564"/>
      <c r="IF261" s="564"/>
      <c r="IG261" s="564"/>
      <c r="IH261" s="564"/>
      <c r="II261" s="564"/>
      <c r="IJ261" s="564"/>
      <c r="IK261" s="564"/>
      <c r="IL261" s="564"/>
      <c r="IM261" s="564"/>
      <c r="IN261" s="564"/>
      <c r="IO261" s="564"/>
      <c r="IP261" s="564"/>
      <c r="IQ261" s="564"/>
      <c r="IR261" s="564"/>
      <c r="IS261" s="564"/>
      <c r="IT261" s="564"/>
      <c r="IU261" s="564"/>
      <c r="IV261" s="564"/>
      <c r="IW261" s="564"/>
      <c r="IX261" s="564"/>
      <c r="IY261" s="564"/>
      <c r="IZ261" s="564"/>
      <c r="JA261" s="564"/>
      <c r="JB261" s="564"/>
      <c r="JC261" s="564"/>
      <c r="JD261" s="564"/>
      <c r="JE261" s="564"/>
      <c r="JF261" s="564"/>
      <c r="JG261" s="564"/>
      <c r="JH261" s="564"/>
      <c r="JI261" s="564"/>
      <c r="JJ261" s="564"/>
      <c r="JK261" s="564"/>
      <c r="JL261" s="564"/>
      <c r="JM261" s="564"/>
      <c r="JN261" s="564"/>
      <c r="JO261" s="564"/>
      <c r="JP261" s="564"/>
      <c r="JQ261" s="564"/>
      <c r="JR261" s="564"/>
      <c r="JS261" s="564"/>
      <c r="JT261" s="564"/>
      <c r="JU261" s="564"/>
      <c r="JV261" s="564"/>
    </row>
    <row r="262" spans="1:282" ht="50.1" customHeight="1" x14ac:dyDescent="0.2">
      <c r="A262" s="298"/>
      <c r="B262" s="107" t="s">
        <v>584</v>
      </c>
      <c r="C262" s="107"/>
      <c r="D262" s="107"/>
      <c r="E262" s="29" t="s">
        <v>1422</v>
      </c>
      <c r="F262" s="104" t="s">
        <v>2406</v>
      </c>
      <c r="G262" s="107" t="s">
        <v>1402</v>
      </c>
      <c r="H262" s="30" t="s">
        <v>1673</v>
      </c>
      <c r="I262" s="30"/>
      <c r="J262" s="29" t="s">
        <v>1403</v>
      </c>
      <c r="K262" s="29" t="s">
        <v>1393</v>
      </c>
      <c r="L262" s="29" t="s">
        <v>12</v>
      </c>
      <c r="M262" s="29" t="s">
        <v>1615</v>
      </c>
      <c r="N262" s="761">
        <v>41866</v>
      </c>
      <c r="O262" s="228" t="s">
        <v>1880</v>
      </c>
      <c r="P262" s="228"/>
      <c r="Q262" s="228"/>
      <c r="R262" s="228"/>
      <c r="S262" s="228"/>
      <c r="T262" s="560"/>
      <c r="U262" s="560"/>
      <c r="V262" s="560"/>
      <c r="W262" s="560"/>
      <c r="X262" s="560"/>
      <c r="Y262" s="560"/>
      <c r="Z262" s="560"/>
      <c r="AA262" s="560"/>
      <c r="AB262" s="560"/>
      <c r="AC262" s="560"/>
      <c r="AD262" s="560"/>
      <c r="AE262" s="560"/>
      <c r="AF262" s="560"/>
      <c r="AG262" s="560"/>
      <c r="AH262" s="560"/>
      <c r="AI262" s="560"/>
      <c r="AJ262" s="73">
        <v>42436</v>
      </c>
      <c r="AK262" s="648"/>
      <c r="AL262" s="174"/>
      <c r="AM262" s="564"/>
      <c r="AN262" s="564"/>
      <c r="AO262" s="564"/>
      <c r="AP262" s="564"/>
      <c r="AQ262" s="564"/>
      <c r="AR262" s="564"/>
      <c r="AS262" s="564"/>
      <c r="AT262" s="564"/>
      <c r="AU262" s="564"/>
      <c r="AV262" s="564"/>
      <c r="AW262" s="564"/>
      <c r="AX262" s="564"/>
      <c r="AY262" s="564"/>
      <c r="AZ262" s="564"/>
      <c r="BA262" s="564"/>
      <c r="BB262" s="564"/>
      <c r="BC262" s="564"/>
      <c r="BD262" s="564"/>
      <c r="BE262" s="564"/>
      <c r="BF262" s="564"/>
      <c r="BG262" s="564"/>
      <c r="BH262" s="564"/>
      <c r="BI262" s="564"/>
      <c r="BJ262" s="564"/>
      <c r="BK262" s="564"/>
      <c r="BL262" s="564"/>
      <c r="BM262" s="564"/>
      <c r="BN262" s="564"/>
      <c r="BO262" s="564"/>
      <c r="BP262" s="564"/>
      <c r="BQ262" s="564"/>
      <c r="BR262" s="564"/>
      <c r="BS262" s="564"/>
      <c r="BT262" s="564"/>
      <c r="BU262" s="564"/>
      <c r="BV262" s="564"/>
      <c r="BW262" s="564"/>
      <c r="BX262" s="564"/>
      <c r="BY262" s="564"/>
      <c r="BZ262" s="564"/>
      <c r="CA262" s="564"/>
      <c r="CB262" s="564"/>
      <c r="CC262" s="564"/>
      <c r="CD262" s="564"/>
      <c r="CE262" s="564"/>
      <c r="CF262" s="564"/>
      <c r="CG262" s="564"/>
      <c r="CH262" s="564"/>
      <c r="CI262" s="564"/>
      <c r="CJ262" s="564"/>
      <c r="CK262" s="564"/>
      <c r="CL262" s="564"/>
      <c r="CM262" s="564"/>
      <c r="CN262" s="564"/>
      <c r="CO262" s="564"/>
      <c r="CP262" s="564"/>
      <c r="CQ262" s="564"/>
      <c r="CR262" s="564"/>
      <c r="CS262" s="564"/>
      <c r="CT262" s="564"/>
      <c r="CU262" s="564"/>
      <c r="CV262" s="564"/>
      <c r="CW262" s="564"/>
      <c r="CX262" s="564"/>
      <c r="CY262" s="564"/>
      <c r="CZ262" s="564"/>
      <c r="DA262" s="564"/>
      <c r="DB262" s="564"/>
      <c r="DC262" s="564"/>
      <c r="DD262" s="564"/>
      <c r="DE262" s="564"/>
      <c r="DF262" s="564"/>
      <c r="DG262" s="564"/>
      <c r="DH262" s="564"/>
      <c r="DI262" s="564"/>
      <c r="DJ262" s="564"/>
      <c r="DK262" s="564"/>
      <c r="DL262" s="564"/>
      <c r="DM262" s="564"/>
      <c r="DN262" s="564"/>
      <c r="DO262" s="564"/>
      <c r="DP262" s="564"/>
      <c r="DQ262" s="564"/>
      <c r="DR262" s="564"/>
      <c r="DS262" s="564"/>
      <c r="DT262" s="564"/>
      <c r="DU262" s="564"/>
      <c r="DV262" s="564"/>
      <c r="DW262" s="564"/>
      <c r="DX262" s="564"/>
      <c r="DY262" s="564"/>
      <c r="DZ262" s="564"/>
      <c r="EA262" s="564"/>
      <c r="EB262" s="564"/>
      <c r="EC262" s="564"/>
      <c r="ED262" s="564"/>
      <c r="EE262" s="564"/>
      <c r="EF262" s="564"/>
      <c r="EG262" s="564"/>
      <c r="EH262" s="564"/>
      <c r="EI262" s="564"/>
      <c r="EJ262" s="564"/>
      <c r="EK262" s="564"/>
      <c r="EL262" s="564"/>
      <c r="EM262" s="564"/>
      <c r="EN262" s="564"/>
      <c r="EO262" s="564"/>
      <c r="EP262" s="564"/>
      <c r="EQ262" s="564"/>
      <c r="ER262" s="564"/>
      <c r="ES262" s="564"/>
      <c r="ET262" s="564"/>
      <c r="EU262" s="564"/>
      <c r="EV262" s="564"/>
      <c r="EW262" s="564"/>
      <c r="EX262" s="564"/>
      <c r="EY262" s="564"/>
      <c r="EZ262" s="564"/>
      <c r="FA262" s="564"/>
      <c r="FB262" s="564"/>
      <c r="FC262" s="564"/>
      <c r="FD262" s="564"/>
      <c r="FE262" s="564"/>
      <c r="FF262" s="564"/>
      <c r="FG262" s="564"/>
      <c r="FH262" s="564"/>
      <c r="FI262" s="564"/>
      <c r="FJ262" s="564"/>
      <c r="FK262" s="564"/>
      <c r="FL262" s="564"/>
      <c r="FM262" s="564"/>
      <c r="FN262" s="564"/>
      <c r="FO262" s="564"/>
      <c r="FP262" s="564"/>
      <c r="FQ262" s="564"/>
      <c r="FR262" s="564"/>
      <c r="FS262" s="564"/>
      <c r="FT262" s="564"/>
      <c r="FU262" s="564"/>
      <c r="FV262" s="564"/>
      <c r="FW262" s="564"/>
      <c r="FX262" s="564"/>
      <c r="FY262" s="564"/>
      <c r="FZ262" s="564"/>
      <c r="GA262" s="564"/>
      <c r="GB262" s="564"/>
      <c r="GC262" s="564"/>
      <c r="GD262" s="564"/>
      <c r="GE262" s="564"/>
      <c r="GF262" s="564"/>
      <c r="GG262" s="564"/>
      <c r="GH262" s="564"/>
      <c r="GI262" s="564"/>
      <c r="GJ262" s="564"/>
      <c r="GK262" s="564"/>
      <c r="GL262" s="564"/>
      <c r="GM262" s="564"/>
      <c r="GN262" s="564"/>
      <c r="GO262" s="564"/>
      <c r="GP262" s="564"/>
      <c r="GQ262" s="564"/>
      <c r="GR262" s="564"/>
      <c r="GS262" s="564"/>
      <c r="GT262" s="564"/>
      <c r="GU262" s="564"/>
      <c r="GV262" s="564"/>
      <c r="GW262" s="564"/>
      <c r="GX262" s="564"/>
      <c r="GY262" s="564"/>
      <c r="GZ262" s="564"/>
      <c r="HA262" s="564"/>
      <c r="HB262" s="564"/>
      <c r="HC262" s="564"/>
      <c r="HD262" s="564"/>
      <c r="HE262" s="564"/>
      <c r="HF262" s="564"/>
      <c r="HG262" s="564"/>
      <c r="HH262" s="564"/>
      <c r="HI262" s="564"/>
      <c r="HJ262" s="564"/>
      <c r="HK262" s="564"/>
      <c r="HL262" s="564"/>
      <c r="HM262" s="564"/>
      <c r="HN262" s="564"/>
      <c r="HO262" s="564"/>
      <c r="HP262" s="564"/>
      <c r="HQ262" s="564"/>
      <c r="HR262" s="564"/>
      <c r="HS262" s="564"/>
      <c r="HT262" s="564"/>
      <c r="HU262" s="564"/>
      <c r="HV262" s="564"/>
      <c r="HW262" s="564"/>
      <c r="HX262" s="564"/>
      <c r="HY262" s="564"/>
      <c r="HZ262" s="564"/>
      <c r="IA262" s="564"/>
      <c r="IB262" s="564"/>
      <c r="IC262" s="564"/>
      <c r="ID262" s="564"/>
      <c r="IE262" s="564"/>
      <c r="IF262" s="564"/>
      <c r="IG262" s="564"/>
      <c r="IH262" s="564"/>
      <c r="II262" s="564"/>
      <c r="IJ262" s="564"/>
      <c r="IK262" s="564"/>
      <c r="IL262" s="564"/>
      <c r="IM262" s="564"/>
      <c r="IN262" s="564"/>
      <c r="IO262" s="564"/>
      <c r="IP262" s="564"/>
      <c r="IQ262" s="564"/>
      <c r="IR262" s="564"/>
      <c r="IS262" s="564"/>
      <c r="IT262" s="564"/>
      <c r="IU262" s="564"/>
      <c r="IV262" s="564"/>
      <c r="IW262" s="564"/>
      <c r="IX262" s="564"/>
      <c r="IY262" s="564"/>
      <c r="IZ262" s="564"/>
      <c r="JA262" s="564"/>
      <c r="JB262" s="564"/>
      <c r="JC262" s="564"/>
      <c r="JD262" s="564"/>
      <c r="JE262" s="564"/>
      <c r="JF262" s="564"/>
      <c r="JG262" s="564"/>
      <c r="JH262" s="564"/>
      <c r="JI262" s="564"/>
      <c r="JJ262" s="564"/>
      <c r="JK262" s="564"/>
      <c r="JL262" s="564"/>
      <c r="JM262" s="564"/>
      <c r="JN262" s="564"/>
      <c r="JO262" s="564"/>
      <c r="JP262" s="564"/>
      <c r="JQ262" s="564"/>
      <c r="JR262" s="564"/>
      <c r="JS262" s="564"/>
      <c r="JT262" s="564"/>
      <c r="JU262" s="564"/>
      <c r="JV262" s="564"/>
    </row>
    <row r="263" spans="1:282" ht="50.1" customHeight="1" x14ac:dyDescent="0.2">
      <c r="A263" s="298"/>
      <c r="B263" s="41" t="s">
        <v>1137</v>
      </c>
      <c r="C263" s="41"/>
      <c r="D263" s="41"/>
      <c r="E263" s="30" t="s">
        <v>2142</v>
      </c>
      <c r="F263" s="196" t="s">
        <v>2221</v>
      </c>
      <c r="G263" s="30" t="s">
        <v>2075</v>
      </c>
      <c r="H263" s="41" t="s">
        <v>1806</v>
      </c>
      <c r="I263" s="41"/>
      <c r="J263" s="30" t="s">
        <v>1169</v>
      </c>
      <c r="K263" s="41" t="s">
        <v>1540</v>
      </c>
      <c r="L263" s="41" t="s">
        <v>685</v>
      </c>
      <c r="M263" s="29" t="s">
        <v>2094</v>
      </c>
      <c r="N263" s="70">
        <v>42237</v>
      </c>
      <c r="O263" s="32" t="s">
        <v>2143</v>
      </c>
      <c r="P263" s="32"/>
      <c r="Q263" s="32"/>
      <c r="R263" s="32"/>
      <c r="S263" s="32"/>
      <c r="T263" s="560"/>
      <c r="U263" s="560"/>
      <c r="V263" s="560"/>
      <c r="W263" s="560"/>
      <c r="X263" s="560"/>
      <c r="Y263" s="560"/>
      <c r="Z263" s="560"/>
      <c r="AA263" s="560"/>
      <c r="AB263" s="560"/>
      <c r="AC263" s="560"/>
      <c r="AD263" s="560"/>
      <c r="AE263" s="560"/>
      <c r="AF263" s="560"/>
      <c r="AG263" s="560"/>
      <c r="AH263" s="560"/>
      <c r="AI263" s="560"/>
      <c r="AJ263" s="73">
        <v>42436</v>
      </c>
      <c r="AK263" s="648"/>
      <c r="AL263" s="174"/>
      <c r="AM263" s="564"/>
      <c r="AN263" s="564"/>
      <c r="AO263" s="564"/>
      <c r="AP263" s="564"/>
      <c r="AQ263" s="564"/>
      <c r="AR263" s="564"/>
      <c r="AS263" s="564"/>
      <c r="AT263" s="564"/>
      <c r="AU263" s="564"/>
      <c r="AV263" s="564"/>
      <c r="AW263" s="564"/>
      <c r="AX263" s="564"/>
      <c r="AY263" s="564"/>
      <c r="AZ263" s="564"/>
      <c r="BA263" s="564"/>
      <c r="BB263" s="564"/>
      <c r="BC263" s="564"/>
      <c r="BD263" s="564"/>
      <c r="BE263" s="564"/>
      <c r="BF263" s="564"/>
      <c r="BG263" s="564"/>
      <c r="BH263" s="564"/>
      <c r="BI263" s="564"/>
      <c r="BJ263" s="564"/>
      <c r="BK263" s="564"/>
      <c r="BL263" s="564"/>
      <c r="BM263" s="564"/>
      <c r="BN263" s="564"/>
      <c r="BO263" s="564"/>
      <c r="BP263" s="564"/>
      <c r="BQ263" s="564"/>
      <c r="BR263" s="564"/>
      <c r="BS263" s="564"/>
      <c r="BT263" s="564"/>
      <c r="BU263" s="564"/>
      <c r="BV263" s="564"/>
      <c r="BW263" s="564"/>
      <c r="BX263" s="564"/>
      <c r="BY263" s="564"/>
      <c r="BZ263" s="564"/>
      <c r="CA263" s="564"/>
      <c r="CB263" s="564"/>
      <c r="CC263" s="564"/>
      <c r="CD263" s="564"/>
      <c r="CE263" s="564"/>
      <c r="CF263" s="564"/>
      <c r="CG263" s="564"/>
      <c r="CH263" s="564"/>
      <c r="CI263" s="564"/>
      <c r="CJ263" s="564"/>
      <c r="CK263" s="564"/>
      <c r="CL263" s="564"/>
      <c r="CM263" s="564"/>
      <c r="CN263" s="564"/>
      <c r="CO263" s="564"/>
      <c r="CP263" s="564"/>
      <c r="CQ263" s="564"/>
      <c r="CR263" s="564"/>
      <c r="CS263" s="564"/>
      <c r="CT263" s="564"/>
      <c r="CU263" s="564"/>
      <c r="CV263" s="564"/>
      <c r="CW263" s="564"/>
      <c r="CX263" s="564"/>
      <c r="CY263" s="564"/>
      <c r="CZ263" s="564"/>
      <c r="DA263" s="564"/>
      <c r="DB263" s="564"/>
      <c r="DC263" s="564"/>
      <c r="DD263" s="564"/>
      <c r="DE263" s="564"/>
      <c r="DF263" s="564"/>
      <c r="DG263" s="564"/>
      <c r="DH263" s="564"/>
      <c r="DI263" s="564"/>
      <c r="DJ263" s="564"/>
      <c r="DK263" s="564"/>
      <c r="DL263" s="564"/>
      <c r="DM263" s="564"/>
      <c r="DN263" s="564"/>
      <c r="DO263" s="564"/>
      <c r="DP263" s="564"/>
      <c r="DQ263" s="564"/>
      <c r="DR263" s="564"/>
      <c r="DS263" s="564"/>
      <c r="DT263" s="564"/>
      <c r="DU263" s="564"/>
      <c r="DV263" s="564"/>
      <c r="DW263" s="564"/>
      <c r="DX263" s="564"/>
      <c r="DY263" s="564"/>
      <c r="DZ263" s="564"/>
      <c r="EA263" s="564"/>
      <c r="EB263" s="564"/>
      <c r="EC263" s="564"/>
      <c r="ED263" s="564"/>
      <c r="EE263" s="564"/>
      <c r="EF263" s="564"/>
      <c r="EG263" s="564"/>
      <c r="EH263" s="564"/>
      <c r="EI263" s="564"/>
      <c r="EJ263" s="564"/>
      <c r="EK263" s="564"/>
      <c r="EL263" s="564"/>
      <c r="EM263" s="564"/>
      <c r="EN263" s="564"/>
      <c r="EO263" s="564"/>
      <c r="EP263" s="564"/>
      <c r="EQ263" s="564"/>
      <c r="ER263" s="564"/>
      <c r="ES263" s="564"/>
      <c r="ET263" s="564"/>
      <c r="EU263" s="564"/>
      <c r="EV263" s="564"/>
      <c r="EW263" s="564"/>
      <c r="EX263" s="564"/>
      <c r="EY263" s="564"/>
      <c r="EZ263" s="564"/>
      <c r="FA263" s="564"/>
      <c r="FB263" s="564"/>
      <c r="FC263" s="564"/>
      <c r="FD263" s="564"/>
      <c r="FE263" s="564"/>
      <c r="FF263" s="564"/>
      <c r="FG263" s="564"/>
      <c r="FH263" s="564"/>
      <c r="FI263" s="564"/>
      <c r="FJ263" s="564"/>
      <c r="FK263" s="564"/>
      <c r="FL263" s="564"/>
      <c r="FM263" s="564"/>
      <c r="FN263" s="564"/>
      <c r="FO263" s="564"/>
      <c r="FP263" s="564"/>
      <c r="FQ263" s="564"/>
      <c r="FR263" s="564"/>
      <c r="FS263" s="564"/>
      <c r="FT263" s="564"/>
      <c r="FU263" s="564"/>
      <c r="FV263" s="564"/>
      <c r="FW263" s="564"/>
      <c r="FX263" s="564"/>
      <c r="FY263" s="564"/>
      <c r="FZ263" s="564"/>
      <c r="GA263" s="564"/>
      <c r="GB263" s="564"/>
      <c r="GC263" s="564"/>
      <c r="GD263" s="564"/>
      <c r="GE263" s="564"/>
      <c r="GF263" s="564"/>
      <c r="GG263" s="564"/>
      <c r="GH263" s="564"/>
      <c r="GI263" s="564"/>
      <c r="GJ263" s="564"/>
      <c r="GK263" s="564"/>
      <c r="GL263" s="564"/>
      <c r="GM263" s="564"/>
      <c r="GN263" s="564"/>
      <c r="GO263" s="564"/>
      <c r="GP263" s="564"/>
      <c r="GQ263" s="564"/>
      <c r="GR263" s="564"/>
      <c r="GS263" s="564"/>
      <c r="GT263" s="564"/>
      <c r="GU263" s="564"/>
      <c r="GV263" s="564"/>
      <c r="GW263" s="564"/>
      <c r="GX263" s="564"/>
      <c r="GY263" s="564"/>
      <c r="GZ263" s="564"/>
      <c r="HA263" s="564"/>
      <c r="HB263" s="564"/>
      <c r="HC263" s="564"/>
      <c r="HD263" s="564"/>
      <c r="HE263" s="564"/>
      <c r="HF263" s="564"/>
      <c r="HG263" s="564"/>
      <c r="HH263" s="564"/>
      <c r="HI263" s="564"/>
      <c r="HJ263" s="564"/>
      <c r="HK263" s="564"/>
      <c r="HL263" s="564"/>
      <c r="HM263" s="564"/>
      <c r="HN263" s="564"/>
      <c r="HO263" s="564"/>
      <c r="HP263" s="564"/>
      <c r="HQ263" s="564"/>
      <c r="HR263" s="564"/>
      <c r="HS263" s="564"/>
      <c r="HT263" s="564"/>
      <c r="HU263" s="564"/>
      <c r="HV263" s="564"/>
      <c r="HW263" s="564"/>
      <c r="HX263" s="564"/>
      <c r="HY263" s="564"/>
      <c r="HZ263" s="564"/>
      <c r="IA263" s="564"/>
      <c r="IB263" s="564"/>
      <c r="IC263" s="564"/>
      <c r="ID263" s="564"/>
      <c r="IE263" s="564"/>
      <c r="IF263" s="564"/>
      <c r="IG263" s="564"/>
      <c r="IH263" s="564"/>
      <c r="II263" s="564"/>
      <c r="IJ263" s="564"/>
      <c r="IK263" s="564"/>
      <c r="IL263" s="564"/>
      <c r="IM263" s="564"/>
      <c r="IN263" s="564"/>
      <c r="IO263" s="564"/>
      <c r="IP263" s="564"/>
      <c r="IQ263" s="564"/>
      <c r="IR263" s="564"/>
      <c r="IS263" s="564"/>
      <c r="IT263" s="564"/>
      <c r="IU263" s="564"/>
      <c r="IV263" s="564"/>
      <c r="IW263" s="564"/>
      <c r="IX263" s="564"/>
      <c r="IY263" s="564"/>
      <c r="IZ263" s="564"/>
      <c r="JA263" s="564"/>
      <c r="JB263" s="564"/>
      <c r="JC263" s="564"/>
      <c r="JD263" s="564"/>
      <c r="JE263" s="564"/>
      <c r="JF263" s="564"/>
      <c r="JG263" s="564"/>
      <c r="JH263" s="564"/>
      <c r="JI263" s="564"/>
      <c r="JJ263" s="564"/>
      <c r="JK263" s="564"/>
      <c r="JL263" s="564"/>
      <c r="JM263" s="564"/>
      <c r="JN263" s="564"/>
      <c r="JO263" s="564"/>
      <c r="JP263" s="564"/>
      <c r="JQ263" s="564"/>
      <c r="JR263" s="564"/>
      <c r="JS263" s="564"/>
      <c r="JT263" s="564"/>
      <c r="JU263" s="564"/>
      <c r="JV263" s="564"/>
    </row>
    <row r="264" spans="1:282" ht="50.1" customHeight="1" x14ac:dyDescent="0.2">
      <c r="A264" s="298"/>
      <c r="B264" s="107" t="s">
        <v>1137</v>
      </c>
      <c r="C264" s="107"/>
      <c r="D264" s="107"/>
      <c r="E264" s="29" t="s">
        <v>2213</v>
      </c>
      <c r="F264" s="104" t="s">
        <v>2226</v>
      </c>
      <c r="G264" s="41" t="s">
        <v>53</v>
      </c>
      <c r="H264" s="30" t="s">
        <v>1806</v>
      </c>
      <c r="I264" s="30"/>
      <c r="J264" s="30" t="s">
        <v>2197</v>
      </c>
      <c r="K264" s="41" t="s">
        <v>1393</v>
      </c>
      <c r="L264" s="107" t="s">
        <v>879</v>
      </c>
      <c r="M264" s="29" t="s">
        <v>1615</v>
      </c>
      <c r="N264" s="70">
        <v>42328</v>
      </c>
      <c r="O264" s="32" t="s">
        <v>2214</v>
      </c>
      <c r="P264" s="32"/>
      <c r="Q264" s="32"/>
      <c r="R264" s="32"/>
      <c r="S264" s="32"/>
      <c r="T264" s="560"/>
      <c r="U264" s="560"/>
      <c r="V264" s="560"/>
      <c r="W264" s="560"/>
      <c r="X264" s="560"/>
      <c r="Y264" s="560"/>
      <c r="Z264" s="560"/>
      <c r="AA264" s="560"/>
      <c r="AB264" s="560"/>
      <c r="AC264" s="560"/>
      <c r="AD264" s="560"/>
      <c r="AE264" s="560"/>
      <c r="AF264" s="560"/>
      <c r="AG264" s="560"/>
      <c r="AH264" s="560"/>
      <c r="AI264" s="560"/>
      <c r="AJ264" s="73">
        <v>42436</v>
      </c>
      <c r="AK264" s="648"/>
      <c r="AL264" s="174"/>
      <c r="AM264" s="564"/>
      <c r="AN264" s="564"/>
      <c r="AO264" s="564"/>
      <c r="AP264" s="564"/>
      <c r="AQ264" s="564"/>
      <c r="AR264" s="564"/>
      <c r="AS264" s="564"/>
      <c r="AT264" s="564"/>
      <c r="AU264" s="564"/>
      <c r="AV264" s="564"/>
      <c r="AW264" s="564"/>
      <c r="AX264" s="564"/>
      <c r="AY264" s="564"/>
      <c r="AZ264" s="564"/>
      <c r="BA264" s="564"/>
      <c r="BB264" s="564"/>
      <c r="BC264" s="564"/>
      <c r="BD264" s="564"/>
      <c r="BE264" s="564"/>
      <c r="BF264" s="564"/>
      <c r="BG264" s="564"/>
      <c r="BH264" s="564"/>
      <c r="BI264" s="564"/>
      <c r="BJ264" s="564"/>
      <c r="BK264" s="564"/>
      <c r="BL264" s="564"/>
      <c r="BM264" s="564"/>
      <c r="BN264" s="564"/>
      <c r="BO264" s="564"/>
      <c r="BP264" s="564"/>
      <c r="BQ264" s="564"/>
      <c r="BR264" s="564"/>
      <c r="BS264" s="564"/>
      <c r="BT264" s="564"/>
      <c r="BU264" s="564"/>
      <c r="BV264" s="564"/>
      <c r="BW264" s="564"/>
      <c r="BX264" s="564"/>
      <c r="BY264" s="564"/>
      <c r="BZ264" s="564"/>
      <c r="CA264" s="564"/>
      <c r="CB264" s="564"/>
      <c r="CC264" s="564"/>
      <c r="CD264" s="564"/>
      <c r="CE264" s="564"/>
      <c r="CF264" s="564"/>
      <c r="CG264" s="564"/>
      <c r="CH264" s="564"/>
      <c r="CI264" s="564"/>
      <c r="CJ264" s="564"/>
      <c r="CK264" s="564"/>
      <c r="CL264" s="564"/>
      <c r="CM264" s="564"/>
      <c r="CN264" s="564"/>
      <c r="CO264" s="564"/>
      <c r="CP264" s="564"/>
      <c r="CQ264" s="564"/>
      <c r="CR264" s="564"/>
      <c r="CS264" s="564"/>
      <c r="CT264" s="564"/>
      <c r="CU264" s="564"/>
      <c r="CV264" s="564"/>
      <c r="CW264" s="564"/>
      <c r="CX264" s="564"/>
      <c r="CY264" s="564"/>
      <c r="CZ264" s="564"/>
      <c r="DA264" s="564"/>
      <c r="DB264" s="564"/>
      <c r="DC264" s="564"/>
      <c r="DD264" s="564"/>
      <c r="DE264" s="564"/>
      <c r="DF264" s="564"/>
      <c r="DG264" s="564"/>
      <c r="DH264" s="564"/>
      <c r="DI264" s="564"/>
      <c r="DJ264" s="564"/>
      <c r="DK264" s="564"/>
      <c r="DL264" s="564"/>
      <c r="DM264" s="564"/>
      <c r="DN264" s="564"/>
      <c r="DO264" s="564"/>
      <c r="DP264" s="564"/>
      <c r="DQ264" s="564"/>
      <c r="DR264" s="564"/>
      <c r="DS264" s="564"/>
      <c r="DT264" s="564"/>
      <c r="DU264" s="564"/>
      <c r="DV264" s="564"/>
      <c r="DW264" s="564"/>
      <c r="DX264" s="564"/>
      <c r="DY264" s="564"/>
      <c r="DZ264" s="564"/>
      <c r="EA264" s="564"/>
      <c r="EB264" s="564"/>
      <c r="EC264" s="564"/>
      <c r="ED264" s="564"/>
      <c r="EE264" s="564"/>
      <c r="EF264" s="564"/>
      <c r="EG264" s="564"/>
      <c r="EH264" s="564"/>
      <c r="EI264" s="564"/>
      <c r="EJ264" s="564"/>
      <c r="EK264" s="564"/>
      <c r="EL264" s="564"/>
      <c r="EM264" s="564"/>
      <c r="EN264" s="564"/>
      <c r="EO264" s="564"/>
      <c r="EP264" s="564"/>
      <c r="EQ264" s="564"/>
      <c r="ER264" s="564"/>
      <c r="ES264" s="564"/>
      <c r="ET264" s="564"/>
      <c r="EU264" s="564"/>
      <c r="EV264" s="564"/>
      <c r="EW264" s="564"/>
      <c r="EX264" s="564"/>
      <c r="EY264" s="564"/>
      <c r="EZ264" s="564"/>
      <c r="FA264" s="564"/>
      <c r="FB264" s="564"/>
      <c r="FC264" s="564"/>
      <c r="FD264" s="564"/>
      <c r="FE264" s="564"/>
      <c r="FF264" s="564"/>
      <c r="FG264" s="564"/>
      <c r="FH264" s="564"/>
      <c r="FI264" s="564"/>
      <c r="FJ264" s="564"/>
      <c r="FK264" s="564"/>
      <c r="FL264" s="564"/>
      <c r="FM264" s="564"/>
      <c r="FN264" s="564"/>
      <c r="FO264" s="564"/>
      <c r="FP264" s="564"/>
      <c r="FQ264" s="564"/>
      <c r="FR264" s="564"/>
      <c r="FS264" s="564"/>
      <c r="FT264" s="564"/>
      <c r="FU264" s="564"/>
      <c r="FV264" s="564"/>
      <c r="FW264" s="564"/>
      <c r="FX264" s="564"/>
      <c r="FY264" s="564"/>
      <c r="FZ264" s="564"/>
      <c r="GA264" s="564"/>
      <c r="GB264" s="564"/>
      <c r="GC264" s="564"/>
      <c r="GD264" s="564"/>
      <c r="GE264" s="564"/>
      <c r="GF264" s="564"/>
      <c r="GG264" s="564"/>
      <c r="GH264" s="564"/>
      <c r="GI264" s="564"/>
      <c r="GJ264" s="564"/>
      <c r="GK264" s="564"/>
      <c r="GL264" s="564"/>
      <c r="GM264" s="564"/>
      <c r="GN264" s="564"/>
      <c r="GO264" s="564"/>
      <c r="GP264" s="564"/>
      <c r="GQ264" s="564"/>
      <c r="GR264" s="564"/>
      <c r="GS264" s="564"/>
      <c r="GT264" s="564"/>
      <c r="GU264" s="564"/>
      <c r="GV264" s="564"/>
      <c r="GW264" s="564"/>
      <c r="GX264" s="564"/>
      <c r="GY264" s="564"/>
      <c r="GZ264" s="564"/>
      <c r="HA264" s="564"/>
      <c r="HB264" s="564"/>
      <c r="HC264" s="564"/>
      <c r="HD264" s="564"/>
      <c r="HE264" s="564"/>
      <c r="HF264" s="564"/>
      <c r="HG264" s="564"/>
      <c r="HH264" s="564"/>
      <c r="HI264" s="564"/>
      <c r="HJ264" s="564"/>
      <c r="HK264" s="564"/>
      <c r="HL264" s="564"/>
      <c r="HM264" s="564"/>
      <c r="HN264" s="564"/>
      <c r="HO264" s="564"/>
      <c r="HP264" s="564"/>
      <c r="HQ264" s="564"/>
      <c r="HR264" s="564"/>
      <c r="HS264" s="564"/>
      <c r="HT264" s="564"/>
      <c r="HU264" s="564"/>
      <c r="HV264" s="564"/>
      <c r="HW264" s="564"/>
      <c r="HX264" s="564"/>
      <c r="HY264" s="564"/>
      <c r="HZ264" s="564"/>
      <c r="IA264" s="564"/>
      <c r="IB264" s="564"/>
      <c r="IC264" s="564"/>
      <c r="ID264" s="564"/>
      <c r="IE264" s="564"/>
      <c r="IF264" s="564"/>
      <c r="IG264" s="564"/>
      <c r="IH264" s="564"/>
      <c r="II264" s="564"/>
      <c r="IJ264" s="564"/>
      <c r="IK264" s="564"/>
      <c r="IL264" s="564"/>
      <c r="IM264" s="564"/>
      <c r="IN264" s="564"/>
      <c r="IO264" s="564"/>
      <c r="IP264" s="564"/>
      <c r="IQ264" s="564"/>
      <c r="IR264" s="564"/>
      <c r="IS264" s="564"/>
      <c r="IT264" s="564"/>
      <c r="IU264" s="564"/>
      <c r="IV264" s="564"/>
      <c r="IW264" s="564"/>
      <c r="IX264" s="564"/>
      <c r="IY264" s="564"/>
      <c r="IZ264" s="564"/>
      <c r="JA264" s="564"/>
      <c r="JB264" s="564"/>
      <c r="JC264" s="564"/>
      <c r="JD264" s="564"/>
      <c r="JE264" s="564"/>
      <c r="JF264" s="564"/>
      <c r="JG264" s="564"/>
      <c r="JH264" s="564"/>
      <c r="JI264" s="564"/>
      <c r="JJ264" s="564"/>
      <c r="JK264" s="564"/>
      <c r="JL264" s="564"/>
      <c r="JM264" s="564"/>
      <c r="JN264" s="564"/>
      <c r="JO264" s="564"/>
      <c r="JP264" s="564"/>
      <c r="JQ264" s="564"/>
      <c r="JR264" s="564"/>
      <c r="JS264" s="564"/>
      <c r="JT264" s="564"/>
      <c r="JU264" s="564"/>
      <c r="JV264" s="564"/>
    </row>
    <row r="265" spans="1:282" ht="50.1" customHeight="1" x14ac:dyDescent="0.2">
      <c r="A265" s="298"/>
      <c r="B265" s="41" t="s">
        <v>1137</v>
      </c>
      <c r="C265" s="41"/>
      <c r="D265" s="41"/>
      <c r="E265" s="29" t="s">
        <v>2244</v>
      </c>
      <c r="F265" s="196" t="s">
        <v>2228</v>
      </c>
      <c r="G265" s="41" t="s">
        <v>144</v>
      </c>
      <c r="H265" s="41" t="s">
        <v>1806</v>
      </c>
      <c r="I265" s="41"/>
      <c r="J265" s="30" t="s">
        <v>2481</v>
      </c>
      <c r="K265" s="41" t="s">
        <v>1394</v>
      </c>
      <c r="L265" s="41" t="s">
        <v>685</v>
      </c>
      <c r="M265" s="29" t="s">
        <v>1615</v>
      </c>
      <c r="N265" s="70">
        <v>42339</v>
      </c>
      <c r="O265" s="32" t="s">
        <v>2245</v>
      </c>
      <c r="P265" s="32"/>
      <c r="Q265" s="32"/>
      <c r="R265" s="32"/>
      <c r="S265" s="32"/>
      <c r="T265" s="560"/>
      <c r="U265" s="560"/>
      <c r="V265" s="560"/>
      <c r="W265" s="560"/>
      <c r="X265" s="560"/>
      <c r="Y265" s="560"/>
      <c r="Z265" s="560"/>
      <c r="AA265" s="560"/>
      <c r="AB265" s="560"/>
      <c r="AC265" s="560"/>
      <c r="AD265" s="560"/>
      <c r="AE265" s="560"/>
      <c r="AF265" s="560"/>
      <c r="AG265" s="560"/>
      <c r="AH265" s="560"/>
      <c r="AI265" s="560"/>
      <c r="AJ265" s="73">
        <v>42436</v>
      </c>
      <c r="AK265" s="648"/>
      <c r="AL265" s="174"/>
      <c r="AM265" s="564"/>
      <c r="AN265" s="564"/>
      <c r="AO265" s="564"/>
      <c r="AP265" s="564"/>
      <c r="AQ265" s="564"/>
      <c r="AR265" s="564"/>
      <c r="AS265" s="564"/>
      <c r="AT265" s="564"/>
      <c r="AU265" s="564"/>
      <c r="AV265" s="564"/>
      <c r="AW265" s="564"/>
      <c r="AX265" s="564"/>
      <c r="AY265" s="564"/>
      <c r="AZ265" s="564"/>
      <c r="BA265" s="564"/>
      <c r="BB265" s="564"/>
      <c r="BC265" s="564"/>
      <c r="BD265" s="564"/>
      <c r="BE265" s="564"/>
      <c r="BF265" s="564"/>
      <c r="BG265" s="564"/>
      <c r="BH265" s="564"/>
      <c r="BI265" s="564"/>
      <c r="BJ265" s="564"/>
      <c r="BK265" s="564"/>
      <c r="BL265" s="564"/>
      <c r="BM265" s="564"/>
      <c r="BN265" s="564"/>
      <c r="BO265" s="564"/>
      <c r="BP265" s="564"/>
      <c r="BQ265" s="564"/>
      <c r="BR265" s="564"/>
      <c r="BS265" s="564"/>
      <c r="BT265" s="564"/>
      <c r="BU265" s="564"/>
      <c r="BV265" s="564"/>
      <c r="BW265" s="564"/>
      <c r="BX265" s="564"/>
      <c r="BY265" s="564"/>
      <c r="BZ265" s="564"/>
      <c r="CA265" s="564"/>
      <c r="CB265" s="564"/>
      <c r="CC265" s="564"/>
      <c r="CD265" s="564"/>
      <c r="CE265" s="564"/>
      <c r="CF265" s="564"/>
      <c r="CG265" s="564"/>
      <c r="CH265" s="564"/>
      <c r="CI265" s="564"/>
      <c r="CJ265" s="564"/>
      <c r="CK265" s="564"/>
      <c r="CL265" s="564"/>
      <c r="CM265" s="564"/>
      <c r="CN265" s="564"/>
      <c r="CO265" s="564"/>
      <c r="CP265" s="564"/>
      <c r="CQ265" s="564"/>
      <c r="CR265" s="564"/>
      <c r="CS265" s="564"/>
      <c r="CT265" s="564"/>
      <c r="CU265" s="564"/>
      <c r="CV265" s="564"/>
      <c r="CW265" s="564"/>
      <c r="CX265" s="564"/>
      <c r="CY265" s="564"/>
      <c r="CZ265" s="564"/>
      <c r="DA265" s="564"/>
      <c r="DB265" s="564"/>
      <c r="DC265" s="564"/>
      <c r="DD265" s="564"/>
      <c r="DE265" s="564"/>
      <c r="DF265" s="564"/>
      <c r="DG265" s="564"/>
      <c r="DH265" s="564"/>
      <c r="DI265" s="564"/>
      <c r="DJ265" s="564"/>
      <c r="DK265" s="564"/>
      <c r="DL265" s="564"/>
      <c r="DM265" s="564"/>
      <c r="DN265" s="564"/>
      <c r="DO265" s="564"/>
      <c r="DP265" s="564"/>
      <c r="DQ265" s="564"/>
      <c r="DR265" s="564"/>
      <c r="DS265" s="564"/>
      <c r="DT265" s="564"/>
      <c r="DU265" s="564"/>
      <c r="DV265" s="564"/>
      <c r="DW265" s="564"/>
      <c r="DX265" s="564"/>
      <c r="DY265" s="564"/>
      <c r="DZ265" s="564"/>
      <c r="EA265" s="564"/>
      <c r="EB265" s="564"/>
      <c r="EC265" s="564"/>
      <c r="ED265" s="564"/>
      <c r="EE265" s="564"/>
      <c r="EF265" s="564"/>
      <c r="EG265" s="564"/>
      <c r="EH265" s="564"/>
      <c r="EI265" s="564"/>
      <c r="EJ265" s="564"/>
      <c r="EK265" s="564"/>
      <c r="EL265" s="564"/>
      <c r="EM265" s="564"/>
      <c r="EN265" s="564"/>
      <c r="EO265" s="564"/>
      <c r="EP265" s="564"/>
      <c r="EQ265" s="564"/>
      <c r="ER265" s="564"/>
      <c r="ES265" s="564"/>
      <c r="ET265" s="564"/>
      <c r="EU265" s="564"/>
      <c r="EV265" s="564"/>
      <c r="EW265" s="564"/>
      <c r="EX265" s="564"/>
      <c r="EY265" s="564"/>
      <c r="EZ265" s="564"/>
      <c r="FA265" s="564"/>
      <c r="FB265" s="564"/>
      <c r="FC265" s="564"/>
      <c r="FD265" s="564"/>
      <c r="FE265" s="564"/>
      <c r="FF265" s="564"/>
      <c r="FG265" s="564"/>
      <c r="FH265" s="564"/>
      <c r="FI265" s="564"/>
      <c r="FJ265" s="564"/>
      <c r="FK265" s="564"/>
      <c r="FL265" s="564"/>
      <c r="FM265" s="564"/>
      <c r="FN265" s="564"/>
      <c r="FO265" s="564"/>
      <c r="FP265" s="564"/>
      <c r="FQ265" s="564"/>
      <c r="FR265" s="564"/>
      <c r="FS265" s="564"/>
      <c r="FT265" s="564"/>
      <c r="FU265" s="564"/>
      <c r="FV265" s="564"/>
      <c r="FW265" s="564"/>
      <c r="FX265" s="564"/>
      <c r="FY265" s="564"/>
      <c r="FZ265" s="564"/>
      <c r="GA265" s="564"/>
      <c r="GB265" s="564"/>
      <c r="GC265" s="564"/>
      <c r="GD265" s="564"/>
      <c r="GE265" s="564"/>
      <c r="GF265" s="564"/>
      <c r="GG265" s="564"/>
      <c r="GH265" s="564"/>
      <c r="GI265" s="564"/>
      <c r="GJ265" s="564"/>
      <c r="GK265" s="564"/>
      <c r="GL265" s="564"/>
      <c r="GM265" s="564"/>
      <c r="GN265" s="564"/>
      <c r="GO265" s="564"/>
      <c r="GP265" s="564"/>
      <c r="GQ265" s="564"/>
      <c r="GR265" s="564"/>
      <c r="GS265" s="564"/>
      <c r="GT265" s="564"/>
      <c r="GU265" s="564"/>
      <c r="GV265" s="564"/>
      <c r="GW265" s="564"/>
      <c r="GX265" s="564"/>
      <c r="GY265" s="564"/>
      <c r="GZ265" s="564"/>
      <c r="HA265" s="564"/>
      <c r="HB265" s="564"/>
      <c r="HC265" s="564"/>
      <c r="HD265" s="564"/>
      <c r="HE265" s="564"/>
      <c r="HF265" s="564"/>
      <c r="HG265" s="564"/>
      <c r="HH265" s="564"/>
      <c r="HI265" s="564"/>
      <c r="HJ265" s="564"/>
      <c r="HK265" s="564"/>
      <c r="HL265" s="564"/>
      <c r="HM265" s="564"/>
      <c r="HN265" s="564"/>
      <c r="HO265" s="564"/>
      <c r="HP265" s="564"/>
      <c r="HQ265" s="564"/>
      <c r="HR265" s="564"/>
      <c r="HS265" s="564"/>
      <c r="HT265" s="564"/>
      <c r="HU265" s="564"/>
      <c r="HV265" s="564"/>
      <c r="HW265" s="564"/>
      <c r="HX265" s="564"/>
      <c r="HY265" s="564"/>
      <c r="HZ265" s="564"/>
      <c r="IA265" s="564"/>
      <c r="IB265" s="564"/>
      <c r="IC265" s="564"/>
      <c r="ID265" s="564"/>
      <c r="IE265" s="564"/>
      <c r="IF265" s="564"/>
      <c r="IG265" s="564"/>
      <c r="IH265" s="564"/>
      <c r="II265" s="564"/>
      <c r="IJ265" s="564"/>
      <c r="IK265" s="564"/>
      <c r="IL265" s="564"/>
      <c r="IM265" s="564"/>
      <c r="IN265" s="564"/>
      <c r="IO265" s="564"/>
      <c r="IP265" s="564"/>
      <c r="IQ265" s="564"/>
      <c r="IR265" s="564"/>
      <c r="IS265" s="564"/>
      <c r="IT265" s="564"/>
      <c r="IU265" s="564"/>
      <c r="IV265" s="564"/>
      <c r="IW265" s="564"/>
      <c r="IX265" s="564"/>
      <c r="IY265" s="564"/>
      <c r="IZ265" s="564"/>
      <c r="JA265" s="564"/>
      <c r="JB265" s="564"/>
      <c r="JC265" s="564"/>
      <c r="JD265" s="564"/>
      <c r="JE265" s="564"/>
      <c r="JF265" s="564"/>
      <c r="JG265" s="564"/>
      <c r="JH265" s="564"/>
      <c r="JI265" s="564"/>
      <c r="JJ265" s="564"/>
      <c r="JK265" s="564"/>
      <c r="JL265" s="564"/>
      <c r="JM265" s="564"/>
      <c r="JN265" s="564"/>
      <c r="JO265" s="564"/>
      <c r="JP265" s="564"/>
      <c r="JQ265" s="564"/>
      <c r="JR265" s="564"/>
      <c r="JS265" s="564"/>
      <c r="JT265" s="564"/>
      <c r="JU265" s="564"/>
      <c r="JV265" s="564"/>
    </row>
    <row r="266" spans="1:282" ht="50.1" customHeight="1" x14ac:dyDescent="0.2">
      <c r="A266" s="298"/>
      <c r="B266" s="41" t="s">
        <v>1137</v>
      </c>
      <c r="C266" s="41"/>
      <c r="D266" s="41"/>
      <c r="E266" s="30" t="s">
        <v>2308</v>
      </c>
      <c r="F266" s="196" t="s">
        <v>2309</v>
      </c>
      <c r="G266" s="41" t="s">
        <v>240</v>
      </c>
      <c r="H266" s="41" t="s">
        <v>1806</v>
      </c>
      <c r="I266" s="41"/>
      <c r="J266" s="30" t="s">
        <v>763</v>
      </c>
      <c r="K266" s="41" t="s">
        <v>1393</v>
      </c>
      <c r="L266" s="30" t="s">
        <v>12</v>
      </c>
      <c r="M266" s="30" t="s">
        <v>2094</v>
      </c>
      <c r="N266" s="70">
        <v>42355</v>
      </c>
      <c r="O266" s="106" t="s">
        <v>2310</v>
      </c>
      <c r="P266" s="106"/>
      <c r="Q266" s="106"/>
      <c r="R266" s="106"/>
      <c r="S266" s="106"/>
      <c r="T266" s="560"/>
      <c r="U266" s="560"/>
      <c r="V266" s="560"/>
      <c r="W266" s="560"/>
      <c r="X266" s="560"/>
      <c r="Y266" s="560"/>
      <c r="Z266" s="560"/>
      <c r="AA266" s="560"/>
      <c r="AB266" s="560"/>
      <c r="AC266" s="560"/>
      <c r="AD266" s="560"/>
      <c r="AE266" s="560"/>
      <c r="AF266" s="560"/>
      <c r="AG266" s="560"/>
      <c r="AH266" s="560"/>
      <c r="AI266" s="560"/>
      <c r="AJ266" s="73">
        <v>42436</v>
      </c>
      <c r="AK266" s="648"/>
      <c r="AL266" s="174"/>
      <c r="AM266" s="564"/>
      <c r="AN266" s="564"/>
      <c r="AO266" s="564"/>
      <c r="AP266" s="564"/>
      <c r="AQ266" s="564"/>
      <c r="AR266" s="564"/>
      <c r="AS266" s="564"/>
      <c r="AT266" s="564"/>
      <c r="AU266" s="564"/>
      <c r="AV266" s="564"/>
      <c r="AW266" s="564"/>
      <c r="AX266" s="564"/>
      <c r="AY266" s="564"/>
      <c r="AZ266" s="564"/>
      <c r="BA266" s="564"/>
      <c r="BB266" s="564"/>
      <c r="BC266" s="564"/>
      <c r="BD266" s="564"/>
      <c r="BE266" s="564"/>
      <c r="BF266" s="564"/>
      <c r="BG266" s="564"/>
      <c r="BH266" s="564"/>
      <c r="BI266" s="564"/>
      <c r="BJ266" s="564"/>
      <c r="BK266" s="564"/>
      <c r="BL266" s="564"/>
      <c r="BM266" s="564"/>
      <c r="BN266" s="564"/>
      <c r="BO266" s="564"/>
      <c r="BP266" s="564"/>
      <c r="BQ266" s="564"/>
      <c r="BR266" s="564"/>
      <c r="BS266" s="564"/>
      <c r="BT266" s="564"/>
      <c r="BU266" s="564"/>
      <c r="BV266" s="564"/>
      <c r="BW266" s="564"/>
      <c r="BX266" s="564"/>
      <c r="BY266" s="564"/>
      <c r="BZ266" s="564"/>
      <c r="CA266" s="564"/>
      <c r="CB266" s="564"/>
      <c r="CC266" s="564"/>
      <c r="CD266" s="564"/>
      <c r="CE266" s="564"/>
      <c r="CF266" s="564"/>
      <c r="CG266" s="564"/>
      <c r="CH266" s="564"/>
      <c r="CI266" s="564"/>
      <c r="CJ266" s="564"/>
      <c r="CK266" s="564"/>
      <c r="CL266" s="564"/>
      <c r="CM266" s="564"/>
      <c r="CN266" s="564"/>
      <c r="CO266" s="564"/>
      <c r="CP266" s="564"/>
      <c r="CQ266" s="564"/>
      <c r="CR266" s="564"/>
      <c r="CS266" s="564"/>
      <c r="CT266" s="564"/>
      <c r="CU266" s="564"/>
      <c r="CV266" s="564"/>
      <c r="CW266" s="564"/>
      <c r="CX266" s="564"/>
      <c r="CY266" s="564"/>
      <c r="CZ266" s="564"/>
      <c r="DA266" s="564"/>
      <c r="DB266" s="564"/>
      <c r="DC266" s="564"/>
      <c r="DD266" s="564"/>
      <c r="DE266" s="564"/>
      <c r="DF266" s="564"/>
      <c r="DG266" s="564"/>
      <c r="DH266" s="564"/>
      <c r="DI266" s="564"/>
      <c r="DJ266" s="564"/>
      <c r="DK266" s="564"/>
      <c r="DL266" s="564"/>
      <c r="DM266" s="564"/>
      <c r="DN266" s="564"/>
      <c r="DO266" s="564"/>
      <c r="DP266" s="564"/>
      <c r="DQ266" s="564"/>
      <c r="DR266" s="564"/>
      <c r="DS266" s="564"/>
      <c r="DT266" s="564"/>
      <c r="DU266" s="564"/>
      <c r="DV266" s="564"/>
      <c r="DW266" s="564"/>
      <c r="DX266" s="564"/>
      <c r="DY266" s="564"/>
      <c r="DZ266" s="564"/>
      <c r="EA266" s="564"/>
      <c r="EB266" s="564"/>
      <c r="EC266" s="564"/>
      <c r="ED266" s="564"/>
      <c r="EE266" s="564"/>
      <c r="EF266" s="564"/>
      <c r="EG266" s="564"/>
      <c r="EH266" s="564"/>
      <c r="EI266" s="564"/>
      <c r="EJ266" s="564"/>
      <c r="EK266" s="564"/>
      <c r="EL266" s="564"/>
      <c r="EM266" s="564"/>
      <c r="EN266" s="564"/>
      <c r="EO266" s="564"/>
      <c r="EP266" s="564"/>
      <c r="EQ266" s="564"/>
      <c r="ER266" s="564"/>
      <c r="ES266" s="564"/>
      <c r="ET266" s="564"/>
      <c r="EU266" s="564"/>
      <c r="EV266" s="564"/>
      <c r="EW266" s="564"/>
      <c r="EX266" s="564"/>
      <c r="EY266" s="564"/>
      <c r="EZ266" s="564"/>
      <c r="FA266" s="564"/>
      <c r="FB266" s="564"/>
      <c r="FC266" s="564"/>
      <c r="FD266" s="564"/>
      <c r="FE266" s="564"/>
      <c r="FF266" s="564"/>
      <c r="FG266" s="564"/>
      <c r="FH266" s="564"/>
      <c r="FI266" s="564"/>
      <c r="FJ266" s="564"/>
      <c r="FK266" s="564"/>
      <c r="FL266" s="564"/>
      <c r="FM266" s="564"/>
      <c r="FN266" s="564"/>
      <c r="FO266" s="564"/>
      <c r="FP266" s="564"/>
      <c r="FQ266" s="564"/>
      <c r="FR266" s="564"/>
      <c r="FS266" s="564"/>
      <c r="FT266" s="564"/>
      <c r="FU266" s="564"/>
      <c r="FV266" s="564"/>
      <c r="FW266" s="564"/>
      <c r="FX266" s="564"/>
      <c r="FY266" s="564"/>
      <c r="FZ266" s="564"/>
      <c r="GA266" s="564"/>
      <c r="GB266" s="564"/>
      <c r="GC266" s="564"/>
      <c r="GD266" s="564"/>
      <c r="GE266" s="564"/>
      <c r="GF266" s="564"/>
      <c r="GG266" s="564"/>
      <c r="GH266" s="564"/>
      <c r="GI266" s="564"/>
      <c r="GJ266" s="564"/>
      <c r="GK266" s="564"/>
      <c r="GL266" s="564"/>
      <c r="GM266" s="564"/>
      <c r="GN266" s="564"/>
      <c r="GO266" s="564"/>
      <c r="GP266" s="564"/>
      <c r="GQ266" s="564"/>
      <c r="GR266" s="564"/>
      <c r="GS266" s="564"/>
      <c r="GT266" s="564"/>
      <c r="GU266" s="564"/>
      <c r="GV266" s="564"/>
      <c r="GW266" s="564"/>
      <c r="GX266" s="564"/>
      <c r="GY266" s="564"/>
      <c r="GZ266" s="564"/>
      <c r="HA266" s="564"/>
      <c r="HB266" s="564"/>
      <c r="HC266" s="564"/>
      <c r="HD266" s="564"/>
      <c r="HE266" s="564"/>
      <c r="HF266" s="564"/>
      <c r="HG266" s="564"/>
      <c r="HH266" s="564"/>
      <c r="HI266" s="564"/>
      <c r="HJ266" s="564"/>
      <c r="HK266" s="564"/>
      <c r="HL266" s="564"/>
      <c r="HM266" s="564"/>
      <c r="HN266" s="564"/>
      <c r="HO266" s="564"/>
      <c r="HP266" s="564"/>
      <c r="HQ266" s="564"/>
      <c r="HR266" s="564"/>
      <c r="HS266" s="564"/>
      <c r="HT266" s="564"/>
      <c r="HU266" s="564"/>
      <c r="HV266" s="564"/>
      <c r="HW266" s="564"/>
      <c r="HX266" s="564"/>
      <c r="HY266" s="564"/>
      <c r="HZ266" s="564"/>
      <c r="IA266" s="564"/>
      <c r="IB266" s="564"/>
      <c r="IC266" s="564"/>
      <c r="ID266" s="564"/>
      <c r="IE266" s="564"/>
      <c r="IF266" s="564"/>
      <c r="IG266" s="564"/>
      <c r="IH266" s="564"/>
      <c r="II266" s="564"/>
      <c r="IJ266" s="564"/>
      <c r="IK266" s="564"/>
      <c r="IL266" s="564"/>
      <c r="IM266" s="564"/>
      <c r="IN266" s="564"/>
      <c r="IO266" s="564"/>
      <c r="IP266" s="564"/>
      <c r="IQ266" s="564"/>
      <c r="IR266" s="564"/>
      <c r="IS266" s="564"/>
      <c r="IT266" s="564"/>
      <c r="IU266" s="564"/>
      <c r="IV266" s="564"/>
      <c r="IW266" s="564"/>
      <c r="IX266" s="564"/>
      <c r="IY266" s="564"/>
      <c r="IZ266" s="564"/>
      <c r="JA266" s="564"/>
      <c r="JB266" s="564"/>
      <c r="JC266" s="564"/>
      <c r="JD266" s="564"/>
      <c r="JE266" s="564"/>
      <c r="JF266" s="564"/>
      <c r="JG266" s="564"/>
      <c r="JH266" s="564"/>
      <c r="JI266" s="564"/>
      <c r="JJ266" s="564"/>
      <c r="JK266" s="564"/>
      <c r="JL266" s="564"/>
      <c r="JM266" s="564"/>
      <c r="JN266" s="564"/>
      <c r="JO266" s="564"/>
      <c r="JP266" s="564"/>
      <c r="JQ266" s="564"/>
      <c r="JR266" s="564"/>
      <c r="JS266" s="564"/>
      <c r="JT266" s="564"/>
      <c r="JU266" s="564"/>
      <c r="JV266" s="564"/>
    </row>
    <row r="267" spans="1:282" ht="50.1" customHeight="1" x14ac:dyDescent="0.2">
      <c r="A267" s="298"/>
      <c r="B267" s="41" t="s">
        <v>1137</v>
      </c>
      <c r="C267" s="41"/>
      <c r="D267" s="41"/>
      <c r="E267" s="30" t="s">
        <v>2455</v>
      </c>
      <c r="F267" s="196" t="s">
        <v>2456</v>
      </c>
      <c r="G267" s="30" t="s">
        <v>2454</v>
      </c>
      <c r="H267" s="30"/>
      <c r="I267" s="30"/>
      <c r="J267" s="30" t="s">
        <v>2457</v>
      </c>
      <c r="K267" s="41" t="s">
        <v>1393</v>
      </c>
      <c r="L267" s="41" t="s">
        <v>685</v>
      </c>
      <c r="M267" s="30" t="s">
        <v>2446</v>
      </c>
      <c r="N267" s="73">
        <v>42209</v>
      </c>
      <c r="O267" s="106" t="s">
        <v>2458</v>
      </c>
      <c r="P267" s="106"/>
      <c r="Q267" s="106"/>
      <c r="R267" s="106"/>
      <c r="S267" s="106"/>
      <c r="T267" s="560"/>
      <c r="U267" s="560"/>
      <c r="V267" s="560"/>
      <c r="W267" s="560"/>
      <c r="X267" s="560"/>
      <c r="Y267" s="560"/>
      <c r="Z267" s="560"/>
      <c r="AA267" s="560"/>
      <c r="AB267" s="560"/>
      <c r="AC267" s="560"/>
      <c r="AD267" s="560"/>
      <c r="AE267" s="560"/>
      <c r="AF267" s="560"/>
      <c r="AG267" s="560"/>
      <c r="AH267" s="560"/>
      <c r="AI267" s="560"/>
      <c r="AJ267" s="73">
        <v>42436</v>
      </c>
      <c r="AK267" s="648"/>
      <c r="AL267" s="174"/>
      <c r="AM267" s="564"/>
      <c r="AN267" s="564"/>
      <c r="AO267" s="564"/>
      <c r="AP267" s="564"/>
      <c r="AQ267" s="564"/>
      <c r="AR267" s="564"/>
      <c r="AS267" s="564"/>
      <c r="AT267" s="564"/>
      <c r="AU267" s="564"/>
      <c r="AV267" s="564"/>
      <c r="AW267" s="564"/>
      <c r="AX267" s="564"/>
      <c r="AY267" s="564"/>
      <c r="AZ267" s="564"/>
      <c r="BA267" s="564"/>
      <c r="BB267" s="564"/>
      <c r="BC267" s="564"/>
      <c r="BD267" s="564"/>
      <c r="BE267" s="564"/>
      <c r="BF267" s="564"/>
      <c r="BG267" s="564"/>
      <c r="BH267" s="564"/>
      <c r="BI267" s="564"/>
      <c r="BJ267" s="564"/>
      <c r="BK267" s="564"/>
      <c r="BL267" s="564"/>
      <c r="BM267" s="564"/>
      <c r="BN267" s="564"/>
      <c r="BO267" s="564"/>
      <c r="BP267" s="564"/>
      <c r="BQ267" s="564"/>
      <c r="BR267" s="564"/>
      <c r="BS267" s="564"/>
      <c r="BT267" s="564"/>
      <c r="BU267" s="564"/>
      <c r="BV267" s="564"/>
      <c r="BW267" s="564"/>
      <c r="BX267" s="564"/>
      <c r="BY267" s="564"/>
      <c r="BZ267" s="564"/>
      <c r="CA267" s="564"/>
      <c r="CB267" s="564"/>
      <c r="CC267" s="564"/>
      <c r="CD267" s="564"/>
      <c r="CE267" s="564"/>
      <c r="CF267" s="564"/>
      <c r="CG267" s="564"/>
      <c r="CH267" s="564"/>
      <c r="CI267" s="564"/>
      <c r="CJ267" s="564"/>
      <c r="CK267" s="564"/>
      <c r="CL267" s="564"/>
      <c r="CM267" s="564"/>
      <c r="CN267" s="564"/>
      <c r="CO267" s="564"/>
      <c r="CP267" s="564"/>
      <c r="CQ267" s="564"/>
      <c r="CR267" s="564"/>
      <c r="CS267" s="564"/>
      <c r="CT267" s="564"/>
      <c r="CU267" s="564"/>
      <c r="CV267" s="564"/>
      <c r="CW267" s="564"/>
      <c r="CX267" s="564"/>
      <c r="CY267" s="564"/>
      <c r="CZ267" s="564"/>
      <c r="DA267" s="564"/>
      <c r="DB267" s="564"/>
      <c r="DC267" s="564"/>
      <c r="DD267" s="564"/>
      <c r="DE267" s="564"/>
      <c r="DF267" s="564"/>
      <c r="DG267" s="564"/>
      <c r="DH267" s="564"/>
      <c r="DI267" s="564"/>
      <c r="DJ267" s="564"/>
      <c r="DK267" s="564"/>
      <c r="DL267" s="564"/>
      <c r="DM267" s="564"/>
      <c r="DN267" s="564"/>
      <c r="DO267" s="564"/>
      <c r="DP267" s="564"/>
      <c r="DQ267" s="564"/>
      <c r="DR267" s="564"/>
      <c r="DS267" s="564"/>
      <c r="DT267" s="564"/>
      <c r="DU267" s="564"/>
      <c r="DV267" s="564"/>
      <c r="DW267" s="564"/>
      <c r="DX267" s="564"/>
      <c r="DY267" s="564"/>
      <c r="DZ267" s="564"/>
      <c r="EA267" s="564"/>
      <c r="EB267" s="564"/>
      <c r="EC267" s="564"/>
      <c r="ED267" s="564"/>
      <c r="EE267" s="564"/>
      <c r="EF267" s="564"/>
      <c r="EG267" s="564"/>
      <c r="EH267" s="564"/>
      <c r="EI267" s="564"/>
      <c r="EJ267" s="564"/>
      <c r="EK267" s="564"/>
      <c r="EL267" s="564"/>
      <c r="EM267" s="564"/>
      <c r="EN267" s="564"/>
      <c r="EO267" s="564"/>
      <c r="EP267" s="564"/>
      <c r="EQ267" s="564"/>
      <c r="ER267" s="564"/>
      <c r="ES267" s="564"/>
      <c r="ET267" s="564"/>
      <c r="EU267" s="564"/>
      <c r="EV267" s="564"/>
      <c r="EW267" s="564"/>
      <c r="EX267" s="564"/>
      <c r="EY267" s="564"/>
      <c r="EZ267" s="564"/>
      <c r="FA267" s="564"/>
      <c r="FB267" s="564"/>
      <c r="FC267" s="564"/>
      <c r="FD267" s="564"/>
      <c r="FE267" s="564"/>
      <c r="FF267" s="564"/>
      <c r="FG267" s="564"/>
      <c r="FH267" s="564"/>
      <c r="FI267" s="564"/>
      <c r="FJ267" s="564"/>
      <c r="FK267" s="564"/>
      <c r="FL267" s="564"/>
      <c r="FM267" s="564"/>
      <c r="FN267" s="564"/>
      <c r="FO267" s="564"/>
      <c r="FP267" s="564"/>
      <c r="FQ267" s="564"/>
      <c r="FR267" s="564"/>
      <c r="FS267" s="564"/>
      <c r="FT267" s="564"/>
      <c r="FU267" s="564"/>
      <c r="FV267" s="564"/>
      <c r="FW267" s="564"/>
      <c r="FX267" s="564"/>
      <c r="FY267" s="564"/>
      <c r="FZ267" s="564"/>
      <c r="GA267" s="564"/>
      <c r="GB267" s="564"/>
      <c r="GC267" s="564"/>
      <c r="GD267" s="564"/>
      <c r="GE267" s="564"/>
      <c r="GF267" s="564"/>
      <c r="GG267" s="564"/>
      <c r="GH267" s="564"/>
      <c r="GI267" s="564"/>
      <c r="GJ267" s="564"/>
      <c r="GK267" s="564"/>
      <c r="GL267" s="564"/>
      <c r="GM267" s="564"/>
      <c r="GN267" s="564"/>
      <c r="GO267" s="564"/>
      <c r="GP267" s="564"/>
      <c r="GQ267" s="564"/>
      <c r="GR267" s="564"/>
      <c r="GS267" s="564"/>
      <c r="GT267" s="564"/>
      <c r="GU267" s="564"/>
      <c r="GV267" s="564"/>
      <c r="GW267" s="564"/>
      <c r="GX267" s="564"/>
      <c r="GY267" s="564"/>
      <c r="GZ267" s="564"/>
      <c r="HA267" s="564"/>
      <c r="HB267" s="564"/>
      <c r="HC267" s="564"/>
      <c r="HD267" s="564"/>
      <c r="HE267" s="564"/>
      <c r="HF267" s="564"/>
      <c r="HG267" s="564"/>
      <c r="HH267" s="564"/>
      <c r="HI267" s="564"/>
      <c r="HJ267" s="564"/>
      <c r="HK267" s="564"/>
      <c r="HL267" s="564"/>
      <c r="HM267" s="564"/>
      <c r="HN267" s="564"/>
      <c r="HO267" s="564"/>
      <c r="HP267" s="564"/>
      <c r="HQ267" s="564"/>
      <c r="HR267" s="564"/>
      <c r="HS267" s="564"/>
      <c r="HT267" s="564"/>
      <c r="HU267" s="564"/>
      <c r="HV267" s="564"/>
      <c r="HW267" s="564"/>
      <c r="HX267" s="564"/>
      <c r="HY267" s="564"/>
      <c r="HZ267" s="564"/>
      <c r="IA267" s="564"/>
      <c r="IB267" s="564"/>
      <c r="IC267" s="564"/>
      <c r="ID267" s="564"/>
      <c r="IE267" s="564"/>
      <c r="IF267" s="564"/>
      <c r="IG267" s="564"/>
      <c r="IH267" s="564"/>
      <c r="II267" s="564"/>
      <c r="IJ267" s="564"/>
      <c r="IK267" s="564"/>
      <c r="IL267" s="564"/>
      <c r="IM267" s="564"/>
      <c r="IN267" s="564"/>
      <c r="IO267" s="564"/>
      <c r="IP267" s="564"/>
      <c r="IQ267" s="564"/>
      <c r="IR267" s="564"/>
      <c r="IS267" s="564"/>
      <c r="IT267" s="564"/>
      <c r="IU267" s="564"/>
      <c r="IV267" s="564"/>
      <c r="IW267" s="564"/>
      <c r="IX267" s="564"/>
      <c r="IY267" s="564"/>
      <c r="IZ267" s="564"/>
      <c r="JA267" s="564"/>
      <c r="JB267" s="564"/>
      <c r="JC267" s="564"/>
      <c r="JD267" s="564"/>
      <c r="JE267" s="564"/>
      <c r="JF267" s="564"/>
      <c r="JG267" s="564"/>
      <c r="JH267" s="564"/>
      <c r="JI267" s="564"/>
      <c r="JJ267" s="564"/>
      <c r="JK267" s="564"/>
      <c r="JL267" s="564"/>
      <c r="JM267" s="564"/>
      <c r="JN267" s="564"/>
      <c r="JO267" s="564"/>
      <c r="JP267" s="564"/>
      <c r="JQ267" s="564"/>
      <c r="JR267" s="564"/>
      <c r="JS267" s="564"/>
      <c r="JT267" s="564"/>
      <c r="JU267" s="564"/>
      <c r="JV267" s="564"/>
    </row>
    <row r="268" spans="1:282" ht="50.1" customHeight="1" x14ac:dyDescent="0.2">
      <c r="A268" s="298"/>
      <c r="B268" s="41" t="s">
        <v>1137</v>
      </c>
      <c r="C268" s="41"/>
      <c r="D268" s="41"/>
      <c r="E268" s="30" t="s">
        <v>2357</v>
      </c>
      <c r="F268" s="196" t="s">
        <v>2333</v>
      </c>
      <c r="G268" s="41" t="s">
        <v>1098</v>
      </c>
      <c r="H268" s="41" t="s">
        <v>1806</v>
      </c>
      <c r="I268" s="41"/>
      <c r="J268" s="30" t="s">
        <v>735</v>
      </c>
      <c r="K268" s="41" t="s">
        <v>1393</v>
      </c>
      <c r="L268" s="41" t="s">
        <v>12</v>
      </c>
      <c r="M268" s="30" t="s">
        <v>2094</v>
      </c>
      <c r="N268" s="73">
        <v>42394</v>
      </c>
      <c r="O268" s="30">
        <v>1251944168</v>
      </c>
      <c r="P268" s="30"/>
      <c r="Q268" s="30"/>
      <c r="R268" s="30"/>
      <c r="S268" s="30"/>
      <c r="T268" s="560"/>
      <c r="U268" s="560"/>
      <c r="V268" s="560"/>
      <c r="W268" s="560"/>
      <c r="X268" s="560"/>
      <c r="Y268" s="560"/>
      <c r="Z268" s="560"/>
      <c r="AA268" s="560"/>
      <c r="AB268" s="560"/>
      <c r="AC268" s="560"/>
      <c r="AD268" s="560"/>
      <c r="AE268" s="560"/>
      <c r="AF268" s="560"/>
      <c r="AG268" s="560"/>
      <c r="AH268" s="560"/>
      <c r="AI268" s="560"/>
      <c r="AJ268" s="73">
        <v>42450</v>
      </c>
      <c r="AK268" s="648"/>
      <c r="AL268" s="174"/>
      <c r="AM268" s="564"/>
      <c r="AN268" s="564"/>
      <c r="AO268" s="564"/>
      <c r="AP268" s="564"/>
      <c r="AQ268" s="564"/>
      <c r="AR268" s="564"/>
      <c r="AS268" s="564"/>
      <c r="AT268" s="564"/>
      <c r="AU268" s="564"/>
      <c r="AV268" s="564"/>
      <c r="AW268" s="564"/>
      <c r="AX268" s="564"/>
      <c r="AY268" s="564"/>
      <c r="AZ268" s="564"/>
      <c r="BA268" s="564"/>
      <c r="BB268" s="564"/>
      <c r="BC268" s="564"/>
      <c r="BD268" s="564"/>
      <c r="BE268" s="564"/>
      <c r="BF268" s="564"/>
      <c r="BG268" s="564"/>
      <c r="BH268" s="564"/>
      <c r="BI268" s="564"/>
      <c r="BJ268" s="564"/>
      <c r="BK268" s="564"/>
      <c r="BL268" s="564"/>
      <c r="BM268" s="564"/>
      <c r="BN268" s="564"/>
      <c r="BO268" s="564"/>
      <c r="BP268" s="564"/>
      <c r="BQ268" s="564"/>
      <c r="BR268" s="564"/>
      <c r="BS268" s="564"/>
      <c r="BT268" s="564"/>
      <c r="BU268" s="564"/>
      <c r="BV268" s="564"/>
      <c r="BW268" s="564"/>
      <c r="BX268" s="564"/>
      <c r="BY268" s="564"/>
      <c r="BZ268" s="564"/>
      <c r="CA268" s="564"/>
      <c r="CB268" s="564"/>
      <c r="CC268" s="564"/>
      <c r="CD268" s="564"/>
      <c r="CE268" s="564"/>
      <c r="CF268" s="564"/>
      <c r="CG268" s="564"/>
      <c r="CH268" s="564"/>
      <c r="CI268" s="564"/>
      <c r="CJ268" s="564"/>
      <c r="CK268" s="564"/>
      <c r="CL268" s="564"/>
      <c r="CM268" s="564"/>
      <c r="CN268" s="564"/>
      <c r="CO268" s="564"/>
      <c r="CP268" s="564"/>
      <c r="CQ268" s="564"/>
      <c r="CR268" s="564"/>
      <c r="CS268" s="564"/>
      <c r="CT268" s="564"/>
      <c r="CU268" s="564"/>
      <c r="CV268" s="564"/>
      <c r="CW268" s="564"/>
      <c r="CX268" s="564"/>
      <c r="CY268" s="564"/>
      <c r="CZ268" s="564"/>
      <c r="DA268" s="564"/>
      <c r="DB268" s="564"/>
      <c r="DC268" s="564"/>
      <c r="DD268" s="564"/>
      <c r="DE268" s="564"/>
      <c r="DF268" s="564"/>
      <c r="DG268" s="564"/>
      <c r="DH268" s="564"/>
      <c r="DI268" s="564"/>
      <c r="DJ268" s="564"/>
      <c r="DK268" s="564"/>
      <c r="DL268" s="564"/>
      <c r="DM268" s="564"/>
      <c r="DN268" s="564"/>
      <c r="DO268" s="564"/>
      <c r="DP268" s="564"/>
      <c r="DQ268" s="564"/>
      <c r="DR268" s="564"/>
      <c r="DS268" s="564"/>
      <c r="DT268" s="564"/>
      <c r="DU268" s="564"/>
      <c r="DV268" s="564"/>
      <c r="DW268" s="564"/>
      <c r="DX268" s="564"/>
      <c r="DY268" s="564"/>
      <c r="DZ268" s="564"/>
      <c r="EA268" s="564"/>
      <c r="EB268" s="564"/>
      <c r="EC268" s="564"/>
      <c r="ED268" s="564"/>
      <c r="EE268" s="564"/>
      <c r="EF268" s="564"/>
      <c r="EG268" s="564"/>
      <c r="EH268" s="564"/>
      <c r="EI268" s="564"/>
      <c r="EJ268" s="564"/>
      <c r="EK268" s="564"/>
      <c r="EL268" s="564"/>
      <c r="EM268" s="564"/>
      <c r="EN268" s="564"/>
      <c r="EO268" s="564"/>
      <c r="EP268" s="564"/>
      <c r="EQ268" s="564"/>
      <c r="ER268" s="564"/>
      <c r="ES268" s="564"/>
      <c r="ET268" s="564"/>
      <c r="EU268" s="564"/>
      <c r="EV268" s="564"/>
      <c r="EW268" s="564"/>
      <c r="EX268" s="564"/>
      <c r="EY268" s="564"/>
      <c r="EZ268" s="564"/>
      <c r="FA268" s="564"/>
      <c r="FB268" s="564"/>
      <c r="FC268" s="564"/>
      <c r="FD268" s="564"/>
      <c r="FE268" s="564"/>
      <c r="FF268" s="564"/>
      <c r="FG268" s="564"/>
      <c r="FH268" s="564"/>
      <c r="FI268" s="564"/>
      <c r="FJ268" s="564"/>
      <c r="FK268" s="564"/>
      <c r="FL268" s="564"/>
      <c r="FM268" s="564"/>
      <c r="FN268" s="564"/>
      <c r="FO268" s="564"/>
      <c r="FP268" s="564"/>
      <c r="FQ268" s="564"/>
      <c r="FR268" s="564"/>
      <c r="FS268" s="564"/>
      <c r="FT268" s="564"/>
      <c r="FU268" s="564"/>
      <c r="FV268" s="564"/>
      <c r="FW268" s="564"/>
      <c r="FX268" s="564"/>
      <c r="FY268" s="564"/>
      <c r="FZ268" s="564"/>
      <c r="GA268" s="564"/>
      <c r="GB268" s="564"/>
      <c r="GC268" s="564"/>
      <c r="GD268" s="564"/>
      <c r="GE268" s="564"/>
      <c r="GF268" s="564"/>
      <c r="GG268" s="564"/>
      <c r="GH268" s="564"/>
      <c r="GI268" s="564"/>
      <c r="GJ268" s="564"/>
      <c r="GK268" s="564"/>
      <c r="GL268" s="564"/>
      <c r="GM268" s="564"/>
      <c r="GN268" s="564"/>
      <c r="GO268" s="564"/>
      <c r="GP268" s="564"/>
      <c r="GQ268" s="564"/>
      <c r="GR268" s="564"/>
      <c r="GS268" s="564"/>
      <c r="GT268" s="564"/>
      <c r="GU268" s="564"/>
      <c r="GV268" s="564"/>
      <c r="GW268" s="564"/>
      <c r="GX268" s="564"/>
      <c r="GY268" s="564"/>
      <c r="GZ268" s="564"/>
      <c r="HA268" s="564"/>
      <c r="HB268" s="564"/>
      <c r="HC268" s="564"/>
      <c r="HD268" s="564"/>
      <c r="HE268" s="564"/>
      <c r="HF268" s="564"/>
      <c r="HG268" s="564"/>
      <c r="HH268" s="564"/>
      <c r="HI268" s="564"/>
      <c r="HJ268" s="564"/>
      <c r="HK268" s="564"/>
      <c r="HL268" s="564"/>
      <c r="HM268" s="564"/>
      <c r="HN268" s="564"/>
      <c r="HO268" s="564"/>
      <c r="HP268" s="564"/>
      <c r="HQ268" s="564"/>
      <c r="HR268" s="564"/>
      <c r="HS268" s="564"/>
      <c r="HT268" s="564"/>
      <c r="HU268" s="564"/>
      <c r="HV268" s="564"/>
      <c r="HW268" s="564"/>
      <c r="HX268" s="564"/>
      <c r="HY268" s="564"/>
      <c r="HZ268" s="564"/>
      <c r="IA268" s="564"/>
      <c r="IB268" s="564"/>
      <c r="IC268" s="564"/>
      <c r="ID268" s="564"/>
      <c r="IE268" s="564"/>
      <c r="IF268" s="564"/>
      <c r="IG268" s="564"/>
      <c r="IH268" s="564"/>
      <c r="II268" s="564"/>
      <c r="IJ268" s="564"/>
      <c r="IK268" s="564"/>
      <c r="IL268" s="564"/>
      <c r="IM268" s="564"/>
      <c r="IN268" s="564"/>
      <c r="IO268" s="564"/>
      <c r="IP268" s="564"/>
      <c r="IQ268" s="564"/>
      <c r="IR268" s="564"/>
      <c r="IS268" s="564"/>
      <c r="IT268" s="564"/>
      <c r="IU268" s="564"/>
      <c r="IV268" s="564"/>
      <c r="IW268" s="564"/>
      <c r="IX268" s="564"/>
      <c r="IY268" s="564"/>
      <c r="IZ268" s="564"/>
      <c r="JA268" s="564"/>
      <c r="JB268" s="564"/>
      <c r="JC268" s="564"/>
      <c r="JD268" s="564"/>
      <c r="JE268" s="564"/>
      <c r="JF268" s="564"/>
      <c r="JG268" s="564"/>
      <c r="JH268" s="564"/>
      <c r="JI268" s="564"/>
      <c r="JJ268" s="564"/>
      <c r="JK268" s="564"/>
      <c r="JL268" s="564"/>
      <c r="JM268" s="564"/>
      <c r="JN268" s="564"/>
      <c r="JO268" s="564"/>
      <c r="JP268" s="564"/>
      <c r="JQ268" s="564"/>
      <c r="JR268" s="564"/>
      <c r="JS268" s="564"/>
      <c r="JT268" s="564"/>
      <c r="JU268" s="564"/>
      <c r="JV268" s="564"/>
    </row>
    <row r="269" spans="1:282" ht="50.1" customHeight="1" x14ac:dyDescent="0.2">
      <c r="A269" s="298"/>
      <c r="B269" s="38" t="s">
        <v>1137</v>
      </c>
      <c r="C269" s="38"/>
      <c r="D269" s="38"/>
      <c r="E269" s="30" t="s">
        <v>1470</v>
      </c>
      <c r="F269" s="762" t="s">
        <v>1465</v>
      </c>
      <c r="G269" s="763" t="s">
        <v>1465</v>
      </c>
      <c r="H269" s="29" t="s">
        <v>1676</v>
      </c>
      <c r="I269" s="29"/>
      <c r="J269" s="30" t="s">
        <v>1466</v>
      </c>
      <c r="K269" s="41" t="s">
        <v>1394</v>
      </c>
      <c r="L269" s="29" t="s">
        <v>685</v>
      </c>
      <c r="M269" s="38" t="s">
        <v>1528</v>
      </c>
      <c r="N269" s="73">
        <v>41999</v>
      </c>
      <c r="O269" s="106" t="s">
        <v>1493</v>
      </c>
      <c r="P269" s="106"/>
      <c r="Q269" s="106"/>
      <c r="R269" s="106"/>
      <c r="S269" s="106"/>
      <c r="T269" s="560"/>
      <c r="U269" s="560"/>
      <c r="V269" s="560"/>
      <c r="W269" s="560"/>
      <c r="X269" s="560"/>
      <c r="Y269" s="560"/>
      <c r="Z269" s="560"/>
      <c r="AA269" s="560"/>
      <c r="AB269" s="560"/>
      <c r="AC269" s="560"/>
      <c r="AD269" s="560"/>
      <c r="AE269" s="560"/>
      <c r="AF269" s="560"/>
      <c r="AG269" s="560"/>
      <c r="AH269" s="560"/>
      <c r="AI269" s="560"/>
      <c r="AJ269" s="73">
        <v>42457</v>
      </c>
      <c r="AK269" s="648"/>
      <c r="AL269" s="174"/>
      <c r="AM269" s="564"/>
      <c r="AN269" s="564"/>
      <c r="AO269" s="564"/>
      <c r="AP269" s="564"/>
      <c r="AQ269" s="564"/>
      <c r="AR269" s="564"/>
      <c r="AS269" s="564"/>
      <c r="AT269" s="564"/>
      <c r="AU269" s="564"/>
      <c r="AV269" s="564"/>
      <c r="AW269" s="564"/>
      <c r="AX269" s="564"/>
      <c r="AY269" s="564"/>
      <c r="AZ269" s="564"/>
      <c r="BA269" s="564"/>
      <c r="BB269" s="564"/>
      <c r="BC269" s="564"/>
      <c r="BD269" s="564"/>
      <c r="BE269" s="564"/>
      <c r="BF269" s="564"/>
      <c r="BG269" s="564"/>
      <c r="BH269" s="564"/>
      <c r="BI269" s="564"/>
      <c r="BJ269" s="564"/>
      <c r="BK269" s="564"/>
      <c r="BL269" s="564"/>
      <c r="BM269" s="564"/>
      <c r="BN269" s="564"/>
      <c r="BO269" s="564"/>
      <c r="BP269" s="564"/>
      <c r="BQ269" s="564"/>
      <c r="BR269" s="564"/>
      <c r="BS269" s="564"/>
      <c r="BT269" s="564"/>
      <c r="BU269" s="564"/>
      <c r="BV269" s="564"/>
      <c r="BW269" s="564"/>
      <c r="BX269" s="564"/>
      <c r="BY269" s="564"/>
      <c r="BZ269" s="564"/>
      <c r="CA269" s="564"/>
      <c r="CB269" s="564"/>
      <c r="CC269" s="564"/>
      <c r="CD269" s="564"/>
      <c r="CE269" s="564"/>
      <c r="CF269" s="564"/>
      <c r="CG269" s="564"/>
      <c r="CH269" s="564"/>
      <c r="CI269" s="564"/>
      <c r="CJ269" s="564"/>
      <c r="CK269" s="564"/>
      <c r="CL269" s="564"/>
      <c r="CM269" s="564"/>
      <c r="CN269" s="564"/>
      <c r="CO269" s="564"/>
      <c r="CP269" s="564"/>
      <c r="CQ269" s="564"/>
      <c r="CR269" s="564"/>
      <c r="CS269" s="564"/>
      <c r="CT269" s="564"/>
      <c r="CU269" s="564"/>
      <c r="CV269" s="564"/>
      <c r="CW269" s="564"/>
      <c r="CX269" s="564"/>
      <c r="CY269" s="564"/>
      <c r="CZ269" s="564"/>
      <c r="DA269" s="564"/>
      <c r="DB269" s="564"/>
      <c r="DC269" s="564"/>
      <c r="DD269" s="564"/>
      <c r="DE269" s="564"/>
      <c r="DF269" s="564"/>
      <c r="DG269" s="564"/>
      <c r="DH269" s="564"/>
      <c r="DI269" s="564"/>
      <c r="DJ269" s="564"/>
      <c r="DK269" s="564"/>
      <c r="DL269" s="564"/>
      <c r="DM269" s="564"/>
      <c r="DN269" s="564"/>
      <c r="DO269" s="564"/>
      <c r="DP269" s="564"/>
      <c r="DQ269" s="564"/>
      <c r="DR269" s="564"/>
      <c r="DS269" s="564"/>
      <c r="DT269" s="564"/>
      <c r="DU269" s="564"/>
      <c r="DV269" s="564"/>
      <c r="DW269" s="564"/>
      <c r="DX269" s="564"/>
      <c r="DY269" s="564"/>
      <c r="DZ269" s="564"/>
      <c r="EA269" s="564"/>
      <c r="EB269" s="564"/>
      <c r="EC269" s="564"/>
      <c r="ED269" s="564"/>
      <c r="EE269" s="564"/>
      <c r="EF269" s="564"/>
      <c r="EG269" s="564"/>
      <c r="EH269" s="564"/>
      <c r="EI269" s="564"/>
      <c r="EJ269" s="564"/>
      <c r="EK269" s="564"/>
      <c r="EL269" s="564"/>
      <c r="EM269" s="564"/>
      <c r="EN269" s="564"/>
      <c r="EO269" s="564"/>
      <c r="EP269" s="564"/>
      <c r="EQ269" s="564"/>
      <c r="ER269" s="564"/>
      <c r="ES269" s="564"/>
      <c r="ET269" s="564"/>
      <c r="EU269" s="564"/>
      <c r="EV269" s="564"/>
      <c r="EW269" s="564"/>
      <c r="EX269" s="564"/>
      <c r="EY269" s="564"/>
      <c r="EZ269" s="564"/>
      <c r="FA269" s="564"/>
      <c r="FB269" s="564"/>
      <c r="FC269" s="564"/>
      <c r="FD269" s="564"/>
      <c r="FE269" s="564"/>
      <c r="FF269" s="564"/>
      <c r="FG269" s="564"/>
      <c r="FH269" s="564"/>
      <c r="FI269" s="564"/>
      <c r="FJ269" s="564"/>
      <c r="FK269" s="564"/>
      <c r="FL269" s="564"/>
      <c r="FM269" s="564"/>
      <c r="FN269" s="564"/>
      <c r="FO269" s="564"/>
      <c r="FP269" s="564"/>
      <c r="FQ269" s="564"/>
      <c r="FR269" s="564"/>
      <c r="FS269" s="564"/>
      <c r="FT269" s="564"/>
      <c r="FU269" s="564"/>
      <c r="FV269" s="564"/>
      <c r="FW269" s="564"/>
      <c r="FX269" s="564"/>
      <c r="FY269" s="564"/>
      <c r="FZ269" s="564"/>
      <c r="GA269" s="564"/>
      <c r="GB269" s="564"/>
      <c r="GC269" s="564"/>
      <c r="GD269" s="564"/>
      <c r="GE269" s="564"/>
      <c r="GF269" s="564"/>
      <c r="GG269" s="564"/>
      <c r="GH269" s="564"/>
      <c r="GI269" s="564"/>
      <c r="GJ269" s="564"/>
      <c r="GK269" s="564"/>
      <c r="GL269" s="564"/>
      <c r="GM269" s="564"/>
      <c r="GN269" s="564"/>
      <c r="GO269" s="564"/>
      <c r="GP269" s="564"/>
      <c r="GQ269" s="564"/>
      <c r="GR269" s="564"/>
      <c r="GS269" s="564"/>
      <c r="GT269" s="564"/>
      <c r="GU269" s="564"/>
      <c r="GV269" s="564"/>
      <c r="GW269" s="564"/>
      <c r="GX269" s="564"/>
      <c r="GY269" s="564"/>
      <c r="GZ269" s="564"/>
      <c r="HA269" s="564"/>
      <c r="HB269" s="564"/>
      <c r="HC269" s="564"/>
      <c r="HD269" s="564"/>
      <c r="HE269" s="564"/>
      <c r="HF269" s="564"/>
      <c r="HG269" s="564"/>
      <c r="HH269" s="564"/>
      <c r="HI269" s="564"/>
      <c r="HJ269" s="564"/>
      <c r="HK269" s="564"/>
      <c r="HL269" s="564"/>
      <c r="HM269" s="564"/>
      <c r="HN269" s="564"/>
      <c r="HO269" s="564"/>
      <c r="HP269" s="564"/>
      <c r="HQ269" s="564"/>
      <c r="HR269" s="564"/>
      <c r="HS269" s="564"/>
      <c r="HT269" s="564"/>
      <c r="HU269" s="564"/>
      <c r="HV269" s="564"/>
      <c r="HW269" s="564"/>
      <c r="HX269" s="564"/>
      <c r="HY269" s="564"/>
      <c r="HZ269" s="564"/>
      <c r="IA269" s="564"/>
      <c r="IB269" s="564"/>
      <c r="IC269" s="564"/>
      <c r="ID269" s="564"/>
      <c r="IE269" s="564"/>
      <c r="IF269" s="564"/>
      <c r="IG269" s="564"/>
      <c r="IH269" s="564"/>
      <c r="II269" s="564"/>
      <c r="IJ269" s="564"/>
      <c r="IK269" s="564"/>
      <c r="IL269" s="564"/>
      <c r="IM269" s="564"/>
      <c r="IN269" s="564"/>
      <c r="IO269" s="564"/>
      <c r="IP269" s="564"/>
      <c r="IQ269" s="564"/>
      <c r="IR269" s="564"/>
      <c r="IS269" s="564"/>
      <c r="IT269" s="564"/>
      <c r="IU269" s="564"/>
      <c r="IV269" s="564"/>
      <c r="IW269" s="564"/>
      <c r="IX269" s="564"/>
      <c r="IY269" s="564"/>
      <c r="IZ269" s="564"/>
      <c r="JA269" s="564"/>
      <c r="JB269" s="564"/>
      <c r="JC269" s="564"/>
      <c r="JD269" s="564"/>
      <c r="JE269" s="564"/>
      <c r="JF269" s="564"/>
      <c r="JG269" s="564"/>
      <c r="JH269" s="564"/>
      <c r="JI269" s="564"/>
      <c r="JJ269" s="564"/>
      <c r="JK269" s="564"/>
      <c r="JL269" s="564"/>
      <c r="JM269" s="564"/>
      <c r="JN269" s="564"/>
      <c r="JO269" s="564"/>
      <c r="JP269" s="564"/>
      <c r="JQ269" s="564"/>
      <c r="JR269" s="564"/>
      <c r="JS269" s="564"/>
      <c r="JT269" s="564"/>
      <c r="JU269" s="564"/>
      <c r="JV269" s="564"/>
    </row>
    <row r="270" spans="1:282" ht="50.1" customHeight="1" x14ac:dyDescent="0.2">
      <c r="A270" s="298"/>
      <c r="B270" s="68" t="s">
        <v>1137</v>
      </c>
      <c r="C270" s="68"/>
      <c r="D270" s="68"/>
      <c r="E270" s="69" t="s">
        <v>429</v>
      </c>
      <c r="F270" s="198" t="s">
        <v>1375</v>
      </c>
      <c r="G270" s="74" t="s">
        <v>1375</v>
      </c>
      <c r="H270" s="29" t="s">
        <v>423</v>
      </c>
      <c r="I270" s="29"/>
      <c r="J270" s="74" t="s">
        <v>424</v>
      </c>
      <c r="K270" s="29" t="s">
        <v>1394</v>
      </c>
      <c r="L270" s="29" t="s">
        <v>685</v>
      </c>
      <c r="M270" s="29" t="s">
        <v>1528</v>
      </c>
      <c r="N270" s="73">
        <v>41142</v>
      </c>
      <c r="O270" s="69" t="s">
        <v>432</v>
      </c>
      <c r="P270" s="69"/>
      <c r="Q270" s="69"/>
      <c r="R270" s="69"/>
      <c r="S270" s="69"/>
      <c r="T270" s="560"/>
      <c r="U270" s="560"/>
      <c r="V270" s="560"/>
      <c r="W270" s="560"/>
      <c r="X270" s="560"/>
      <c r="Y270" s="560"/>
      <c r="Z270" s="560"/>
      <c r="AA270" s="560"/>
      <c r="AB270" s="560"/>
      <c r="AC270" s="560"/>
      <c r="AD270" s="560"/>
      <c r="AE270" s="560"/>
      <c r="AF270" s="560"/>
      <c r="AG270" s="560"/>
      <c r="AH270" s="560"/>
      <c r="AI270" s="560"/>
      <c r="AJ270" s="73">
        <v>42457</v>
      </c>
      <c r="AK270" s="648"/>
      <c r="AL270" s="174"/>
      <c r="AM270" s="564"/>
      <c r="AN270" s="564"/>
      <c r="AO270" s="564"/>
      <c r="AP270" s="564"/>
      <c r="AQ270" s="564"/>
      <c r="AR270" s="564"/>
      <c r="AS270" s="564"/>
      <c r="AT270" s="564"/>
      <c r="AU270" s="564"/>
      <c r="AV270" s="564"/>
      <c r="AW270" s="564"/>
      <c r="AX270" s="564"/>
      <c r="AY270" s="564"/>
      <c r="AZ270" s="564"/>
      <c r="BA270" s="564"/>
      <c r="BB270" s="564"/>
      <c r="BC270" s="564"/>
      <c r="BD270" s="564"/>
      <c r="BE270" s="564"/>
      <c r="BF270" s="564"/>
      <c r="BG270" s="564"/>
      <c r="BH270" s="564"/>
      <c r="BI270" s="564"/>
      <c r="BJ270" s="564"/>
      <c r="BK270" s="564"/>
      <c r="BL270" s="564"/>
      <c r="BM270" s="564"/>
      <c r="BN270" s="564"/>
      <c r="BO270" s="564"/>
      <c r="BP270" s="564"/>
      <c r="BQ270" s="564"/>
      <c r="BR270" s="564"/>
      <c r="BS270" s="564"/>
      <c r="BT270" s="564"/>
      <c r="BU270" s="564"/>
      <c r="BV270" s="564"/>
      <c r="BW270" s="564"/>
      <c r="BX270" s="564"/>
      <c r="BY270" s="564"/>
      <c r="BZ270" s="564"/>
      <c r="CA270" s="564"/>
      <c r="CB270" s="564"/>
      <c r="CC270" s="564"/>
      <c r="CD270" s="564"/>
      <c r="CE270" s="564"/>
      <c r="CF270" s="564"/>
      <c r="CG270" s="564"/>
      <c r="CH270" s="564"/>
      <c r="CI270" s="564"/>
      <c r="CJ270" s="564"/>
      <c r="CK270" s="564"/>
      <c r="CL270" s="564"/>
      <c r="CM270" s="564"/>
      <c r="CN270" s="564"/>
      <c r="CO270" s="564"/>
      <c r="CP270" s="564"/>
      <c r="CQ270" s="564"/>
      <c r="CR270" s="564"/>
      <c r="CS270" s="564"/>
      <c r="CT270" s="564"/>
      <c r="CU270" s="564"/>
      <c r="CV270" s="564"/>
      <c r="CW270" s="564"/>
      <c r="CX270" s="564"/>
      <c r="CY270" s="564"/>
      <c r="CZ270" s="564"/>
      <c r="DA270" s="564"/>
      <c r="DB270" s="564"/>
      <c r="DC270" s="564"/>
      <c r="DD270" s="564"/>
      <c r="DE270" s="564"/>
      <c r="DF270" s="564"/>
      <c r="DG270" s="564"/>
      <c r="DH270" s="564"/>
      <c r="DI270" s="564"/>
      <c r="DJ270" s="564"/>
      <c r="DK270" s="564"/>
      <c r="DL270" s="564"/>
      <c r="DM270" s="564"/>
      <c r="DN270" s="564"/>
      <c r="DO270" s="564"/>
      <c r="DP270" s="564"/>
      <c r="DQ270" s="564"/>
      <c r="DR270" s="564"/>
      <c r="DS270" s="564"/>
      <c r="DT270" s="564"/>
      <c r="DU270" s="564"/>
      <c r="DV270" s="564"/>
      <c r="DW270" s="564"/>
      <c r="DX270" s="564"/>
      <c r="DY270" s="564"/>
      <c r="DZ270" s="564"/>
      <c r="EA270" s="564"/>
      <c r="EB270" s="564"/>
      <c r="EC270" s="564"/>
      <c r="ED270" s="564"/>
      <c r="EE270" s="564"/>
      <c r="EF270" s="564"/>
      <c r="EG270" s="564"/>
      <c r="EH270" s="564"/>
      <c r="EI270" s="564"/>
      <c r="EJ270" s="564"/>
      <c r="EK270" s="564"/>
      <c r="EL270" s="564"/>
      <c r="EM270" s="564"/>
      <c r="EN270" s="564"/>
      <c r="EO270" s="564"/>
      <c r="EP270" s="564"/>
      <c r="EQ270" s="564"/>
      <c r="ER270" s="564"/>
      <c r="ES270" s="564"/>
      <c r="ET270" s="564"/>
      <c r="EU270" s="564"/>
      <c r="EV270" s="564"/>
      <c r="EW270" s="564"/>
      <c r="EX270" s="564"/>
      <c r="EY270" s="564"/>
      <c r="EZ270" s="564"/>
      <c r="FA270" s="564"/>
      <c r="FB270" s="564"/>
      <c r="FC270" s="564"/>
      <c r="FD270" s="564"/>
      <c r="FE270" s="564"/>
      <c r="FF270" s="564"/>
      <c r="FG270" s="564"/>
      <c r="FH270" s="564"/>
      <c r="FI270" s="564"/>
      <c r="FJ270" s="564"/>
      <c r="FK270" s="564"/>
      <c r="FL270" s="564"/>
      <c r="FM270" s="564"/>
      <c r="FN270" s="564"/>
      <c r="FO270" s="564"/>
      <c r="FP270" s="564"/>
      <c r="FQ270" s="564"/>
      <c r="FR270" s="564"/>
      <c r="FS270" s="564"/>
      <c r="FT270" s="564"/>
      <c r="FU270" s="564"/>
      <c r="FV270" s="564"/>
      <c r="FW270" s="564"/>
      <c r="FX270" s="564"/>
      <c r="FY270" s="564"/>
      <c r="FZ270" s="564"/>
      <c r="GA270" s="564"/>
      <c r="GB270" s="564"/>
      <c r="GC270" s="564"/>
      <c r="GD270" s="564"/>
      <c r="GE270" s="564"/>
      <c r="GF270" s="564"/>
      <c r="GG270" s="564"/>
      <c r="GH270" s="564"/>
      <c r="GI270" s="564"/>
      <c r="GJ270" s="564"/>
      <c r="GK270" s="564"/>
      <c r="GL270" s="564"/>
      <c r="GM270" s="564"/>
      <c r="GN270" s="564"/>
      <c r="GO270" s="564"/>
      <c r="GP270" s="564"/>
      <c r="GQ270" s="564"/>
      <c r="GR270" s="564"/>
      <c r="GS270" s="564"/>
      <c r="GT270" s="564"/>
      <c r="GU270" s="564"/>
      <c r="GV270" s="564"/>
      <c r="GW270" s="564"/>
      <c r="GX270" s="564"/>
      <c r="GY270" s="564"/>
      <c r="GZ270" s="564"/>
      <c r="HA270" s="564"/>
      <c r="HB270" s="564"/>
      <c r="HC270" s="564"/>
      <c r="HD270" s="564"/>
      <c r="HE270" s="564"/>
      <c r="HF270" s="564"/>
      <c r="HG270" s="564"/>
      <c r="HH270" s="564"/>
      <c r="HI270" s="564"/>
      <c r="HJ270" s="564"/>
      <c r="HK270" s="564"/>
      <c r="HL270" s="564"/>
      <c r="HM270" s="564"/>
      <c r="HN270" s="564"/>
      <c r="HO270" s="564"/>
      <c r="HP270" s="564"/>
      <c r="HQ270" s="564"/>
      <c r="HR270" s="564"/>
      <c r="HS270" s="564"/>
      <c r="HT270" s="564"/>
      <c r="HU270" s="564"/>
      <c r="HV270" s="564"/>
      <c r="HW270" s="564"/>
      <c r="HX270" s="564"/>
      <c r="HY270" s="564"/>
      <c r="HZ270" s="564"/>
      <c r="IA270" s="564"/>
      <c r="IB270" s="564"/>
      <c r="IC270" s="564"/>
      <c r="ID270" s="564"/>
      <c r="IE270" s="564"/>
      <c r="IF270" s="564"/>
      <c r="IG270" s="564"/>
      <c r="IH270" s="564"/>
      <c r="II270" s="564"/>
      <c r="IJ270" s="564"/>
      <c r="IK270" s="564"/>
      <c r="IL270" s="564"/>
      <c r="IM270" s="564"/>
      <c r="IN270" s="564"/>
      <c r="IO270" s="564"/>
      <c r="IP270" s="564"/>
      <c r="IQ270" s="564"/>
      <c r="IR270" s="564"/>
      <c r="IS270" s="564"/>
      <c r="IT270" s="564"/>
      <c r="IU270" s="564"/>
      <c r="IV270" s="564"/>
      <c r="IW270" s="564"/>
      <c r="IX270" s="564"/>
      <c r="IY270" s="564"/>
      <c r="IZ270" s="564"/>
      <c r="JA270" s="564"/>
      <c r="JB270" s="564"/>
      <c r="JC270" s="564"/>
      <c r="JD270" s="564"/>
      <c r="JE270" s="564"/>
      <c r="JF270" s="564"/>
      <c r="JG270" s="564"/>
      <c r="JH270" s="564"/>
      <c r="JI270" s="564"/>
      <c r="JJ270" s="564"/>
      <c r="JK270" s="564"/>
      <c r="JL270" s="564"/>
      <c r="JM270" s="564"/>
      <c r="JN270" s="564"/>
      <c r="JO270" s="564"/>
      <c r="JP270" s="564"/>
      <c r="JQ270" s="564"/>
      <c r="JR270" s="564"/>
      <c r="JS270" s="564"/>
      <c r="JT270" s="564"/>
      <c r="JU270" s="564"/>
      <c r="JV270" s="564"/>
    </row>
    <row r="271" spans="1:282" ht="50.1" customHeight="1" x14ac:dyDescent="0.2">
      <c r="A271" s="298"/>
      <c r="B271" s="41" t="s">
        <v>1137</v>
      </c>
      <c r="C271" s="41"/>
      <c r="D271" s="41"/>
      <c r="E271" s="30" t="s">
        <v>1434</v>
      </c>
      <c r="F271" s="104" t="s">
        <v>1435</v>
      </c>
      <c r="G271" s="30" t="s">
        <v>1435</v>
      </c>
      <c r="H271" s="41" t="s">
        <v>1539</v>
      </c>
      <c r="I271" s="41"/>
      <c r="J271" s="30" t="s">
        <v>697</v>
      </c>
      <c r="K271" s="107" t="s">
        <v>1394</v>
      </c>
      <c r="L271" s="41" t="s">
        <v>795</v>
      </c>
      <c r="M271" s="41" t="s">
        <v>1528</v>
      </c>
      <c r="N271" s="73">
        <v>41948</v>
      </c>
      <c r="O271" s="106" t="s">
        <v>2059</v>
      </c>
      <c r="P271" s="106"/>
      <c r="Q271" s="106"/>
      <c r="R271" s="106"/>
      <c r="S271" s="106"/>
      <c r="T271" s="560"/>
      <c r="U271" s="560"/>
      <c r="V271" s="560"/>
      <c r="W271" s="560"/>
      <c r="X271" s="560"/>
      <c r="Y271" s="560"/>
      <c r="Z271" s="560"/>
      <c r="AA271" s="560"/>
      <c r="AB271" s="560"/>
      <c r="AC271" s="560"/>
      <c r="AD271" s="560"/>
      <c r="AE271" s="560"/>
      <c r="AF271" s="560"/>
      <c r="AG271" s="560"/>
      <c r="AH271" s="560"/>
      <c r="AI271" s="560"/>
      <c r="AJ271" s="73">
        <v>42457</v>
      </c>
      <c r="AK271" s="648"/>
      <c r="AL271" s="174"/>
      <c r="AM271" s="564"/>
      <c r="AN271" s="564"/>
      <c r="AO271" s="564"/>
      <c r="AP271" s="564"/>
      <c r="AQ271" s="564"/>
      <c r="AR271" s="564"/>
      <c r="AS271" s="564"/>
      <c r="AT271" s="564"/>
      <c r="AU271" s="564"/>
      <c r="AV271" s="564"/>
      <c r="AW271" s="564"/>
      <c r="AX271" s="564"/>
      <c r="AY271" s="564"/>
      <c r="AZ271" s="564"/>
      <c r="BA271" s="564"/>
      <c r="BB271" s="564"/>
      <c r="BC271" s="564"/>
      <c r="BD271" s="564"/>
      <c r="BE271" s="564"/>
      <c r="BF271" s="564"/>
      <c r="BG271" s="564"/>
      <c r="BH271" s="564"/>
      <c r="BI271" s="564"/>
      <c r="BJ271" s="564"/>
      <c r="BK271" s="564"/>
      <c r="BL271" s="564"/>
      <c r="BM271" s="564"/>
      <c r="BN271" s="564"/>
      <c r="BO271" s="564"/>
      <c r="BP271" s="564"/>
      <c r="BQ271" s="564"/>
      <c r="BR271" s="564"/>
      <c r="BS271" s="564"/>
      <c r="BT271" s="564"/>
      <c r="BU271" s="564"/>
      <c r="BV271" s="564"/>
      <c r="BW271" s="564"/>
      <c r="BX271" s="564"/>
      <c r="BY271" s="564"/>
      <c r="BZ271" s="564"/>
      <c r="CA271" s="564"/>
      <c r="CB271" s="564"/>
      <c r="CC271" s="564"/>
      <c r="CD271" s="564"/>
      <c r="CE271" s="564"/>
      <c r="CF271" s="564"/>
      <c r="CG271" s="564"/>
      <c r="CH271" s="564"/>
      <c r="CI271" s="564"/>
      <c r="CJ271" s="564"/>
      <c r="CK271" s="564"/>
      <c r="CL271" s="564"/>
      <c r="CM271" s="564"/>
      <c r="CN271" s="564"/>
      <c r="CO271" s="564"/>
      <c r="CP271" s="564"/>
      <c r="CQ271" s="564"/>
      <c r="CR271" s="564"/>
      <c r="CS271" s="564"/>
      <c r="CT271" s="564"/>
      <c r="CU271" s="564"/>
      <c r="CV271" s="564"/>
      <c r="CW271" s="564"/>
      <c r="CX271" s="564"/>
      <c r="CY271" s="564"/>
      <c r="CZ271" s="564"/>
      <c r="DA271" s="564"/>
      <c r="DB271" s="564"/>
      <c r="DC271" s="564"/>
      <c r="DD271" s="564"/>
      <c r="DE271" s="564"/>
      <c r="DF271" s="564"/>
      <c r="DG271" s="564"/>
      <c r="DH271" s="564"/>
      <c r="DI271" s="564"/>
      <c r="DJ271" s="564"/>
      <c r="DK271" s="564"/>
      <c r="DL271" s="564"/>
      <c r="DM271" s="564"/>
      <c r="DN271" s="564"/>
      <c r="DO271" s="564"/>
      <c r="DP271" s="564"/>
      <c r="DQ271" s="564"/>
      <c r="DR271" s="564"/>
      <c r="DS271" s="564"/>
      <c r="DT271" s="564"/>
      <c r="DU271" s="564"/>
      <c r="DV271" s="564"/>
      <c r="DW271" s="564"/>
      <c r="DX271" s="564"/>
      <c r="DY271" s="564"/>
      <c r="DZ271" s="564"/>
      <c r="EA271" s="564"/>
      <c r="EB271" s="564"/>
      <c r="EC271" s="564"/>
      <c r="ED271" s="564"/>
      <c r="EE271" s="564"/>
      <c r="EF271" s="564"/>
      <c r="EG271" s="564"/>
      <c r="EH271" s="564"/>
      <c r="EI271" s="564"/>
      <c r="EJ271" s="564"/>
      <c r="EK271" s="564"/>
      <c r="EL271" s="564"/>
      <c r="EM271" s="564"/>
      <c r="EN271" s="564"/>
      <c r="EO271" s="564"/>
      <c r="EP271" s="564"/>
      <c r="EQ271" s="564"/>
      <c r="ER271" s="564"/>
      <c r="ES271" s="564"/>
      <c r="ET271" s="564"/>
      <c r="EU271" s="564"/>
      <c r="EV271" s="564"/>
      <c r="EW271" s="564"/>
      <c r="EX271" s="564"/>
      <c r="EY271" s="564"/>
      <c r="EZ271" s="564"/>
      <c r="FA271" s="564"/>
      <c r="FB271" s="564"/>
      <c r="FC271" s="564"/>
      <c r="FD271" s="564"/>
      <c r="FE271" s="564"/>
      <c r="FF271" s="564"/>
      <c r="FG271" s="564"/>
      <c r="FH271" s="564"/>
      <c r="FI271" s="564"/>
      <c r="FJ271" s="564"/>
      <c r="FK271" s="564"/>
      <c r="FL271" s="564"/>
      <c r="FM271" s="564"/>
      <c r="FN271" s="564"/>
      <c r="FO271" s="564"/>
      <c r="FP271" s="564"/>
      <c r="FQ271" s="564"/>
      <c r="FR271" s="564"/>
      <c r="FS271" s="564"/>
      <c r="FT271" s="564"/>
      <c r="FU271" s="564"/>
      <c r="FV271" s="564"/>
      <c r="FW271" s="564"/>
      <c r="FX271" s="564"/>
      <c r="FY271" s="564"/>
      <c r="FZ271" s="564"/>
      <c r="GA271" s="564"/>
      <c r="GB271" s="564"/>
      <c r="GC271" s="564"/>
      <c r="GD271" s="564"/>
      <c r="GE271" s="564"/>
      <c r="GF271" s="564"/>
      <c r="GG271" s="564"/>
      <c r="GH271" s="564"/>
      <c r="GI271" s="564"/>
      <c r="GJ271" s="564"/>
      <c r="GK271" s="564"/>
      <c r="GL271" s="564"/>
      <c r="GM271" s="564"/>
      <c r="GN271" s="564"/>
      <c r="GO271" s="564"/>
      <c r="GP271" s="564"/>
      <c r="GQ271" s="564"/>
      <c r="GR271" s="564"/>
      <c r="GS271" s="564"/>
      <c r="GT271" s="564"/>
      <c r="GU271" s="564"/>
      <c r="GV271" s="564"/>
      <c r="GW271" s="564"/>
      <c r="GX271" s="564"/>
      <c r="GY271" s="564"/>
      <c r="GZ271" s="564"/>
      <c r="HA271" s="564"/>
      <c r="HB271" s="564"/>
      <c r="HC271" s="564"/>
      <c r="HD271" s="564"/>
      <c r="HE271" s="564"/>
      <c r="HF271" s="564"/>
      <c r="HG271" s="564"/>
      <c r="HH271" s="564"/>
      <c r="HI271" s="564"/>
      <c r="HJ271" s="564"/>
      <c r="HK271" s="564"/>
      <c r="HL271" s="564"/>
      <c r="HM271" s="564"/>
      <c r="HN271" s="564"/>
      <c r="HO271" s="564"/>
      <c r="HP271" s="564"/>
      <c r="HQ271" s="564"/>
      <c r="HR271" s="564"/>
      <c r="HS271" s="564"/>
      <c r="HT271" s="564"/>
      <c r="HU271" s="564"/>
      <c r="HV271" s="564"/>
      <c r="HW271" s="564"/>
      <c r="HX271" s="564"/>
      <c r="HY271" s="564"/>
      <c r="HZ271" s="564"/>
      <c r="IA271" s="564"/>
      <c r="IB271" s="564"/>
      <c r="IC271" s="564"/>
      <c r="ID271" s="564"/>
      <c r="IE271" s="564"/>
      <c r="IF271" s="564"/>
      <c r="IG271" s="564"/>
      <c r="IH271" s="564"/>
      <c r="II271" s="564"/>
      <c r="IJ271" s="564"/>
      <c r="IK271" s="564"/>
      <c r="IL271" s="564"/>
      <c r="IM271" s="564"/>
      <c r="IN271" s="564"/>
      <c r="IO271" s="564"/>
      <c r="IP271" s="564"/>
      <c r="IQ271" s="564"/>
      <c r="IR271" s="564"/>
      <c r="IS271" s="564"/>
      <c r="IT271" s="564"/>
      <c r="IU271" s="564"/>
      <c r="IV271" s="564"/>
      <c r="IW271" s="564"/>
      <c r="IX271" s="564"/>
      <c r="IY271" s="564"/>
      <c r="IZ271" s="564"/>
      <c r="JA271" s="564"/>
      <c r="JB271" s="564"/>
      <c r="JC271" s="564"/>
      <c r="JD271" s="564"/>
      <c r="JE271" s="564"/>
      <c r="JF271" s="564"/>
      <c r="JG271" s="564"/>
      <c r="JH271" s="564"/>
      <c r="JI271" s="564"/>
      <c r="JJ271" s="564"/>
      <c r="JK271" s="564"/>
      <c r="JL271" s="564"/>
      <c r="JM271" s="564"/>
      <c r="JN271" s="564"/>
      <c r="JO271" s="564"/>
      <c r="JP271" s="564"/>
      <c r="JQ271" s="564"/>
      <c r="JR271" s="564"/>
      <c r="JS271" s="564"/>
      <c r="JT271" s="564"/>
      <c r="JU271" s="564"/>
      <c r="JV271" s="564"/>
    </row>
    <row r="272" spans="1:282" ht="50.1" customHeight="1" x14ac:dyDescent="0.2">
      <c r="A272" s="298"/>
      <c r="B272" s="38" t="s">
        <v>1137</v>
      </c>
      <c r="C272" s="38"/>
      <c r="D272" s="38"/>
      <c r="E272" s="30" t="s">
        <v>2405</v>
      </c>
      <c r="F272" s="267" t="s">
        <v>1451</v>
      </c>
      <c r="G272" s="108" t="s">
        <v>1451</v>
      </c>
      <c r="H272" s="38" t="s">
        <v>1526</v>
      </c>
      <c r="I272" s="38"/>
      <c r="J272" s="30" t="s">
        <v>1455</v>
      </c>
      <c r="K272" s="41" t="s">
        <v>1394</v>
      </c>
      <c r="L272" s="29" t="s">
        <v>1286</v>
      </c>
      <c r="M272" s="38" t="s">
        <v>1528</v>
      </c>
      <c r="N272" s="73">
        <v>41990</v>
      </c>
      <c r="O272" s="106" t="s">
        <v>1633</v>
      </c>
      <c r="P272" s="106"/>
      <c r="Q272" s="106"/>
      <c r="R272" s="106"/>
      <c r="S272" s="106"/>
      <c r="T272" s="560"/>
      <c r="U272" s="560"/>
      <c r="V272" s="560"/>
      <c r="W272" s="560"/>
      <c r="X272" s="560"/>
      <c r="Y272" s="560"/>
      <c r="Z272" s="560"/>
      <c r="AA272" s="560"/>
      <c r="AB272" s="560"/>
      <c r="AC272" s="560"/>
      <c r="AD272" s="560"/>
      <c r="AE272" s="560"/>
      <c r="AF272" s="560"/>
      <c r="AG272" s="560"/>
      <c r="AH272" s="560"/>
      <c r="AI272" s="560"/>
      <c r="AJ272" s="73">
        <v>42457</v>
      </c>
      <c r="AK272" s="648"/>
      <c r="AL272" s="174"/>
      <c r="AM272" s="564"/>
      <c r="AN272" s="564"/>
      <c r="AO272" s="564"/>
      <c r="AP272" s="564"/>
      <c r="AQ272" s="564"/>
      <c r="AR272" s="564"/>
      <c r="AS272" s="564"/>
      <c r="AT272" s="564"/>
      <c r="AU272" s="564"/>
      <c r="AV272" s="564"/>
      <c r="AW272" s="564"/>
      <c r="AX272" s="564"/>
      <c r="AY272" s="564"/>
      <c r="AZ272" s="564"/>
      <c r="BA272" s="564"/>
      <c r="BB272" s="564"/>
      <c r="BC272" s="564"/>
      <c r="BD272" s="564"/>
      <c r="BE272" s="564"/>
      <c r="BF272" s="564"/>
      <c r="BG272" s="564"/>
      <c r="BH272" s="564"/>
      <c r="BI272" s="564"/>
      <c r="BJ272" s="564"/>
      <c r="BK272" s="564"/>
      <c r="BL272" s="564"/>
      <c r="BM272" s="564"/>
      <c r="BN272" s="564"/>
      <c r="BO272" s="564"/>
      <c r="BP272" s="564"/>
      <c r="BQ272" s="564"/>
      <c r="BR272" s="564"/>
      <c r="BS272" s="564"/>
      <c r="BT272" s="564"/>
      <c r="BU272" s="564"/>
      <c r="BV272" s="564"/>
      <c r="BW272" s="564"/>
      <c r="BX272" s="564"/>
      <c r="BY272" s="564"/>
      <c r="BZ272" s="564"/>
      <c r="CA272" s="564"/>
      <c r="CB272" s="564"/>
      <c r="CC272" s="564"/>
      <c r="CD272" s="564"/>
      <c r="CE272" s="564"/>
      <c r="CF272" s="564"/>
      <c r="CG272" s="564"/>
      <c r="CH272" s="564"/>
      <c r="CI272" s="564"/>
      <c r="CJ272" s="564"/>
      <c r="CK272" s="564"/>
      <c r="CL272" s="564"/>
      <c r="CM272" s="564"/>
      <c r="CN272" s="564"/>
      <c r="CO272" s="564"/>
      <c r="CP272" s="564"/>
      <c r="CQ272" s="564"/>
      <c r="CR272" s="564"/>
      <c r="CS272" s="564"/>
      <c r="CT272" s="564"/>
      <c r="CU272" s="564"/>
      <c r="CV272" s="564"/>
      <c r="CW272" s="564"/>
      <c r="CX272" s="564"/>
      <c r="CY272" s="564"/>
      <c r="CZ272" s="564"/>
      <c r="DA272" s="564"/>
      <c r="DB272" s="564"/>
      <c r="DC272" s="564"/>
      <c r="DD272" s="564"/>
      <c r="DE272" s="564"/>
      <c r="DF272" s="564"/>
      <c r="DG272" s="564"/>
      <c r="DH272" s="564"/>
      <c r="DI272" s="564"/>
      <c r="DJ272" s="564"/>
      <c r="DK272" s="564"/>
      <c r="DL272" s="564"/>
      <c r="DM272" s="564"/>
      <c r="DN272" s="564"/>
      <c r="DO272" s="564"/>
      <c r="DP272" s="564"/>
      <c r="DQ272" s="564"/>
      <c r="DR272" s="564"/>
      <c r="DS272" s="564"/>
      <c r="DT272" s="564"/>
      <c r="DU272" s="564"/>
      <c r="DV272" s="564"/>
      <c r="DW272" s="564"/>
      <c r="DX272" s="564"/>
      <c r="DY272" s="564"/>
      <c r="DZ272" s="564"/>
      <c r="EA272" s="564"/>
      <c r="EB272" s="564"/>
      <c r="EC272" s="564"/>
      <c r="ED272" s="564"/>
      <c r="EE272" s="564"/>
      <c r="EF272" s="564"/>
      <c r="EG272" s="564"/>
      <c r="EH272" s="564"/>
      <c r="EI272" s="564"/>
      <c r="EJ272" s="564"/>
      <c r="EK272" s="564"/>
      <c r="EL272" s="564"/>
      <c r="EM272" s="564"/>
      <c r="EN272" s="564"/>
      <c r="EO272" s="564"/>
      <c r="EP272" s="564"/>
      <c r="EQ272" s="564"/>
      <c r="ER272" s="564"/>
      <c r="ES272" s="564"/>
      <c r="ET272" s="564"/>
      <c r="EU272" s="564"/>
      <c r="EV272" s="564"/>
      <c r="EW272" s="564"/>
      <c r="EX272" s="564"/>
      <c r="EY272" s="564"/>
      <c r="EZ272" s="564"/>
      <c r="FA272" s="564"/>
      <c r="FB272" s="564"/>
      <c r="FC272" s="564"/>
      <c r="FD272" s="564"/>
      <c r="FE272" s="564"/>
      <c r="FF272" s="564"/>
      <c r="FG272" s="564"/>
      <c r="FH272" s="564"/>
      <c r="FI272" s="564"/>
      <c r="FJ272" s="564"/>
      <c r="FK272" s="564"/>
      <c r="FL272" s="564"/>
      <c r="FM272" s="564"/>
      <c r="FN272" s="564"/>
      <c r="FO272" s="564"/>
      <c r="FP272" s="564"/>
      <c r="FQ272" s="564"/>
      <c r="FR272" s="564"/>
      <c r="FS272" s="564"/>
      <c r="FT272" s="564"/>
      <c r="FU272" s="564"/>
      <c r="FV272" s="564"/>
      <c r="FW272" s="564"/>
      <c r="FX272" s="564"/>
      <c r="FY272" s="564"/>
      <c r="FZ272" s="564"/>
      <c r="GA272" s="564"/>
      <c r="GB272" s="564"/>
      <c r="GC272" s="564"/>
      <c r="GD272" s="564"/>
      <c r="GE272" s="564"/>
      <c r="GF272" s="564"/>
      <c r="GG272" s="564"/>
      <c r="GH272" s="564"/>
      <c r="GI272" s="564"/>
      <c r="GJ272" s="564"/>
      <c r="GK272" s="564"/>
      <c r="GL272" s="564"/>
      <c r="GM272" s="564"/>
      <c r="GN272" s="564"/>
      <c r="GO272" s="564"/>
      <c r="GP272" s="564"/>
      <c r="GQ272" s="564"/>
      <c r="GR272" s="564"/>
      <c r="GS272" s="564"/>
      <c r="GT272" s="564"/>
      <c r="GU272" s="564"/>
      <c r="GV272" s="564"/>
      <c r="GW272" s="564"/>
      <c r="GX272" s="564"/>
      <c r="GY272" s="564"/>
      <c r="GZ272" s="564"/>
      <c r="HA272" s="564"/>
      <c r="HB272" s="564"/>
      <c r="HC272" s="564"/>
      <c r="HD272" s="564"/>
      <c r="HE272" s="564"/>
      <c r="HF272" s="564"/>
      <c r="HG272" s="564"/>
      <c r="HH272" s="564"/>
      <c r="HI272" s="564"/>
      <c r="HJ272" s="564"/>
      <c r="HK272" s="564"/>
      <c r="HL272" s="564"/>
      <c r="HM272" s="564"/>
      <c r="HN272" s="564"/>
      <c r="HO272" s="564"/>
      <c r="HP272" s="564"/>
      <c r="HQ272" s="564"/>
      <c r="HR272" s="564"/>
      <c r="HS272" s="564"/>
      <c r="HT272" s="564"/>
      <c r="HU272" s="564"/>
      <c r="HV272" s="564"/>
      <c r="HW272" s="564"/>
      <c r="HX272" s="564"/>
      <c r="HY272" s="564"/>
      <c r="HZ272" s="564"/>
      <c r="IA272" s="564"/>
      <c r="IB272" s="564"/>
      <c r="IC272" s="564"/>
      <c r="ID272" s="564"/>
      <c r="IE272" s="564"/>
      <c r="IF272" s="564"/>
      <c r="IG272" s="564"/>
      <c r="IH272" s="564"/>
      <c r="II272" s="564"/>
      <c r="IJ272" s="564"/>
      <c r="IK272" s="564"/>
      <c r="IL272" s="564"/>
      <c r="IM272" s="564"/>
      <c r="IN272" s="564"/>
      <c r="IO272" s="564"/>
      <c r="IP272" s="564"/>
      <c r="IQ272" s="564"/>
      <c r="IR272" s="564"/>
      <c r="IS272" s="564"/>
      <c r="IT272" s="564"/>
      <c r="IU272" s="564"/>
      <c r="IV272" s="564"/>
      <c r="IW272" s="564"/>
      <c r="IX272" s="564"/>
      <c r="IY272" s="564"/>
      <c r="IZ272" s="564"/>
      <c r="JA272" s="564"/>
      <c r="JB272" s="564"/>
      <c r="JC272" s="564"/>
      <c r="JD272" s="564"/>
      <c r="JE272" s="564"/>
      <c r="JF272" s="564"/>
      <c r="JG272" s="564"/>
      <c r="JH272" s="564"/>
      <c r="JI272" s="564"/>
      <c r="JJ272" s="564"/>
      <c r="JK272" s="564"/>
      <c r="JL272" s="564"/>
      <c r="JM272" s="564"/>
      <c r="JN272" s="564"/>
      <c r="JO272" s="564"/>
      <c r="JP272" s="564"/>
      <c r="JQ272" s="564"/>
      <c r="JR272" s="564"/>
      <c r="JS272" s="564"/>
      <c r="JT272" s="564"/>
      <c r="JU272" s="564"/>
      <c r="JV272" s="564"/>
    </row>
    <row r="273" spans="1:282" ht="50.1" customHeight="1" x14ac:dyDescent="0.2">
      <c r="A273" s="298"/>
      <c r="B273" s="38" t="s">
        <v>1137</v>
      </c>
      <c r="C273" s="38"/>
      <c r="D273" s="38"/>
      <c r="E273" s="160" t="s">
        <v>1488</v>
      </c>
      <c r="F273" s="104" t="s">
        <v>1779</v>
      </c>
      <c r="G273" s="29" t="s">
        <v>1435</v>
      </c>
      <c r="H273" s="41" t="s">
        <v>1539</v>
      </c>
      <c r="I273" s="41"/>
      <c r="J273" s="30" t="s">
        <v>697</v>
      </c>
      <c r="K273" s="38" t="s">
        <v>1393</v>
      </c>
      <c r="L273" s="38" t="s">
        <v>795</v>
      </c>
      <c r="M273" s="29" t="s">
        <v>1615</v>
      </c>
      <c r="N273" s="73">
        <v>41984</v>
      </c>
      <c r="O273" s="106" t="s">
        <v>1977</v>
      </c>
      <c r="P273" s="106"/>
      <c r="Q273" s="106"/>
      <c r="R273" s="106"/>
      <c r="S273" s="106"/>
      <c r="T273" s="560"/>
      <c r="U273" s="560"/>
      <c r="V273" s="560"/>
      <c r="W273" s="560"/>
      <c r="X273" s="560"/>
      <c r="Y273" s="560"/>
      <c r="Z273" s="560"/>
      <c r="AA273" s="560"/>
      <c r="AB273" s="560"/>
      <c r="AC273" s="560"/>
      <c r="AD273" s="560"/>
      <c r="AE273" s="560"/>
      <c r="AF273" s="560"/>
      <c r="AG273" s="560"/>
      <c r="AH273" s="560"/>
      <c r="AI273" s="560"/>
      <c r="AJ273" s="73">
        <v>42471</v>
      </c>
      <c r="AK273" s="648"/>
      <c r="AL273" s="174"/>
      <c r="AM273" s="564"/>
      <c r="AN273" s="564"/>
      <c r="AO273" s="564"/>
      <c r="AP273" s="564"/>
      <c r="AQ273" s="564"/>
      <c r="AR273" s="564"/>
      <c r="AS273" s="564"/>
      <c r="AT273" s="564"/>
      <c r="AU273" s="564"/>
      <c r="AV273" s="564"/>
      <c r="AW273" s="564"/>
      <c r="AX273" s="564"/>
      <c r="AY273" s="564"/>
      <c r="AZ273" s="564"/>
      <c r="BA273" s="564"/>
      <c r="BB273" s="564"/>
      <c r="BC273" s="564"/>
      <c r="BD273" s="564"/>
      <c r="BE273" s="564"/>
      <c r="BF273" s="564"/>
      <c r="BG273" s="564"/>
      <c r="BH273" s="564"/>
      <c r="BI273" s="564"/>
      <c r="BJ273" s="564"/>
      <c r="BK273" s="564"/>
      <c r="BL273" s="564"/>
      <c r="BM273" s="564"/>
      <c r="BN273" s="564"/>
      <c r="BO273" s="564"/>
      <c r="BP273" s="564"/>
      <c r="BQ273" s="564"/>
      <c r="BR273" s="564"/>
      <c r="BS273" s="564"/>
      <c r="BT273" s="564"/>
      <c r="BU273" s="564"/>
      <c r="BV273" s="564"/>
      <c r="BW273" s="564"/>
      <c r="BX273" s="564"/>
      <c r="BY273" s="564"/>
      <c r="BZ273" s="564"/>
      <c r="CA273" s="564"/>
      <c r="CB273" s="564"/>
      <c r="CC273" s="564"/>
      <c r="CD273" s="564"/>
      <c r="CE273" s="564"/>
      <c r="CF273" s="564"/>
      <c r="CG273" s="564"/>
      <c r="CH273" s="564"/>
      <c r="CI273" s="564"/>
      <c r="CJ273" s="564"/>
      <c r="CK273" s="564"/>
      <c r="CL273" s="564"/>
      <c r="CM273" s="564"/>
      <c r="CN273" s="564"/>
      <c r="CO273" s="564"/>
      <c r="CP273" s="564"/>
      <c r="CQ273" s="564"/>
      <c r="CR273" s="564"/>
      <c r="CS273" s="564"/>
      <c r="CT273" s="564"/>
      <c r="CU273" s="564"/>
      <c r="CV273" s="564"/>
      <c r="CW273" s="564"/>
      <c r="CX273" s="564"/>
      <c r="CY273" s="564"/>
      <c r="CZ273" s="564"/>
      <c r="DA273" s="564"/>
      <c r="DB273" s="564"/>
      <c r="DC273" s="564"/>
      <c r="DD273" s="564"/>
      <c r="DE273" s="564"/>
      <c r="DF273" s="564"/>
      <c r="DG273" s="564"/>
      <c r="DH273" s="564"/>
      <c r="DI273" s="564"/>
      <c r="DJ273" s="564"/>
      <c r="DK273" s="564"/>
      <c r="DL273" s="564"/>
      <c r="DM273" s="564"/>
      <c r="DN273" s="564"/>
      <c r="DO273" s="564"/>
      <c r="DP273" s="564"/>
      <c r="DQ273" s="564"/>
      <c r="DR273" s="564"/>
      <c r="DS273" s="564"/>
      <c r="DT273" s="564"/>
      <c r="DU273" s="564"/>
      <c r="DV273" s="564"/>
      <c r="DW273" s="564"/>
      <c r="DX273" s="564"/>
      <c r="DY273" s="564"/>
      <c r="DZ273" s="564"/>
      <c r="EA273" s="564"/>
      <c r="EB273" s="564"/>
      <c r="EC273" s="564"/>
      <c r="ED273" s="564"/>
      <c r="EE273" s="564"/>
      <c r="EF273" s="564"/>
      <c r="EG273" s="564"/>
      <c r="EH273" s="564"/>
      <c r="EI273" s="564"/>
      <c r="EJ273" s="564"/>
      <c r="EK273" s="564"/>
      <c r="EL273" s="564"/>
      <c r="EM273" s="564"/>
      <c r="EN273" s="564"/>
      <c r="EO273" s="564"/>
      <c r="EP273" s="564"/>
      <c r="EQ273" s="564"/>
      <c r="ER273" s="564"/>
      <c r="ES273" s="564"/>
      <c r="ET273" s="564"/>
      <c r="EU273" s="564"/>
      <c r="EV273" s="564"/>
      <c r="EW273" s="564"/>
      <c r="EX273" s="564"/>
      <c r="EY273" s="564"/>
      <c r="EZ273" s="564"/>
      <c r="FA273" s="564"/>
      <c r="FB273" s="564"/>
      <c r="FC273" s="564"/>
      <c r="FD273" s="564"/>
      <c r="FE273" s="564"/>
      <c r="FF273" s="564"/>
      <c r="FG273" s="564"/>
      <c r="FH273" s="564"/>
      <c r="FI273" s="564"/>
      <c r="FJ273" s="564"/>
      <c r="FK273" s="564"/>
      <c r="FL273" s="564"/>
      <c r="FM273" s="564"/>
      <c r="FN273" s="564"/>
      <c r="FO273" s="564"/>
      <c r="FP273" s="564"/>
      <c r="FQ273" s="564"/>
      <c r="FR273" s="564"/>
      <c r="FS273" s="564"/>
      <c r="FT273" s="564"/>
      <c r="FU273" s="564"/>
      <c r="FV273" s="564"/>
      <c r="FW273" s="564"/>
      <c r="FX273" s="564"/>
      <c r="FY273" s="564"/>
      <c r="FZ273" s="564"/>
      <c r="GA273" s="564"/>
      <c r="GB273" s="564"/>
      <c r="GC273" s="564"/>
      <c r="GD273" s="564"/>
      <c r="GE273" s="564"/>
      <c r="GF273" s="564"/>
      <c r="GG273" s="564"/>
      <c r="GH273" s="564"/>
      <c r="GI273" s="564"/>
      <c r="GJ273" s="564"/>
      <c r="GK273" s="564"/>
      <c r="GL273" s="564"/>
      <c r="GM273" s="564"/>
      <c r="GN273" s="564"/>
      <c r="GO273" s="564"/>
      <c r="GP273" s="564"/>
      <c r="GQ273" s="564"/>
      <c r="GR273" s="564"/>
      <c r="GS273" s="564"/>
      <c r="GT273" s="564"/>
      <c r="GU273" s="564"/>
      <c r="GV273" s="564"/>
      <c r="GW273" s="564"/>
      <c r="GX273" s="564"/>
      <c r="GY273" s="564"/>
      <c r="GZ273" s="564"/>
      <c r="HA273" s="564"/>
      <c r="HB273" s="564"/>
      <c r="HC273" s="564"/>
      <c r="HD273" s="564"/>
      <c r="HE273" s="564"/>
      <c r="HF273" s="564"/>
      <c r="HG273" s="564"/>
      <c r="HH273" s="564"/>
      <c r="HI273" s="564"/>
      <c r="HJ273" s="564"/>
      <c r="HK273" s="564"/>
      <c r="HL273" s="564"/>
      <c r="HM273" s="564"/>
      <c r="HN273" s="564"/>
      <c r="HO273" s="564"/>
      <c r="HP273" s="564"/>
      <c r="HQ273" s="564"/>
      <c r="HR273" s="564"/>
      <c r="HS273" s="564"/>
      <c r="HT273" s="564"/>
      <c r="HU273" s="564"/>
      <c r="HV273" s="564"/>
      <c r="HW273" s="564"/>
      <c r="HX273" s="564"/>
      <c r="HY273" s="564"/>
      <c r="HZ273" s="564"/>
      <c r="IA273" s="564"/>
      <c r="IB273" s="564"/>
      <c r="IC273" s="564"/>
      <c r="ID273" s="564"/>
      <c r="IE273" s="564"/>
      <c r="IF273" s="564"/>
      <c r="IG273" s="564"/>
      <c r="IH273" s="564"/>
      <c r="II273" s="564"/>
      <c r="IJ273" s="564"/>
      <c r="IK273" s="564"/>
      <c r="IL273" s="564"/>
      <c r="IM273" s="564"/>
      <c r="IN273" s="564"/>
      <c r="IO273" s="564"/>
      <c r="IP273" s="564"/>
      <c r="IQ273" s="564"/>
      <c r="IR273" s="564"/>
      <c r="IS273" s="564"/>
      <c r="IT273" s="564"/>
      <c r="IU273" s="564"/>
      <c r="IV273" s="564"/>
      <c r="IW273" s="564"/>
      <c r="IX273" s="564"/>
      <c r="IY273" s="564"/>
      <c r="IZ273" s="564"/>
      <c r="JA273" s="564"/>
      <c r="JB273" s="564"/>
      <c r="JC273" s="564"/>
      <c r="JD273" s="564"/>
      <c r="JE273" s="564"/>
      <c r="JF273" s="564"/>
      <c r="JG273" s="564"/>
      <c r="JH273" s="564"/>
      <c r="JI273" s="564"/>
      <c r="JJ273" s="564"/>
      <c r="JK273" s="564"/>
      <c r="JL273" s="564"/>
      <c r="JM273" s="564"/>
      <c r="JN273" s="564"/>
      <c r="JO273" s="564"/>
      <c r="JP273" s="564"/>
      <c r="JQ273" s="564"/>
      <c r="JR273" s="564"/>
      <c r="JS273" s="564"/>
      <c r="JT273" s="564"/>
      <c r="JU273" s="564"/>
      <c r="JV273" s="564"/>
    </row>
    <row r="274" spans="1:282" ht="50.1" customHeight="1" x14ac:dyDescent="0.2">
      <c r="A274" s="298"/>
      <c r="B274" s="107" t="s">
        <v>1137</v>
      </c>
      <c r="C274" s="107"/>
      <c r="D274" s="107"/>
      <c r="E274" s="30" t="s">
        <v>2290</v>
      </c>
      <c r="F274" s="196" t="s">
        <v>2252</v>
      </c>
      <c r="G274" s="30" t="s">
        <v>2253</v>
      </c>
      <c r="H274" s="41" t="s">
        <v>1806</v>
      </c>
      <c r="I274" s="41"/>
      <c r="J274" s="30" t="s">
        <v>2453</v>
      </c>
      <c r="K274" s="41" t="s">
        <v>1394</v>
      </c>
      <c r="L274" s="41" t="s">
        <v>12</v>
      </c>
      <c r="M274" s="29" t="s">
        <v>1615</v>
      </c>
      <c r="N274" s="73">
        <v>42355</v>
      </c>
      <c r="O274" s="30">
        <v>1153840166</v>
      </c>
      <c r="P274" s="30"/>
      <c r="Q274" s="30"/>
      <c r="R274" s="30"/>
      <c r="S274" s="30"/>
      <c r="T274" s="560"/>
      <c r="U274" s="560"/>
      <c r="V274" s="560"/>
      <c r="W274" s="560"/>
      <c r="X274" s="560"/>
      <c r="Y274" s="560"/>
      <c r="Z274" s="560"/>
      <c r="AA274" s="560"/>
      <c r="AB274" s="560"/>
      <c r="AC274" s="560"/>
      <c r="AD274" s="560"/>
      <c r="AE274" s="560"/>
      <c r="AF274" s="560"/>
      <c r="AG274" s="560"/>
      <c r="AH274" s="560"/>
      <c r="AI274" s="560"/>
      <c r="AJ274" s="73">
        <v>42471</v>
      </c>
      <c r="AK274" s="648"/>
      <c r="AL274" s="174"/>
      <c r="AM274" s="564"/>
      <c r="AN274" s="564"/>
      <c r="AO274" s="564"/>
      <c r="AP274" s="564"/>
      <c r="AQ274" s="564"/>
      <c r="AR274" s="564"/>
      <c r="AS274" s="564"/>
      <c r="AT274" s="564"/>
      <c r="AU274" s="564"/>
      <c r="AV274" s="564"/>
      <c r="AW274" s="564"/>
      <c r="AX274" s="564"/>
      <c r="AY274" s="564"/>
      <c r="AZ274" s="564"/>
      <c r="BA274" s="564"/>
      <c r="BB274" s="564"/>
      <c r="BC274" s="564"/>
      <c r="BD274" s="564"/>
      <c r="BE274" s="564"/>
      <c r="BF274" s="564"/>
      <c r="BG274" s="564"/>
      <c r="BH274" s="564"/>
      <c r="BI274" s="564"/>
      <c r="BJ274" s="564"/>
      <c r="BK274" s="564"/>
      <c r="BL274" s="564"/>
      <c r="BM274" s="564"/>
      <c r="BN274" s="564"/>
      <c r="BO274" s="564"/>
      <c r="BP274" s="564"/>
      <c r="BQ274" s="564"/>
      <c r="BR274" s="564"/>
      <c r="BS274" s="564"/>
      <c r="BT274" s="564"/>
      <c r="BU274" s="564"/>
      <c r="BV274" s="564"/>
      <c r="BW274" s="564"/>
      <c r="BX274" s="564"/>
      <c r="BY274" s="564"/>
      <c r="BZ274" s="564"/>
      <c r="CA274" s="564"/>
      <c r="CB274" s="564"/>
      <c r="CC274" s="564"/>
      <c r="CD274" s="564"/>
      <c r="CE274" s="564"/>
      <c r="CF274" s="564"/>
      <c r="CG274" s="564"/>
      <c r="CH274" s="564"/>
      <c r="CI274" s="564"/>
      <c r="CJ274" s="564"/>
      <c r="CK274" s="564"/>
      <c r="CL274" s="564"/>
      <c r="CM274" s="564"/>
      <c r="CN274" s="564"/>
      <c r="CO274" s="564"/>
      <c r="CP274" s="564"/>
      <c r="CQ274" s="564"/>
      <c r="CR274" s="564"/>
      <c r="CS274" s="564"/>
      <c r="CT274" s="564"/>
      <c r="CU274" s="564"/>
      <c r="CV274" s="564"/>
      <c r="CW274" s="564"/>
      <c r="CX274" s="564"/>
      <c r="CY274" s="564"/>
      <c r="CZ274" s="564"/>
      <c r="DA274" s="564"/>
      <c r="DB274" s="564"/>
      <c r="DC274" s="564"/>
      <c r="DD274" s="564"/>
      <c r="DE274" s="564"/>
      <c r="DF274" s="564"/>
      <c r="DG274" s="564"/>
      <c r="DH274" s="564"/>
      <c r="DI274" s="564"/>
      <c r="DJ274" s="564"/>
      <c r="DK274" s="564"/>
      <c r="DL274" s="564"/>
      <c r="DM274" s="564"/>
      <c r="DN274" s="564"/>
      <c r="DO274" s="564"/>
      <c r="DP274" s="564"/>
      <c r="DQ274" s="564"/>
      <c r="DR274" s="564"/>
      <c r="DS274" s="564"/>
      <c r="DT274" s="564"/>
      <c r="DU274" s="564"/>
      <c r="DV274" s="564"/>
      <c r="DW274" s="564"/>
      <c r="DX274" s="564"/>
      <c r="DY274" s="564"/>
      <c r="DZ274" s="564"/>
      <c r="EA274" s="564"/>
      <c r="EB274" s="564"/>
      <c r="EC274" s="564"/>
      <c r="ED274" s="564"/>
      <c r="EE274" s="564"/>
      <c r="EF274" s="564"/>
      <c r="EG274" s="564"/>
      <c r="EH274" s="564"/>
      <c r="EI274" s="564"/>
      <c r="EJ274" s="564"/>
      <c r="EK274" s="564"/>
      <c r="EL274" s="564"/>
      <c r="EM274" s="564"/>
      <c r="EN274" s="564"/>
      <c r="EO274" s="564"/>
      <c r="EP274" s="564"/>
      <c r="EQ274" s="564"/>
      <c r="ER274" s="564"/>
      <c r="ES274" s="564"/>
      <c r="ET274" s="564"/>
      <c r="EU274" s="564"/>
      <c r="EV274" s="564"/>
      <c r="EW274" s="564"/>
      <c r="EX274" s="564"/>
      <c r="EY274" s="564"/>
      <c r="EZ274" s="564"/>
      <c r="FA274" s="564"/>
      <c r="FB274" s="564"/>
      <c r="FC274" s="564"/>
      <c r="FD274" s="564"/>
      <c r="FE274" s="564"/>
      <c r="FF274" s="564"/>
      <c r="FG274" s="564"/>
      <c r="FH274" s="564"/>
      <c r="FI274" s="564"/>
      <c r="FJ274" s="564"/>
      <c r="FK274" s="564"/>
      <c r="FL274" s="564"/>
      <c r="FM274" s="564"/>
      <c r="FN274" s="564"/>
      <c r="FO274" s="564"/>
      <c r="FP274" s="564"/>
      <c r="FQ274" s="564"/>
      <c r="FR274" s="564"/>
      <c r="FS274" s="564"/>
      <c r="FT274" s="564"/>
      <c r="FU274" s="564"/>
      <c r="FV274" s="564"/>
      <c r="FW274" s="564"/>
      <c r="FX274" s="564"/>
      <c r="FY274" s="564"/>
      <c r="FZ274" s="564"/>
      <c r="GA274" s="564"/>
      <c r="GB274" s="564"/>
      <c r="GC274" s="564"/>
      <c r="GD274" s="564"/>
      <c r="GE274" s="564"/>
      <c r="GF274" s="564"/>
      <c r="GG274" s="564"/>
      <c r="GH274" s="564"/>
      <c r="GI274" s="564"/>
      <c r="GJ274" s="564"/>
      <c r="GK274" s="564"/>
      <c r="GL274" s="564"/>
      <c r="GM274" s="564"/>
      <c r="GN274" s="564"/>
      <c r="GO274" s="564"/>
      <c r="GP274" s="564"/>
      <c r="GQ274" s="564"/>
      <c r="GR274" s="564"/>
      <c r="GS274" s="564"/>
      <c r="GT274" s="564"/>
      <c r="GU274" s="564"/>
      <c r="GV274" s="564"/>
      <c r="GW274" s="564"/>
      <c r="GX274" s="564"/>
      <c r="GY274" s="564"/>
      <c r="GZ274" s="564"/>
      <c r="HA274" s="564"/>
      <c r="HB274" s="564"/>
      <c r="HC274" s="564"/>
      <c r="HD274" s="564"/>
      <c r="HE274" s="564"/>
      <c r="HF274" s="564"/>
      <c r="HG274" s="564"/>
      <c r="HH274" s="564"/>
      <c r="HI274" s="564"/>
      <c r="HJ274" s="564"/>
      <c r="HK274" s="564"/>
      <c r="HL274" s="564"/>
      <c r="HM274" s="564"/>
      <c r="HN274" s="564"/>
      <c r="HO274" s="564"/>
      <c r="HP274" s="564"/>
      <c r="HQ274" s="564"/>
      <c r="HR274" s="564"/>
      <c r="HS274" s="564"/>
      <c r="HT274" s="564"/>
      <c r="HU274" s="564"/>
      <c r="HV274" s="564"/>
      <c r="HW274" s="564"/>
      <c r="HX274" s="564"/>
      <c r="HY274" s="564"/>
      <c r="HZ274" s="564"/>
      <c r="IA274" s="564"/>
      <c r="IB274" s="564"/>
      <c r="IC274" s="564"/>
      <c r="ID274" s="564"/>
      <c r="IE274" s="564"/>
      <c r="IF274" s="564"/>
      <c r="IG274" s="564"/>
      <c r="IH274" s="564"/>
      <c r="II274" s="564"/>
      <c r="IJ274" s="564"/>
      <c r="IK274" s="564"/>
      <c r="IL274" s="564"/>
      <c r="IM274" s="564"/>
      <c r="IN274" s="564"/>
      <c r="IO274" s="564"/>
      <c r="IP274" s="564"/>
      <c r="IQ274" s="564"/>
      <c r="IR274" s="564"/>
      <c r="IS274" s="564"/>
      <c r="IT274" s="564"/>
      <c r="IU274" s="564"/>
      <c r="IV274" s="564"/>
      <c r="IW274" s="564"/>
      <c r="IX274" s="564"/>
      <c r="IY274" s="564"/>
      <c r="IZ274" s="564"/>
      <c r="JA274" s="564"/>
      <c r="JB274" s="564"/>
      <c r="JC274" s="564"/>
      <c r="JD274" s="564"/>
      <c r="JE274" s="564"/>
      <c r="JF274" s="564"/>
      <c r="JG274" s="564"/>
      <c r="JH274" s="564"/>
      <c r="JI274" s="564"/>
      <c r="JJ274" s="564"/>
      <c r="JK274" s="564"/>
      <c r="JL274" s="564"/>
      <c r="JM274" s="564"/>
      <c r="JN274" s="564"/>
      <c r="JO274" s="564"/>
      <c r="JP274" s="564"/>
      <c r="JQ274" s="564"/>
      <c r="JR274" s="564"/>
      <c r="JS274" s="564"/>
      <c r="JT274" s="564"/>
      <c r="JU274" s="564"/>
      <c r="JV274" s="564"/>
    </row>
    <row r="275" spans="1:282" ht="50.1" customHeight="1" x14ac:dyDescent="0.2">
      <c r="A275" s="298"/>
      <c r="B275" s="107" t="s">
        <v>1137</v>
      </c>
      <c r="C275" s="107"/>
      <c r="D275" s="107"/>
      <c r="E275" s="30" t="s">
        <v>2339</v>
      </c>
      <c r="F275" s="196" t="s">
        <v>2340</v>
      </c>
      <c r="G275" s="41" t="s">
        <v>204</v>
      </c>
      <c r="H275" s="41" t="s">
        <v>1806</v>
      </c>
      <c r="I275" s="41"/>
      <c r="J275" s="30" t="s">
        <v>1920</v>
      </c>
      <c r="K275" s="41" t="s">
        <v>1393</v>
      </c>
      <c r="L275" s="30" t="s">
        <v>685</v>
      </c>
      <c r="M275" s="30" t="s">
        <v>2094</v>
      </c>
      <c r="N275" s="73">
        <v>42352</v>
      </c>
      <c r="O275" s="30">
        <v>1156559164</v>
      </c>
      <c r="P275" s="30"/>
      <c r="Q275" s="30"/>
      <c r="R275" s="30"/>
      <c r="S275" s="30"/>
      <c r="T275" s="560"/>
      <c r="U275" s="560"/>
      <c r="V275" s="560"/>
      <c r="W275" s="560"/>
      <c r="X275" s="560"/>
      <c r="Y275" s="560"/>
      <c r="Z275" s="560"/>
      <c r="AA275" s="560"/>
      <c r="AB275" s="560"/>
      <c r="AC275" s="560"/>
      <c r="AD275" s="560"/>
      <c r="AE275" s="560"/>
      <c r="AF275" s="560"/>
      <c r="AG275" s="560"/>
      <c r="AH275" s="560"/>
      <c r="AI275" s="560"/>
      <c r="AJ275" s="73">
        <v>42471</v>
      </c>
      <c r="AK275" s="648"/>
      <c r="AL275" s="174"/>
      <c r="AM275" s="564"/>
      <c r="AN275" s="564"/>
      <c r="AO275" s="564"/>
      <c r="AP275" s="564"/>
      <c r="AQ275" s="564"/>
      <c r="AR275" s="564"/>
      <c r="AS275" s="564"/>
      <c r="AT275" s="564"/>
      <c r="AU275" s="564"/>
      <c r="AV275" s="564"/>
      <c r="AW275" s="564"/>
      <c r="AX275" s="564"/>
      <c r="AY275" s="564"/>
      <c r="AZ275" s="564"/>
      <c r="BA275" s="564"/>
      <c r="BB275" s="564"/>
      <c r="BC275" s="564"/>
      <c r="BD275" s="564"/>
      <c r="BE275" s="564"/>
      <c r="BF275" s="564"/>
      <c r="BG275" s="564"/>
      <c r="BH275" s="564"/>
      <c r="BI275" s="564"/>
      <c r="BJ275" s="564"/>
      <c r="BK275" s="564"/>
      <c r="BL275" s="564"/>
      <c r="BM275" s="564"/>
      <c r="BN275" s="564"/>
      <c r="BO275" s="564"/>
      <c r="BP275" s="564"/>
      <c r="BQ275" s="564"/>
      <c r="BR275" s="564"/>
      <c r="BS275" s="564"/>
      <c r="BT275" s="564"/>
      <c r="BU275" s="564"/>
      <c r="BV275" s="564"/>
      <c r="BW275" s="564"/>
      <c r="BX275" s="564"/>
      <c r="BY275" s="564"/>
      <c r="BZ275" s="564"/>
      <c r="CA275" s="564"/>
      <c r="CB275" s="564"/>
      <c r="CC275" s="564"/>
      <c r="CD275" s="564"/>
      <c r="CE275" s="564"/>
      <c r="CF275" s="564"/>
      <c r="CG275" s="564"/>
      <c r="CH275" s="564"/>
      <c r="CI275" s="564"/>
      <c r="CJ275" s="564"/>
      <c r="CK275" s="564"/>
      <c r="CL275" s="564"/>
      <c r="CM275" s="564"/>
      <c r="CN275" s="564"/>
      <c r="CO275" s="564"/>
      <c r="CP275" s="564"/>
      <c r="CQ275" s="564"/>
      <c r="CR275" s="564"/>
      <c r="CS275" s="564"/>
      <c r="CT275" s="564"/>
      <c r="CU275" s="564"/>
      <c r="CV275" s="564"/>
      <c r="CW275" s="564"/>
      <c r="CX275" s="564"/>
      <c r="CY275" s="564"/>
      <c r="CZ275" s="564"/>
      <c r="DA275" s="564"/>
      <c r="DB275" s="564"/>
      <c r="DC275" s="564"/>
      <c r="DD275" s="564"/>
      <c r="DE275" s="564"/>
      <c r="DF275" s="564"/>
      <c r="DG275" s="564"/>
      <c r="DH275" s="564"/>
      <c r="DI275" s="564"/>
      <c r="DJ275" s="564"/>
      <c r="DK275" s="564"/>
      <c r="DL275" s="564"/>
      <c r="DM275" s="564"/>
      <c r="DN275" s="564"/>
      <c r="DO275" s="564"/>
      <c r="DP275" s="564"/>
      <c r="DQ275" s="564"/>
      <c r="DR275" s="564"/>
      <c r="DS275" s="564"/>
      <c r="DT275" s="564"/>
      <c r="DU275" s="564"/>
      <c r="DV275" s="564"/>
      <c r="DW275" s="564"/>
      <c r="DX275" s="564"/>
      <c r="DY275" s="564"/>
      <c r="DZ275" s="564"/>
      <c r="EA275" s="564"/>
      <c r="EB275" s="564"/>
      <c r="EC275" s="564"/>
      <c r="ED275" s="564"/>
      <c r="EE275" s="564"/>
      <c r="EF275" s="564"/>
      <c r="EG275" s="564"/>
      <c r="EH275" s="564"/>
      <c r="EI275" s="564"/>
      <c r="EJ275" s="564"/>
      <c r="EK275" s="564"/>
      <c r="EL275" s="564"/>
      <c r="EM275" s="564"/>
      <c r="EN275" s="564"/>
      <c r="EO275" s="564"/>
      <c r="EP275" s="564"/>
      <c r="EQ275" s="564"/>
      <c r="ER275" s="564"/>
      <c r="ES275" s="564"/>
      <c r="ET275" s="564"/>
      <c r="EU275" s="564"/>
      <c r="EV275" s="564"/>
      <c r="EW275" s="564"/>
      <c r="EX275" s="564"/>
      <c r="EY275" s="564"/>
      <c r="EZ275" s="564"/>
      <c r="FA275" s="564"/>
      <c r="FB275" s="564"/>
      <c r="FC275" s="564"/>
      <c r="FD275" s="564"/>
      <c r="FE275" s="564"/>
      <c r="FF275" s="564"/>
      <c r="FG275" s="564"/>
      <c r="FH275" s="564"/>
      <c r="FI275" s="564"/>
      <c r="FJ275" s="564"/>
      <c r="FK275" s="564"/>
      <c r="FL275" s="564"/>
      <c r="FM275" s="564"/>
      <c r="FN275" s="564"/>
      <c r="FO275" s="564"/>
      <c r="FP275" s="564"/>
      <c r="FQ275" s="564"/>
      <c r="FR275" s="564"/>
      <c r="FS275" s="564"/>
      <c r="FT275" s="564"/>
      <c r="FU275" s="564"/>
      <c r="FV275" s="564"/>
      <c r="FW275" s="564"/>
      <c r="FX275" s="564"/>
      <c r="FY275" s="564"/>
      <c r="FZ275" s="564"/>
      <c r="GA275" s="564"/>
      <c r="GB275" s="564"/>
      <c r="GC275" s="564"/>
      <c r="GD275" s="564"/>
      <c r="GE275" s="564"/>
      <c r="GF275" s="564"/>
      <c r="GG275" s="564"/>
      <c r="GH275" s="564"/>
      <c r="GI275" s="564"/>
      <c r="GJ275" s="564"/>
      <c r="GK275" s="564"/>
      <c r="GL275" s="564"/>
      <c r="GM275" s="564"/>
      <c r="GN275" s="564"/>
      <c r="GO275" s="564"/>
      <c r="GP275" s="564"/>
      <c r="GQ275" s="564"/>
      <c r="GR275" s="564"/>
      <c r="GS275" s="564"/>
      <c r="GT275" s="564"/>
      <c r="GU275" s="564"/>
      <c r="GV275" s="564"/>
      <c r="GW275" s="564"/>
      <c r="GX275" s="564"/>
      <c r="GY275" s="564"/>
      <c r="GZ275" s="564"/>
      <c r="HA275" s="564"/>
      <c r="HB275" s="564"/>
      <c r="HC275" s="564"/>
      <c r="HD275" s="564"/>
      <c r="HE275" s="564"/>
      <c r="HF275" s="564"/>
      <c r="HG275" s="564"/>
      <c r="HH275" s="564"/>
      <c r="HI275" s="564"/>
      <c r="HJ275" s="564"/>
      <c r="HK275" s="564"/>
      <c r="HL275" s="564"/>
      <c r="HM275" s="564"/>
      <c r="HN275" s="564"/>
      <c r="HO275" s="564"/>
      <c r="HP275" s="564"/>
      <c r="HQ275" s="564"/>
      <c r="HR275" s="564"/>
      <c r="HS275" s="564"/>
      <c r="HT275" s="564"/>
      <c r="HU275" s="564"/>
      <c r="HV275" s="564"/>
      <c r="HW275" s="564"/>
      <c r="HX275" s="564"/>
      <c r="HY275" s="564"/>
      <c r="HZ275" s="564"/>
      <c r="IA275" s="564"/>
      <c r="IB275" s="564"/>
      <c r="IC275" s="564"/>
      <c r="ID275" s="564"/>
      <c r="IE275" s="564"/>
      <c r="IF275" s="564"/>
      <c r="IG275" s="564"/>
      <c r="IH275" s="564"/>
      <c r="II275" s="564"/>
      <c r="IJ275" s="564"/>
      <c r="IK275" s="564"/>
      <c r="IL275" s="564"/>
      <c r="IM275" s="564"/>
      <c r="IN275" s="564"/>
      <c r="IO275" s="564"/>
      <c r="IP275" s="564"/>
      <c r="IQ275" s="564"/>
      <c r="IR275" s="564"/>
      <c r="IS275" s="564"/>
      <c r="IT275" s="564"/>
      <c r="IU275" s="564"/>
      <c r="IV275" s="564"/>
      <c r="IW275" s="564"/>
      <c r="IX275" s="564"/>
      <c r="IY275" s="564"/>
      <c r="IZ275" s="564"/>
      <c r="JA275" s="564"/>
      <c r="JB275" s="564"/>
      <c r="JC275" s="564"/>
      <c r="JD275" s="564"/>
      <c r="JE275" s="564"/>
      <c r="JF275" s="564"/>
      <c r="JG275" s="564"/>
      <c r="JH275" s="564"/>
      <c r="JI275" s="564"/>
      <c r="JJ275" s="564"/>
      <c r="JK275" s="564"/>
      <c r="JL275" s="564"/>
      <c r="JM275" s="564"/>
      <c r="JN275" s="564"/>
      <c r="JO275" s="564"/>
      <c r="JP275" s="564"/>
      <c r="JQ275" s="564"/>
      <c r="JR275" s="564"/>
      <c r="JS275" s="564"/>
      <c r="JT275" s="564"/>
      <c r="JU275" s="564"/>
      <c r="JV275" s="564"/>
    </row>
    <row r="276" spans="1:282" ht="50.1" customHeight="1" x14ac:dyDescent="0.2">
      <c r="A276" s="298"/>
      <c r="B276" s="107" t="s">
        <v>1137</v>
      </c>
      <c r="C276" s="107"/>
      <c r="D276" s="107"/>
      <c r="E276" s="30" t="s">
        <v>2292</v>
      </c>
      <c r="F276" s="196" t="s">
        <v>2258</v>
      </c>
      <c r="G276" s="41" t="s">
        <v>865</v>
      </c>
      <c r="H276" s="41" t="s">
        <v>1806</v>
      </c>
      <c r="I276" s="41"/>
      <c r="J276" s="30" t="s">
        <v>763</v>
      </c>
      <c r="K276" s="38" t="s">
        <v>1393</v>
      </c>
      <c r="L276" s="41" t="s">
        <v>1286</v>
      </c>
      <c r="M276" s="29" t="s">
        <v>1615</v>
      </c>
      <c r="N276" s="73">
        <v>42366</v>
      </c>
      <c r="O276" s="30">
        <v>1171447166</v>
      </c>
      <c r="P276" s="30"/>
      <c r="Q276" s="30"/>
      <c r="R276" s="30"/>
      <c r="S276" s="30"/>
      <c r="T276" s="560"/>
      <c r="U276" s="560"/>
      <c r="V276" s="560"/>
      <c r="W276" s="560"/>
      <c r="X276" s="560"/>
      <c r="Y276" s="560"/>
      <c r="Z276" s="560"/>
      <c r="AA276" s="560"/>
      <c r="AB276" s="560"/>
      <c r="AC276" s="560"/>
      <c r="AD276" s="560"/>
      <c r="AE276" s="560"/>
      <c r="AF276" s="560"/>
      <c r="AG276" s="560"/>
      <c r="AH276" s="560"/>
      <c r="AI276" s="560"/>
      <c r="AJ276" s="73">
        <v>42471</v>
      </c>
      <c r="AK276" s="648"/>
      <c r="AL276" s="174"/>
      <c r="AM276" s="564"/>
      <c r="AN276" s="564"/>
      <c r="AO276" s="564"/>
      <c r="AP276" s="564"/>
      <c r="AQ276" s="564"/>
      <c r="AR276" s="564"/>
      <c r="AS276" s="564"/>
      <c r="AT276" s="564"/>
      <c r="AU276" s="564"/>
      <c r="AV276" s="564"/>
      <c r="AW276" s="564"/>
      <c r="AX276" s="564"/>
      <c r="AY276" s="564"/>
      <c r="AZ276" s="564"/>
      <c r="BA276" s="564"/>
      <c r="BB276" s="564"/>
      <c r="BC276" s="564"/>
      <c r="BD276" s="564"/>
      <c r="BE276" s="564"/>
      <c r="BF276" s="564"/>
      <c r="BG276" s="564"/>
      <c r="BH276" s="564"/>
      <c r="BI276" s="564"/>
      <c r="BJ276" s="564"/>
      <c r="BK276" s="564"/>
      <c r="BL276" s="564"/>
      <c r="BM276" s="564"/>
      <c r="BN276" s="564"/>
      <c r="BO276" s="564"/>
      <c r="BP276" s="564"/>
      <c r="BQ276" s="564"/>
      <c r="BR276" s="564"/>
      <c r="BS276" s="564"/>
      <c r="BT276" s="564"/>
      <c r="BU276" s="564"/>
      <c r="BV276" s="564"/>
      <c r="BW276" s="564"/>
      <c r="BX276" s="564"/>
      <c r="BY276" s="564"/>
      <c r="BZ276" s="564"/>
      <c r="CA276" s="564"/>
      <c r="CB276" s="564"/>
      <c r="CC276" s="564"/>
      <c r="CD276" s="564"/>
      <c r="CE276" s="564"/>
      <c r="CF276" s="564"/>
      <c r="CG276" s="564"/>
      <c r="CH276" s="564"/>
      <c r="CI276" s="564"/>
      <c r="CJ276" s="564"/>
      <c r="CK276" s="564"/>
      <c r="CL276" s="564"/>
      <c r="CM276" s="564"/>
      <c r="CN276" s="564"/>
      <c r="CO276" s="564"/>
      <c r="CP276" s="564"/>
      <c r="CQ276" s="564"/>
      <c r="CR276" s="564"/>
      <c r="CS276" s="564"/>
      <c r="CT276" s="564"/>
      <c r="CU276" s="564"/>
      <c r="CV276" s="564"/>
      <c r="CW276" s="564"/>
      <c r="CX276" s="564"/>
      <c r="CY276" s="564"/>
      <c r="CZ276" s="564"/>
      <c r="DA276" s="564"/>
      <c r="DB276" s="564"/>
      <c r="DC276" s="564"/>
      <c r="DD276" s="564"/>
      <c r="DE276" s="564"/>
      <c r="DF276" s="564"/>
      <c r="DG276" s="564"/>
      <c r="DH276" s="564"/>
      <c r="DI276" s="564"/>
      <c r="DJ276" s="564"/>
      <c r="DK276" s="564"/>
      <c r="DL276" s="564"/>
      <c r="DM276" s="564"/>
      <c r="DN276" s="564"/>
      <c r="DO276" s="564"/>
      <c r="DP276" s="564"/>
      <c r="DQ276" s="564"/>
      <c r="DR276" s="564"/>
      <c r="DS276" s="564"/>
      <c r="DT276" s="564"/>
      <c r="DU276" s="564"/>
      <c r="DV276" s="564"/>
      <c r="DW276" s="564"/>
      <c r="DX276" s="564"/>
      <c r="DY276" s="564"/>
      <c r="DZ276" s="564"/>
      <c r="EA276" s="564"/>
      <c r="EB276" s="564"/>
      <c r="EC276" s="564"/>
      <c r="ED276" s="564"/>
      <c r="EE276" s="564"/>
      <c r="EF276" s="564"/>
      <c r="EG276" s="564"/>
      <c r="EH276" s="564"/>
      <c r="EI276" s="564"/>
      <c r="EJ276" s="564"/>
      <c r="EK276" s="564"/>
      <c r="EL276" s="564"/>
      <c r="EM276" s="564"/>
      <c r="EN276" s="564"/>
      <c r="EO276" s="564"/>
      <c r="EP276" s="564"/>
      <c r="EQ276" s="564"/>
      <c r="ER276" s="564"/>
      <c r="ES276" s="564"/>
      <c r="ET276" s="564"/>
      <c r="EU276" s="564"/>
      <c r="EV276" s="564"/>
      <c r="EW276" s="564"/>
      <c r="EX276" s="564"/>
      <c r="EY276" s="564"/>
      <c r="EZ276" s="564"/>
      <c r="FA276" s="564"/>
      <c r="FB276" s="564"/>
      <c r="FC276" s="564"/>
      <c r="FD276" s="564"/>
      <c r="FE276" s="564"/>
      <c r="FF276" s="564"/>
      <c r="FG276" s="564"/>
      <c r="FH276" s="564"/>
      <c r="FI276" s="564"/>
      <c r="FJ276" s="564"/>
      <c r="FK276" s="564"/>
      <c r="FL276" s="564"/>
      <c r="FM276" s="564"/>
      <c r="FN276" s="564"/>
      <c r="FO276" s="564"/>
      <c r="FP276" s="564"/>
      <c r="FQ276" s="564"/>
      <c r="FR276" s="564"/>
      <c r="FS276" s="564"/>
      <c r="FT276" s="564"/>
      <c r="FU276" s="564"/>
      <c r="FV276" s="564"/>
      <c r="FW276" s="564"/>
      <c r="FX276" s="564"/>
      <c r="FY276" s="564"/>
      <c r="FZ276" s="564"/>
      <c r="GA276" s="564"/>
      <c r="GB276" s="564"/>
      <c r="GC276" s="564"/>
      <c r="GD276" s="564"/>
      <c r="GE276" s="564"/>
      <c r="GF276" s="564"/>
      <c r="GG276" s="564"/>
      <c r="GH276" s="564"/>
      <c r="GI276" s="564"/>
      <c r="GJ276" s="564"/>
      <c r="GK276" s="564"/>
      <c r="GL276" s="564"/>
      <c r="GM276" s="564"/>
      <c r="GN276" s="564"/>
      <c r="GO276" s="564"/>
      <c r="GP276" s="564"/>
      <c r="GQ276" s="564"/>
      <c r="GR276" s="564"/>
      <c r="GS276" s="564"/>
      <c r="GT276" s="564"/>
      <c r="GU276" s="564"/>
      <c r="GV276" s="564"/>
      <c r="GW276" s="564"/>
      <c r="GX276" s="564"/>
      <c r="GY276" s="564"/>
      <c r="GZ276" s="564"/>
      <c r="HA276" s="564"/>
      <c r="HB276" s="564"/>
      <c r="HC276" s="564"/>
      <c r="HD276" s="564"/>
      <c r="HE276" s="564"/>
      <c r="HF276" s="564"/>
      <c r="HG276" s="564"/>
      <c r="HH276" s="564"/>
      <c r="HI276" s="564"/>
      <c r="HJ276" s="564"/>
      <c r="HK276" s="564"/>
      <c r="HL276" s="564"/>
      <c r="HM276" s="564"/>
      <c r="HN276" s="564"/>
      <c r="HO276" s="564"/>
      <c r="HP276" s="564"/>
      <c r="HQ276" s="564"/>
      <c r="HR276" s="564"/>
      <c r="HS276" s="564"/>
      <c r="HT276" s="564"/>
      <c r="HU276" s="564"/>
      <c r="HV276" s="564"/>
      <c r="HW276" s="564"/>
      <c r="HX276" s="564"/>
      <c r="HY276" s="564"/>
      <c r="HZ276" s="564"/>
      <c r="IA276" s="564"/>
      <c r="IB276" s="564"/>
      <c r="IC276" s="564"/>
      <c r="ID276" s="564"/>
      <c r="IE276" s="564"/>
      <c r="IF276" s="564"/>
      <c r="IG276" s="564"/>
      <c r="IH276" s="564"/>
      <c r="II276" s="564"/>
      <c r="IJ276" s="564"/>
      <c r="IK276" s="564"/>
      <c r="IL276" s="564"/>
      <c r="IM276" s="564"/>
      <c r="IN276" s="564"/>
      <c r="IO276" s="564"/>
      <c r="IP276" s="564"/>
      <c r="IQ276" s="564"/>
      <c r="IR276" s="564"/>
      <c r="IS276" s="564"/>
      <c r="IT276" s="564"/>
      <c r="IU276" s="564"/>
      <c r="IV276" s="564"/>
      <c r="IW276" s="564"/>
      <c r="IX276" s="564"/>
      <c r="IY276" s="564"/>
      <c r="IZ276" s="564"/>
      <c r="JA276" s="564"/>
      <c r="JB276" s="564"/>
      <c r="JC276" s="564"/>
      <c r="JD276" s="564"/>
      <c r="JE276" s="564"/>
      <c r="JF276" s="564"/>
      <c r="JG276" s="564"/>
      <c r="JH276" s="564"/>
      <c r="JI276" s="564"/>
      <c r="JJ276" s="564"/>
      <c r="JK276" s="564"/>
      <c r="JL276" s="564"/>
      <c r="JM276" s="564"/>
      <c r="JN276" s="564"/>
      <c r="JO276" s="564"/>
      <c r="JP276" s="564"/>
      <c r="JQ276" s="564"/>
      <c r="JR276" s="564"/>
      <c r="JS276" s="564"/>
      <c r="JT276" s="564"/>
      <c r="JU276" s="564"/>
      <c r="JV276" s="564"/>
    </row>
    <row r="277" spans="1:282" ht="50.1" customHeight="1" x14ac:dyDescent="0.2">
      <c r="A277" s="298"/>
      <c r="B277" s="41" t="s">
        <v>584</v>
      </c>
      <c r="C277" s="41"/>
      <c r="D277" s="41"/>
      <c r="E277" s="30" t="s">
        <v>2318</v>
      </c>
      <c r="F277" s="104" t="s">
        <v>2319</v>
      </c>
      <c r="G277" s="30" t="s">
        <v>2320</v>
      </c>
      <c r="H277" s="41" t="s">
        <v>1806</v>
      </c>
      <c r="I277" s="41"/>
      <c r="J277" s="30" t="s">
        <v>2321</v>
      </c>
      <c r="K277" s="41" t="s">
        <v>1393</v>
      </c>
      <c r="L277" s="41" t="s">
        <v>12</v>
      </c>
      <c r="M277" s="30" t="s">
        <v>2094</v>
      </c>
      <c r="N277" s="73">
        <v>42369</v>
      </c>
      <c r="O277" s="106" t="s">
        <v>2322</v>
      </c>
      <c r="P277" s="106"/>
      <c r="Q277" s="106"/>
      <c r="R277" s="106"/>
      <c r="S277" s="106"/>
      <c r="T277" s="560"/>
      <c r="U277" s="560"/>
      <c r="V277" s="560"/>
      <c r="W277" s="560"/>
      <c r="X277" s="560"/>
      <c r="Y277" s="560"/>
      <c r="Z277" s="560"/>
      <c r="AA277" s="560"/>
      <c r="AB277" s="560"/>
      <c r="AC277" s="560"/>
      <c r="AD277" s="560"/>
      <c r="AE277" s="560"/>
      <c r="AF277" s="560"/>
      <c r="AG277" s="560"/>
      <c r="AH277" s="560"/>
      <c r="AI277" s="560"/>
      <c r="AJ277" s="73">
        <v>42471</v>
      </c>
      <c r="AK277" s="648"/>
      <c r="AL277" s="174"/>
      <c r="AM277" s="564"/>
      <c r="AN277" s="564"/>
      <c r="AO277" s="564"/>
      <c r="AP277" s="564"/>
      <c r="AQ277" s="564"/>
      <c r="AR277" s="564"/>
      <c r="AS277" s="564"/>
      <c r="AT277" s="564"/>
      <c r="AU277" s="564"/>
      <c r="AV277" s="564"/>
      <c r="AW277" s="564"/>
      <c r="AX277" s="564"/>
      <c r="AY277" s="564"/>
      <c r="AZ277" s="564"/>
      <c r="BA277" s="564"/>
      <c r="BB277" s="564"/>
      <c r="BC277" s="564"/>
      <c r="BD277" s="564"/>
      <c r="BE277" s="564"/>
      <c r="BF277" s="564"/>
      <c r="BG277" s="564"/>
      <c r="BH277" s="564"/>
      <c r="BI277" s="564"/>
      <c r="BJ277" s="564"/>
      <c r="BK277" s="564"/>
      <c r="BL277" s="564"/>
      <c r="BM277" s="564"/>
      <c r="BN277" s="564"/>
      <c r="BO277" s="564"/>
      <c r="BP277" s="564"/>
      <c r="BQ277" s="564"/>
      <c r="BR277" s="564"/>
      <c r="BS277" s="564"/>
      <c r="BT277" s="564"/>
      <c r="BU277" s="564"/>
      <c r="BV277" s="564"/>
      <c r="BW277" s="564"/>
      <c r="BX277" s="564"/>
      <c r="BY277" s="564"/>
      <c r="BZ277" s="564"/>
      <c r="CA277" s="564"/>
      <c r="CB277" s="564"/>
      <c r="CC277" s="564"/>
      <c r="CD277" s="564"/>
      <c r="CE277" s="564"/>
      <c r="CF277" s="564"/>
      <c r="CG277" s="564"/>
      <c r="CH277" s="564"/>
      <c r="CI277" s="564"/>
      <c r="CJ277" s="564"/>
      <c r="CK277" s="564"/>
      <c r="CL277" s="564"/>
      <c r="CM277" s="564"/>
      <c r="CN277" s="564"/>
      <c r="CO277" s="564"/>
      <c r="CP277" s="564"/>
      <c r="CQ277" s="564"/>
      <c r="CR277" s="564"/>
      <c r="CS277" s="564"/>
      <c r="CT277" s="564"/>
      <c r="CU277" s="564"/>
      <c r="CV277" s="564"/>
      <c r="CW277" s="564"/>
      <c r="CX277" s="564"/>
      <c r="CY277" s="564"/>
      <c r="CZ277" s="564"/>
      <c r="DA277" s="564"/>
      <c r="DB277" s="564"/>
      <c r="DC277" s="564"/>
      <c r="DD277" s="564"/>
      <c r="DE277" s="564"/>
      <c r="DF277" s="564"/>
      <c r="DG277" s="564"/>
      <c r="DH277" s="564"/>
      <c r="DI277" s="564"/>
      <c r="DJ277" s="564"/>
      <c r="DK277" s="564"/>
      <c r="DL277" s="564"/>
      <c r="DM277" s="564"/>
      <c r="DN277" s="564"/>
      <c r="DO277" s="564"/>
      <c r="DP277" s="564"/>
      <c r="DQ277" s="564"/>
      <c r="DR277" s="564"/>
      <c r="DS277" s="564"/>
      <c r="DT277" s="564"/>
      <c r="DU277" s="564"/>
      <c r="DV277" s="564"/>
      <c r="DW277" s="564"/>
      <c r="DX277" s="564"/>
      <c r="DY277" s="564"/>
      <c r="DZ277" s="564"/>
      <c r="EA277" s="564"/>
      <c r="EB277" s="564"/>
      <c r="EC277" s="564"/>
      <c r="ED277" s="564"/>
      <c r="EE277" s="564"/>
      <c r="EF277" s="564"/>
      <c r="EG277" s="564"/>
      <c r="EH277" s="564"/>
      <c r="EI277" s="564"/>
      <c r="EJ277" s="564"/>
      <c r="EK277" s="564"/>
      <c r="EL277" s="564"/>
      <c r="EM277" s="564"/>
      <c r="EN277" s="564"/>
      <c r="EO277" s="564"/>
      <c r="EP277" s="564"/>
      <c r="EQ277" s="564"/>
      <c r="ER277" s="564"/>
      <c r="ES277" s="564"/>
      <c r="ET277" s="564"/>
      <c r="EU277" s="564"/>
      <c r="EV277" s="564"/>
      <c r="EW277" s="564"/>
      <c r="EX277" s="564"/>
      <c r="EY277" s="564"/>
      <c r="EZ277" s="564"/>
      <c r="FA277" s="564"/>
      <c r="FB277" s="564"/>
      <c r="FC277" s="564"/>
      <c r="FD277" s="564"/>
      <c r="FE277" s="564"/>
      <c r="FF277" s="564"/>
      <c r="FG277" s="564"/>
      <c r="FH277" s="564"/>
      <c r="FI277" s="564"/>
      <c r="FJ277" s="564"/>
      <c r="FK277" s="564"/>
      <c r="FL277" s="564"/>
      <c r="FM277" s="564"/>
      <c r="FN277" s="564"/>
      <c r="FO277" s="564"/>
      <c r="FP277" s="564"/>
      <c r="FQ277" s="564"/>
      <c r="FR277" s="564"/>
      <c r="FS277" s="564"/>
      <c r="FT277" s="564"/>
      <c r="FU277" s="564"/>
      <c r="FV277" s="564"/>
      <c r="FW277" s="564"/>
      <c r="FX277" s="564"/>
      <c r="FY277" s="564"/>
      <c r="FZ277" s="564"/>
      <c r="GA277" s="564"/>
      <c r="GB277" s="564"/>
      <c r="GC277" s="564"/>
      <c r="GD277" s="564"/>
      <c r="GE277" s="564"/>
      <c r="GF277" s="564"/>
      <c r="GG277" s="564"/>
      <c r="GH277" s="564"/>
      <c r="GI277" s="564"/>
      <c r="GJ277" s="564"/>
      <c r="GK277" s="564"/>
      <c r="GL277" s="564"/>
      <c r="GM277" s="564"/>
      <c r="GN277" s="564"/>
      <c r="GO277" s="564"/>
      <c r="GP277" s="564"/>
      <c r="GQ277" s="564"/>
      <c r="GR277" s="564"/>
      <c r="GS277" s="564"/>
      <c r="GT277" s="564"/>
      <c r="GU277" s="564"/>
      <c r="GV277" s="564"/>
      <c r="GW277" s="564"/>
      <c r="GX277" s="564"/>
      <c r="GY277" s="564"/>
      <c r="GZ277" s="564"/>
      <c r="HA277" s="564"/>
      <c r="HB277" s="564"/>
      <c r="HC277" s="564"/>
      <c r="HD277" s="564"/>
      <c r="HE277" s="564"/>
      <c r="HF277" s="564"/>
      <c r="HG277" s="564"/>
      <c r="HH277" s="564"/>
      <c r="HI277" s="564"/>
      <c r="HJ277" s="564"/>
      <c r="HK277" s="564"/>
      <c r="HL277" s="564"/>
      <c r="HM277" s="564"/>
      <c r="HN277" s="564"/>
      <c r="HO277" s="564"/>
      <c r="HP277" s="564"/>
      <c r="HQ277" s="564"/>
      <c r="HR277" s="564"/>
      <c r="HS277" s="564"/>
      <c r="HT277" s="564"/>
      <c r="HU277" s="564"/>
      <c r="HV277" s="564"/>
      <c r="HW277" s="564"/>
      <c r="HX277" s="564"/>
      <c r="HY277" s="564"/>
      <c r="HZ277" s="564"/>
      <c r="IA277" s="564"/>
      <c r="IB277" s="564"/>
      <c r="IC277" s="564"/>
      <c r="ID277" s="564"/>
      <c r="IE277" s="564"/>
      <c r="IF277" s="564"/>
      <c r="IG277" s="564"/>
      <c r="IH277" s="564"/>
      <c r="II277" s="564"/>
      <c r="IJ277" s="564"/>
      <c r="IK277" s="564"/>
      <c r="IL277" s="564"/>
      <c r="IM277" s="564"/>
      <c r="IN277" s="564"/>
      <c r="IO277" s="564"/>
      <c r="IP277" s="564"/>
      <c r="IQ277" s="564"/>
      <c r="IR277" s="564"/>
      <c r="IS277" s="564"/>
      <c r="IT277" s="564"/>
      <c r="IU277" s="564"/>
      <c r="IV277" s="564"/>
      <c r="IW277" s="564"/>
      <c r="IX277" s="564"/>
      <c r="IY277" s="564"/>
      <c r="IZ277" s="564"/>
      <c r="JA277" s="564"/>
      <c r="JB277" s="564"/>
      <c r="JC277" s="564"/>
      <c r="JD277" s="564"/>
      <c r="JE277" s="564"/>
      <c r="JF277" s="564"/>
      <c r="JG277" s="564"/>
      <c r="JH277" s="564"/>
      <c r="JI277" s="564"/>
      <c r="JJ277" s="564"/>
      <c r="JK277" s="564"/>
      <c r="JL277" s="564"/>
      <c r="JM277" s="564"/>
      <c r="JN277" s="564"/>
      <c r="JO277" s="564"/>
      <c r="JP277" s="564"/>
      <c r="JQ277" s="564"/>
      <c r="JR277" s="564"/>
      <c r="JS277" s="564"/>
      <c r="JT277" s="564"/>
      <c r="JU277" s="564"/>
      <c r="JV277" s="564"/>
    </row>
    <row r="278" spans="1:282" ht="50.1" customHeight="1" x14ac:dyDescent="0.2">
      <c r="A278" s="298"/>
      <c r="B278" s="68" t="s">
        <v>1137</v>
      </c>
      <c r="C278" s="68"/>
      <c r="D278" s="68"/>
      <c r="E278" s="29" t="s">
        <v>168</v>
      </c>
      <c r="F278" s="104" t="s">
        <v>156</v>
      </c>
      <c r="G278" s="29" t="s">
        <v>156</v>
      </c>
      <c r="H278" s="43" t="s">
        <v>185</v>
      </c>
      <c r="I278" s="43"/>
      <c r="J278" s="43" t="s">
        <v>318</v>
      </c>
      <c r="K278" s="29" t="s">
        <v>1394</v>
      </c>
      <c r="L278" s="29" t="s">
        <v>685</v>
      </c>
      <c r="M278" s="29" t="s">
        <v>1528</v>
      </c>
      <c r="N278" s="73">
        <v>40543</v>
      </c>
      <c r="O278" s="69" t="s">
        <v>167</v>
      </c>
      <c r="P278" s="69"/>
      <c r="Q278" s="69"/>
      <c r="R278" s="69"/>
      <c r="S278" s="69"/>
      <c r="T278" s="560"/>
      <c r="U278" s="560"/>
      <c r="V278" s="560"/>
      <c r="W278" s="560"/>
      <c r="X278" s="560"/>
      <c r="Y278" s="560"/>
      <c r="Z278" s="560"/>
      <c r="AA278" s="560"/>
      <c r="AB278" s="560"/>
      <c r="AC278" s="560"/>
      <c r="AD278" s="560"/>
      <c r="AE278" s="560"/>
      <c r="AF278" s="560"/>
      <c r="AG278" s="560"/>
      <c r="AH278" s="560"/>
      <c r="AI278" s="560"/>
      <c r="AJ278" s="73">
        <v>42478</v>
      </c>
      <c r="AK278" s="648"/>
      <c r="AL278" s="174"/>
      <c r="AM278" s="564"/>
      <c r="AN278" s="564"/>
      <c r="AO278" s="564"/>
      <c r="AP278" s="564"/>
      <c r="AQ278" s="564"/>
      <c r="AR278" s="564"/>
      <c r="AS278" s="564"/>
      <c r="AT278" s="564"/>
      <c r="AU278" s="564"/>
      <c r="AV278" s="564"/>
      <c r="AW278" s="564"/>
      <c r="AX278" s="564"/>
      <c r="AY278" s="564"/>
      <c r="AZ278" s="564"/>
      <c r="BA278" s="564"/>
      <c r="BB278" s="564"/>
      <c r="BC278" s="564"/>
      <c r="BD278" s="564"/>
      <c r="BE278" s="564"/>
      <c r="BF278" s="564"/>
      <c r="BG278" s="564"/>
      <c r="BH278" s="564"/>
      <c r="BI278" s="564"/>
      <c r="BJ278" s="564"/>
      <c r="BK278" s="564"/>
      <c r="BL278" s="564"/>
      <c r="BM278" s="564"/>
      <c r="BN278" s="564"/>
      <c r="BO278" s="564"/>
      <c r="BP278" s="564"/>
      <c r="BQ278" s="564"/>
      <c r="BR278" s="564"/>
      <c r="BS278" s="564"/>
      <c r="BT278" s="564"/>
      <c r="BU278" s="564"/>
      <c r="BV278" s="564"/>
      <c r="BW278" s="564"/>
      <c r="BX278" s="564"/>
      <c r="BY278" s="564"/>
      <c r="BZ278" s="564"/>
      <c r="CA278" s="564"/>
      <c r="CB278" s="564"/>
      <c r="CC278" s="564"/>
      <c r="CD278" s="564"/>
      <c r="CE278" s="564"/>
      <c r="CF278" s="564"/>
      <c r="CG278" s="564"/>
      <c r="CH278" s="564"/>
      <c r="CI278" s="564"/>
      <c r="CJ278" s="564"/>
      <c r="CK278" s="564"/>
      <c r="CL278" s="564"/>
      <c r="CM278" s="564"/>
      <c r="CN278" s="564"/>
      <c r="CO278" s="564"/>
      <c r="CP278" s="564"/>
      <c r="CQ278" s="564"/>
      <c r="CR278" s="564"/>
      <c r="CS278" s="564"/>
      <c r="CT278" s="564"/>
      <c r="CU278" s="564"/>
      <c r="CV278" s="564"/>
      <c r="CW278" s="564"/>
      <c r="CX278" s="564"/>
      <c r="CY278" s="564"/>
      <c r="CZ278" s="564"/>
      <c r="DA278" s="564"/>
      <c r="DB278" s="564"/>
      <c r="DC278" s="564"/>
      <c r="DD278" s="564"/>
      <c r="DE278" s="564"/>
      <c r="DF278" s="564"/>
      <c r="DG278" s="564"/>
      <c r="DH278" s="564"/>
      <c r="DI278" s="564"/>
      <c r="DJ278" s="564"/>
      <c r="DK278" s="564"/>
      <c r="DL278" s="564"/>
      <c r="DM278" s="564"/>
      <c r="DN278" s="564"/>
      <c r="DO278" s="564"/>
      <c r="DP278" s="564"/>
      <c r="DQ278" s="564"/>
      <c r="DR278" s="564"/>
      <c r="DS278" s="564"/>
      <c r="DT278" s="564"/>
      <c r="DU278" s="564"/>
      <c r="DV278" s="564"/>
      <c r="DW278" s="564"/>
      <c r="DX278" s="564"/>
      <c r="DY278" s="564"/>
      <c r="DZ278" s="564"/>
      <c r="EA278" s="564"/>
      <c r="EB278" s="564"/>
      <c r="EC278" s="564"/>
      <c r="ED278" s="564"/>
      <c r="EE278" s="564"/>
      <c r="EF278" s="564"/>
      <c r="EG278" s="564"/>
      <c r="EH278" s="564"/>
      <c r="EI278" s="564"/>
      <c r="EJ278" s="564"/>
      <c r="EK278" s="564"/>
      <c r="EL278" s="564"/>
      <c r="EM278" s="564"/>
      <c r="EN278" s="564"/>
      <c r="EO278" s="564"/>
      <c r="EP278" s="564"/>
      <c r="EQ278" s="564"/>
      <c r="ER278" s="564"/>
      <c r="ES278" s="564"/>
      <c r="ET278" s="564"/>
      <c r="EU278" s="564"/>
      <c r="EV278" s="564"/>
      <c r="EW278" s="564"/>
      <c r="EX278" s="564"/>
      <c r="EY278" s="564"/>
      <c r="EZ278" s="564"/>
      <c r="FA278" s="564"/>
      <c r="FB278" s="564"/>
      <c r="FC278" s="564"/>
      <c r="FD278" s="564"/>
      <c r="FE278" s="564"/>
      <c r="FF278" s="564"/>
      <c r="FG278" s="564"/>
      <c r="FH278" s="564"/>
      <c r="FI278" s="564"/>
      <c r="FJ278" s="564"/>
      <c r="FK278" s="564"/>
      <c r="FL278" s="564"/>
      <c r="FM278" s="564"/>
      <c r="FN278" s="564"/>
      <c r="FO278" s="564"/>
      <c r="FP278" s="564"/>
      <c r="FQ278" s="564"/>
      <c r="FR278" s="564"/>
      <c r="FS278" s="564"/>
      <c r="FT278" s="564"/>
      <c r="FU278" s="564"/>
      <c r="FV278" s="564"/>
      <c r="FW278" s="564"/>
      <c r="FX278" s="564"/>
      <c r="FY278" s="564"/>
      <c r="FZ278" s="564"/>
      <c r="GA278" s="564"/>
      <c r="GB278" s="564"/>
      <c r="GC278" s="564"/>
      <c r="GD278" s="564"/>
      <c r="GE278" s="564"/>
      <c r="GF278" s="564"/>
      <c r="GG278" s="564"/>
      <c r="GH278" s="564"/>
      <c r="GI278" s="564"/>
      <c r="GJ278" s="564"/>
      <c r="GK278" s="564"/>
      <c r="GL278" s="564"/>
      <c r="GM278" s="564"/>
      <c r="GN278" s="564"/>
      <c r="GO278" s="564"/>
      <c r="GP278" s="564"/>
      <c r="GQ278" s="564"/>
      <c r="GR278" s="564"/>
      <c r="GS278" s="564"/>
      <c r="GT278" s="564"/>
      <c r="GU278" s="564"/>
      <c r="GV278" s="564"/>
      <c r="GW278" s="564"/>
      <c r="GX278" s="564"/>
      <c r="GY278" s="564"/>
      <c r="GZ278" s="564"/>
      <c r="HA278" s="564"/>
      <c r="HB278" s="564"/>
      <c r="HC278" s="564"/>
      <c r="HD278" s="564"/>
      <c r="HE278" s="564"/>
      <c r="HF278" s="564"/>
      <c r="HG278" s="564"/>
      <c r="HH278" s="564"/>
      <c r="HI278" s="564"/>
      <c r="HJ278" s="564"/>
      <c r="HK278" s="564"/>
      <c r="HL278" s="564"/>
      <c r="HM278" s="564"/>
      <c r="HN278" s="564"/>
      <c r="HO278" s="564"/>
      <c r="HP278" s="564"/>
      <c r="HQ278" s="564"/>
      <c r="HR278" s="564"/>
      <c r="HS278" s="564"/>
      <c r="HT278" s="564"/>
      <c r="HU278" s="564"/>
      <c r="HV278" s="564"/>
      <c r="HW278" s="564"/>
      <c r="HX278" s="564"/>
      <c r="HY278" s="564"/>
      <c r="HZ278" s="564"/>
      <c r="IA278" s="564"/>
      <c r="IB278" s="564"/>
      <c r="IC278" s="564"/>
      <c r="ID278" s="564"/>
      <c r="IE278" s="564"/>
      <c r="IF278" s="564"/>
      <c r="IG278" s="564"/>
      <c r="IH278" s="564"/>
      <c r="II278" s="564"/>
      <c r="IJ278" s="564"/>
      <c r="IK278" s="564"/>
      <c r="IL278" s="564"/>
      <c r="IM278" s="564"/>
      <c r="IN278" s="564"/>
      <c r="IO278" s="564"/>
      <c r="IP278" s="564"/>
      <c r="IQ278" s="564"/>
      <c r="IR278" s="564"/>
      <c r="IS278" s="564"/>
      <c r="IT278" s="564"/>
      <c r="IU278" s="564"/>
      <c r="IV278" s="564"/>
      <c r="IW278" s="564"/>
      <c r="IX278" s="564"/>
      <c r="IY278" s="564"/>
      <c r="IZ278" s="564"/>
      <c r="JA278" s="564"/>
      <c r="JB278" s="564"/>
      <c r="JC278" s="564"/>
      <c r="JD278" s="564"/>
      <c r="JE278" s="564"/>
      <c r="JF278" s="564"/>
      <c r="JG278" s="564"/>
      <c r="JH278" s="564"/>
      <c r="JI278" s="564"/>
      <c r="JJ278" s="564"/>
      <c r="JK278" s="564"/>
      <c r="JL278" s="564"/>
      <c r="JM278" s="564"/>
      <c r="JN278" s="564"/>
      <c r="JO278" s="564"/>
      <c r="JP278" s="564"/>
      <c r="JQ278" s="564"/>
      <c r="JR278" s="564"/>
      <c r="JS278" s="564"/>
      <c r="JT278" s="564"/>
      <c r="JU278" s="564"/>
      <c r="JV278" s="564"/>
    </row>
    <row r="279" spans="1:282" ht="50.1" customHeight="1" x14ac:dyDescent="0.2">
      <c r="A279" s="298"/>
      <c r="B279" s="68" t="s">
        <v>1137</v>
      </c>
      <c r="C279" s="68"/>
      <c r="D279" s="68"/>
      <c r="E279" s="29" t="s">
        <v>184</v>
      </c>
      <c r="F279" s="104" t="s">
        <v>149</v>
      </c>
      <c r="G279" s="29" t="s">
        <v>148</v>
      </c>
      <c r="H279" s="29" t="s">
        <v>187</v>
      </c>
      <c r="I279" s="29"/>
      <c r="J279" s="29" t="s">
        <v>188</v>
      </c>
      <c r="K279" s="29" t="s">
        <v>1393</v>
      </c>
      <c r="L279" s="29" t="s">
        <v>12</v>
      </c>
      <c r="M279" s="29" t="s">
        <v>1528</v>
      </c>
      <c r="N279" s="73">
        <v>40542</v>
      </c>
      <c r="O279" s="69" t="s">
        <v>181</v>
      </c>
      <c r="P279" s="69"/>
      <c r="Q279" s="69"/>
      <c r="R279" s="69"/>
      <c r="S279" s="69"/>
      <c r="T279" s="560"/>
      <c r="U279" s="560"/>
      <c r="V279" s="560"/>
      <c r="W279" s="560"/>
      <c r="X279" s="560"/>
      <c r="Y279" s="560"/>
      <c r="Z279" s="560"/>
      <c r="AA279" s="560"/>
      <c r="AB279" s="560"/>
      <c r="AC279" s="560"/>
      <c r="AD279" s="560"/>
      <c r="AE279" s="560"/>
      <c r="AF279" s="560"/>
      <c r="AG279" s="560"/>
      <c r="AH279" s="560"/>
      <c r="AI279" s="560"/>
      <c r="AJ279" s="73">
        <v>42478</v>
      </c>
      <c r="AK279" s="648"/>
      <c r="AL279" s="174"/>
      <c r="AM279" s="564"/>
      <c r="AN279" s="564"/>
      <c r="AO279" s="564"/>
      <c r="AP279" s="564"/>
      <c r="AQ279" s="564"/>
      <c r="AR279" s="564"/>
      <c r="AS279" s="564"/>
      <c r="AT279" s="564"/>
      <c r="AU279" s="564"/>
      <c r="AV279" s="564"/>
      <c r="AW279" s="564"/>
      <c r="AX279" s="564"/>
      <c r="AY279" s="564"/>
      <c r="AZ279" s="564"/>
      <c r="BA279" s="564"/>
      <c r="BB279" s="564"/>
      <c r="BC279" s="564"/>
      <c r="BD279" s="564"/>
      <c r="BE279" s="564"/>
      <c r="BF279" s="564"/>
      <c r="BG279" s="564"/>
      <c r="BH279" s="564"/>
      <c r="BI279" s="564"/>
      <c r="BJ279" s="564"/>
      <c r="BK279" s="564"/>
      <c r="BL279" s="564"/>
      <c r="BM279" s="564"/>
      <c r="BN279" s="564"/>
      <c r="BO279" s="564"/>
      <c r="BP279" s="564"/>
      <c r="BQ279" s="564"/>
      <c r="BR279" s="564"/>
      <c r="BS279" s="564"/>
      <c r="BT279" s="564"/>
      <c r="BU279" s="564"/>
      <c r="BV279" s="564"/>
      <c r="BW279" s="564"/>
      <c r="BX279" s="564"/>
      <c r="BY279" s="564"/>
      <c r="BZ279" s="564"/>
      <c r="CA279" s="564"/>
      <c r="CB279" s="564"/>
      <c r="CC279" s="564"/>
      <c r="CD279" s="564"/>
      <c r="CE279" s="564"/>
      <c r="CF279" s="564"/>
      <c r="CG279" s="564"/>
      <c r="CH279" s="564"/>
      <c r="CI279" s="564"/>
      <c r="CJ279" s="564"/>
      <c r="CK279" s="564"/>
      <c r="CL279" s="564"/>
      <c r="CM279" s="564"/>
      <c r="CN279" s="564"/>
      <c r="CO279" s="564"/>
      <c r="CP279" s="564"/>
      <c r="CQ279" s="564"/>
      <c r="CR279" s="564"/>
      <c r="CS279" s="564"/>
      <c r="CT279" s="564"/>
      <c r="CU279" s="564"/>
      <c r="CV279" s="564"/>
      <c r="CW279" s="564"/>
      <c r="CX279" s="564"/>
      <c r="CY279" s="564"/>
      <c r="CZ279" s="564"/>
      <c r="DA279" s="564"/>
      <c r="DB279" s="564"/>
      <c r="DC279" s="564"/>
      <c r="DD279" s="564"/>
      <c r="DE279" s="564"/>
      <c r="DF279" s="564"/>
      <c r="DG279" s="564"/>
      <c r="DH279" s="564"/>
      <c r="DI279" s="564"/>
      <c r="DJ279" s="564"/>
      <c r="DK279" s="564"/>
      <c r="DL279" s="564"/>
      <c r="DM279" s="564"/>
      <c r="DN279" s="564"/>
      <c r="DO279" s="564"/>
      <c r="DP279" s="564"/>
      <c r="DQ279" s="564"/>
      <c r="DR279" s="564"/>
      <c r="DS279" s="564"/>
      <c r="DT279" s="564"/>
      <c r="DU279" s="564"/>
      <c r="DV279" s="564"/>
      <c r="DW279" s="564"/>
      <c r="DX279" s="564"/>
      <c r="DY279" s="564"/>
      <c r="DZ279" s="564"/>
      <c r="EA279" s="564"/>
      <c r="EB279" s="564"/>
      <c r="EC279" s="564"/>
      <c r="ED279" s="564"/>
      <c r="EE279" s="564"/>
      <c r="EF279" s="564"/>
      <c r="EG279" s="564"/>
      <c r="EH279" s="564"/>
      <c r="EI279" s="564"/>
      <c r="EJ279" s="564"/>
      <c r="EK279" s="564"/>
      <c r="EL279" s="564"/>
      <c r="EM279" s="564"/>
      <c r="EN279" s="564"/>
      <c r="EO279" s="564"/>
      <c r="EP279" s="564"/>
      <c r="EQ279" s="564"/>
      <c r="ER279" s="564"/>
      <c r="ES279" s="564"/>
      <c r="ET279" s="564"/>
      <c r="EU279" s="564"/>
      <c r="EV279" s="564"/>
      <c r="EW279" s="564"/>
      <c r="EX279" s="564"/>
      <c r="EY279" s="564"/>
      <c r="EZ279" s="564"/>
      <c r="FA279" s="564"/>
      <c r="FB279" s="564"/>
      <c r="FC279" s="564"/>
      <c r="FD279" s="564"/>
      <c r="FE279" s="564"/>
      <c r="FF279" s="564"/>
      <c r="FG279" s="564"/>
      <c r="FH279" s="564"/>
      <c r="FI279" s="564"/>
      <c r="FJ279" s="564"/>
      <c r="FK279" s="564"/>
      <c r="FL279" s="564"/>
      <c r="FM279" s="564"/>
      <c r="FN279" s="564"/>
      <c r="FO279" s="564"/>
      <c r="FP279" s="564"/>
      <c r="FQ279" s="564"/>
      <c r="FR279" s="564"/>
      <c r="FS279" s="564"/>
      <c r="FT279" s="564"/>
      <c r="FU279" s="564"/>
      <c r="FV279" s="564"/>
      <c r="FW279" s="564"/>
      <c r="FX279" s="564"/>
      <c r="FY279" s="564"/>
      <c r="FZ279" s="564"/>
      <c r="GA279" s="564"/>
      <c r="GB279" s="564"/>
      <c r="GC279" s="564"/>
      <c r="GD279" s="564"/>
      <c r="GE279" s="564"/>
      <c r="GF279" s="564"/>
      <c r="GG279" s="564"/>
      <c r="GH279" s="564"/>
      <c r="GI279" s="564"/>
      <c r="GJ279" s="564"/>
      <c r="GK279" s="564"/>
      <c r="GL279" s="564"/>
      <c r="GM279" s="564"/>
      <c r="GN279" s="564"/>
      <c r="GO279" s="564"/>
      <c r="GP279" s="564"/>
      <c r="GQ279" s="564"/>
      <c r="GR279" s="564"/>
      <c r="GS279" s="564"/>
      <c r="GT279" s="564"/>
      <c r="GU279" s="564"/>
      <c r="GV279" s="564"/>
      <c r="GW279" s="564"/>
      <c r="GX279" s="564"/>
      <c r="GY279" s="564"/>
      <c r="GZ279" s="564"/>
      <c r="HA279" s="564"/>
      <c r="HB279" s="564"/>
      <c r="HC279" s="564"/>
      <c r="HD279" s="564"/>
      <c r="HE279" s="564"/>
      <c r="HF279" s="564"/>
      <c r="HG279" s="564"/>
      <c r="HH279" s="564"/>
      <c r="HI279" s="564"/>
      <c r="HJ279" s="564"/>
      <c r="HK279" s="564"/>
      <c r="HL279" s="564"/>
      <c r="HM279" s="564"/>
      <c r="HN279" s="564"/>
      <c r="HO279" s="564"/>
      <c r="HP279" s="564"/>
      <c r="HQ279" s="564"/>
      <c r="HR279" s="564"/>
      <c r="HS279" s="564"/>
      <c r="HT279" s="564"/>
      <c r="HU279" s="564"/>
      <c r="HV279" s="564"/>
      <c r="HW279" s="564"/>
      <c r="HX279" s="564"/>
      <c r="HY279" s="564"/>
      <c r="HZ279" s="564"/>
      <c r="IA279" s="564"/>
      <c r="IB279" s="564"/>
      <c r="IC279" s="564"/>
      <c r="ID279" s="564"/>
      <c r="IE279" s="564"/>
      <c r="IF279" s="564"/>
      <c r="IG279" s="564"/>
      <c r="IH279" s="564"/>
      <c r="II279" s="564"/>
      <c r="IJ279" s="564"/>
      <c r="IK279" s="564"/>
      <c r="IL279" s="564"/>
      <c r="IM279" s="564"/>
      <c r="IN279" s="564"/>
      <c r="IO279" s="564"/>
      <c r="IP279" s="564"/>
      <c r="IQ279" s="564"/>
      <c r="IR279" s="564"/>
      <c r="IS279" s="564"/>
      <c r="IT279" s="564"/>
      <c r="IU279" s="564"/>
      <c r="IV279" s="564"/>
      <c r="IW279" s="564"/>
      <c r="IX279" s="564"/>
      <c r="IY279" s="564"/>
      <c r="IZ279" s="564"/>
      <c r="JA279" s="564"/>
      <c r="JB279" s="564"/>
      <c r="JC279" s="564"/>
      <c r="JD279" s="564"/>
      <c r="JE279" s="564"/>
      <c r="JF279" s="564"/>
      <c r="JG279" s="564"/>
      <c r="JH279" s="564"/>
      <c r="JI279" s="564"/>
      <c r="JJ279" s="564"/>
      <c r="JK279" s="564"/>
      <c r="JL279" s="564"/>
      <c r="JM279" s="564"/>
      <c r="JN279" s="564"/>
      <c r="JO279" s="564"/>
      <c r="JP279" s="564"/>
      <c r="JQ279" s="564"/>
      <c r="JR279" s="564"/>
      <c r="JS279" s="564"/>
      <c r="JT279" s="564"/>
      <c r="JU279" s="564"/>
      <c r="JV279" s="564"/>
    </row>
    <row r="280" spans="1:282" ht="50.1" customHeight="1" x14ac:dyDescent="0.2">
      <c r="A280" s="298"/>
      <c r="B280" s="41" t="s">
        <v>1137</v>
      </c>
      <c r="C280" s="41"/>
      <c r="D280" s="41"/>
      <c r="E280" s="30" t="s">
        <v>1652</v>
      </c>
      <c r="F280" s="196" t="s">
        <v>1783</v>
      </c>
      <c r="G280" s="41" t="s">
        <v>1653</v>
      </c>
      <c r="H280" s="41" t="s">
        <v>1526</v>
      </c>
      <c r="I280" s="41"/>
      <c r="J280" s="30" t="s">
        <v>1654</v>
      </c>
      <c r="K280" s="107" t="s">
        <v>1540</v>
      </c>
      <c r="L280" s="41" t="s">
        <v>1286</v>
      </c>
      <c r="M280" s="29" t="s">
        <v>1615</v>
      </c>
      <c r="N280" s="73">
        <v>42041</v>
      </c>
      <c r="O280" s="106" t="s">
        <v>1690</v>
      </c>
      <c r="P280" s="106"/>
      <c r="Q280" s="106"/>
      <c r="R280" s="106"/>
      <c r="S280" s="106"/>
      <c r="T280" s="560"/>
      <c r="U280" s="560"/>
      <c r="V280" s="560"/>
      <c r="W280" s="560"/>
      <c r="X280" s="560"/>
      <c r="Y280" s="560"/>
      <c r="Z280" s="560"/>
      <c r="AA280" s="560"/>
      <c r="AB280" s="560"/>
      <c r="AC280" s="560"/>
      <c r="AD280" s="560"/>
      <c r="AE280" s="560"/>
      <c r="AF280" s="560"/>
      <c r="AG280" s="560"/>
      <c r="AH280" s="560"/>
      <c r="AI280" s="560"/>
      <c r="AJ280" s="73">
        <v>42478</v>
      </c>
      <c r="AK280" s="648"/>
      <c r="AL280" s="174"/>
      <c r="AM280" s="564"/>
      <c r="AN280" s="564"/>
      <c r="AO280" s="564"/>
      <c r="AP280" s="564"/>
      <c r="AQ280" s="564"/>
      <c r="AR280" s="564"/>
      <c r="AS280" s="564"/>
      <c r="AT280" s="564"/>
      <c r="AU280" s="564"/>
      <c r="AV280" s="564"/>
      <c r="AW280" s="564"/>
      <c r="AX280" s="564"/>
      <c r="AY280" s="564"/>
      <c r="AZ280" s="564"/>
      <c r="BA280" s="564"/>
      <c r="BB280" s="564"/>
      <c r="BC280" s="564"/>
      <c r="BD280" s="564"/>
      <c r="BE280" s="564"/>
      <c r="BF280" s="564"/>
      <c r="BG280" s="564"/>
      <c r="BH280" s="564"/>
      <c r="BI280" s="564"/>
      <c r="BJ280" s="564"/>
      <c r="BK280" s="564"/>
      <c r="BL280" s="564"/>
      <c r="BM280" s="564"/>
      <c r="BN280" s="564"/>
      <c r="BO280" s="564"/>
      <c r="BP280" s="564"/>
      <c r="BQ280" s="564"/>
      <c r="BR280" s="564"/>
      <c r="BS280" s="564"/>
      <c r="BT280" s="564"/>
      <c r="BU280" s="564"/>
      <c r="BV280" s="564"/>
      <c r="BW280" s="564"/>
      <c r="BX280" s="564"/>
      <c r="BY280" s="564"/>
      <c r="BZ280" s="564"/>
      <c r="CA280" s="564"/>
      <c r="CB280" s="564"/>
      <c r="CC280" s="564"/>
      <c r="CD280" s="564"/>
      <c r="CE280" s="564"/>
      <c r="CF280" s="564"/>
      <c r="CG280" s="564"/>
      <c r="CH280" s="564"/>
      <c r="CI280" s="564"/>
      <c r="CJ280" s="564"/>
      <c r="CK280" s="564"/>
      <c r="CL280" s="564"/>
      <c r="CM280" s="564"/>
      <c r="CN280" s="564"/>
      <c r="CO280" s="564"/>
      <c r="CP280" s="564"/>
      <c r="CQ280" s="564"/>
      <c r="CR280" s="564"/>
      <c r="CS280" s="564"/>
      <c r="CT280" s="564"/>
      <c r="CU280" s="564"/>
      <c r="CV280" s="564"/>
      <c r="CW280" s="564"/>
      <c r="CX280" s="564"/>
      <c r="CY280" s="564"/>
      <c r="CZ280" s="564"/>
      <c r="DA280" s="564"/>
      <c r="DB280" s="564"/>
      <c r="DC280" s="564"/>
      <c r="DD280" s="564"/>
      <c r="DE280" s="564"/>
      <c r="DF280" s="564"/>
      <c r="DG280" s="564"/>
      <c r="DH280" s="564"/>
      <c r="DI280" s="564"/>
      <c r="DJ280" s="564"/>
      <c r="DK280" s="564"/>
      <c r="DL280" s="564"/>
      <c r="DM280" s="564"/>
      <c r="DN280" s="564"/>
      <c r="DO280" s="564"/>
      <c r="DP280" s="564"/>
      <c r="DQ280" s="564"/>
      <c r="DR280" s="564"/>
      <c r="DS280" s="564"/>
      <c r="DT280" s="564"/>
      <c r="DU280" s="564"/>
      <c r="DV280" s="564"/>
      <c r="DW280" s="564"/>
      <c r="DX280" s="564"/>
      <c r="DY280" s="564"/>
      <c r="DZ280" s="564"/>
      <c r="EA280" s="564"/>
      <c r="EB280" s="564"/>
      <c r="EC280" s="564"/>
      <c r="ED280" s="564"/>
      <c r="EE280" s="564"/>
      <c r="EF280" s="564"/>
      <c r="EG280" s="564"/>
      <c r="EH280" s="564"/>
      <c r="EI280" s="564"/>
      <c r="EJ280" s="564"/>
      <c r="EK280" s="564"/>
      <c r="EL280" s="564"/>
      <c r="EM280" s="564"/>
      <c r="EN280" s="564"/>
      <c r="EO280" s="564"/>
      <c r="EP280" s="564"/>
      <c r="EQ280" s="564"/>
      <c r="ER280" s="564"/>
      <c r="ES280" s="564"/>
      <c r="ET280" s="564"/>
      <c r="EU280" s="564"/>
      <c r="EV280" s="564"/>
      <c r="EW280" s="564"/>
      <c r="EX280" s="564"/>
      <c r="EY280" s="564"/>
      <c r="EZ280" s="564"/>
      <c r="FA280" s="564"/>
      <c r="FB280" s="564"/>
      <c r="FC280" s="564"/>
      <c r="FD280" s="564"/>
      <c r="FE280" s="564"/>
      <c r="FF280" s="564"/>
      <c r="FG280" s="564"/>
      <c r="FH280" s="564"/>
      <c r="FI280" s="564"/>
      <c r="FJ280" s="564"/>
      <c r="FK280" s="564"/>
      <c r="FL280" s="564"/>
      <c r="FM280" s="564"/>
      <c r="FN280" s="564"/>
      <c r="FO280" s="564"/>
      <c r="FP280" s="564"/>
      <c r="FQ280" s="564"/>
      <c r="FR280" s="564"/>
      <c r="FS280" s="564"/>
      <c r="FT280" s="564"/>
      <c r="FU280" s="564"/>
      <c r="FV280" s="564"/>
      <c r="FW280" s="564"/>
      <c r="FX280" s="564"/>
      <c r="FY280" s="564"/>
      <c r="FZ280" s="564"/>
      <c r="GA280" s="564"/>
      <c r="GB280" s="564"/>
      <c r="GC280" s="564"/>
      <c r="GD280" s="564"/>
      <c r="GE280" s="564"/>
      <c r="GF280" s="564"/>
      <c r="GG280" s="564"/>
      <c r="GH280" s="564"/>
      <c r="GI280" s="564"/>
      <c r="GJ280" s="564"/>
      <c r="GK280" s="564"/>
      <c r="GL280" s="564"/>
      <c r="GM280" s="564"/>
      <c r="GN280" s="564"/>
      <c r="GO280" s="564"/>
      <c r="GP280" s="564"/>
      <c r="GQ280" s="564"/>
      <c r="GR280" s="564"/>
      <c r="GS280" s="564"/>
      <c r="GT280" s="564"/>
      <c r="GU280" s="564"/>
      <c r="GV280" s="564"/>
      <c r="GW280" s="564"/>
      <c r="GX280" s="564"/>
      <c r="GY280" s="564"/>
      <c r="GZ280" s="564"/>
      <c r="HA280" s="564"/>
      <c r="HB280" s="564"/>
      <c r="HC280" s="564"/>
      <c r="HD280" s="564"/>
      <c r="HE280" s="564"/>
      <c r="HF280" s="564"/>
      <c r="HG280" s="564"/>
      <c r="HH280" s="564"/>
      <c r="HI280" s="564"/>
      <c r="HJ280" s="564"/>
      <c r="HK280" s="564"/>
      <c r="HL280" s="564"/>
      <c r="HM280" s="564"/>
      <c r="HN280" s="564"/>
      <c r="HO280" s="564"/>
      <c r="HP280" s="564"/>
      <c r="HQ280" s="564"/>
      <c r="HR280" s="564"/>
      <c r="HS280" s="564"/>
      <c r="HT280" s="564"/>
      <c r="HU280" s="564"/>
      <c r="HV280" s="564"/>
      <c r="HW280" s="564"/>
      <c r="HX280" s="564"/>
      <c r="HY280" s="564"/>
      <c r="HZ280" s="564"/>
      <c r="IA280" s="564"/>
      <c r="IB280" s="564"/>
      <c r="IC280" s="564"/>
      <c r="ID280" s="564"/>
      <c r="IE280" s="564"/>
      <c r="IF280" s="564"/>
      <c r="IG280" s="564"/>
      <c r="IH280" s="564"/>
      <c r="II280" s="564"/>
      <c r="IJ280" s="564"/>
      <c r="IK280" s="564"/>
      <c r="IL280" s="564"/>
      <c r="IM280" s="564"/>
      <c r="IN280" s="564"/>
      <c r="IO280" s="564"/>
      <c r="IP280" s="564"/>
      <c r="IQ280" s="564"/>
      <c r="IR280" s="564"/>
      <c r="IS280" s="564"/>
      <c r="IT280" s="564"/>
      <c r="IU280" s="564"/>
      <c r="IV280" s="564"/>
      <c r="IW280" s="564"/>
      <c r="IX280" s="564"/>
      <c r="IY280" s="564"/>
      <c r="IZ280" s="564"/>
      <c r="JA280" s="564"/>
      <c r="JB280" s="564"/>
      <c r="JC280" s="564"/>
      <c r="JD280" s="564"/>
      <c r="JE280" s="564"/>
      <c r="JF280" s="564"/>
      <c r="JG280" s="564"/>
      <c r="JH280" s="564"/>
      <c r="JI280" s="564"/>
      <c r="JJ280" s="564"/>
      <c r="JK280" s="564"/>
      <c r="JL280" s="564"/>
      <c r="JM280" s="564"/>
      <c r="JN280" s="564"/>
      <c r="JO280" s="564"/>
      <c r="JP280" s="564"/>
      <c r="JQ280" s="564"/>
      <c r="JR280" s="564"/>
      <c r="JS280" s="564"/>
      <c r="JT280" s="564"/>
      <c r="JU280" s="564"/>
      <c r="JV280" s="564"/>
    </row>
    <row r="281" spans="1:282" ht="50.1" customHeight="1" x14ac:dyDescent="0.2">
      <c r="A281" s="298"/>
      <c r="B281" s="107" t="s">
        <v>1137</v>
      </c>
      <c r="C281" s="107"/>
      <c r="D281" s="107"/>
      <c r="E281" s="29" t="s">
        <v>2207</v>
      </c>
      <c r="F281" s="104" t="s">
        <v>2224</v>
      </c>
      <c r="G281" s="107" t="s">
        <v>1064</v>
      </c>
      <c r="H281" s="107" t="s">
        <v>1806</v>
      </c>
      <c r="I281" s="107"/>
      <c r="J281" s="29" t="s">
        <v>1066</v>
      </c>
      <c r="K281" s="107" t="s">
        <v>1540</v>
      </c>
      <c r="L281" s="107" t="s">
        <v>685</v>
      </c>
      <c r="M281" s="29" t="s">
        <v>2094</v>
      </c>
      <c r="N281" s="73">
        <v>42320</v>
      </c>
      <c r="O281" s="32" t="s">
        <v>2239</v>
      </c>
      <c r="P281" s="32"/>
      <c r="Q281" s="32"/>
      <c r="R281" s="32"/>
      <c r="S281" s="32"/>
      <c r="T281" s="560"/>
      <c r="U281" s="560"/>
      <c r="V281" s="560"/>
      <c r="W281" s="560"/>
      <c r="X281" s="560"/>
      <c r="Y281" s="560"/>
      <c r="Z281" s="560"/>
      <c r="AA281" s="560"/>
      <c r="AB281" s="560"/>
      <c r="AC281" s="560"/>
      <c r="AD281" s="560"/>
      <c r="AE281" s="560"/>
      <c r="AF281" s="560"/>
      <c r="AG281" s="560"/>
      <c r="AH281" s="560"/>
      <c r="AI281" s="560"/>
      <c r="AJ281" s="73">
        <v>42492</v>
      </c>
      <c r="AK281" s="648"/>
      <c r="AL281" s="174"/>
      <c r="AM281" s="564"/>
      <c r="AN281" s="564"/>
      <c r="AO281" s="564"/>
      <c r="AP281" s="564"/>
      <c r="AQ281" s="564"/>
      <c r="AR281" s="564"/>
      <c r="AS281" s="564"/>
      <c r="AT281" s="564"/>
      <c r="AU281" s="564"/>
      <c r="AV281" s="564"/>
      <c r="AW281" s="564"/>
      <c r="AX281" s="564"/>
      <c r="AY281" s="564"/>
      <c r="AZ281" s="564"/>
      <c r="BA281" s="564"/>
      <c r="BB281" s="564"/>
      <c r="BC281" s="564"/>
      <c r="BD281" s="564"/>
      <c r="BE281" s="564"/>
      <c r="BF281" s="564"/>
      <c r="BG281" s="564"/>
      <c r="BH281" s="564"/>
      <c r="BI281" s="564"/>
      <c r="BJ281" s="564"/>
      <c r="BK281" s="564"/>
      <c r="BL281" s="564"/>
      <c r="BM281" s="564"/>
      <c r="BN281" s="564"/>
      <c r="BO281" s="564"/>
      <c r="BP281" s="564"/>
      <c r="BQ281" s="564"/>
      <c r="BR281" s="564"/>
      <c r="BS281" s="564"/>
      <c r="BT281" s="564"/>
      <c r="BU281" s="564"/>
      <c r="BV281" s="564"/>
      <c r="BW281" s="564"/>
      <c r="BX281" s="564"/>
      <c r="BY281" s="564"/>
      <c r="BZ281" s="564"/>
      <c r="CA281" s="564"/>
      <c r="CB281" s="564"/>
      <c r="CC281" s="564"/>
      <c r="CD281" s="564"/>
      <c r="CE281" s="564"/>
      <c r="CF281" s="564"/>
      <c r="CG281" s="564"/>
      <c r="CH281" s="564"/>
      <c r="CI281" s="564"/>
      <c r="CJ281" s="564"/>
      <c r="CK281" s="564"/>
      <c r="CL281" s="564"/>
      <c r="CM281" s="564"/>
      <c r="CN281" s="564"/>
      <c r="CO281" s="564"/>
      <c r="CP281" s="564"/>
      <c r="CQ281" s="564"/>
      <c r="CR281" s="564"/>
      <c r="CS281" s="564"/>
      <c r="CT281" s="564"/>
      <c r="CU281" s="564"/>
      <c r="CV281" s="564"/>
      <c r="CW281" s="564"/>
      <c r="CX281" s="564"/>
      <c r="CY281" s="564"/>
      <c r="CZ281" s="564"/>
      <c r="DA281" s="564"/>
      <c r="DB281" s="564"/>
      <c r="DC281" s="564"/>
      <c r="DD281" s="564"/>
      <c r="DE281" s="564"/>
      <c r="DF281" s="564"/>
      <c r="DG281" s="564"/>
      <c r="DH281" s="564"/>
      <c r="DI281" s="564"/>
      <c r="DJ281" s="564"/>
      <c r="DK281" s="564"/>
      <c r="DL281" s="564"/>
      <c r="DM281" s="564"/>
      <c r="DN281" s="564"/>
      <c r="DO281" s="564"/>
      <c r="DP281" s="564"/>
      <c r="DQ281" s="564"/>
      <c r="DR281" s="564"/>
      <c r="DS281" s="564"/>
      <c r="DT281" s="564"/>
      <c r="DU281" s="564"/>
      <c r="DV281" s="564"/>
      <c r="DW281" s="564"/>
      <c r="DX281" s="564"/>
      <c r="DY281" s="564"/>
      <c r="DZ281" s="564"/>
      <c r="EA281" s="564"/>
      <c r="EB281" s="564"/>
      <c r="EC281" s="564"/>
      <c r="ED281" s="564"/>
      <c r="EE281" s="564"/>
      <c r="EF281" s="564"/>
      <c r="EG281" s="564"/>
      <c r="EH281" s="564"/>
      <c r="EI281" s="564"/>
      <c r="EJ281" s="564"/>
      <c r="EK281" s="564"/>
      <c r="EL281" s="564"/>
      <c r="EM281" s="564"/>
      <c r="EN281" s="564"/>
      <c r="EO281" s="564"/>
      <c r="EP281" s="564"/>
      <c r="EQ281" s="564"/>
      <c r="ER281" s="564"/>
      <c r="ES281" s="564"/>
      <c r="ET281" s="564"/>
      <c r="EU281" s="564"/>
      <c r="EV281" s="564"/>
      <c r="EW281" s="564"/>
      <c r="EX281" s="564"/>
      <c r="EY281" s="564"/>
      <c r="EZ281" s="564"/>
      <c r="FA281" s="564"/>
      <c r="FB281" s="564"/>
      <c r="FC281" s="564"/>
      <c r="FD281" s="564"/>
      <c r="FE281" s="564"/>
      <c r="FF281" s="564"/>
      <c r="FG281" s="564"/>
      <c r="FH281" s="564"/>
      <c r="FI281" s="564"/>
      <c r="FJ281" s="564"/>
      <c r="FK281" s="564"/>
      <c r="FL281" s="564"/>
      <c r="FM281" s="564"/>
      <c r="FN281" s="564"/>
      <c r="FO281" s="564"/>
      <c r="FP281" s="564"/>
      <c r="FQ281" s="564"/>
      <c r="FR281" s="564"/>
      <c r="FS281" s="564"/>
      <c r="FT281" s="564"/>
      <c r="FU281" s="564"/>
      <c r="FV281" s="564"/>
      <c r="FW281" s="564"/>
      <c r="FX281" s="564"/>
      <c r="FY281" s="564"/>
      <c r="FZ281" s="564"/>
      <c r="GA281" s="564"/>
      <c r="GB281" s="564"/>
      <c r="GC281" s="564"/>
      <c r="GD281" s="564"/>
      <c r="GE281" s="564"/>
      <c r="GF281" s="564"/>
      <c r="GG281" s="564"/>
      <c r="GH281" s="564"/>
      <c r="GI281" s="564"/>
      <c r="GJ281" s="564"/>
      <c r="GK281" s="564"/>
      <c r="GL281" s="564"/>
      <c r="GM281" s="564"/>
      <c r="GN281" s="564"/>
      <c r="GO281" s="564"/>
      <c r="GP281" s="564"/>
      <c r="GQ281" s="564"/>
      <c r="GR281" s="564"/>
      <c r="GS281" s="564"/>
      <c r="GT281" s="564"/>
      <c r="GU281" s="564"/>
      <c r="GV281" s="564"/>
      <c r="GW281" s="564"/>
      <c r="GX281" s="564"/>
      <c r="GY281" s="564"/>
      <c r="GZ281" s="564"/>
      <c r="HA281" s="564"/>
      <c r="HB281" s="564"/>
      <c r="HC281" s="564"/>
      <c r="HD281" s="564"/>
      <c r="HE281" s="564"/>
      <c r="HF281" s="564"/>
      <c r="HG281" s="564"/>
      <c r="HH281" s="564"/>
      <c r="HI281" s="564"/>
      <c r="HJ281" s="564"/>
      <c r="HK281" s="564"/>
      <c r="HL281" s="564"/>
      <c r="HM281" s="564"/>
      <c r="HN281" s="564"/>
      <c r="HO281" s="564"/>
      <c r="HP281" s="564"/>
      <c r="HQ281" s="564"/>
      <c r="HR281" s="564"/>
      <c r="HS281" s="564"/>
      <c r="HT281" s="564"/>
      <c r="HU281" s="564"/>
      <c r="HV281" s="564"/>
      <c r="HW281" s="564"/>
      <c r="HX281" s="564"/>
      <c r="HY281" s="564"/>
      <c r="HZ281" s="564"/>
      <c r="IA281" s="564"/>
      <c r="IB281" s="564"/>
      <c r="IC281" s="564"/>
      <c r="ID281" s="564"/>
      <c r="IE281" s="564"/>
      <c r="IF281" s="564"/>
      <c r="IG281" s="564"/>
      <c r="IH281" s="564"/>
      <c r="II281" s="564"/>
      <c r="IJ281" s="564"/>
      <c r="IK281" s="564"/>
      <c r="IL281" s="564"/>
      <c r="IM281" s="564"/>
      <c r="IN281" s="564"/>
      <c r="IO281" s="564"/>
      <c r="IP281" s="564"/>
      <c r="IQ281" s="564"/>
      <c r="IR281" s="564"/>
      <c r="IS281" s="564"/>
      <c r="IT281" s="564"/>
      <c r="IU281" s="564"/>
      <c r="IV281" s="564"/>
      <c r="IW281" s="564"/>
      <c r="IX281" s="564"/>
      <c r="IY281" s="564"/>
      <c r="IZ281" s="564"/>
      <c r="JA281" s="564"/>
      <c r="JB281" s="564"/>
      <c r="JC281" s="564"/>
      <c r="JD281" s="564"/>
      <c r="JE281" s="564"/>
      <c r="JF281" s="564"/>
      <c r="JG281" s="564"/>
      <c r="JH281" s="564"/>
      <c r="JI281" s="564"/>
      <c r="JJ281" s="564"/>
      <c r="JK281" s="564"/>
      <c r="JL281" s="564"/>
      <c r="JM281" s="564"/>
      <c r="JN281" s="564"/>
      <c r="JO281" s="564"/>
      <c r="JP281" s="564"/>
      <c r="JQ281" s="564"/>
      <c r="JR281" s="564"/>
      <c r="JS281" s="564"/>
      <c r="JT281" s="564"/>
      <c r="JU281" s="564"/>
      <c r="JV281" s="564"/>
    </row>
    <row r="282" spans="1:282" ht="50.1" customHeight="1" x14ac:dyDescent="0.2">
      <c r="A282" s="298"/>
      <c r="B282" s="41" t="s">
        <v>1137</v>
      </c>
      <c r="C282" s="41"/>
      <c r="D282" s="41"/>
      <c r="E282" s="30" t="s">
        <v>2311</v>
      </c>
      <c r="F282" s="196" t="s">
        <v>2312</v>
      </c>
      <c r="G282" s="41" t="s">
        <v>479</v>
      </c>
      <c r="H282" s="41" t="s">
        <v>1806</v>
      </c>
      <c r="I282" s="41"/>
      <c r="J282" s="30" t="s">
        <v>2313</v>
      </c>
      <c r="K282" s="41" t="s">
        <v>1394</v>
      </c>
      <c r="L282" s="41" t="s">
        <v>18</v>
      </c>
      <c r="M282" s="30" t="s">
        <v>2094</v>
      </c>
      <c r="N282" s="73">
        <v>42366</v>
      </c>
      <c r="O282" s="106" t="s">
        <v>2314</v>
      </c>
      <c r="P282" s="106"/>
      <c r="Q282" s="106"/>
      <c r="R282" s="106"/>
      <c r="S282" s="106"/>
      <c r="T282" s="560"/>
      <c r="U282" s="560"/>
      <c r="V282" s="560"/>
      <c r="W282" s="560"/>
      <c r="X282" s="560"/>
      <c r="Y282" s="560"/>
      <c r="Z282" s="560"/>
      <c r="AA282" s="560"/>
      <c r="AB282" s="560"/>
      <c r="AC282" s="560"/>
      <c r="AD282" s="560"/>
      <c r="AE282" s="560"/>
      <c r="AF282" s="560"/>
      <c r="AG282" s="560"/>
      <c r="AH282" s="560"/>
      <c r="AI282" s="560"/>
      <c r="AJ282" s="73">
        <v>42492</v>
      </c>
      <c r="AK282" s="648"/>
      <c r="AL282" s="174"/>
      <c r="AM282" s="564"/>
      <c r="AN282" s="564"/>
      <c r="AO282" s="564"/>
      <c r="AP282" s="564"/>
      <c r="AQ282" s="564"/>
      <c r="AR282" s="564"/>
      <c r="AS282" s="564"/>
      <c r="AT282" s="564"/>
      <c r="AU282" s="564"/>
      <c r="AV282" s="564"/>
      <c r="AW282" s="564"/>
      <c r="AX282" s="564"/>
      <c r="AY282" s="564"/>
      <c r="AZ282" s="564"/>
      <c r="BA282" s="564"/>
      <c r="BB282" s="564"/>
      <c r="BC282" s="564"/>
      <c r="BD282" s="564"/>
      <c r="BE282" s="564"/>
      <c r="BF282" s="564"/>
      <c r="BG282" s="564"/>
      <c r="BH282" s="564"/>
      <c r="BI282" s="564"/>
      <c r="BJ282" s="564"/>
      <c r="BK282" s="564"/>
      <c r="BL282" s="564"/>
      <c r="BM282" s="564"/>
      <c r="BN282" s="564"/>
      <c r="BO282" s="564"/>
      <c r="BP282" s="564"/>
      <c r="BQ282" s="564"/>
      <c r="BR282" s="564"/>
      <c r="BS282" s="564"/>
      <c r="BT282" s="564"/>
      <c r="BU282" s="564"/>
      <c r="BV282" s="564"/>
      <c r="BW282" s="564"/>
      <c r="BX282" s="564"/>
      <c r="BY282" s="564"/>
      <c r="BZ282" s="564"/>
      <c r="CA282" s="564"/>
      <c r="CB282" s="564"/>
      <c r="CC282" s="564"/>
      <c r="CD282" s="564"/>
      <c r="CE282" s="564"/>
      <c r="CF282" s="564"/>
      <c r="CG282" s="564"/>
      <c r="CH282" s="564"/>
      <c r="CI282" s="564"/>
      <c r="CJ282" s="564"/>
      <c r="CK282" s="564"/>
      <c r="CL282" s="564"/>
      <c r="CM282" s="564"/>
      <c r="CN282" s="564"/>
      <c r="CO282" s="564"/>
      <c r="CP282" s="564"/>
      <c r="CQ282" s="564"/>
      <c r="CR282" s="564"/>
      <c r="CS282" s="564"/>
      <c r="CT282" s="564"/>
      <c r="CU282" s="564"/>
      <c r="CV282" s="564"/>
      <c r="CW282" s="564"/>
      <c r="CX282" s="564"/>
      <c r="CY282" s="564"/>
      <c r="CZ282" s="564"/>
      <c r="DA282" s="564"/>
      <c r="DB282" s="564"/>
      <c r="DC282" s="564"/>
      <c r="DD282" s="564"/>
      <c r="DE282" s="564"/>
      <c r="DF282" s="564"/>
      <c r="DG282" s="564"/>
      <c r="DH282" s="564"/>
      <c r="DI282" s="564"/>
      <c r="DJ282" s="564"/>
      <c r="DK282" s="564"/>
      <c r="DL282" s="564"/>
      <c r="DM282" s="564"/>
      <c r="DN282" s="564"/>
      <c r="DO282" s="564"/>
      <c r="DP282" s="564"/>
      <c r="DQ282" s="564"/>
      <c r="DR282" s="564"/>
      <c r="DS282" s="564"/>
      <c r="DT282" s="564"/>
      <c r="DU282" s="564"/>
      <c r="DV282" s="564"/>
      <c r="DW282" s="564"/>
      <c r="DX282" s="564"/>
      <c r="DY282" s="564"/>
      <c r="DZ282" s="564"/>
      <c r="EA282" s="564"/>
      <c r="EB282" s="564"/>
      <c r="EC282" s="564"/>
      <c r="ED282" s="564"/>
      <c r="EE282" s="564"/>
      <c r="EF282" s="564"/>
      <c r="EG282" s="564"/>
      <c r="EH282" s="564"/>
      <c r="EI282" s="564"/>
      <c r="EJ282" s="564"/>
      <c r="EK282" s="564"/>
      <c r="EL282" s="564"/>
      <c r="EM282" s="564"/>
      <c r="EN282" s="564"/>
      <c r="EO282" s="564"/>
      <c r="EP282" s="564"/>
      <c r="EQ282" s="564"/>
      <c r="ER282" s="564"/>
      <c r="ES282" s="564"/>
      <c r="ET282" s="564"/>
      <c r="EU282" s="564"/>
      <c r="EV282" s="564"/>
      <c r="EW282" s="564"/>
      <c r="EX282" s="564"/>
      <c r="EY282" s="564"/>
      <c r="EZ282" s="564"/>
      <c r="FA282" s="564"/>
      <c r="FB282" s="564"/>
      <c r="FC282" s="564"/>
      <c r="FD282" s="564"/>
      <c r="FE282" s="564"/>
      <c r="FF282" s="564"/>
      <c r="FG282" s="564"/>
      <c r="FH282" s="564"/>
      <c r="FI282" s="564"/>
      <c r="FJ282" s="564"/>
      <c r="FK282" s="564"/>
      <c r="FL282" s="564"/>
      <c r="FM282" s="564"/>
      <c r="FN282" s="564"/>
      <c r="FO282" s="564"/>
      <c r="FP282" s="564"/>
      <c r="FQ282" s="564"/>
      <c r="FR282" s="564"/>
      <c r="FS282" s="564"/>
      <c r="FT282" s="564"/>
      <c r="FU282" s="564"/>
      <c r="FV282" s="564"/>
      <c r="FW282" s="564"/>
      <c r="FX282" s="564"/>
      <c r="FY282" s="564"/>
      <c r="FZ282" s="564"/>
      <c r="GA282" s="564"/>
      <c r="GB282" s="564"/>
      <c r="GC282" s="564"/>
      <c r="GD282" s="564"/>
      <c r="GE282" s="564"/>
      <c r="GF282" s="564"/>
      <c r="GG282" s="564"/>
      <c r="GH282" s="564"/>
      <c r="GI282" s="564"/>
      <c r="GJ282" s="564"/>
      <c r="GK282" s="564"/>
      <c r="GL282" s="564"/>
      <c r="GM282" s="564"/>
      <c r="GN282" s="564"/>
      <c r="GO282" s="564"/>
      <c r="GP282" s="564"/>
      <c r="GQ282" s="564"/>
      <c r="GR282" s="564"/>
      <c r="GS282" s="564"/>
      <c r="GT282" s="564"/>
      <c r="GU282" s="564"/>
      <c r="GV282" s="564"/>
      <c r="GW282" s="564"/>
      <c r="GX282" s="564"/>
      <c r="GY282" s="564"/>
      <c r="GZ282" s="564"/>
      <c r="HA282" s="564"/>
      <c r="HB282" s="564"/>
      <c r="HC282" s="564"/>
      <c r="HD282" s="564"/>
      <c r="HE282" s="564"/>
      <c r="HF282" s="564"/>
      <c r="HG282" s="564"/>
      <c r="HH282" s="564"/>
      <c r="HI282" s="564"/>
      <c r="HJ282" s="564"/>
      <c r="HK282" s="564"/>
      <c r="HL282" s="564"/>
      <c r="HM282" s="564"/>
      <c r="HN282" s="564"/>
      <c r="HO282" s="564"/>
      <c r="HP282" s="564"/>
      <c r="HQ282" s="564"/>
      <c r="HR282" s="564"/>
      <c r="HS282" s="564"/>
      <c r="HT282" s="564"/>
      <c r="HU282" s="564"/>
      <c r="HV282" s="564"/>
      <c r="HW282" s="564"/>
      <c r="HX282" s="564"/>
      <c r="HY282" s="564"/>
      <c r="HZ282" s="564"/>
      <c r="IA282" s="564"/>
      <c r="IB282" s="564"/>
      <c r="IC282" s="564"/>
      <c r="ID282" s="564"/>
      <c r="IE282" s="564"/>
      <c r="IF282" s="564"/>
      <c r="IG282" s="564"/>
      <c r="IH282" s="564"/>
      <c r="II282" s="564"/>
      <c r="IJ282" s="564"/>
      <c r="IK282" s="564"/>
      <c r="IL282" s="564"/>
      <c r="IM282" s="564"/>
      <c r="IN282" s="564"/>
      <c r="IO282" s="564"/>
      <c r="IP282" s="564"/>
      <c r="IQ282" s="564"/>
      <c r="IR282" s="564"/>
      <c r="IS282" s="564"/>
      <c r="IT282" s="564"/>
      <c r="IU282" s="564"/>
      <c r="IV282" s="564"/>
      <c r="IW282" s="564"/>
      <c r="IX282" s="564"/>
      <c r="IY282" s="564"/>
      <c r="IZ282" s="564"/>
      <c r="JA282" s="564"/>
      <c r="JB282" s="564"/>
      <c r="JC282" s="564"/>
      <c r="JD282" s="564"/>
      <c r="JE282" s="564"/>
      <c r="JF282" s="564"/>
      <c r="JG282" s="564"/>
      <c r="JH282" s="564"/>
      <c r="JI282" s="564"/>
      <c r="JJ282" s="564"/>
      <c r="JK282" s="564"/>
      <c r="JL282" s="564"/>
      <c r="JM282" s="564"/>
      <c r="JN282" s="564"/>
      <c r="JO282" s="564"/>
      <c r="JP282" s="564"/>
      <c r="JQ282" s="564"/>
      <c r="JR282" s="564"/>
      <c r="JS282" s="564"/>
      <c r="JT282" s="564"/>
      <c r="JU282" s="564"/>
      <c r="JV282" s="564"/>
    </row>
    <row r="283" spans="1:282" ht="50.1" customHeight="1" x14ac:dyDescent="0.2">
      <c r="A283" s="298"/>
      <c r="B283" s="68" t="s">
        <v>1137</v>
      </c>
      <c r="C283" s="68"/>
      <c r="D283" s="68"/>
      <c r="E283" s="29" t="s">
        <v>162</v>
      </c>
      <c r="F283" s="104" t="s">
        <v>1755</v>
      </c>
      <c r="G283" s="29" t="s">
        <v>148</v>
      </c>
      <c r="H283" s="29" t="s">
        <v>187</v>
      </c>
      <c r="I283" s="29"/>
      <c r="J283" s="29" t="s">
        <v>188</v>
      </c>
      <c r="K283" s="29" t="s">
        <v>1394</v>
      </c>
      <c r="L283" s="29" t="s">
        <v>12</v>
      </c>
      <c r="M283" s="188" t="s">
        <v>1615</v>
      </c>
      <c r="N283" s="73">
        <v>40542</v>
      </c>
      <c r="O283" s="69" t="s">
        <v>161</v>
      </c>
      <c r="P283" s="69"/>
      <c r="Q283" s="69"/>
      <c r="R283" s="69"/>
      <c r="S283" s="69"/>
      <c r="T283" s="560"/>
      <c r="U283" s="560"/>
      <c r="V283" s="560"/>
      <c r="W283" s="560"/>
      <c r="X283" s="560"/>
      <c r="Y283" s="560"/>
      <c r="Z283" s="560"/>
      <c r="AA283" s="560"/>
      <c r="AB283" s="560"/>
      <c r="AC283" s="560"/>
      <c r="AD283" s="560"/>
      <c r="AE283" s="560"/>
      <c r="AF283" s="560"/>
      <c r="AG283" s="560"/>
      <c r="AH283" s="560"/>
      <c r="AI283" s="560"/>
      <c r="AJ283" s="73">
        <v>42499</v>
      </c>
      <c r="AK283" s="648"/>
      <c r="AL283" s="174"/>
      <c r="AM283" s="564"/>
      <c r="AN283" s="564"/>
      <c r="AO283" s="564"/>
      <c r="AP283" s="564"/>
      <c r="AQ283" s="564"/>
      <c r="AR283" s="564"/>
      <c r="AS283" s="564"/>
      <c r="AT283" s="564"/>
      <c r="AU283" s="564"/>
      <c r="AV283" s="564"/>
      <c r="AW283" s="564"/>
      <c r="AX283" s="564"/>
      <c r="AY283" s="564"/>
      <c r="AZ283" s="564"/>
      <c r="BA283" s="564"/>
      <c r="BB283" s="564"/>
      <c r="BC283" s="564"/>
      <c r="BD283" s="564"/>
      <c r="BE283" s="564"/>
      <c r="BF283" s="564"/>
      <c r="BG283" s="564"/>
      <c r="BH283" s="564"/>
      <c r="BI283" s="564"/>
      <c r="BJ283" s="564"/>
      <c r="BK283" s="564"/>
      <c r="BL283" s="564"/>
      <c r="BM283" s="564"/>
      <c r="BN283" s="564"/>
      <c r="BO283" s="564"/>
      <c r="BP283" s="564"/>
      <c r="BQ283" s="564"/>
      <c r="BR283" s="564"/>
      <c r="BS283" s="564"/>
      <c r="BT283" s="564"/>
      <c r="BU283" s="564"/>
      <c r="BV283" s="564"/>
      <c r="BW283" s="564"/>
      <c r="BX283" s="564"/>
      <c r="BY283" s="564"/>
      <c r="BZ283" s="564"/>
      <c r="CA283" s="564"/>
      <c r="CB283" s="564"/>
      <c r="CC283" s="564"/>
      <c r="CD283" s="564"/>
      <c r="CE283" s="564"/>
      <c r="CF283" s="564"/>
      <c r="CG283" s="564"/>
      <c r="CH283" s="564"/>
      <c r="CI283" s="564"/>
      <c r="CJ283" s="564"/>
      <c r="CK283" s="564"/>
      <c r="CL283" s="564"/>
      <c r="CM283" s="564"/>
      <c r="CN283" s="564"/>
      <c r="CO283" s="564"/>
      <c r="CP283" s="564"/>
      <c r="CQ283" s="564"/>
      <c r="CR283" s="564"/>
      <c r="CS283" s="564"/>
      <c r="CT283" s="564"/>
      <c r="CU283" s="564"/>
      <c r="CV283" s="564"/>
      <c r="CW283" s="564"/>
      <c r="CX283" s="564"/>
      <c r="CY283" s="564"/>
      <c r="CZ283" s="564"/>
      <c r="DA283" s="564"/>
      <c r="DB283" s="564"/>
      <c r="DC283" s="564"/>
      <c r="DD283" s="564"/>
      <c r="DE283" s="564"/>
      <c r="DF283" s="564"/>
      <c r="DG283" s="564"/>
      <c r="DH283" s="564"/>
      <c r="DI283" s="564"/>
      <c r="DJ283" s="564"/>
      <c r="DK283" s="564"/>
      <c r="DL283" s="564"/>
      <c r="DM283" s="564"/>
      <c r="DN283" s="564"/>
      <c r="DO283" s="564"/>
      <c r="DP283" s="564"/>
      <c r="DQ283" s="564"/>
      <c r="DR283" s="564"/>
      <c r="DS283" s="564"/>
      <c r="DT283" s="564"/>
      <c r="DU283" s="564"/>
      <c r="DV283" s="564"/>
      <c r="DW283" s="564"/>
      <c r="DX283" s="564"/>
      <c r="DY283" s="564"/>
      <c r="DZ283" s="564"/>
      <c r="EA283" s="564"/>
      <c r="EB283" s="564"/>
      <c r="EC283" s="564"/>
      <c r="ED283" s="564"/>
      <c r="EE283" s="564"/>
      <c r="EF283" s="564"/>
      <c r="EG283" s="564"/>
      <c r="EH283" s="564"/>
      <c r="EI283" s="564"/>
      <c r="EJ283" s="564"/>
      <c r="EK283" s="564"/>
      <c r="EL283" s="564"/>
      <c r="EM283" s="564"/>
      <c r="EN283" s="564"/>
      <c r="EO283" s="564"/>
      <c r="EP283" s="564"/>
      <c r="EQ283" s="564"/>
      <c r="ER283" s="564"/>
      <c r="ES283" s="564"/>
      <c r="ET283" s="564"/>
      <c r="EU283" s="564"/>
      <c r="EV283" s="564"/>
      <c r="EW283" s="564"/>
      <c r="EX283" s="564"/>
      <c r="EY283" s="564"/>
      <c r="EZ283" s="564"/>
      <c r="FA283" s="564"/>
      <c r="FB283" s="564"/>
      <c r="FC283" s="564"/>
      <c r="FD283" s="564"/>
      <c r="FE283" s="564"/>
      <c r="FF283" s="564"/>
      <c r="FG283" s="564"/>
      <c r="FH283" s="564"/>
      <c r="FI283" s="564"/>
      <c r="FJ283" s="564"/>
      <c r="FK283" s="564"/>
      <c r="FL283" s="564"/>
      <c r="FM283" s="564"/>
      <c r="FN283" s="564"/>
      <c r="FO283" s="564"/>
      <c r="FP283" s="564"/>
      <c r="FQ283" s="564"/>
      <c r="FR283" s="564"/>
      <c r="FS283" s="564"/>
      <c r="FT283" s="564"/>
      <c r="FU283" s="564"/>
      <c r="FV283" s="564"/>
      <c r="FW283" s="564"/>
      <c r="FX283" s="564"/>
      <c r="FY283" s="564"/>
      <c r="FZ283" s="564"/>
      <c r="GA283" s="564"/>
      <c r="GB283" s="564"/>
      <c r="GC283" s="564"/>
      <c r="GD283" s="564"/>
      <c r="GE283" s="564"/>
      <c r="GF283" s="564"/>
      <c r="GG283" s="564"/>
      <c r="GH283" s="564"/>
      <c r="GI283" s="564"/>
      <c r="GJ283" s="564"/>
      <c r="GK283" s="564"/>
      <c r="GL283" s="564"/>
      <c r="GM283" s="564"/>
      <c r="GN283" s="564"/>
      <c r="GO283" s="564"/>
      <c r="GP283" s="564"/>
      <c r="GQ283" s="564"/>
      <c r="GR283" s="564"/>
      <c r="GS283" s="564"/>
      <c r="GT283" s="564"/>
      <c r="GU283" s="564"/>
      <c r="GV283" s="564"/>
      <c r="GW283" s="564"/>
      <c r="GX283" s="564"/>
      <c r="GY283" s="564"/>
      <c r="GZ283" s="564"/>
      <c r="HA283" s="564"/>
      <c r="HB283" s="564"/>
      <c r="HC283" s="564"/>
      <c r="HD283" s="564"/>
      <c r="HE283" s="564"/>
      <c r="HF283" s="564"/>
      <c r="HG283" s="564"/>
      <c r="HH283" s="564"/>
      <c r="HI283" s="564"/>
      <c r="HJ283" s="564"/>
      <c r="HK283" s="564"/>
      <c r="HL283" s="564"/>
      <c r="HM283" s="564"/>
      <c r="HN283" s="564"/>
      <c r="HO283" s="564"/>
      <c r="HP283" s="564"/>
      <c r="HQ283" s="564"/>
      <c r="HR283" s="564"/>
      <c r="HS283" s="564"/>
      <c r="HT283" s="564"/>
      <c r="HU283" s="564"/>
      <c r="HV283" s="564"/>
      <c r="HW283" s="564"/>
      <c r="HX283" s="564"/>
      <c r="HY283" s="564"/>
      <c r="HZ283" s="564"/>
      <c r="IA283" s="564"/>
      <c r="IB283" s="564"/>
      <c r="IC283" s="564"/>
      <c r="ID283" s="564"/>
      <c r="IE283" s="564"/>
      <c r="IF283" s="564"/>
      <c r="IG283" s="564"/>
      <c r="IH283" s="564"/>
      <c r="II283" s="564"/>
      <c r="IJ283" s="564"/>
      <c r="IK283" s="564"/>
      <c r="IL283" s="564"/>
      <c r="IM283" s="564"/>
      <c r="IN283" s="564"/>
      <c r="IO283" s="564"/>
      <c r="IP283" s="564"/>
      <c r="IQ283" s="564"/>
      <c r="IR283" s="564"/>
      <c r="IS283" s="564"/>
      <c r="IT283" s="564"/>
      <c r="IU283" s="564"/>
      <c r="IV283" s="564"/>
      <c r="IW283" s="564"/>
      <c r="IX283" s="564"/>
      <c r="IY283" s="564"/>
      <c r="IZ283" s="564"/>
      <c r="JA283" s="564"/>
      <c r="JB283" s="564"/>
      <c r="JC283" s="564"/>
      <c r="JD283" s="564"/>
      <c r="JE283" s="564"/>
      <c r="JF283" s="564"/>
      <c r="JG283" s="564"/>
      <c r="JH283" s="564"/>
      <c r="JI283" s="564"/>
      <c r="JJ283" s="564"/>
      <c r="JK283" s="564"/>
      <c r="JL283" s="564"/>
      <c r="JM283" s="564"/>
      <c r="JN283" s="564"/>
      <c r="JO283" s="564"/>
      <c r="JP283" s="564"/>
      <c r="JQ283" s="564"/>
      <c r="JR283" s="564"/>
      <c r="JS283" s="564"/>
      <c r="JT283" s="564"/>
      <c r="JU283" s="564"/>
      <c r="JV283" s="564"/>
    </row>
    <row r="284" spans="1:282" ht="50.1" customHeight="1" x14ac:dyDescent="0.2">
      <c r="A284" s="298"/>
      <c r="B284" s="41" t="s">
        <v>1137</v>
      </c>
      <c r="C284" s="41"/>
      <c r="D284" s="41"/>
      <c r="E284" s="30" t="s">
        <v>2482</v>
      </c>
      <c r="F284" s="196" t="s">
        <v>2465</v>
      </c>
      <c r="G284" s="41" t="s">
        <v>974</v>
      </c>
      <c r="H284" s="41" t="s">
        <v>1806</v>
      </c>
      <c r="I284" s="41"/>
      <c r="J284" s="30" t="s">
        <v>51</v>
      </c>
      <c r="K284" s="41" t="s">
        <v>1393</v>
      </c>
      <c r="L284" s="41" t="s">
        <v>12</v>
      </c>
      <c r="M284" s="29" t="s">
        <v>1615</v>
      </c>
      <c r="N284" s="73">
        <v>42443</v>
      </c>
      <c r="O284" s="106" t="s">
        <v>2483</v>
      </c>
      <c r="P284" s="106"/>
      <c r="Q284" s="106"/>
      <c r="R284" s="106"/>
      <c r="S284" s="106"/>
      <c r="T284" s="560"/>
      <c r="U284" s="560"/>
      <c r="V284" s="560"/>
      <c r="W284" s="560"/>
      <c r="X284" s="560"/>
      <c r="Y284" s="560"/>
      <c r="Z284" s="560"/>
      <c r="AA284" s="560"/>
      <c r="AB284" s="560"/>
      <c r="AC284" s="560"/>
      <c r="AD284" s="560"/>
      <c r="AE284" s="560"/>
      <c r="AF284" s="560"/>
      <c r="AG284" s="560"/>
      <c r="AH284" s="560"/>
      <c r="AI284" s="560"/>
      <c r="AJ284" s="73">
        <v>42506</v>
      </c>
      <c r="AK284" s="648"/>
      <c r="AL284" s="174"/>
      <c r="AM284" s="564"/>
      <c r="AN284" s="564"/>
      <c r="AO284" s="564"/>
      <c r="AP284" s="564"/>
      <c r="AQ284" s="564"/>
      <c r="AR284" s="564"/>
      <c r="AS284" s="564"/>
      <c r="AT284" s="564"/>
      <c r="AU284" s="564"/>
      <c r="AV284" s="564"/>
      <c r="AW284" s="564"/>
      <c r="AX284" s="564"/>
      <c r="AY284" s="564"/>
      <c r="AZ284" s="564"/>
      <c r="BA284" s="564"/>
      <c r="BB284" s="564"/>
      <c r="BC284" s="564"/>
      <c r="BD284" s="564"/>
      <c r="BE284" s="564"/>
      <c r="BF284" s="564"/>
      <c r="BG284" s="564"/>
      <c r="BH284" s="564"/>
      <c r="BI284" s="564"/>
      <c r="BJ284" s="564"/>
      <c r="BK284" s="564"/>
      <c r="BL284" s="564"/>
      <c r="BM284" s="564"/>
      <c r="BN284" s="564"/>
      <c r="BO284" s="564"/>
      <c r="BP284" s="564"/>
      <c r="BQ284" s="564"/>
      <c r="BR284" s="564"/>
      <c r="BS284" s="564"/>
      <c r="BT284" s="564"/>
      <c r="BU284" s="564"/>
      <c r="BV284" s="564"/>
      <c r="BW284" s="564"/>
      <c r="BX284" s="564"/>
      <c r="BY284" s="564"/>
      <c r="BZ284" s="564"/>
      <c r="CA284" s="564"/>
      <c r="CB284" s="564"/>
      <c r="CC284" s="564"/>
      <c r="CD284" s="564"/>
      <c r="CE284" s="564"/>
      <c r="CF284" s="564"/>
      <c r="CG284" s="564"/>
      <c r="CH284" s="564"/>
      <c r="CI284" s="564"/>
      <c r="CJ284" s="564"/>
      <c r="CK284" s="564"/>
      <c r="CL284" s="564"/>
      <c r="CM284" s="564"/>
      <c r="CN284" s="564"/>
      <c r="CO284" s="564"/>
      <c r="CP284" s="564"/>
      <c r="CQ284" s="564"/>
      <c r="CR284" s="564"/>
      <c r="CS284" s="564"/>
      <c r="CT284" s="564"/>
      <c r="CU284" s="564"/>
      <c r="CV284" s="564"/>
      <c r="CW284" s="564"/>
      <c r="CX284" s="564"/>
      <c r="CY284" s="564"/>
      <c r="CZ284" s="564"/>
      <c r="DA284" s="564"/>
      <c r="DB284" s="564"/>
      <c r="DC284" s="564"/>
      <c r="DD284" s="564"/>
      <c r="DE284" s="564"/>
      <c r="DF284" s="564"/>
      <c r="DG284" s="564"/>
      <c r="DH284" s="564"/>
      <c r="DI284" s="564"/>
      <c r="DJ284" s="564"/>
      <c r="DK284" s="564"/>
      <c r="DL284" s="564"/>
      <c r="DM284" s="564"/>
      <c r="DN284" s="564"/>
      <c r="DO284" s="564"/>
      <c r="DP284" s="564"/>
      <c r="DQ284" s="564"/>
      <c r="DR284" s="564"/>
      <c r="DS284" s="564"/>
      <c r="DT284" s="564"/>
      <c r="DU284" s="564"/>
      <c r="DV284" s="564"/>
      <c r="DW284" s="564"/>
      <c r="DX284" s="564"/>
      <c r="DY284" s="564"/>
      <c r="DZ284" s="564"/>
      <c r="EA284" s="564"/>
      <c r="EB284" s="564"/>
      <c r="EC284" s="564"/>
      <c r="ED284" s="564"/>
      <c r="EE284" s="564"/>
      <c r="EF284" s="564"/>
      <c r="EG284" s="564"/>
      <c r="EH284" s="564"/>
      <c r="EI284" s="564"/>
      <c r="EJ284" s="564"/>
      <c r="EK284" s="564"/>
      <c r="EL284" s="564"/>
      <c r="EM284" s="564"/>
      <c r="EN284" s="564"/>
      <c r="EO284" s="564"/>
      <c r="EP284" s="564"/>
      <c r="EQ284" s="564"/>
      <c r="ER284" s="564"/>
      <c r="ES284" s="564"/>
      <c r="ET284" s="564"/>
      <c r="EU284" s="564"/>
      <c r="EV284" s="564"/>
      <c r="EW284" s="564"/>
      <c r="EX284" s="564"/>
      <c r="EY284" s="564"/>
      <c r="EZ284" s="564"/>
      <c r="FA284" s="564"/>
      <c r="FB284" s="564"/>
      <c r="FC284" s="564"/>
      <c r="FD284" s="564"/>
      <c r="FE284" s="564"/>
      <c r="FF284" s="564"/>
      <c r="FG284" s="564"/>
      <c r="FH284" s="564"/>
      <c r="FI284" s="564"/>
      <c r="FJ284" s="564"/>
      <c r="FK284" s="564"/>
      <c r="FL284" s="564"/>
      <c r="FM284" s="564"/>
      <c r="FN284" s="564"/>
      <c r="FO284" s="564"/>
      <c r="FP284" s="564"/>
      <c r="FQ284" s="564"/>
      <c r="FR284" s="564"/>
      <c r="FS284" s="564"/>
      <c r="FT284" s="564"/>
      <c r="FU284" s="564"/>
      <c r="FV284" s="564"/>
      <c r="FW284" s="564"/>
      <c r="FX284" s="564"/>
      <c r="FY284" s="564"/>
      <c r="FZ284" s="564"/>
      <c r="GA284" s="564"/>
      <c r="GB284" s="564"/>
      <c r="GC284" s="564"/>
      <c r="GD284" s="564"/>
      <c r="GE284" s="564"/>
      <c r="GF284" s="564"/>
      <c r="GG284" s="564"/>
      <c r="GH284" s="564"/>
      <c r="GI284" s="564"/>
      <c r="GJ284" s="564"/>
      <c r="GK284" s="564"/>
      <c r="GL284" s="564"/>
      <c r="GM284" s="564"/>
      <c r="GN284" s="564"/>
      <c r="GO284" s="564"/>
      <c r="GP284" s="564"/>
      <c r="GQ284" s="564"/>
      <c r="GR284" s="564"/>
      <c r="GS284" s="564"/>
      <c r="GT284" s="564"/>
      <c r="GU284" s="564"/>
      <c r="GV284" s="564"/>
      <c r="GW284" s="564"/>
      <c r="GX284" s="564"/>
      <c r="GY284" s="564"/>
      <c r="GZ284" s="564"/>
      <c r="HA284" s="564"/>
      <c r="HB284" s="564"/>
      <c r="HC284" s="564"/>
      <c r="HD284" s="564"/>
      <c r="HE284" s="564"/>
      <c r="HF284" s="564"/>
      <c r="HG284" s="564"/>
      <c r="HH284" s="564"/>
      <c r="HI284" s="564"/>
      <c r="HJ284" s="564"/>
      <c r="HK284" s="564"/>
      <c r="HL284" s="564"/>
      <c r="HM284" s="564"/>
      <c r="HN284" s="564"/>
      <c r="HO284" s="564"/>
      <c r="HP284" s="564"/>
      <c r="HQ284" s="564"/>
      <c r="HR284" s="564"/>
      <c r="HS284" s="564"/>
      <c r="HT284" s="564"/>
      <c r="HU284" s="564"/>
      <c r="HV284" s="564"/>
      <c r="HW284" s="564"/>
      <c r="HX284" s="564"/>
      <c r="HY284" s="564"/>
      <c r="HZ284" s="564"/>
      <c r="IA284" s="564"/>
      <c r="IB284" s="564"/>
      <c r="IC284" s="564"/>
      <c r="ID284" s="564"/>
      <c r="IE284" s="564"/>
      <c r="IF284" s="564"/>
      <c r="IG284" s="564"/>
      <c r="IH284" s="564"/>
      <c r="II284" s="564"/>
      <c r="IJ284" s="564"/>
      <c r="IK284" s="564"/>
      <c r="IL284" s="564"/>
      <c r="IM284" s="564"/>
      <c r="IN284" s="564"/>
      <c r="IO284" s="564"/>
      <c r="IP284" s="564"/>
      <c r="IQ284" s="564"/>
      <c r="IR284" s="564"/>
      <c r="IS284" s="564"/>
      <c r="IT284" s="564"/>
      <c r="IU284" s="564"/>
      <c r="IV284" s="564"/>
      <c r="IW284" s="564"/>
      <c r="IX284" s="564"/>
      <c r="IY284" s="564"/>
      <c r="IZ284" s="564"/>
      <c r="JA284" s="564"/>
      <c r="JB284" s="564"/>
      <c r="JC284" s="564"/>
      <c r="JD284" s="564"/>
      <c r="JE284" s="564"/>
      <c r="JF284" s="564"/>
      <c r="JG284" s="564"/>
      <c r="JH284" s="564"/>
      <c r="JI284" s="564"/>
      <c r="JJ284" s="564"/>
      <c r="JK284" s="564"/>
      <c r="JL284" s="564"/>
      <c r="JM284" s="564"/>
      <c r="JN284" s="564"/>
      <c r="JO284" s="564"/>
      <c r="JP284" s="564"/>
      <c r="JQ284" s="564"/>
      <c r="JR284" s="564"/>
      <c r="JS284" s="564"/>
      <c r="JT284" s="564"/>
      <c r="JU284" s="564"/>
      <c r="JV284" s="564"/>
    </row>
    <row r="285" spans="1:282" ht="50.1" customHeight="1" x14ac:dyDescent="0.2">
      <c r="A285" s="298"/>
      <c r="B285" s="41" t="s">
        <v>1137</v>
      </c>
      <c r="C285" s="41"/>
      <c r="D285" s="41"/>
      <c r="E285" s="30" t="s">
        <v>2488</v>
      </c>
      <c r="F285" s="196" t="s">
        <v>2474</v>
      </c>
      <c r="G285" s="41" t="s">
        <v>2380</v>
      </c>
      <c r="H285" s="41" t="s">
        <v>1806</v>
      </c>
      <c r="I285" s="41"/>
      <c r="J285" s="30" t="s">
        <v>603</v>
      </c>
      <c r="K285" s="41" t="s">
        <v>1393</v>
      </c>
      <c r="L285" s="41" t="s">
        <v>12</v>
      </c>
      <c r="M285" s="30" t="s">
        <v>2094</v>
      </c>
      <c r="N285" s="73">
        <v>42446</v>
      </c>
      <c r="O285" s="106" t="s">
        <v>2509</v>
      </c>
      <c r="P285" s="106"/>
      <c r="Q285" s="106"/>
      <c r="R285" s="106"/>
      <c r="S285" s="106"/>
      <c r="T285" s="560"/>
      <c r="U285" s="560"/>
      <c r="V285" s="560"/>
      <c r="W285" s="560"/>
      <c r="X285" s="560"/>
      <c r="Y285" s="560"/>
      <c r="Z285" s="560"/>
      <c r="AA285" s="560"/>
      <c r="AB285" s="560"/>
      <c r="AC285" s="560"/>
      <c r="AD285" s="560"/>
      <c r="AE285" s="560"/>
      <c r="AF285" s="560"/>
      <c r="AG285" s="560"/>
      <c r="AH285" s="560"/>
      <c r="AI285" s="560"/>
      <c r="AJ285" s="73">
        <v>42506</v>
      </c>
      <c r="AK285" s="648"/>
      <c r="AL285" s="174"/>
      <c r="AM285" s="564"/>
      <c r="AN285" s="564"/>
      <c r="AO285" s="564"/>
      <c r="AP285" s="564"/>
      <c r="AQ285" s="564"/>
      <c r="AR285" s="564"/>
      <c r="AS285" s="564"/>
      <c r="AT285" s="564"/>
      <c r="AU285" s="564"/>
      <c r="AV285" s="564"/>
      <c r="AW285" s="564"/>
      <c r="AX285" s="564"/>
      <c r="AY285" s="564"/>
      <c r="AZ285" s="564"/>
      <c r="BA285" s="564"/>
      <c r="BB285" s="564"/>
      <c r="BC285" s="564"/>
      <c r="BD285" s="564"/>
      <c r="BE285" s="564"/>
      <c r="BF285" s="564"/>
      <c r="BG285" s="564"/>
      <c r="BH285" s="564"/>
      <c r="BI285" s="564"/>
      <c r="BJ285" s="564"/>
      <c r="BK285" s="564"/>
      <c r="BL285" s="564"/>
      <c r="BM285" s="564"/>
      <c r="BN285" s="564"/>
      <c r="BO285" s="564"/>
      <c r="BP285" s="564"/>
      <c r="BQ285" s="564"/>
      <c r="BR285" s="564"/>
      <c r="BS285" s="564"/>
      <c r="BT285" s="564"/>
      <c r="BU285" s="564"/>
      <c r="BV285" s="564"/>
      <c r="BW285" s="564"/>
      <c r="BX285" s="564"/>
      <c r="BY285" s="564"/>
      <c r="BZ285" s="564"/>
      <c r="CA285" s="564"/>
      <c r="CB285" s="564"/>
      <c r="CC285" s="564"/>
      <c r="CD285" s="564"/>
      <c r="CE285" s="564"/>
      <c r="CF285" s="564"/>
      <c r="CG285" s="564"/>
      <c r="CH285" s="564"/>
      <c r="CI285" s="564"/>
      <c r="CJ285" s="564"/>
      <c r="CK285" s="564"/>
      <c r="CL285" s="564"/>
      <c r="CM285" s="564"/>
      <c r="CN285" s="564"/>
      <c r="CO285" s="564"/>
      <c r="CP285" s="564"/>
      <c r="CQ285" s="564"/>
      <c r="CR285" s="564"/>
      <c r="CS285" s="564"/>
      <c r="CT285" s="564"/>
      <c r="CU285" s="564"/>
      <c r="CV285" s="564"/>
      <c r="CW285" s="564"/>
      <c r="CX285" s="564"/>
      <c r="CY285" s="564"/>
      <c r="CZ285" s="564"/>
      <c r="DA285" s="564"/>
      <c r="DB285" s="564"/>
      <c r="DC285" s="564"/>
      <c r="DD285" s="564"/>
      <c r="DE285" s="564"/>
      <c r="DF285" s="564"/>
      <c r="DG285" s="564"/>
      <c r="DH285" s="564"/>
      <c r="DI285" s="564"/>
      <c r="DJ285" s="564"/>
      <c r="DK285" s="564"/>
      <c r="DL285" s="564"/>
      <c r="DM285" s="564"/>
      <c r="DN285" s="564"/>
      <c r="DO285" s="564"/>
      <c r="DP285" s="564"/>
      <c r="DQ285" s="564"/>
      <c r="DR285" s="564"/>
      <c r="DS285" s="564"/>
      <c r="DT285" s="564"/>
      <c r="DU285" s="564"/>
      <c r="DV285" s="564"/>
      <c r="DW285" s="564"/>
      <c r="DX285" s="564"/>
      <c r="DY285" s="564"/>
      <c r="DZ285" s="564"/>
      <c r="EA285" s="564"/>
      <c r="EB285" s="564"/>
      <c r="EC285" s="564"/>
      <c r="ED285" s="564"/>
      <c r="EE285" s="564"/>
      <c r="EF285" s="564"/>
      <c r="EG285" s="564"/>
      <c r="EH285" s="564"/>
      <c r="EI285" s="564"/>
      <c r="EJ285" s="564"/>
      <c r="EK285" s="564"/>
      <c r="EL285" s="564"/>
      <c r="EM285" s="564"/>
      <c r="EN285" s="564"/>
      <c r="EO285" s="564"/>
      <c r="EP285" s="564"/>
      <c r="EQ285" s="564"/>
      <c r="ER285" s="564"/>
      <c r="ES285" s="564"/>
      <c r="ET285" s="564"/>
      <c r="EU285" s="564"/>
      <c r="EV285" s="564"/>
      <c r="EW285" s="564"/>
      <c r="EX285" s="564"/>
      <c r="EY285" s="564"/>
      <c r="EZ285" s="564"/>
      <c r="FA285" s="564"/>
      <c r="FB285" s="564"/>
      <c r="FC285" s="564"/>
      <c r="FD285" s="564"/>
      <c r="FE285" s="564"/>
      <c r="FF285" s="564"/>
      <c r="FG285" s="564"/>
      <c r="FH285" s="564"/>
      <c r="FI285" s="564"/>
      <c r="FJ285" s="564"/>
      <c r="FK285" s="564"/>
      <c r="FL285" s="564"/>
      <c r="FM285" s="564"/>
      <c r="FN285" s="564"/>
      <c r="FO285" s="564"/>
      <c r="FP285" s="564"/>
      <c r="FQ285" s="564"/>
      <c r="FR285" s="564"/>
      <c r="FS285" s="564"/>
      <c r="FT285" s="564"/>
      <c r="FU285" s="564"/>
      <c r="FV285" s="564"/>
      <c r="FW285" s="564"/>
      <c r="FX285" s="564"/>
      <c r="FY285" s="564"/>
      <c r="FZ285" s="564"/>
      <c r="GA285" s="564"/>
      <c r="GB285" s="564"/>
      <c r="GC285" s="564"/>
      <c r="GD285" s="564"/>
      <c r="GE285" s="564"/>
      <c r="GF285" s="564"/>
      <c r="GG285" s="564"/>
      <c r="GH285" s="564"/>
      <c r="GI285" s="564"/>
      <c r="GJ285" s="564"/>
      <c r="GK285" s="564"/>
      <c r="GL285" s="564"/>
      <c r="GM285" s="564"/>
      <c r="GN285" s="564"/>
      <c r="GO285" s="564"/>
      <c r="GP285" s="564"/>
      <c r="GQ285" s="564"/>
      <c r="GR285" s="564"/>
      <c r="GS285" s="564"/>
      <c r="GT285" s="564"/>
      <c r="GU285" s="564"/>
      <c r="GV285" s="564"/>
      <c r="GW285" s="564"/>
      <c r="GX285" s="564"/>
      <c r="GY285" s="564"/>
      <c r="GZ285" s="564"/>
      <c r="HA285" s="564"/>
      <c r="HB285" s="564"/>
      <c r="HC285" s="564"/>
      <c r="HD285" s="564"/>
      <c r="HE285" s="564"/>
      <c r="HF285" s="564"/>
      <c r="HG285" s="564"/>
      <c r="HH285" s="564"/>
      <c r="HI285" s="564"/>
      <c r="HJ285" s="564"/>
      <c r="HK285" s="564"/>
      <c r="HL285" s="564"/>
      <c r="HM285" s="564"/>
      <c r="HN285" s="564"/>
      <c r="HO285" s="564"/>
      <c r="HP285" s="564"/>
      <c r="HQ285" s="564"/>
      <c r="HR285" s="564"/>
      <c r="HS285" s="564"/>
      <c r="HT285" s="564"/>
      <c r="HU285" s="564"/>
      <c r="HV285" s="564"/>
      <c r="HW285" s="564"/>
      <c r="HX285" s="564"/>
      <c r="HY285" s="564"/>
      <c r="HZ285" s="564"/>
      <c r="IA285" s="564"/>
      <c r="IB285" s="564"/>
      <c r="IC285" s="564"/>
      <c r="ID285" s="564"/>
      <c r="IE285" s="564"/>
      <c r="IF285" s="564"/>
      <c r="IG285" s="564"/>
      <c r="IH285" s="564"/>
      <c r="II285" s="564"/>
      <c r="IJ285" s="564"/>
      <c r="IK285" s="564"/>
      <c r="IL285" s="564"/>
      <c r="IM285" s="564"/>
      <c r="IN285" s="564"/>
      <c r="IO285" s="564"/>
      <c r="IP285" s="564"/>
      <c r="IQ285" s="564"/>
      <c r="IR285" s="564"/>
      <c r="IS285" s="564"/>
      <c r="IT285" s="564"/>
      <c r="IU285" s="564"/>
      <c r="IV285" s="564"/>
      <c r="IW285" s="564"/>
      <c r="IX285" s="564"/>
      <c r="IY285" s="564"/>
      <c r="IZ285" s="564"/>
      <c r="JA285" s="564"/>
      <c r="JB285" s="564"/>
      <c r="JC285" s="564"/>
      <c r="JD285" s="564"/>
      <c r="JE285" s="564"/>
      <c r="JF285" s="564"/>
      <c r="JG285" s="564"/>
      <c r="JH285" s="564"/>
      <c r="JI285" s="564"/>
      <c r="JJ285" s="564"/>
      <c r="JK285" s="564"/>
      <c r="JL285" s="564"/>
      <c r="JM285" s="564"/>
      <c r="JN285" s="564"/>
      <c r="JO285" s="564"/>
      <c r="JP285" s="564"/>
      <c r="JQ285" s="564"/>
      <c r="JR285" s="564"/>
      <c r="JS285" s="564"/>
      <c r="JT285" s="564"/>
      <c r="JU285" s="564"/>
      <c r="JV285" s="564"/>
    </row>
    <row r="286" spans="1:282" ht="50.1" customHeight="1" x14ac:dyDescent="0.2">
      <c r="A286" s="298"/>
      <c r="B286" s="68" t="s">
        <v>1137</v>
      </c>
      <c r="C286" s="68"/>
      <c r="D286" s="68"/>
      <c r="E286" s="29" t="s">
        <v>370</v>
      </c>
      <c r="F286" s="104" t="s">
        <v>57</v>
      </c>
      <c r="G286" s="29" t="s">
        <v>65</v>
      </c>
      <c r="H286" s="29" t="s">
        <v>534</v>
      </c>
      <c r="I286" s="29"/>
      <c r="J286" s="29" t="s">
        <v>51</v>
      </c>
      <c r="K286" s="29" t="s">
        <v>1393</v>
      </c>
      <c r="L286" s="29" t="s">
        <v>1369</v>
      </c>
      <c r="M286" s="30" t="s">
        <v>1592</v>
      </c>
      <c r="N286" s="73">
        <v>41246</v>
      </c>
      <c r="O286" s="69" t="s">
        <v>610</v>
      </c>
      <c r="P286" s="69"/>
      <c r="Q286" s="69"/>
      <c r="R286" s="69"/>
      <c r="S286" s="69"/>
      <c r="T286" s="560"/>
      <c r="U286" s="560"/>
      <c r="V286" s="560"/>
      <c r="W286" s="560"/>
      <c r="X286" s="560"/>
      <c r="Y286" s="560"/>
      <c r="Z286" s="560"/>
      <c r="AA286" s="560"/>
      <c r="AB286" s="560"/>
      <c r="AC286" s="560"/>
      <c r="AD286" s="560"/>
      <c r="AE286" s="560"/>
      <c r="AF286" s="560"/>
      <c r="AG286" s="560"/>
      <c r="AH286" s="560"/>
      <c r="AI286" s="560"/>
      <c r="AJ286" s="73">
        <v>42506</v>
      </c>
      <c r="AK286" s="648"/>
      <c r="AL286" s="174"/>
      <c r="AM286" s="564"/>
      <c r="AN286" s="564"/>
      <c r="AO286" s="564"/>
      <c r="AP286" s="564"/>
      <c r="AQ286" s="564"/>
      <c r="AR286" s="564"/>
      <c r="AS286" s="564"/>
      <c r="AT286" s="564"/>
      <c r="AU286" s="564"/>
      <c r="AV286" s="564"/>
      <c r="AW286" s="564"/>
      <c r="AX286" s="564"/>
      <c r="AY286" s="564"/>
      <c r="AZ286" s="564"/>
      <c r="BA286" s="564"/>
      <c r="BB286" s="564"/>
      <c r="BC286" s="564"/>
      <c r="BD286" s="564"/>
      <c r="BE286" s="564"/>
      <c r="BF286" s="564"/>
      <c r="BG286" s="564"/>
      <c r="BH286" s="564"/>
      <c r="BI286" s="564"/>
      <c r="BJ286" s="564"/>
      <c r="BK286" s="564"/>
      <c r="BL286" s="564"/>
      <c r="BM286" s="564"/>
      <c r="BN286" s="564"/>
      <c r="BO286" s="564"/>
      <c r="BP286" s="564"/>
      <c r="BQ286" s="564"/>
      <c r="BR286" s="564"/>
      <c r="BS286" s="564"/>
      <c r="BT286" s="564"/>
      <c r="BU286" s="564"/>
      <c r="BV286" s="564"/>
      <c r="BW286" s="564"/>
      <c r="BX286" s="564"/>
      <c r="BY286" s="564"/>
      <c r="BZ286" s="564"/>
      <c r="CA286" s="564"/>
      <c r="CB286" s="564"/>
      <c r="CC286" s="564"/>
      <c r="CD286" s="564"/>
      <c r="CE286" s="564"/>
      <c r="CF286" s="564"/>
      <c r="CG286" s="564"/>
      <c r="CH286" s="564"/>
      <c r="CI286" s="564"/>
      <c r="CJ286" s="564"/>
      <c r="CK286" s="564"/>
      <c r="CL286" s="564"/>
      <c r="CM286" s="564"/>
      <c r="CN286" s="564"/>
      <c r="CO286" s="564"/>
      <c r="CP286" s="564"/>
      <c r="CQ286" s="564"/>
      <c r="CR286" s="564"/>
      <c r="CS286" s="564"/>
      <c r="CT286" s="564"/>
      <c r="CU286" s="564"/>
      <c r="CV286" s="564"/>
      <c r="CW286" s="564"/>
      <c r="CX286" s="564"/>
      <c r="CY286" s="564"/>
      <c r="CZ286" s="564"/>
      <c r="DA286" s="564"/>
      <c r="DB286" s="564"/>
      <c r="DC286" s="564"/>
      <c r="DD286" s="564"/>
      <c r="DE286" s="564"/>
      <c r="DF286" s="564"/>
      <c r="DG286" s="564"/>
      <c r="DH286" s="564"/>
      <c r="DI286" s="564"/>
      <c r="DJ286" s="564"/>
      <c r="DK286" s="564"/>
      <c r="DL286" s="564"/>
      <c r="DM286" s="564"/>
      <c r="DN286" s="564"/>
      <c r="DO286" s="564"/>
      <c r="DP286" s="564"/>
      <c r="DQ286" s="564"/>
      <c r="DR286" s="564"/>
      <c r="DS286" s="564"/>
      <c r="DT286" s="564"/>
      <c r="DU286" s="564"/>
      <c r="DV286" s="564"/>
      <c r="DW286" s="564"/>
      <c r="DX286" s="564"/>
      <c r="DY286" s="564"/>
      <c r="DZ286" s="564"/>
      <c r="EA286" s="564"/>
      <c r="EB286" s="564"/>
      <c r="EC286" s="564"/>
      <c r="ED286" s="564"/>
      <c r="EE286" s="564"/>
      <c r="EF286" s="564"/>
      <c r="EG286" s="564"/>
      <c r="EH286" s="564"/>
      <c r="EI286" s="564"/>
      <c r="EJ286" s="564"/>
      <c r="EK286" s="564"/>
      <c r="EL286" s="564"/>
      <c r="EM286" s="564"/>
      <c r="EN286" s="564"/>
      <c r="EO286" s="564"/>
      <c r="EP286" s="564"/>
      <c r="EQ286" s="564"/>
      <c r="ER286" s="564"/>
      <c r="ES286" s="564"/>
      <c r="ET286" s="564"/>
      <c r="EU286" s="564"/>
      <c r="EV286" s="564"/>
      <c r="EW286" s="564"/>
      <c r="EX286" s="564"/>
      <c r="EY286" s="564"/>
      <c r="EZ286" s="564"/>
      <c r="FA286" s="564"/>
      <c r="FB286" s="564"/>
      <c r="FC286" s="564"/>
      <c r="FD286" s="564"/>
      <c r="FE286" s="564"/>
      <c r="FF286" s="564"/>
      <c r="FG286" s="564"/>
      <c r="FH286" s="564"/>
      <c r="FI286" s="564"/>
      <c r="FJ286" s="564"/>
      <c r="FK286" s="564"/>
      <c r="FL286" s="564"/>
      <c r="FM286" s="564"/>
      <c r="FN286" s="564"/>
      <c r="FO286" s="564"/>
      <c r="FP286" s="564"/>
      <c r="FQ286" s="564"/>
      <c r="FR286" s="564"/>
      <c r="FS286" s="564"/>
      <c r="FT286" s="564"/>
      <c r="FU286" s="564"/>
      <c r="FV286" s="564"/>
      <c r="FW286" s="564"/>
      <c r="FX286" s="564"/>
      <c r="FY286" s="564"/>
      <c r="FZ286" s="564"/>
      <c r="GA286" s="564"/>
      <c r="GB286" s="564"/>
      <c r="GC286" s="564"/>
      <c r="GD286" s="564"/>
      <c r="GE286" s="564"/>
      <c r="GF286" s="564"/>
      <c r="GG286" s="564"/>
      <c r="GH286" s="564"/>
      <c r="GI286" s="564"/>
      <c r="GJ286" s="564"/>
      <c r="GK286" s="564"/>
      <c r="GL286" s="564"/>
      <c r="GM286" s="564"/>
      <c r="GN286" s="564"/>
      <c r="GO286" s="564"/>
      <c r="GP286" s="564"/>
      <c r="GQ286" s="564"/>
      <c r="GR286" s="564"/>
      <c r="GS286" s="564"/>
      <c r="GT286" s="564"/>
      <c r="GU286" s="564"/>
      <c r="GV286" s="564"/>
      <c r="GW286" s="564"/>
      <c r="GX286" s="564"/>
      <c r="GY286" s="564"/>
      <c r="GZ286" s="564"/>
      <c r="HA286" s="564"/>
      <c r="HB286" s="564"/>
      <c r="HC286" s="564"/>
      <c r="HD286" s="564"/>
      <c r="HE286" s="564"/>
      <c r="HF286" s="564"/>
      <c r="HG286" s="564"/>
      <c r="HH286" s="564"/>
      <c r="HI286" s="564"/>
      <c r="HJ286" s="564"/>
      <c r="HK286" s="564"/>
      <c r="HL286" s="564"/>
      <c r="HM286" s="564"/>
      <c r="HN286" s="564"/>
      <c r="HO286" s="564"/>
      <c r="HP286" s="564"/>
      <c r="HQ286" s="564"/>
      <c r="HR286" s="564"/>
      <c r="HS286" s="564"/>
      <c r="HT286" s="564"/>
      <c r="HU286" s="564"/>
      <c r="HV286" s="564"/>
      <c r="HW286" s="564"/>
      <c r="HX286" s="564"/>
      <c r="HY286" s="564"/>
      <c r="HZ286" s="564"/>
      <c r="IA286" s="564"/>
      <c r="IB286" s="564"/>
      <c r="IC286" s="564"/>
      <c r="ID286" s="564"/>
      <c r="IE286" s="564"/>
      <c r="IF286" s="564"/>
      <c r="IG286" s="564"/>
      <c r="IH286" s="564"/>
      <c r="II286" s="564"/>
      <c r="IJ286" s="564"/>
      <c r="IK286" s="564"/>
      <c r="IL286" s="564"/>
      <c r="IM286" s="564"/>
      <c r="IN286" s="564"/>
      <c r="IO286" s="564"/>
      <c r="IP286" s="564"/>
      <c r="IQ286" s="564"/>
      <c r="IR286" s="564"/>
      <c r="IS286" s="564"/>
      <c r="IT286" s="564"/>
      <c r="IU286" s="564"/>
      <c r="IV286" s="564"/>
      <c r="IW286" s="564"/>
      <c r="IX286" s="564"/>
      <c r="IY286" s="564"/>
      <c r="IZ286" s="564"/>
      <c r="JA286" s="564"/>
      <c r="JB286" s="564"/>
      <c r="JC286" s="564"/>
      <c r="JD286" s="564"/>
      <c r="JE286" s="564"/>
      <c r="JF286" s="564"/>
      <c r="JG286" s="564"/>
      <c r="JH286" s="564"/>
      <c r="JI286" s="564"/>
      <c r="JJ286" s="564"/>
      <c r="JK286" s="564"/>
      <c r="JL286" s="564"/>
      <c r="JM286" s="564"/>
      <c r="JN286" s="564"/>
      <c r="JO286" s="564"/>
      <c r="JP286" s="564"/>
      <c r="JQ286" s="564"/>
      <c r="JR286" s="564"/>
      <c r="JS286" s="564"/>
      <c r="JT286" s="564"/>
      <c r="JU286" s="564"/>
      <c r="JV286" s="564"/>
    </row>
    <row r="287" spans="1:282" ht="50.1" customHeight="1" x14ac:dyDescent="0.2">
      <c r="A287" s="298"/>
      <c r="B287" s="41" t="s">
        <v>584</v>
      </c>
      <c r="C287" s="41"/>
      <c r="D287" s="41"/>
      <c r="E287" s="30" t="s">
        <v>1308</v>
      </c>
      <c r="F287" s="104" t="s">
        <v>1706</v>
      </c>
      <c r="G287" s="108" t="s">
        <v>3140</v>
      </c>
      <c r="H287" s="108" t="s">
        <v>1675</v>
      </c>
      <c r="I287" s="108"/>
      <c r="J287" s="108" t="s">
        <v>1483</v>
      </c>
      <c r="K287" s="107" t="s">
        <v>1530</v>
      </c>
      <c r="L287" s="209" t="s">
        <v>1482</v>
      </c>
      <c r="M287" s="38" t="s">
        <v>1972</v>
      </c>
      <c r="N287" s="73">
        <v>41995</v>
      </c>
      <c r="O287" s="106" t="s">
        <v>1517</v>
      </c>
      <c r="P287" s="106"/>
      <c r="Q287" s="106"/>
      <c r="R287" s="106"/>
      <c r="S287" s="106"/>
      <c r="T287" s="589"/>
      <c r="U287" s="589"/>
      <c r="V287" s="589"/>
      <c r="W287" s="589"/>
      <c r="X287" s="589"/>
      <c r="Y287" s="589"/>
      <c r="Z287" s="589"/>
      <c r="AA287" s="589"/>
      <c r="AB287" s="589"/>
      <c r="AC287" s="589"/>
      <c r="AD287" s="589"/>
      <c r="AE287" s="589"/>
      <c r="AF287" s="589"/>
      <c r="AG287" s="589"/>
      <c r="AH287" s="589"/>
      <c r="AI287" s="589"/>
      <c r="AJ287" s="73">
        <v>42513</v>
      </c>
      <c r="AK287" s="648"/>
      <c r="AL287" s="174"/>
    </row>
    <row r="288" spans="1:282" ht="50.1" customHeight="1" x14ac:dyDescent="0.2">
      <c r="A288" s="298"/>
      <c r="B288" s="38" t="s">
        <v>1137</v>
      </c>
      <c r="C288" s="38"/>
      <c r="D288" s="38"/>
      <c r="E288" s="30" t="s">
        <v>1815</v>
      </c>
      <c r="F288" s="104" t="s">
        <v>1817</v>
      </c>
      <c r="G288" s="30" t="s">
        <v>1816</v>
      </c>
      <c r="H288" s="30" t="s">
        <v>1806</v>
      </c>
      <c r="I288" s="30"/>
      <c r="J288" s="30" t="s">
        <v>2124</v>
      </c>
      <c r="K288" s="41" t="s">
        <v>1394</v>
      </c>
      <c r="L288" s="30" t="s">
        <v>2125</v>
      </c>
      <c r="M288" s="29" t="s">
        <v>1615</v>
      </c>
      <c r="N288" s="73">
        <v>41823</v>
      </c>
      <c r="O288" s="69" t="s">
        <v>2352</v>
      </c>
      <c r="P288" s="69"/>
      <c r="Q288" s="69"/>
      <c r="R288" s="69"/>
      <c r="S288" s="69"/>
      <c r="T288" s="167"/>
      <c r="U288" s="167"/>
      <c r="V288" s="167"/>
      <c r="W288" s="167"/>
      <c r="X288" s="167"/>
      <c r="Y288" s="167"/>
      <c r="Z288" s="167"/>
      <c r="AA288" s="167"/>
      <c r="AB288" s="167"/>
      <c r="AC288" s="167"/>
      <c r="AD288" s="167"/>
      <c r="AE288" s="167"/>
      <c r="AF288" s="167"/>
      <c r="AG288" s="167"/>
      <c r="AH288" s="167"/>
      <c r="AI288" s="167"/>
      <c r="AJ288" s="73">
        <v>42520</v>
      </c>
      <c r="AK288" s="648"/>
      <c r="AL288" s="174"/>
    </row>
    <row r="289" spans="1:38" ht="50.1" customHeight="1" x14ac:dyDescent="0.2">
      <c r="A289" s="298"/>
      <c r="B289" s="41" t="s">
        <v>1137</v>
      </c>
      <c r="C289" s="41"/>
      <c r="D289" s="41"/>
      <c r="E289" s="30" t="s">
        <v>1419</v>
      </c>
      <c r="F289" s="196" t="s">
        <v>2552</v>
      </c>
      <c r="G289" s="41" t="s">
        <v>1402</v>
      </c>
      <c r="H289" s="30" t="s">
        <v>1806</v>
      </c>
      <c r="I289" s="30"/>
      <c r="J289" s="30" t="s">
        <v>1403</v>
      </c>
      <c r="K289" s="29" t="s">
        <v>1393</v>
      </c>
      <c r="L289" s="29" t="s">
        <v>12</v>
      </c>
      <c r="M289" s="29" t="s">
        <v>1615</v>
      </c>
      <c r="N289" s="73">
        <v>41866</v>
      </c>
      <c r="O289" s="106" t="s">
        <v>1879</v>
      </c>
      <c r="P289" s="106"/>
      <c r="Q289" s="106"/>
      <c r="R289" s="106"/>
      <c r="S289" s="106"/>
      <c r="T289" s="167"/>
      <c r="U289" s="167"/>
      <c r="V289" s="167"/>
      <c r="W289" s="167"/>
      <c r="X289" s="167"/>
      <c r="Y289" s="167"/>
      <c r="Z289" s="167"/>
      <c r="AA289" s="167"/>
      <c r="AB289" s="167"/>
      <c r="AC289" s="167"/>
      <c r="AD289" s="167"/>
      <c r="AE289" s="167"/>
      <c r="AF289" s="167"/>
      <c r="AG289" s="167"/>
      <c r="AH289" s="167"/>
      <c r="AI289" s="167"/>
      <c r="AJ289" s="73">
        <v>42534</v>
      </c>
      <c r="AK289" s="648"/>
      <c r="AL289" s="174"/>
    </row>
    <row r="290" spans="1:38" ht="50.1" customHeight="1" x14ac:dyDescent="0.2">
      <c r="A290" s="298"/>
      <c r="B290" s="68" t="s">
        <v>1137</v>
      </c>
      <c r="C290" s="68"/>
      <c r="D290" s="68"/>
      <c r="E290" s="74" t="s">
        <v>1546</v>
      </c>
      <c r="F290" s="104" t="s">
        <v>64</v>
      </c>
      <c r="G290" s="29" t="s">
        <v>121</v>
      </c>
      <c r="H290" s="29" t="s">
        <v>122</v>
      </c>
      <c r="I290" s="29"/>
      <c r="J290" s="29" t="s">
        <v>366</v>
      </c>
      <c r="K290" s="29" t="s">
        <v>1393</v>
      </c>
      <c r="L290" s="29" t="s">
        <v>1532</v>
      </c>
      <c r="M290" s="29" t="s">
        <v>1589</v>
      </c>
      <c r="N290" s="73">
        <v>40466</v>
      </c>
      <c r="O290" s="69" t="s">
        <v>2058</v>
      </c>
      <c r="P290" s="69"/>
      <c r="Q290" s="69"/>
      <c r="R290" s="69"/>
      <c r="S290" s="69"/>
      <c r="T290" s="167"/>
      <c r="U290" s="167"/>
      <c r="V290" s="167"/>
      <c r="W290" s="167"/>
      <c r="X290" s="167"/>
      <c r="Y290" s="167"/>
      <c r="Z290" s="167"/>
      <c r="AA290" s="167"/>
      <c r="AB290" s="167"/>
      <c r="AC290" s="167"/>
      <c r="AD290" s="167"/>
      <c r="AE290" s="167"/>
      <c r="AF290" s="167"/>
      <c r="AG290" s="167"/>
      <c r="AH290" s="167"/>
      <c r="AI290" s="167"/>
      <c r="AJ290" s="73">
        <v>42534</v>
      </c>
      <c r="AK290" s="648"/>
      <c r="AL290" s="174"/>
    </row>
    <row r="291" spans="1:38" ht="50.1" customHeight="1" x14ac:dyDescent="0.2">
      <c r="A291" s="298"/>
      <c r="B291" s="71" t="s">
        <v>584</v>
      </c>
      <c r="C291" s="71"/>
      <c r="D291" s="71"/>
      <c r="E291" s="29" t="s">
        <v>1487</v>
      </c>
      <c r="F291" s="104" t="s">
        <v>2553</v>
      </c>
      <c r="G291" s="29" t="s">
        <v>1435</v>
      </c>
      <c r="H291" s="30" t="s">
        <v>1806</v>
      </c>
      <c r="I291" s="30"/>
      <c r="J291" s="30" t="s">
        <v>697</v>
      </c>
      <c r="K291" s="38" t="s">
        <v>1393</v>
      </c>
      <c r="L291" s="38" t="s">
        <v>795</v>
      </c>
      <c r="M291" s="29" t="s">
        <v>1615</v>
      </c>
      <c r="N291" s="73">
        <v>41984</v>
      </c>
      <c r="O291" s="106" t="s">
        <v>2328</v>
      </c>
      <c r="P291" s="106"/>
      <c r="Q291" s="106"/>
      <c r="R291" s="106"/>
      <c r="S291" s="106"/>
      <c r="T291" s="167"/>
      <c r="U291" s="167"/>
      <c r="V291" s="167"/>
      <c r="W291" s="167"/>
      <c r="X291" s="167"/>
      <c r="Y291" s="167"/>
      <c r="Z291" s="167"/>
      <c r="AA291" s="167"/>
      <c r="AB291" s="167"/>
      <c r="AC291" s="167"/>
      <c r="AD291" s="167"/>
      <c r="AE291" s="167"/>
      <c r="AF291" s="167"/>
      <c r="AG291" s="167"/>
      <c r="AH291" s="167"/>
      <c r="AI291" s="167"/>
      <c r="AJ291" s="73">
        <v>42534</v>
      </c>
      <c r="AK291" s="648"/>
      <c r="AL291" s="174"/>
    </row>
    <row r="292" spans="1:38" ht="50.1" customHeight="1" x14ac:dyDescent="0.2">
      <c r="A292" s="298"/>
      <c r="B292" s="68" t="s">
        <v>1137</v>
      </c>
      <c r="C292" s="68"/>
      <c r="D292" s="68"/>
      <c r="E292" s="69" t="s">
        <v>265</v>
      </c>
      <c r="F292" s="104" t="s">
        <v>262</v>
      </c>
      <c r="G292" s="29" t="s">
        <v>262</v>
      </c>
      <c r="H292" s="29" t="s">
        <v>263</v>
      </c>
      <c r="I292" s="29"/>
      <c r="J292" s="29" t="s">
        <v>1593</v>
      </c>
      <c r="K292" s="29" t="s">
        <v>1394</v>
      </c>
      <c r="L292" s="29" t="s">
        <v>12</v>
      </c>
      <c r="M292" s="29" t="s">
        <v>1528</v>
      </c>
      <c r="N292" s="73">
        <v>40785</v>
      </c>
      <c r="O292" s="69" t="s">
        <v>264</v>
      </c>
      <c r="P292" s="69"/>
      <c r="Q292" s="69"/>
      <c r="R292" s="69"/>
      <c r="S292" s="69"/>
      <c r="T292" s="167"/>
      <c r="U292" s="167"/>
      <c r="V292" s="167"/>
      <c r="W292" s="167"/>
      <c r="X292" s="167"/>
      <c r="Y292" s="167"/>
      <c r="Z292" s="167"/>
      <c r="AA292" s="167"/>
      <c r="AB292" s="167"/>
      <c r="AC292" s="167"/>
      <c r="AD292" s="167"/>
      <c r="AE292" s="167"/>
      <c r="AF292" s="167"/>
      <c r="AG292" s="167"/>
      <c r="AH292" s="167"/>
      <c r="AI292" s="167"/>
      <c r="AJ292" s="73">
        <v>42548</v>
      </c>
      <c r="AK292" s="648"/>
      <c r="AL292" s="174"/>
    </row>
    <row r="293" spans="1:38" ht="50.1" customHeight="1" x14ac:dyDescent="0.2">
      <c r="A293" s="298"/>
      <c r="B293" s="41" t="s">
        <v>584</v>
      </c>
      <c r="C293" s="41"/>
      <c r="D293" s="41"/>
      <c r="E293" s="30" t="s">
        <v>1655</v>
      </c>
      <c r="F293" s="196" t="s">
        <v>2568</v>
      </c>
      <c r="G293" s="41" t="s">
        <v>1653</v>
      </c>
      <c r="H293" s="30" t="s">
        <v>1806</v>
      </c>
      <c r="I293" s="30"/>
      <c r="J293" s="30" t="s">
        <v>1654</v>
      </c>
      <c r="K293" s="107" t="s">
        <v>1540</v>
      </c>
      <c r="L293" s="41" t="s">
        <v>1286</v>
      </c>
      <c r="M293" s="29" t="s">
        <v>1615</v>
      </c>
      <c r="N293" s="73">
        <v>42041</v>
      </c>
      <c r="O293" s="106" t="s">
        <v>1691</v>
      </c>
      <c r="P293" s="106"/>
      <c r="Q293" s="106"/>
      <c r="R293" s="106"/>
      <c r="S293" s="106"/>
      <c r="T293" s="167"/>
      <c r="U293" s="167"/>
      <c r="V293" s="167"/>
      <c r="W293" s="167"/>
      <c r="X293" s="167"/>
      <c r="Y293" s="167"/>
      <c r="Z293" s="167"/>
      <c r="AA293" s="167"/>
      <c r="AB293" s="167"/>
      <c r="AC293" s="167"/>
      <c r="AD293" s="167"/>
      <c r="AE293" s="167"/>
      <c r="AF293" s="167"/>
      <c r="AG293" s="167"/>
      <c r="AH293" s="167"/>
      <c r="AI293" s="167"/>
      <c r="AJ293" s="73">
        <v>42548</v>
      </c>
      <c r="AK293" s="648"/>
      <c r="AL293" s="174"/>
    </row>
    <row r="294" spans="1:38" ht="50.1" customHeight="1" x14ac:dyDescent="0.2">
      <c r="A294" s="298"/>
      <c r="B294" s="41" t="s">
        <v>584</v>
      </c>
      <c r="C294" s="41"/>
      <c r="D294" s="41"/>
      <c r="E294" s="30" t="s">
        <v>1697</v>
      </c>
      <c r="F294" s="196" t="s">
        <v>2569</v>
      </c>
      <c r="G294" s="30" t="s">
        <v>1465</v>
      </c>
      <c r="H294" s="30" t="s">
        <v>1806</v>
      </c>
      <c r="I294" s="30"/>
      <c r="J294" s="30" t="s">
        <v>1658</v>
      </c>
      <c r="K294" s="107" t="s">
        <v>1540</v>
      </c>
      <c r="L294" s="41" t="s">
        <v>1095</v>
      </c>
      <c r="M294" s="29" t="s">
        <v>1615</v>
      </c>
      <c r="N294" s="73">
        <v>42051</v>
      </c>
      <c r="O294" s="106" t="s">
        <v>1696</v>
      </c>
      <c r="P294" s="106"/>
      <c r="Q294" s="106"/>
      <c r="R294" s="106"/>
      <c r="S294" s="106"/>
      <c r="T294" s="167"/>
      <c r="U294" s="167"/>
      <c r="V294" s="167"/>
      <c r="W294" s="167"/>
      <c r="X294" s="167"/>
      <c r="Y294" s="167"/>
      <c r="Z294" s="167"/>
      <c r="AA294" s="167"/>
      <c r="AB294" s="167"/>
      <c r="AC294" s="167"/>
      <c r="AD294" s="167"/>
      <c r="AE294" s="167"/>
      <c r="AF294" s="167"/>
      <c r="AG294" s="167"/>
      <c r="AH294" s="167"/>
      <c r="AI294" s="167"/>
      <c r="AJ294" s="73">
        <v>42548</v>
      </c>
      <c r="AK294" s="648"/>
      <c r="AL294" s="174"/>
    </row>
    <row r="295" spans="1:38" ht="50.1" customHeight="1" x14ac:dyDescent="0.2">
      <c r="A295" s="298"/>
      <c r="B295" s="41" t="s">
        <v>584</v>
      </c>
      <c r="C295" s="41"/>
      <c r="D295" s="41"/>
      <c r="E295" s="30" t="s">
        <v>2356</v>
      </c>
      <c r="F295" s="196" t="s">
        <v>2570</v>
      </c>
      <c r="G295" s="41" t="s">
        <v>2344</v>
      </c>
      <c r="H295" s="41" t="s">
        <v>1806</v>
      </c>
      <c r="I295" s="41"/>
      <c r="J295" s="30" t="s">
        <v>2345</v>
      </c>
      <c r="K295" s="41" t="s">
        <v>1393</v>
      </c>
      <c r="L295" s="30" t="s">
        <v>2346</v>
      </c>
      <c r="M295" s="29" t="s">
        <v>1615</v>
      </c>
      <c r="N295" s="73">
        <v>42398</v>
      </c>
      <c r="O295" s="30">
        <v>1276371163</v>
      </c>
      <c r="P295" s="30"/>
      <c r="Q295" s="30"/>
      <c r="R295" s="30"/>
      <c r="S295" s="30"/>
      <c r="T295" s="167"/>
      <c r="U295" s="167"/>
      <c r="V295" s="167"/>
      <c r="W295" s="167"/>
      <c r="X295" s="167"/>
      <c r="Y295" s="167"/>
      <c r="Z295" s="167"/>
      <c r="AA295" s="167"/>
      <c r="AB295" s="167"/>
      <c r="AC295" s="167"/>
      <c r="AD295" s="167"/>
      <c r="AE295" s="167"/>
      <c r="AF295" s="167"/>
      <c r="AG295" s="167"/>
      <c r="AH295" s="167"/>
      <c r="AI295" s="167"/>
      <c r="AJ295" s="73">
        <v>42548</v>
      </c>
      <c r="AK295" s="648"/>
      <c r="AL295" s="174"/>
    </row>
    <row r="296" spans="1:38" ht="50.1" customHeight="1" x14ac:dyDescent="0.2">
      <c r="A296" s="298"/>
      <c r="B296" s="68" t="s">
        <v>1137</v>
      </c>
      <c r="C296" s="68"/>
      <c r="D296" s="68"/>
      <c r="E296" s="69" t="s">
        <v>349</v>
      </c>
      <c r="F296" s="104" t="s">
        <v>342</v>
      </c>
      <c r="G296" s="29" t="s">
        <v>1799</v>
      </c>
      <c r="H296" s="29" t="s">
        <v>2676</v>
      </c>
      <c r="I296" s="29"/>
      <c r="J296" s="29" t="s">
        <v>341</v>
      </c>
      <c r="K296" s="29" t="s">
        <v>1393</v>
      </c>
      <c r="L296" s="29" t="s">
        <v>685</v>
      </c>
      <c r="M296" s="29" t="s">
        <v>1528</v>
      </c>
      <c r="N296" s="73">
        <v>40907</v>
      </c>
      <c r="O296" s="69" t="s">
        <v>354</v>
      </c>
      <c r="P296" s="69"/>
      <c r="Q296" s="69"/>
      <c r="R296" s="69"/>
      <c r="S296" s="69"/>
      <c r="T296" s="167"/>
      <c r="U296" s="167"/>
      <c r="V296" s="167"/>
      <c r="W296" s="167"/>
      <c r="X296" s="167"/>
      <c r="Y296" s="167"/>
      <c r="Z296" s="167"/>
      <c r="AA296" s="167"/>
      <c r="AB296" s="167"/>
      <c r="AC296" s="167"/>
      <c r="AD296" s="167"/>
      <c r="AE296" s="167"/>
      <c r="AF296" s="167"/>
      <c r="AG296" s="167"/>
      <c r="AH296" s="167"/>
      <c r="AI296" s="167"/>
      <c r="AJ296" s="73">
        <v>42555</v>
      </c>
      <c r="AK296" s="648"/>
      <c r="AL296" s="174"/>
    </row>
    <row r="297" spans="1:38" ht="50.1" customHeight="1" x14ac:dyDescent="0.2">
      <c r="A297" s="298"/>
      <c r="B297" s="41" t="s">
        <v>1137</v>
      </c>
      <c r="C297" s="41"/>
      <c r="D297" s="41"/>
      <c r="E297" s="30" t="s">
        <v>2540</v>
      </c>
      <c r="F297" s="196" t="s">
        <v>2535</v>
      </c>
      <c r="G297" s="41" t="s">
        <v>2537</v>
      </c>
      <c r="H297" s="41" t="s">
        <v>1806</v>
      </c>
      <c r="I297" s="41"/>
      <c r="J297" s="30" t="s">
        <v>2536</v>
      </c>
      <c r="K297" s="41" t="s">
        <v>1394</v>
      </c>
      <c r="L297" s="41" t="s">
        <v>685</v>
      </c>
      <c r="M297" s="30" t="s">
        <v>2094</v>
      </c>
      <c r="N297" s="73">
        <v>42506</v>
      </c>
      <c r="O297" s="106" t="s">
        <v>2545</v>
      </c>
      <c r="P297" s="106"/>
      <c r="Q297" s="106"/>
      <c r="R297" s="106"/>
      <c r="S297" s="106"/>
      <c r="T297" s="167"/>
      <c r="U297" s="167"/>
      <c r="V297" s="167"/>
      <c r="W297" s="167"/>
      <c r="X297" s="167"/>
      <c r="Y297" s="167"/>
      <c r="Z297" s="167"/>
      <c r="AA297" s="167"/>
      <c r="AB297" s="167"/>
      <c r="AC297" s="167"/>
      <c r="AD297" s="167"/>
      <c r="AE297" s="167"/>
      <c r="AF297" s="167"/>
      <c r="AG297" s="167"/>
      <c r="AH297" s="167"/>
      <c r="AI297" s="167"/>
      <c r="AJ297" s="73">
        <v>42555</v>
      </c>
      <c r="AK297" s="648"/>
      <c r="AL297" s="174"/>
    </row>
    <row r="298" spans="1:38" ht="50.1" customHeight="1" x14ac:dyDescent="0.2">
      <c r="A298" s="298"/>
      <c r="B298" s="68" t="s">
        <v>1137</v>
      </c>
      <c r="C298" s="68"/>
      <c r="D298" s="68"/>
      <c r="E298" s="29" t="s">
        <v>124</v>
      </c>
      <c r="F298" s="104" t="s">
        <v>121</v>
      </c>
      <c r="G298" s="29" t="s">
        <v>121</v>
      </c>
      <c r="H298" s="29" t="s">
        <v>122</v>
      </c>
      <c r="I298" s="29"/>
      <c r="J298" s="29" t="s">
        <v>1531</v>
      </c>
      <c r="K298" s="29" t="s">
        <v>1394</v>
      </c>
      <c r="L298" s="29" t="s">
        <v>1532</v>
      </c>
      <c r="M298" s="29" t="s">
        <v>1528</v>
      </c>
      <c r="N298" s="73">
        <v>40466</v>
      </c>
      <c r="O298" s="69" t="s">
        <v>174</v>
      </c>
      <c r="P298" s="69"/>
      <c r="Q298" s="69"/>
      <c r="R298" s="69"/>
      <c r="S298" s="69"/>
      <c r="T298" s="167"/>
      <c r="U298" s="167"/>
      <c r="V298" s="167"/>
      <c r="W298" s="167"/>
      <c r="X298" s="167"/>
      <c r="Y298" s="167"/>
      <c r="Z298" s="167"/>
      <c r="AA298" s="167"/>
      <c r="AB298" s="167"/>
      <c r="AC298" s="167"/>
      <c r="AD298" s="167"/>
      <c r="AE298" s="167"/>
      <c r="AF298" s="167"/>
      <c r="AG298" s="167"/>
      <c r="AH298" s="167"/>
      <c r="AI298" s="167"/>
      <c r="AJ298" s="73">
        <v>42555</v>
      </c>
      <c r="AK298" s="648"/>
      <c r="AL298" s="174"/>
    </row>
    <row r="299" spans="1:38" ht="50.1" customHeight="1" x14ac:dyDescent="0.2">
      <c r="A299" s="298"/>
      <c r="B299" s="107" t="s">
        <v>1137</v>
      </c>
      <c r="C299" s="107"/>
      <c r="D299" s="107"/>
      <c r="E299" s="30" t="s">
        <v>2289</v>
      </c>
      <c r="F299" s="196" t="s">
        <v>2586</v>
      </c>
      <c r="G299" s="41" t="s">
        <v>1371</v>
      </c>
      <c r="H299" s="41" t="s">
        <v>1806</v>
      </c>
      <c r="I299" s="41"/>
      <c r="J299" s="30" t="s">
        <v>2250</v>
      </c>
      <c r="K299" s="41" t="s">
        <v>1392</v>
      </c>
      <c r="L299" s="30" t="s">
        <v>2251</v>
      </c>
      <c r="M299" s="29" t="s">
        <v>1615</v>
      </c>
      <c r="N299" s="73">
        <v>42352</v>
      </c>
      <c r="O299" s="30">
        <v>1153679169</v>
      </c>
      <c r="P299" s="30"/>
      <c r="Q299" s="30"/>
      <c r="R299" s="30"/>
      <c r="S299" s="30"/>
      <c r="T299" s="103" t="s">
        <v>2761</v>
      </c>
      <c r="U299" s="768"/>
      <c r="V299" s="768"/>
      <c r="W299" s="768"/>
      <c r="X299" s="768"/>
      <c r="Y299" s="768"/>
      <c r="Z299" s="768"/>
      <c r="AA299" s="768"/>
      <c r="AB299" s="768"/>
      <c r="AC299" s="768"/>
      <c r="AD299" s="768"/>
      <c r="AE299" s="768"/>
      <c r="AF299" s="768"/>
      <c r="AG299" s="768"/>
      <c r="AH299" s="768"/>
      <c r="AI299" s="768"/>
      <c r="AJ299" s="73">
        <v>42555</v>
      </c>
      <c r="AK299" s="648"/>
      <c r="AL299" s="174"/>
    </row>
    <row r="300" spans="1:38" ht="50.1" customHeight="1" x14ac:dyDescent="0.2">
      <c r="A300" s="298"/>
      <c r="B300" s="68" t="s">
        <v>584</v>
      </c>
      <c r="C300" s="68"/>
      <c r="D300" s="68"/>
      <c r="E300" s="188" t="s">
        <v>538</v>
      </c>
      <c r="F300" s="189" t="s">
        <v>1916</v>
      </c>
      <c r="G300" s="188" t="s">
        <v>939</v>
      </c>
      <c r="H300" s="41" t="s">
        <v>2480</v>
      </c>
      <c r="I300" s="41"/>
      <c r="J300" s="188" t="s">
        <v>51</v>
      </c>
      <c r="K300" s="69" t="s">
        <v>1393</v>
      </c>
      <c r="L300" s="188" t="s">
        <v>1369</v>
      </c>
      <c r="M300" s="188" t="s">
        <v>1528</v>
      </c>
      <c r="N300" s="73">
        <v>40315</v>
      </c>
      <c r="O300" s="32" t="s">
        <v>2189</v>
      </c>
      <c r="P300" s="32"/>
      <c r="Q300" s="32"/>
      <c r="R300" s="32"/>
      <c r="S300" s="32"/>
      <c r="T300" s="167"/>
      <c r="U300" s="167"/>
      <c r="V300" s="167"/>
      <c r="W300" s="167"/>
      <c r="X300" s="167"/>
      <c r="Y300" s="167"/>
      <c r="Z300" s="167"/>
      <c r="AA300" s="167"/>
      <c r="AB300" s="167"/>
      <c r="AC300" s="167"/>
      <c r="AD300" s="167"/>
      <c r="AE300" s="167"/>
      <c r="AF300" s="167"/>
      <c r="AG300" s="167"/>
      <c r="AH300" s="167"/>
      <c r="AI300" s="167"/>
      <c r="AJ300" s="73">
        <v>42562</v>
      </c>
      <c r="AK300" s="648"/>
      <c r="AL300" s="174"/>
    </row>
    <row r="301" spans="1:38" ht="50.1" customHeight="1" x14ac:dyDescent="0.2">
      <c r="A301" s="298"/>
      <c r="B301" s="41" t="s">
        <v>1137</v>
      </c>
      <c r="C301" s="41"/>
      <c r="D301" s="41"/>
      <c r="E301" s="30" t="s">
        <v>2538</v>
      </c>
      <c r="F301" s="196" t="s">
        <v>2528</v>
      </c>
      <c r="G301" s="41" t="s">
        <v>2527</v>
      </c>
      <c r="H301" s="41" t="s">
        <v>1806</v>
      </c>
      <c r="I301" s="41"/>
      <c r="J301" s="30" t="s">
        <v>55</v>
      </c>
      <c r="K301" s="41" t="s">
        <v>1393</v>
      </c>
      <c r="L301" s="41" t="s">
        <v>685</v>
      </c>
      <c r="M301" s="30" t="s">
        <v>2094</v>
      </c>
      <c r="N301" s="73">
        <v>42495</v>
      </c>
      <c r="O301" s="106" t="s">
        <v>2541</v>
      </c>
      <c r="P301" s="106"/>
      <c r="Q301" s="106"/>
      <c r="R301" s="106"/>
      <c r="S301" s="106"/>
      <c r="T301" s="167"/>
      <c r="U301" s="167"/>
      <c r="V301" s="167"/>
      <c r="W301" s="167"/>
      <c r="X301" s="167"/>
      <c r="Y301" s="167"/>
      <c r="Z301" s="167"/>
      <c r="AA301" s="167"/>
      <c r="AB301" s="167"/>
      <c r="AC301" s="167"/>
      <c r="AD301" s="167"/>
      <c r="AE301" s="167"/>
      <c r="AF301" s="167"/>
      <c r="AG301" s="167"/>
      <c r="AH301" s="167"/>
      <c r="AI301" s="167"/>
      <c r="AJ301" s="73">
        <v>42562</v>
      </c>
      <c r="AK301" s="648"/>
      <c r="AL301" s="174"/>
    </row>
    <row r="302" spans="1:38" ht="50.1" customHeight="1" x14ac:dyDescent="0.2">
      <c r="A302" s="298"/>
      <c r="B302" s="69" t="s">
        <v>1137</v>
      </c>
      <c r="C302" s="69"/>
      <c r="D302" s="69"/>
      <c r="E302" s="69" t="s">
        <v>428</v>
      </c>
      <c r="F302" s="198" t="s">
        <v>420</v>
      </c>
      <c r="G302" s="74" t="s">
        <v>420</v>
      </c>
      <c r="H302" s="29" t="s">
        <v>422</v>
      </c>
      <c r="I302" s="29"/>
      <c r="J302" s="74" t="s">
        <v>421</v>
      </c>
      <c r="K302" s="29" t="s">
        <v>1394</v>
      </c>
      <c r="L302" s="29" t="s">
        <v>12</v>
      </c>
      <c r="M302" s="30" t="s">
        <v>2442</v>
      </c>
      <c r="N302" s="73">
        <v>42088</v>
      </c>
      <c r="O302" s="30" t="s">
        <v>2604</v>
      </c>
      <c r="P302" s="30"/>
      <c r="Q302" s="30"/>
      <c r="R302" s="30"/>
      <c r="S302" s="30"/>
      <c r="T302" s="167"/>
      <c r="U302" s="167"/>
      <c r="V302" s="167"/>
      <c r="W302" s="167"/>
      <c r="X302" s="167"/>
      <c r="Y302" s="167"/>
      <c r="Z302" s="167"/>
      <c r="AA302" s="167"/>
      <c r="AB302" s="167"/>
      <c r="AC302" s="167"/>
      <c r="AD302" s="167"/>
      <c r="AE302" s="167"/>
      <c r="AF302" s="167"/>
      <c r="AG302" s="167"/>
      <c r="AH302" s="167"/>
      <c r="AI302" s="167"/>
      <c r="AJ302" s="73">
        <v>42562</v>
      </c>
      <c r="AK302" s="648"/>
      <c r="AL302" s="174"/>
    </row>
    <row r="303" spans="1:38" ht="50.1" customHeight="1" x14ac:dyDescent="0.2">
      <c r="A303" s="298"/>
      <c r="B303" s="41" t="s">
        <v>1137</v>
      </c>
      <c r="C303" s="41"/>
      <c r="D303" s="41"/>
      <c r="E303" s="30" t="s">
        <v>2301</v>
      </c>
      <c r="F303" s="196" t="s">
        <v>2865</v>
      </c>
      <c r="G303" s="41" t="s">
        <v>2744</v>
      </c>
      <c r="H303" s="41" t="s">
        <v>1806</v>
      </c>
      <c r="I303" s="41"/>
      <c r="J303" s="30" t="s">
        <v>2048</v>
      </c>
      <c r="K303" s="41" t="s">
        <v>1393</v>
      </c>
      <c r="L303" s="41" t="s">
        <v>685</v>
      </c>
      <c r="M303" s="30" t="s">
        <v>2094</v>
      </c>
      <c r="N303" s="105">
        <v>42345</v>
      </c>
      <c r="O303" s="106" t="s">
        <v>2302</v>
      </c>
      <c r="P303" s="106"/>
      <c r="Q303" s="106"/>
      <c r="R303" s="106"/>
      <c r="S303" s="106"/>
      <c r="T303" s="167"/>
      <c r="U303" s="167"/>
      <c r="V303" s="167"/>
      <c r="W303" s="167"/>
      <c r="X303" s="167"/>
      <c r="Y303" s="167"/>
      <c r="Z303" s="167"/>
      <c r="AA303" s="167"/>
      <c r="AB303" s="167"/>
      <c r="AC303" s="167"/>
      <c r="AD303" s="167"/>
      <c r="AE303" s="167"/>
      <c r="AF303" s="167"/>
      <c r="AG303" s="167"/>
      <c r="AH303" s="167"/>
      <c r="AI303" s="167"/>
      <c r="AJ303" s="73">
        <v>42576</v>
      </c>
      <c r="AK303" s="648"/>
      <c r="AL303" s="174"/>
    </row>
    <row r="304" spans="1:38" ht="50.1" customHeight="1" x14ac:dyDescent="0.2">
      <c r="A304" s="298"/>
      <c r="B304" s="41" t="s">
        <v>1137</v>
      </c>
      <c r="C304" s="41"/>
      <c r="D304" s="41"/>
      <c r="E304" s="30" t="s">
        <v>2467</v>
      </c>
      <c r="F304" s="196" t="s">
        <v>2468</v>
      </c>
      <c r="G304" s="30" t="s">
        <v>2469</v>
      </c>
      <c r="H304" s="41" t="s">
        <v>1806</v>
      </c>
      <c r="I304" s="41"/>
      <c r="J304" s="30" t="s">
        <v>1863</v>
      </c>
      <c r="K304" s="41" t="s">
        <v>1393</v>
      </c>
      <c r="L304" s="30" t="s">
        <v>1617</v>
      </c>
      <c r="M304" s="30" t="s">
        <v>2094</v>
      </c>
      <c r="N304" s="105">
        <v>42415</v>
      </c>
      <c r="O304" s="106" t="s">
        <v>2532</v>
      </c>
      <c r="P304" s="106"/>
      <c r="Q304" s="106"/>
      <c r="R304" s="106"/>
      <c r="S304" s="106"/>
      <c r="T304" s="167"/>
      <c r="U304" s="167"/>
      <c r="V304" s="167"/>
      <c r="W304" s="167"/>
      <c r="X304" s="167"/>
      <c r="Y304" s="167"/>
      <c r="Z304" s="167"/>
      <c r="AA304" s="167"/>
      <c r="AB304" s="167"/>
      <c r="AC304" s="167"/>
      <c r="AD304" s="167"/>
      <c r="AE304" s="167"/>
      <c r="AF304" s="167"/>
      <c r="AG304" s="167"/>
      <c r="AH304" s="167"/>
      <c r="AI304" s="167"/>
      <c r="AJ304" s="73">
        <v>42576</v>
      </c>
      <c r="AK304" s="648"/>
      <c r="AL304" s="174"/>
    </row>
    <row r="305" spans="1:38" ht="50.1" customHeight="1" x14ac:dyDescent="0.2">
      <c r="A305" s="298"/>
      <c r="B305" s="41" t="s">
        <v>1137</v>
      </c>
      <c r="C305" s="41"/>
      <c r="D305" s="41"/>
      <c r="E305" s="30" t="s">
        <v>2359</v>
      </c>
      <c r="F305" s="196" t="s">
        <v>2341</v>
      </c>
      <c r="G305" s="41" t="s">
        <v>2342</v>
      </c>
      <c r="H305" s="41" t="s">
        <v>1806</v>
      </c>
      <c r="I305" s="41"/>
      <c r="J305" s="30" t="s">
        <v>735</v>
      </c>
      <c r="K305" s="41" t="s">
        <v>1394</v>
      </c>
      <c r="L305" s="41" t="s">
        <v>1095</v>
      </c>
      <c r="M305" s="29" t="s">
        <v>1615</v>
      </c>
      <c r="N305" s="105">
        <v>42396</v>
      </c>
      <c r="O305" s="30">
        <v>1276965167</v>
      </c>
      <c r="P305" s="30"/>
      <c r="Q305" s="30"/>
      <c r="R305" s="30"/>
      <c r="S305" s="30"/>
      <c r="T305" s="167"/>
      <c r="U305" s="167"/>
      <c r="V305" s="167"/>
      <c r="W305" s="167"/>
      <c r="X305" s="167"/>
      <c r="Y305" s="167"/>
      <c r="Z305" s="167"/>
      <c r="AA305" s="167"/>
      <c r="AB305" s="167"/>
      <c r="AC305" s="167"/>
      <c r="AD305" s="167"/>
      <c r="AE305" s="167"/>
      <c r="AF305" s="167"/>
      <c r="AG305" s="167"/>
      <c r="AH305" s="167"/>
      <c r="AI305" s="167"/>
      <c r="AJ305" s="73">
        <v>42583</v>
      </c>
      <c r="AK305" s="648"/>
      <c r="AL305" s="174"/>
    </row>
    <row r="306" spans="1:38" ht="50.1" customHeight="1" x14ac:dyDescent="0.2">
      <c r="A306" s="298"/>
      <c r="B306" s="41" t="s">
        <v>1137</v>
      </c>
      <c r="C306" s="41"/>
      <c r="D306" s="41"/>
      <c r="E306" s="30" t="s">
        <v>1712</v>
      </c>
      <c r="F306" s="196" t="s">
        <v>2650</v>
      </c>
      <c r="G306" s="30" t="s">
        <v>1465</v>
      </c>
      <c r="H306" s="30" t="s">
        <v>1806</v>
      </c>
      <c r="I306" s="30"/>
      <c r="J306" s="30" t="s">
        <v>1658</v>
      </c>
      <c r="K306" s="107" t="s">
        <v>1540</v>
      </c>
      <c r="L306" s="41" t="s">
        <v>1095</v>
      </c>
      <c r="M306" s="29" t="s">
        <v>1615</v>
      </c>
      <c r="N306" s="105">
        <v>42065</v>
      </c>
      <c r="O306" s="30">
        <v>231656151</v>
      </c>
      <c r="P306" s="30"/>
      <c r="Q306" s="30"/>
      <c r="R306" s="30"/>
      <c r="S306" s="30"/>
      <c r="T306" s="167"/>
      <c r="U306" s="167"/>
      <c r="V306" s="167"/>
      <c r="W306" s="167"/>
      <c r="X306" s="167"/>
      <c r="Y306" s="167"/>
      <c r="Z306" s="167"/>
      <c r="AA306" s="167"/>
      <c r="AB306" s="167"/>
      <c r="AC306" s="167"/>
      <c r="AD306" s="167"/>
      <c r="AE306" s="167"/>
      <c r="AF306" s="167"/>
      <c r="AG306" s="167"/>
      <c r="AH306" s="167"/>
      <c r="AI306" s="167"/>
      <c r="AJ306" s="73">
        <v>42597</v>
      </c>
      <c r="AK306" s="648"/>
      <c r="AL306" s="174"/>
    </row>
    <row r="307" spans="1:38" ht="50.1" customHeight="1" x14ac:dyDescent="0.2">
      <c r="A307" s="298"/>
      <c r="B307" s="68" t="s">
        <v>1137</v>
      </c>
      <c r="C307" s="68"/>
      <c r="D307" s="68"/>
      <c r="E307" s="106" t="s">
        <v>2550</v>
      </c>
      <c r="F307" s="196" t="s">
        <v>2547</v>
      </c>
      <c r="G307" s="41" t="s">
        <v>1022</v>
      </c>
      <c r="H307" s="41" t="s">
        <v>1806</v>
      </c>
      <c r="I307" s="41"/>
      <c r="J307" s="30" t="s">
        <v>2548</v>
      </c>
      <c r="K307" s="29" t="s">
        <v>1393</v>
      </c>
      <c r="L307" s="41" t="s">
        <v>1454</v>
      </c>
      <c r="M307" s="30" t="s">
        <v>2094</v>
      </c>
      <c r="N307" s="105">
        <v>42523</v>
      </c>
      <c r="O307" s="106" t="s">
        <v>2551</v>
      </c>
      <c r="P307" s="106"/>
      <c r="Q307" s="106"/>
      <c r="R307" s="106"/>
      <c r="S307" s="106"/>
      <c r="T307" s="167"/>
      <c r="U307" s="167"/>
      <c r="V307" s="167"/>
      <c r="W307" s="167"/>
      <c r="X307" s="167"/>
      <c r="Y307" s="167"/>
      <c r="Z307" s="167"/>
      <c r="AA307" s="167"/>
      <c r="AB307" s="167"/>
      <c r="AC307" s="167"/>
      <c r="AD307" s="167"/>
      <c r="AE307" s="167"/>
      <c r="AF307" s="167"/>
      <c r="AG307" s="167"/>
      <c r="AH307" s="167"/>
      <c r="AI307" s="167"/>
      <c r="AJ307" s="73">
        <v>42611</v>
      </c>
      <c r="AK307" s="648"/>
      <c r="AL307" s="174"/>
    </row>
    <row r="308" spans="1:38" ht="50.1" customHeight="1" x14ac:dyDescent="0.2">
      <c r="A308" s="298"/>
      <c r="B308" s="68" t="s">
        <v>584</v>
      </c>
      <c r="C308" s="68"/>
      <c r="D308" s="68"/>
      <c r="E308" s="30" t="s">
        <v>2579</v>
      </c>
      <c r="F308" s="196" t="s">
        <v>2659</v>
      </c>
      <c r="G308" s="30" t="s">
        <v>1064</v>
      </c>
      <c r="H308" s="41" t="s">
        <v>1806</v>
      </c>
      <c r="I308" s="41"/>
      <c r="J308" s="30" t="s">
        <v>2563</v>
      </c>
      <c r="K308" s="41" t="s">
        <v>1393</v>
      </c>
      <c r="L308" s="41" t="s">
        <v>685</v>
      </c>
      <c r="M308" s="29" t="s">
        <v>2567</v>
      </c>
      <c r="N308" s="105">
        <v>42537</v>
      </c>
      <c r="O308" s="106" t="s">
        <v>2580</v>
      </c>
      <c r="P308" s="106"/>
      <c r="Q308" s="106"/>
      <c r="R308" s="106"/>
      <c r="S308" s="106"/>
      <c r="T308" s="167"/>
      <c r="U308" s="167"/>
      <c r="V308" s="167"/>
      <c r="W308" s="167"/>
      <c r="X308" s="167"/>
      <c r="Y308" s="167"/>
      <c r="Z308" s="167"/>
      <c r="AA308" s="167"/>
      <c r="AB308" s="167"/>
      <c r="AC308" s="167"/>
      <c r="AD308" s="167"/>
      <c r="AE308" s="167"/>
      <c r="AF308" s="167"/>
      <c r="AG308" s="167"/>
      <c r="AH308" s="167"/>
      <c r="AI308" s="167"/>
      <c r="AJ308" s="73">
        <v>42611</v>
      </c>
      <c r="AK308" s="648"/>
      <c r="AL308" s="174"/>
    </row>
    <row r="309" spans="1:38" ht="50.1" customHeight="1" x14ac:dyDescent="0.2">
      <c r="A309" s="298"/>
      <c r="B309" s="68" t="s">
        <v>584</v>
      </c>
      <c r="C309" s="68"/>
      <c r="D309" s="68"/>
      <c r="E309" s="30" t="s">
        <v>2581</v>
      </c>
      <c r="F309" s="196" t="s">
        <v>2665</v>
      </c>
      <c r="G309" s="30" t="s">
        <v>2564</v>
      </c>
      <c r="H309" s="41" t="s">
        <v>1806</v>
      </c>
      <c r="I309" s="41"/>
      <c r="J309" s="30" t="s">
        <v>2565</v>
      </c>
      <c r="K309" s="29" t="s">
        <v>1392</v>
      </c>
      <c r="L309" s="41" t="s">
        <v>1454</v>
      </c>
      <c r="M309" s="29" t="s">
        <v>2567</v>
      </c>
      <c r="N309" s="105">
        <v>42537</v>
      </c>
      <c r="O309" s="106" t="s">
        <v>2582</v>
      </c>
      <c r="P309" s="106"/>
      <c r="Q309" s="106"/>
      <c r="R309" s="106"/>
      <c r="S309" s="106"/>
      <c r="T309" s="167"/>
      <c r="U309" s="167"/>
      <c r="V309" s="167"/>
      <c r="W309" s="167"/>
      <c r="X309" s="167"/>
      <c r="Y309" s="167"/>
      <c r="Z309" s="167"/>
      <c r="AA309" s="167"/>
      <c r="AB309" s="167"/>
      <c r="AC309" s="167"/>
      <c r="AD309" s="167"/>
      <c r="AE309" s="167"/>
      <c r="AF309" s="167"/>
      <c r="AG309" s="167"/>
      <c r="AH309" s="167"/>
      <c r="AI309" s="167"/>
      <c r="AJ309" s="73">
        <v>42618</v>
      </c>
      <c r="AK309" s="648"/>
      <c r="AL309" s="174"/>
    </row>
    <row r="310" spans="1:38" ht="50.1" customHeight="1" x14ac:dyDescent="0.2">
      <c r="A310" s="298"/>
      <c r="B310" s="41" t="s">
        <v>1137</v>
      </c>
      <c r="C310" s="41"/>
      <c r="D310" s="41"/>
      <c r="E310" s="30" t="s">
        <v>2506</v>
      </c>
      <c r="F310" s="196" t="s">
        <v>2484</v>
      </c>
      <c r="G310" s="41" t="s">
        <v>2485</v>
      </c>
      <c r="H310" s="41" t="s">
        <v>1806</v>
      </c>
      <c r="I310" s="41"/>
      <c r="J310" s="30" t="s">
        <v>2486</v>
      </c>
      <c r="K310" s="41" t="s">
        <v>1394</v>
      </c>
      <c r="L310" s="41" t="s">
        <v>685</v>
      </c>
      <c r="M310" s="29" t="s">
        <v>2567</v>
      </c>
      <c r="N310" s="105">
        <v>42465</v>
      </c>
      <c r="O310" s="30">
        <v>1575600169</v>
      </c>
      <c r="P310" s="30"/>
      <c r="Q310" s="30"/>
      <c r="R310" s="30"/>
      <c r="S310" s="30"/>
      <c r="T310" s="210"/>
      <c r="U310" s="350"/>
      <c r="V310" s="350"/>
      <c r="W310" s="350"/>
      <c r="X310" s="350"/>
      <c r="Y310" s="350"/>
      <c r="Z310" s="350"/>
      <c r="AA310" s="350"/>
      <c r="AB310" s="350"/>
      <c r="AC310" s="350"/>
      <c r="AD310" s="350"/>
      <c r="AE310" s="350"/>
      <c r="AF310" s="350"/>
      <c r="AG310" s="350"/>
      <c r="AH310" s="350"/>
      <c r="AI310" s="350"/>
      <c r="AJ310" s="73">
        <v>42625</v>
      </c>
      <c r="AK310" s="648"/>
      <c r="AL310" s="174"/>
    </row>
    <row r="311" spans="1:38" ht="50.1" customHeight="1" x14ac:dyDescent="0.2">
      <c r="A311" s="298"/>
      <c r="B311" s="68" t="s">
        <v>1137</v>
      </c>
      <c r="C311" s="68"/>
      <c r="D311" s="68"/>
      <c r="E311" s="30" t="s">
        <v>2591</v>
      </c>
      <c r="F311" s="196" t="s">
        <v>2627</v>
      </c>
      <c r="G311" s="30" t="s">
        <v>208</v>
      </c>
      <c r="H311" s="41" t="s">
        <v>1806</v>
      </c>
      <c r="I311" s="41"/>
      <c r="J311" s="30" t="s">
        <v>536</v>
      </c>
      <c r="K311" s="29" t="s">
        <v>1394</v>
      </c>
      <c r="L311" s="41" t="s">
        <v>1286</v>
      </c>
      <c r="M311" s="30" t="s">
        <v>2094</v>
      </c>
      <c r="N311" s="105">
        <v>42541</v>
      </c>
      <c r="O311" s="106" t="s">
        <v>2601</v>
      </c>
      <c r="P311" s="106"/>
      <c r="Q311" s="106"/>
      <c r="R311" s="106"/>
      <c r="S311" s="106"/>
      <c r="T311" s="28" t="s">
        <v>2886</v>
      </c>
      <c r="U311" s="30"/>
      <c r="V311" s="30"/>
      <c r="W311" s="30"/>
      <c r="X311" s="30"/>
      <c r="Y311" s="30"/>
      <c r="Z311" s="30"/>
      <c r="AA311" s="30"/>
      <c r="AB311" s="30"/>
      <c r="AC311" s="30"/>
      <c r="AD311" s="30"/>
      <c r="AE311" s="30"/>
      <c r="AF311" s="30"/>
      <c r="AG311" s="30"/>
      <c r="AH311" s="30"/>
      <c r="AI311" s="30"/>
      <c r="AJ311" s="73">
        <v>42632</v>
      </c>
      <c r="AK311" s="648"/>
      <c r="AL311" s="82"/>
    </row>
    <row r="312" spans="1:38" ht="50.1" customHeight="1" x14ac:dyDescent="0.2">
      <c r="A312" s="298"/>
      <c r="B312" s="41" t="s">
        <v>1137</v>
      </c>
      <c r="C312" s="41"/>
      <c r="D312" s="41"/>
      <c r="E312" s="30" t="s">
        <v>2614</v>
      </c>
      <c r="F312" s="196" t="s">
        <v>2617</v>
      </c>
      <c r="G312" s="30" t="s">
        <v>210</v>
      </c>
      <c r="H312" s="41" t="s">
        <v>1806</v>
      </c>
      <c r="I312" s="41"/>
      <c r="J312" s="30" t="s">
        <v>2616</v>
      </c>
      <c r="K312" s="29" t="s">
        <v>1393</v>
      </c>
      <c r="L312" s="41" t="s">
        <v>1454</v>
      </c>
      <c r="M312" s="30" t="s">
        <v>2094</v>
      </c>
      <c r="N312" s="105">
        <v>42555</v>
      </c>
      <c r="O312" s="106" t="s">
        <v>2625</v>
      </c>
      <c r="P312" s="106"/>
      <c r="Q312" s="106"/>
      <c r="R312" s="106"/>
      <c r="S312" s="106"/>
      <c r="T312" s="212"/>
      <c r="U312" s="167"/>
      <c r="V312" s="167"/>
      <c r="W312" s="167"/>
      <c r="X312" s="167"/>
      <c r="Y312" s="167"/>
      <c r="Z312" s="167"/>
      <c r="AA312" s="167"/>
      <c r="AB312" s="167"/>
      <c r="AC312" s="167"/>
      <c r="AD312" s="167"/>
      <c r="AE312" s="167"/>
      <c r="AF312" s="167"/>
      <c r="AG312" s="167"/>
      <c r="AH312" s="167"/>
      <c r="AI312" s="167"/>
      <c r="AJ312" s="73">
        <v>42632</v>
      </c>
      <c r="AK312" s="648"/>
      <c r="AL312" s="211"/>
    </row>
    <row r="313" spans="1:38" ht="50.1" customHeight="1" x14ac:dyDescent="0.2">
      <c r="A313" s="298"/>
      <c r="B313" s="41" t="s">
        <v>584</v>
      </c>
      <c r="C313" s="41"/>
      <c r="D313" s="41"/>
      <c r="E313" s="30" t="s">
        <v>2613</v>
      </c>
      <c r="F313" s="196" t="s">
        <v>2618</v>
      </c>
      <c r="G313" s="30" t="s">
        <v>503</v>
      </c>
      <c r="H313" s="41" t="s">
        <v>1806</v>
      </c>
      <c r="I313" s="41"/>
      <c r="J313" s="30" t="s">
        <v>2615</v>
      </c>
      <c r="K313" s="29" t="s">
        <v>1393</v>
      </c>
      <c r="L313" s="41" t="s">
        <v>18</v>
      </c>
      <c r="M313" s="30" t="s">
        <v>2094</v>
      </c>
      <c r="N313" s="105">
        <v>42557</v>
      </c>
      <c r="O313" s="106" t="s">
        <v>2626</v>
      </c>
      <c r="P313" s="106"/>
      <c r="Q313" s="106"/>
      <c r="R313" s="106"/>
      <c r="S313" s="106"/>
      <c r="T313" s="210"/>
      <c r="U313" s="350"/>
      <c r="V313" s="350"/>
      <c r="W313" s="350"/>
      <c r="X313" s="350"/>
      <c r="Y313" s="350"/>
      <c r="Z313" s="350"/>
      <c r="AA313" s="350"/>
      <c r="AB313" s="350"/>
      <c r="AC313" s="350"/>
      <c r="AD313" s="350"/>
      <c r="AE313" s="350"/>
      <c r="AF313" s="350"/>
      <c r="AG313" s="350"/>
      <c r="AH313" s="350"/>
      <c r="AI313" s="350"/>
      <c r="AJ313" s="73">
        <v>42632</v>
      </c>
      <c r="AK313" s="648"/>
      <c r="AL313" s="211"/>
    </row>
    <row r="314" spans="1:38" ht="50.1" customHeight="1" x14ac:dyDescent="0.2">
      <c r="A314" s="298"/>
      <c r="B314" s="68" t="s">
        <v>1137</v>
      </c>
      <c r="C314" s="68"/>
      <c r="D314" s="68"/>
      <c r="E314" s="69" t="s">
        <v>310</v>
      </c>
      <c r="F314" s="104" t="s">
        <v>297</v>
      </c>
      <c r="G314" s="29" t="s">
        <v>297</v>
      </c>
      <c r="H314" s="29" t="s">
        <v>298</v>
      </c>
      <c r="I314" s="29"/>
      <c r="J314" s="29" t="s">
        <v>2330</v>
      </c>
      <c r="K314" s="29" t="s">
        <v>1394</v>
      </c>
      <c r="L314" s="29" t="s">
        <v>18</v>
      </c>
      <c r="M314" s="29" t="s">
        <v>1528</v>
      </c>
      <c r="N314" s="204">
        <v>40854</v>
      </c>
      <c r="O314" s="69" t="s">
        <v>308</v>
      </c>
      <c r="P314" s="69"/>
      <c r="Q314" s="69"/>
      <c r="R314" s="69"/>
      <c r="S314" s="69"/>
      <c r="T314" s="212"/>
      <c r="U314" s="167"/>
      <c r="V314" s="167"/>
      <c r="W314" s="167"/>
      <c r="X314" s="167"/>
      <c r="Y314" s="167"/>
      <c r="Z314" s="167"/>
      <c r="AA314" s="167"/>
      <c r="AB314" s="167"/>
      <c r="AC314" s="167"/>
      <c r="AD314" s="167"/>
      <c r="AE314" s="167"/>
      <c r="AF314" s="167"/>
      <c r="AG314" s="167"/>
      <c r="AH314" s="167"/>
      <c r="AI314" s="167"/>
      <c r="AJ314" s="73">
        <v>42646</v>
      </c>
      <c r="AK314" s="648"/>
      <c r="AL314" s="82"/>
    </row>
    <row r="315" spans="1:38" ht="50.1" customHeight="1" x14ac:dyDescent="0.2">
      <c r="A315" s="298"/>
      <c r="B315" s="29" t="s">
        <v>584</v>
      </c>
      <c r="C315" s="29"/>
      <c r="D315" s="29"/>
      <c r="E315" s="30" t="s">
        <v>2639</v>
      </c>
      <c r="F315" s="196" t="s">
        <v>2638</v>
      </c>
      <c r="G315" s="30" t="s">
        <v>1812</v>
      </c>
      <c r="H315" s="41" t="s">
        <v>112</v>
      </c>
      <c r="I315" s="41"/>
      <c r="J315" s="30" t="s">
        <v>2648</v>
      </c>
      <c r="K315" s="107" t="s">
        <v>1393</v>
      </c>
      <c r="L315" s="41" t="s">
        <v>685</v>
      </c>
      <c r="M315" s="30" t="s">
        <v>2635</v>
      </c>
      <c r="N315" s="105">
        <v>42584</v>
      </c>
      <c r="O315" s="43">
        <v>2145527169</v>
      </c>
      <c r="P315" s="43"/>
      <c r="Q315" s="43"/>
      <c r="R315" s="43"/>
      <c r="S315" s="43"/>
      <c r="AJ315" s="73">
        <v>42646</v>
      </c>
      <c r="AK315" s="648"/>
      <c r="AL315" s="174"/>
    </row>
    <row r="316" spans="1:38" ht="50.1" customHeight="1" x14ac:dyDescent="0.2">
      <c r="A316" s="298"/>
      <c r="B316" s="68" t="s">
        <v>584</v>
      </c>
      <c r="C316" s="68"/>
      <c r="D316" s="68"/>
      <c r="E316" s="30" t="s">
        <v>2609</v>
      </c>
      <c r="F316" s="196" t="s">
        <v>2693</v>
      </c>
      <c r="G316" s="41" t="s">
        <v>2584</v>
      </c>
      <c r="H316" s="41" t="s">
        <v>1806</v>
      </c>
      <c r="I316" s="41"/>
      <c r="J316" s="30" t="s">
        <v>2585</v>
      </c>
      <c r="K316" s="41" t="s">
        <v>1392</v>
      </c>
      <c r="L316" s="30" t="s">
        <v>2583</v>
      </c>
      <c r="M316" s="29" t="s">
        <v>2567</v>
      </c>
      <c r="N316" s="105">
        <v>42551</v>
      </c>
      <c r="O316" s="106" t="s">
        <v>2610</v>
      </c>
      <c r="P316" s="106"/>
      <c r="Q316" s="106"/>
      <c r="R316" s="106"/>
      <c r="S316" s="106"/>
      <c r="T316" s="212"/>
      <c r="U316" s="167"/>
      <c r="V316" s="167"/>
      <c r="W316" s="167"/>
      <c r="X316" s="167"/>
      <c r="Y316" s="167"/>
      <c r="Z316" s="167"/>
      <c r="AA316" s="167"/>
      <c r="AB316" s="167"/>
      <c r="AC316" s="167"/>
      <c r="AD316" s="167"/>
      <c r="AE316" s="167"/>
      <c r="AF316" s="167"/>
      <c r="AG316" s="167"/>
      <c r="AH316" s="167"/>
      <c r="AI316" s="167"/>
      <c r="AJ316" s="73">
        <v>42653</v>
      </c>
      <c r="AK316" s="648"/>
      <c r="AL316" s="82"/>
    </row>
    <row r="317" spans="1:38" ht="50.1" customHeight="1" x14ac:dyDescent="0.2">
      <c r="A317" s="298"/>
      <c r="B317" s="68" t="s">
        <v>584</v>
      </c>
      <c r="C317" s="68"/>
      <c r="D317" s="68"/>
      <c r="E317" s="30" t="s">
        <v>2607</v>
      </c>
      <c r="F317" s="196" t="s">
        <v>2694</v>
      </c>
      <c r="G317" s="30" t="s">
        <v>1181</v>
      </c>
      <c r="H317" s="41" t="s">
        <v>1806</v>
      </c>
      <c r="I317" s="41"/>
      <c r="J317" s="30" t="s">
        <v>2574</v>
      </c>
      <c r="K317" s="29" t="s">
        <v>1393</v>
      </c>
      <c r="L317" s="41" t="s">
        <v>1454</v>
      </c>
      <c r="M317" s="29" t="s">
        <v>2567</v>
      </c>
      <c r="N317" s="105">
        <v>42551</v>
      </c>
      <c r="O317" s="106" t="s">
        <v>2608</v>
      </c>
      <c r="P317" s="106"/>
      <c r="Q317" s="106"/>
      <c r="R317" s="106"/>
      <c r="S317" s="106"/>
      <c r="T317" s="212"/>
      <c r="U317" s="167"/>
      <c r="V317" s="167"/>
      <c r="W317" s="167"/>
      <c r="X317" s="167"/>
      <c r="Y317" s="167"/>
      <c r="Z317" s="167"/>
      <c r="AA317" s="167"/>
      <c r="AB317" s="167"/>
      <c r="AC317" s="167"/>
      <c r="AD317" s="167"/>
      <c r="AE317" s="167"/>
      <c r="AF317" s="167"/>
      <c r="AG317" s="167"/>
      <c r="AH317" s="167"/>
      <c r="AI317" s="167"/>
      <c r="AJ317" s="73">
        <v>42653</v>
      </c>
      <c r="AK317" s="648"/>
      <c r="AL317" s="82"/>
    </row>
    <row r="318" spans="1:38" ht="50.1" customHeight="1" x14ac:dyDescent="0.2">
      <c r="A318" s="298"/>
      <c r="B318" s="41" t="s">
        <v>1137</v>
      </c>
      <c r="C318" s="41"/>
      <c r="D318" s="41"/>
      <c r="E318" s="30" t="s">
        <v>2629</v>
      </c>
      <c r="F318" s="196" t="s">
        <v>2628</v>
      </c>
      <c r="G318" s="30" t="s">
        <v>2597</v>
      </c>
      <c r="H318" s="41" t="s">
        <v>1806</v>
      </c>
      <c r="I318" s="41"/>
      <c r="J318" s="30" t="s">
        <v>2598</v>
      </c>
      <c r="K318" s="29" t="s">
        <v>1394</v>
      </c>
      <c r="L318" s="30" t="s">
        <v>2599</v>
      </c>
      <c r="M318" s="30" t="s">
        <v>2094</v>
      </c>
      <c r="N318" s="105">
        <v>42542</v>
      </c>
      <c r="O318" s="106" t="s">
        <v>2602</v>
      </c>
      <c r="P318" s="106"/>
      <c r="Q318" s="106"/>
      <c r="R318" s="106"/>
      <c r="S318" s="106"/>
      <c r="T318" s="212"/>
      <c r="U318" s="167"/>
      <c r="V318" s="167"/>
      <c r="W318" s="167"/>
      <c r="X318" s="167"/>
      <c r="Y318" s="167"/>
      <c r="Z318" s="167"/>
      <c r="AA318" s="167"/>
      <c r="AB318" s="167"/>
      <c r="AC318" s="167"/>
      <c r="AD318" s="167"/>
      <c r="AE318" s="167"/>
      <c r="AF318" s="167"/>
      <c r="AG318" s="167"/>
      <c r="AH318" s="167"/>
      <c r="AI318" s="167"/>
      <c r="AJ318" s="73">
        <v>42667</v>
      </c>
      <c r="AK318" s="648"/>
      <c r="AL318" s="82"/>
    </row>
    <row r="319" spans="1:38" ht="50.1" customHeight="1" x14ac:dyDescent="0.2">
      <c r="A319" s="298"/>
      <c r="B319" s="29" t="s">
        <v>584</v>
      </c>
      <c r="C319" s="29"/>
      <c r="D319" s="29"/>
      <c r="E319" s="30" t="s">
        <v>2653</v>
      </c>
      <c r="F319" s="196" t="s">
        <v>2656</v>
      </c>
      <c r="G319" s="30" t="s">
        <v>503</v>
      </c>
      <c r="H319" s="29" t="s">
        <v>1806</v>
      </c>
      <c r="I319" s="29"/>
      <c r="J319" s="30" t="s">
        <v>2615</v>
      </c>
      <c r="K319" s="41" t="s">
        <v>1394</v>
      </c>
      <c r="L319" s="41" t="s">
        <v>18</v>
      </c>
      <c r="M319" s="30" t="s">
        <v>2094</v>
      </c>
      <c r="N319" s="105">
        <v>42586</v>
      </c>
      <c r="O319" s="106" t="s">
        <v>2654</v>
      </c>
      <c r="P319" s="106"/>
      <c r="Q319" s="106"/>
      <c r="R319" s="106"/>
      <c r="S319" s="106"/>
      <c r="AJ319" s="73">
        <v>42667</v>
      </c>
      <c r="AK319" s="648"/>
      <c r="AL319" s="174"/>
    </row>
    <row r="320" spans="1:38" ht="50.1" customHeight="1" x14ac:dyDescent="0.2">
      <c r="A320" s="298"/>
      <c r="B320" s="38" t="s">
        <v>1137</v>
      </c>
      <c r="C320" s="38"/>
      <c r="D320" s="38"/>
      <c r="E320" s="757" t="s">
        <v>1637</v>
      </c>
      <c r="F320" s="203" t="s">
        <v>2921</v>
      </c>
      <c r="G320" s="29" t="s">
        <v>1638</v>
      </c>
      <c r="H320" s="30" t="s">
        <v>1806</v>
      </c>
      <c r="I320" s="30"/>
      <c r="J320" s="69" t="s">
        <v>1639</v>
      </c>
      <c r="K320" s="69" t="s">
        <v>1393</v>
      </c>
      <c r="L320" s="29" t="s">
        <v>12</v>
      </c>
      <c r="M320" s="29" t="s">
        <v>1615</v>
      </c>
      <c r="N320" s="214">
        <v>41895</v>
      </c>
      <c r="O320" s="69" t="s">
        <v>1640</v>
      </c>
      <c r="P320" s="69"/>
      <c r="Q320" s="69"/>
      <c r="R320" s="69"/>
      <c r="S320" s="69"/>
      <c r="T320" s="212"/>
      <c r="U320" s="167"/>
      <c r="V320" s="167"/>
      <c r="W320" s="167"/>
      <c r="X320" s="167"/>
      <c r="Y320" s="167"/>
      <c r="Z320" s="167"/>
      <c r="AA320" s="167"/>
      <c r="AB320" s="167"/>
      <c r="AC320" s="167"/>
      <c r="AD320" s="167"/>
      <c r="AE320" s="167"/>
      <c r="AF320" s="167"/>
      <c r="AG320" s="167"/>
      <c r="AH320" s="167"/>
      <c r="AI320" s="167"/>
      <c r="AJ320" s="73">
        <v>42674</v>
      </c>
      <c r="AK320" s="648"/>
      <c r="AL320" s="82"/>
    </row>
    <row r="321" spans="1:38" ht="50.1" customHeight="1" x14ac:dyDescent="0.2">
      <c r="A321" s="298"/>
      <c r="B321" s="29" t="s">
        <v>584</v>
      </c>
      <c r="C321" s="29"/>
      <c r="D321" s="29"/>
      <c r="E321" s="30" t="s">
        <v>2637</v>
      </c>
      <c r="F321" s="196" t="s">
        <v>2636</v>
      </c>
      <c r="G321" s="30" t="s">
        <v>2646</v>
      </c>
      <c r="H321" s="41" t="s">
        <v>112</v>
      </c>
      <c r="I321" s="41"/>
      <c r="J321" s="30" t="s">
        <v>2647</v>
      </c>
      <c r="K321" s="107" t="s">
        <v>1393</v>
      </c>
      <c r="L321" s="41" t="s">
        <v>12</v>
      </c>
      <c r="M321" s="30" t="s">
        <v>2635</v>
      </c>
      <c r="N321" s="105">
        <v>42584</v>
      </c>
      <c r="O321" s="43">
        <v>2145514167</v>
      </c>
      <c r="P321" s="43"/>
      <c r="Q321" s="43"/>
      <c r="R321" s="43"/>
      <c r="S321" s="43"/>
      <c r="T321" s="28" t="s">
        <v>2757</v>
      </c>
      <c r="U321" s="30"/>
      <c r="V321" s="30"/>
      <c r="W321" s="30"/>
      <c r="X321" s="30"/>
      <c r="Y321" s="30"/>
      <c r="Z321" s="30"/>
      <c r="AA321" s="30"/>
      <c r="AB321" s="30"/>
      <c r="AC321" s="30"/>
      <c r="AD321" s="30"/>
      <c r="AE321" s="30"/>
      <c r="AF321" s="30"/>
      <c r="AG321" s="30"/>
      <c r="AH321" s="30"/>
      <c r="AI321" s="30"/>
      <c r="AJ321" s="73">
        <v>42730</v>
      </c>
      <c r="AK321" s="648"/>
      <c r="AL321" s="82"/>
    </row>
    <row r="322" spans="1:38" ht="50.1" customHeight="1" x14ac:dyDescent="0.2">
      <c r="A322" s="298"/>
      <c r="B322" s="41" t="s">
        <v>584</v>
      </c>
      <c r="C322" s="41"/>
      <c r="D322" s="41"/>
      <c r="E322" s="30" t="s">
        <v>2779</v>
      </c>
      <c r="F322" s="196" t="s">
        <v>2762</v>
      </c>
      <c r="G322" s="30" t="s">
        <v>2762</v>
      </c>
      <c r="H322" s="41" t="s">
        <v>112</v>
      </c>
      <c r="I322" s="41"/>
      <c r="J322" s="41" t="s">
        <v>112</v>
      </c>
      <c r="K322" s="30" t="s">
        <v>2603</v>
      </c>
      <c r="L322" s="30" t="s">
        <v>2763</v>
      </c>
      <c r="M322" s="30" t="s">
        <v>2830</v>
      </c>
      <c r="N322" s="105">
        <v>42692</v>
      </c>
      <c r="O322" s="106" t="s">
        <v>2780</v>
      </c>
      <c r="P322" s="106"/>
      <c r="Q322" s="106"/>
      <c r="R322" s="106"/>
      <c r="S322" s="106"/>
      <c r="T322" s="210"/>
      <c r="U322" s="350"/>
      <c r="V322" s="350"/>
      <c r="W322" s="350"/>
      <c r="X322" s="350"/>
      <c r="Y322" s="350"/>
      <c r="Z322" s="350"/>
      <c r="AA322" s="350"/>
      <c r="AB322" s="350"/>
      <c r="AC322" s="350"/>
      <c r="AD322" s="350"/>
      <c r="AE322" s="350"/>
      <c r="AF322" s="350"/>
      <c r="AG322" s="350"/>
      <c r="AH322" s="350"/>
      <c r="AI322" s="350"/>
      <c r="AJ322" s="73">
        <v>42730</v>
      </c>
      <c r="AK322" s="648"/>
      <c r="AL322" s="716"/>
    </row>
    <row r="323" spans="1:38" ht="50.1" customHeight="1" x14ac:dyDescent="0.2">
      <c r="A323" s="298"/>
      <c r="B323" s="41" t="s">
        <v>584</v>
      </c>
      <c r="C323" s="41"/>
      <c r="D323" s="41"/>
      <c r="E323" s="30" t="s">
        <v>2718</v>
      </c>
      <c r="F323" s="196" t="s">
        <v>2720</v>
      </c>
      <c r="G323" s="41" t="s">
        <v>2719</v>
      </c>
      <c r="H323" s="30" t="s">
        <v>1806</v>
      </c>
      <c r="I323" s="30"/>
      <c r="J323" s="30" t="s">
        <v>2368</v>
      </c>
      <c r="K323" s="107" t="s">
        <v>1540</v>
      </c>
      <c r="L323" s="41" t="s">
        <v>18</v>
      </c>
      <c r="M323" s="30" t="s">
        <v>2094</v>
      </c>
      <c r="N323" s="105">
        <v>42670</v>
      </c>
      <c r="O323" s="106" t="s">
        <v>2717</v>
      </c>
      <c r="P323" s="106"/>
      <c r="Q323" s="106"/>
      <c r="R323" s="106"/>
      <c r="S323" s="106"/>
      <c r="T323" s="212"/>
      <c r="U323" s="167"/>
      <c r="V323" s="167"/>
      <c r="W323" s="167"/>
      <c r="X323" s="167"/>
      <c r="Y323" s="167"/>
      <c r="Z323" s="167"/>
      <c r="AA323" s="167"/>
      <c r="AB323" s="167"/>
      <c r="AC323" s="167"/>
      <c r="AD323" s="167"/>
      <c r="AE323" s="167"/>
      <c r="AF323" s="167"/>
      <c r="AG323" s="167"/>
      <c r="AH323" s="167"/>
      <c r="AI323" s="167"/>
      <c r="AJ323" s="73">
        <v>42737</v>
      </c>
      <c r="AK323" s="648"/>
      <c r="AL323" s="82"/>
    </row>
    <row r="324" spans="1:38" ht="50.1" customHeight="1" x14ac:dyDescent="0.2">
      <c r="A324" s="298"/>
      <c r="B324" s="41" t="s">
        <v>584</v>
      </c>
      <c r="C324" s="41"/>
      <c r="D324" s="41"/>
      <c r="E324" s="30" t="s">
        <v>2157</v>
      </c>
      <c r="F324" s="196" t="s">
        <v>2760</v>
      </c>
      <c r="G324" s="30" t="s">
        <v>1311</v>
      </c>
      <c r="H324" s="30" t="s">
        <v>1806</v>
      </c>
      <c r="I324" s="30"/>
      <c r="J324" s="30" t="s">
        <v>2697</v>
      </c>
      <c r="K324" s="107" t="s">
        <v>1540</v>
      </c>
      <c r="L324" s="41" t="s">
        <v>685</v>
      </c>
      <c r="M324" s="30" t="s">
        <v>2777</v>
      </c>
      <c r="N324" s="105">
        <v>42674</v>
      </c>
      <c r="O324" s="106" t="s">
        <v>2758</v>
      </c>
      <c r="P324" s="106"/>
      <c r="Q324" s="106"/>
      <c r="R324" s="106"/>
      <c r="S324" s="106"/>
      <c r="T324" s="212"/>
      <c r="U324" s="167"/>
      <c r="V324" s="167"/>
      <c r="W324" s="167"/>
      <c r="X324" s="167"/>
      <c r="Y324" s="167"/>
      <c r="Z324" s="167"/>
      <c r="AA324" s="167"/>
      <c r="AB324" s="167"/>
      <c r="AC324" s="167"/>
      <c r="AD324" s="167"/>
      <c r="AE324" s="167"/>
      <c r="AF324" s="167"/>
      <c r="AG324" s="167"/>
      <c r="AH324" s="167"/>
      <c r="AI324" s="167"/>
      <c r="AJ324" s="73">
        <v>42737</v>
      </c>
      <c r="AK324" s="648"/>
      <c r="AL324" s="82"/>
    </row>
    <row r="325" spans="1:38" ht="50.1" customHeight="1" x14ac:dyDescent="0.2">
      <c r="A325" s="298"/>
      <c r="B325" s="41" t="s">
        <v>1137</v>
      </c>
      <c r="C325" s="41"/>
      <c r="D325" s="41"/>
      <c r="E325" s="30" t="s">
        <v>2728</v>
      </c>
      <c r="F325" s="196" t="s">
        <v>2729</v>
      </c>
      <c r="G325" s="30" t="s">
        <v>2726</v>
      </c>
      <c r="H325" s="30" t="s">
        <v>1806</v>
      </c>
      <c r="I325" s="30"/>
      <c r="J325" s="30" t="s">
        <v>2275</v>
      </c>
      <c r="K325" s="107" t="s">
        <v>1540</v>
      </c>
      <c r="L325" s="41" t="s">
        <v>685</v>
      </c>
      <c r="M325" s="30" t="s">
        <v>2094</v>
      </c>
      <c r="N325" s="105">
        <v>42674</v>
      </c>
      <c r="O325" s="106" t="s">
        <v>2727</v>
      </c>
      <c r="P325" s="106"/>
      <c r="Q325" s="106"/>
      <c r="R325" s="106"/>
      <c r="S325" s="106"/>
      <c r="T325" s="212"/>
      <c r="U325" s="167"/>
      <c r="V325" s="167"/>
      <c r="W325" s="167"/>
      <c r="X325" s="167"/>
      <c r="Y325" s="167"/>
      <c r="Z325" s="167"/>
      <c r="AA325" s="167"/>
      <c r="AB325" s="167"/>
      <c r="AC325" s="167"/>
      <c r="AD325" s="167"/>
      <c r="AE325" s="167"/>
      <c r="AF325" s="167"/>
      <c r="AG325" s="167"/>
      <c r="AH325" s="167"/>
      <c r="AI325" s="167"/>
      <c r="AJ325" s="73">
        <v>42737</v>
      </c>
      <c r="AK325" s="648"/>
      <c r="AL325" s="82"/>
    </row>
    <row r="326" spans="1:38" ht="50.1" customHeight="1" x14ac:dyDescent="0.2">
      <c r="A326" s="298"/>
      <c r="B326" s="41" t="s">
        <v>1137</v>
      </c>
      <c r="C326" s="41"/>
      <c r="D326" s="41"/>
      <c r="E326" s="30" t="s">
        <v>2725</v>
      </c>
      <c r="F326" s="196" t="s">
        <v>2721</v>
      </c>
      <c r="G326" s="30" t="s">
        <v>2722</v>
      </c>
      <c r="H326" s="30" t="s">
        <v>1806</v>
      </c>
      <c r="I326" s="30"/>
      <c r="J326" s="41" t="s">
        <v>2724</v>
      </c>
      <c r="K326" s="107" t="s">
        <v>1540</v>
      </c>
      <c r="L326" s="30" t="s">
        <v>2723</v>
      </c>
      <c r="M326" s="30" t="s">
        <v>2094</v>
      </c>
      <c r="N326" s="105">
        <v>42674</v>
      </c>
      <c r="O326" s="41">
        <v>2438673161</v>
      </c>
      <c r="P326" s="41"/>
      <c r="Q326" s="41"/>
      <c r="R326" s="41"/>
      <c r="S326" s="41"/>
      <c r="T326" s="212"/>
      <c r="U326" s="167"/>
      <c r="V326" s="167"/>
      <c r="W326" s="167"/>
      <c r="X326" s="167"/>
      <c r="Y326" s="167"/>
      <c r="Z326" s="167"/>
      <c r="AA326" s="167"/>
      <c r="AB326" s="167"/>
      <c r="AC326" s="167"/>
      <c r="AD326" s="167"/>
      <c r="AE326" s="167"/>
      <c r="AF326" s="167"/>
      <c r="AG326" s="167"/>
      <c r="AH326" s="167"/>
      <c r="AI326" s="167"/>
      <c r="AJ326" s="73">
        <v>42737</v>
      </c>
      <c r="AK326" s="648"/>
      <c r="AL326" s="211"/>
    </row>
    <row r="327" spans="1:38" ht="50.1" customHeight="1" x14ac:dyDescent="0.2">
      <c r="A327" s="298"/>
      <c r="B327" s="41" t="s">
        <v>1137</v>
      </c>
      <c r="C327" s="41"/>
      <c r="D327" s="41"/>
      <c r="E327" s="30" t="s">
        <v>1361</v>
      </c>
      <c r="F327" s="196" t="s">
        <v>1138</v>
      </c>
      <c r="G327" s="30" t="s">
        <v>1311</v>
      </c>
      <c r="H327" s="30" t="s">
        <v>112</v>
      </c>
      <c r="I327" s="30"/>
      <c r="J327" s="30" t="s">
        <v>2697</v>
      </c>
      <c r="K327" s="41" t="s">
        <v>1393</v>
      </c>
      <c r="L327" s="41" t="s">
        <v>685</v>
      </c>
      <c r="M327" s="29" t="s">
        <v>2446</v>
      </c>
      <c r="N327" s="105">
        <v>42650</v>
      </c>
      <c r="O327" s="106" t="s">
        <v>2698</v>
      </c>
      <c r="P327" s="106"/>
      <c r="Q327" s="106"/>
      <c r="R327" s="106"/>
      <c r="S327" s="106"/>
      <c r="T327" s="210"/>
      <c r="U327" s="350"/>
      <c r="V327" s="350"/>
      <c r="W327" s="350"/>
      <c r="X327" s="350"/>
      <c r="Y327" s="350"/>
      <c r="Z327" s="350"/>
      <c r="AA327" s="350"/>
      <c r="AB327" s="350"/>
      <c r="AC327" s="350"/>
      <c r="AD327" s="350"/>
      <c r="AE327" s="350"/>
      <c r="AF327" s="350"/>
      <c r="AG327" s="350"/>
      <c r="AH327" s="350"/>
      <c r="AI327" s="350"/>
      <c r="AJ327" s="73">
        <v>42737</v>
      </c>
      <c r="AK327" s="648"/>
      <c r="AL327" s="211"/>
    </row>
    <row r="328" spans="1:38" ht="50.1" customHeight="1" x14ac:dyDescent="0.2">
      <c r="A328" s="298"/>
      <c r="B328" s="41" t="s">
        <v>1137</v>
      </c>
      <c r="C328" s="41"/>
      <c r="D328" s="41"/>
      <c r="E328" s="30" t="s">
        <v>2153</v>
      </c>
      <c r="F328" s="196" t="s">
        <v>2238</v>
      </c>
      <c r="G328" s="30" t="s">
        <v>1311</v>
      </c>
      <c r="H328" s="30" t="s">
        <v>1806</v>
      </c>
      <c r="I328" s="30"/>
      <c r="J328" s="30" t="s">
        <v>2697</v>
      </c>
      <c r="K328" s="41" t="s">
        <v>1394</v>
      </c>
      <c r="L328" s="41" t="s">
        <v>685</v>
      </c>
      <c r="M328" s="30" t="s">
        <v>2777</v>
      </c>
      <c r="N328" s="105">
        <v>42674</v>
      </c>
      <c r="O328" s="106" t="s">
        <v>2759</v>
      </c>
      <c r="P328" s="106"/>
      <c r="Q328" s="106"/>
      <c r="R328" s="106"/>
      <c r="S328" s="106"/>
      <c r="T328" s="212"/>
      <c r="U328" s="167"/>
      <c r="V328" s="167"/>
      <c r="W328" s="167"/>
      <c r="X328" s="167"/>
      <c r="Y328" s="167"/>
      <c r="Z328" s="167"/>
      <c r="AA328" s="167"/>
      <c r="AB328" s="167"/>
      <c r="AC328" s="167"/>
      <c r="AD328" s="167"/>
      <c r="AE328" s="167"/>
      <c r="AF328" s="167"/>
      <c r="AG328" s="167"/>
      <c r="AH328" s="167"/>
      <c r="AI328" s="167"/>
      <c r="AJ328" s="73">
        <v>42737</v>
      </c>
      <c r="AK328" s="648"/>
      <c r="AL328" s="82"/>
    </row>
    <row r="329" spans="1:38" ht="50.1" customHeight="1" x14ac:dyDescent="0.2">
      <c r="A329" s="298"/>
      <c r="B329" s="41" t="s">
        <v>1137</v>
      </c>
      <c r="C329" s="41"/>
      <c r="D329" s="41"/>
      <c r="E329" s="30" t="s">
        <v>2679</v>
      </c>
      <c r="F329" s="196" t="s">
        <v>2678</v>
      </c>
      <c r="G329" s="30" t="s">
        <v>2677</v>
      </c>
      <c r="H329" s="30" t="s">
        <v>1806</v>
      </c>
      <c r="I329" s="30"/>
      <c r="J329" s="30" t="s">
        <v>2270</v>
      </c>
      <c r="K329" s="41" t="s">
        <v>1394</v>
      </c>
      <c r="L329" s="30" t="s">
        <v>1454</v>
      </c>
      <c r="M329" s="30" t="s">
        <v>2094</v>
      </c>
      <c r="N329" s="105">
        <v>42634</v>
      </c>
      <c r="O329" s="106" t="s">
        <v>2680</v>
      </c>
      <c r="P329" s="106"/>
      <c r="Q329" s="106"/>
      <c r="R329" s="106"/>
      <c r="S329" s="106"/>
      <c r="T329" s="212"/>
      <c r="U329" s="167"/>
      <c r="V329" s="167"/>
      <c r="W329" s="167"/>
      <c r="X329" s="167"/>
      <c r="Y329" s="167"/>
      <c r="Z329" s="167"/>
      <c r="AA329" s="167"/>
      <c r="AB329" s="167"/>
      <c r="AC329" s="167"/>
      <c r="AD329" s="167"/>
      <c r="AE329" s="167"/>
      <c r="AF329" s="167"/>
      <c r="AG329" s="167"/>
      <c r="AH329" s="167"/>
      <c r="AI329" s="167"/>
      <c r="AJ329" s="73">
        <v>42737</v>
      </c>
      <c r="AK329" s="648"/>
      <c r="AL329" s="82"/>
    </row>
    <row r="330" spans="1:38" ht="50.1" customHeight="1" x14ac:dyDescent="0.2">
      <c r="A330" s="298"/>
      <c r="B330" s="41" t="s">
        <v>1137</v>
      </c>
      <c r="C330" s="41"/>
      <c r="D330" s="41"/>
      <c r="E330" s="30" t="s">
        <v>2714</v>
      </c>
      <c r="F330" s="196" t="s">
        <v>2713</v>
      </c>
      <c r="G330" s="41" t="s">
        <v>156</v>
      </c>
      <c r="H330" s="30" t="s">
        <v>1806</v>
      </c>
      <c r="I330" s="30"/>
      <c r="J330" s="30" t="s">
        <v>318</v>
      </c>
      <c r="K330" s="107" t="s">
        <v>1540</v>
      </c>
      <c r="L330" s="41" t="s">
        <v>685</v>
      </c>
      <c r="M330" s="30" t="s">
        <v>2094</v>
      </c>
      <c r="N330" s="105">
        <v>42664</v>
      </c>
      <c r="O330" s="106" t="s">
        <v>2715</v>
      </c>
      <c r="P330" s="106"/>
      <c r="Q330" s="106"/>
      <c r="R330" s="106"/>
      <c r="S330" s="106"/>
      <c r="AJ330" s="73">
        <v>42744</v>
      </c>
      <c r="AK330" s="648"/>
      <c r="AL330" s="174"/>
    </row>
    <row r="331" spans="1:38" ht="50.1" customHeight="1" x14ac:dyDescent="0.2">
      <c r="A331" s="298"/>
      <c r="B331" s="41" t="s">
        <v>1137</v>
      </c>
      <c r="C331" s="41"/>
      <c r="D331" s="41"/>
      <c r="E331" s="30" t="s">
        <v>2730</v>
      </c>
      <c r="F331" s="196" t="s">
        <v>2703</v>
      </c>
      <c r="G331" s="30" t="s">
        <v>1237</v>
      </c>
      <c r="H331" s="30" t="s">
        <v>1806</v>
      </c>
      <c r="I331" s="30"/>
      <c r="J331" s="30" t="s">
        <v>2702</v>
      </c>
      <c r="K331" s="41" t="s">
        <v>1394</v>
      </c>
      <c r="L331" s="41" t="s">
        <v>685</v>
      </c>
      <c r="M331" s="29" t="s">
        <v>2567</v>
      </c>
      <c r="N331" s="105">
        <v>42657</v>
      </c>
      <c r="O331" s="30">
        <v>2440558162</v>
      </c>
      <c r="P331" s="30"/>
      <c r="Q331" s="30"/>
      <c r="R331" s="30"/>
      <c r="S331" s="30"/>
      <c r="T331" s="212"/>
      <c r="U331" s="167"/>
      <c r="V331" s="167"/>
      <c r="W331" s="167"/>
      <c r="X331" s="167"/>
      <c r="Y331" s="167"/>
      <c r="Z331" s="167"/>
      <c r="AA331" s="167"/>
      <c r="AB331" s="167"/>
      <c r="AC331" s="167"/>
      <c r="AD331" s="167"/>
      <c r="AE331" s="167"/>
      <c r="AF331" s="167"/>
      <c r="AG331" s="167"/>
      <c r="AH331" s="167"/>
      <c r="AI331" s="167"/>
      <c r="AJ331" s="73">
        <v>42744</v>
      </c>
      <c r="AK331" s="648"/>
      <c r="AL331" s="82"/>
    </row>
    <row r="332" spans="1:38" ht="50.1" customHeight="1" x14ac:dyDescent="0.2">
      <c r="A332" s="298"/>
      <c r="B332" s="41" t="s">
        <v>584</v>
      </c>
      <c r="C332" s="41"/>
      <c r="D332" s="41"/>
      <c r="E332" s="30" t="s">
        <v>538</v>
      </c>
      <c r="F332" s="196" t="s">
        <v>1916</v>
      </c>
      <c r="G332" s="41" t="s">
        <v>65</v>
      </c>
      <c r="H332" s="30" t="s">
        <v>112</v>
      </c>
      <c r="I332" s="30"/>
      <c r="J332" s="30" t="s">
        <v>51</v>
      </c>
      <c r="K332" s="41" t="s">
        <v>1393</v>
      </c>
      <c r="L332" s="41" t="s">
        <v>1369</v>
      </c>
      <c r="M332" s="29" t="s">
        <v>2446</v>
      </c>
      <c r="N332" s="105">
        <v>42650</v>
      </c>
      <c r="O332" s="106" t="s">
        <v>2699</v>
      </c>
      <c r="P332" s="106"/>
      <c r="Q332" s="106"/>
      <c r="R332" s="106"/>
      <c r="S332" s="106"/>
      <c r="T332" s="212"/>
      <c r="U332" s="167"/>
      <c r="V332" s="167"/>
      <c r="W332" s="167"/>
      <c r="X332" s="167"/>
      <c r="Y332" s="167"/>
      <c r="Z332" s="167"/>
      <c r="AA332" s="167"/>
      <c r="AB332" s="167"/>
      <c r="AC332" s="167"/>
      <c r="AD332" s="167"/>
      <c r="AE332" s="167"/>
      <c r="AF332" s="167"/>
      <c r="AG332" s="167"/>
      <c r="AH332" s="167"/>
      <c r="AI332" s="167"/>
      <c r="AJ332" s="73">
        <v>42751</v>
      </c>
      <c r="AK332" s="648"/>
      <c r="AL332" s="82"/>
    </row>
    <row r="333" spans="1:38" ht="50.1" customHeight="1" x14ac:dyDescent="0.2">
      <c r="A333" s="298"/>
      <c r="B333" s="41" t="s">
        <v>584</v>
      </c>
      <c r="C333" s="41"/>
      <c r="D333" s="41"/>
      <c r="E333" s="30" t="s">
        <v>2821</v>
      </c>
      <c r="F333" s="196" t="s">
        <v>2789</v>
      </c>
      <c r="G333" s="30" t="s">
        <v>2789</v>
      </c>
      <c r="H333" s="41" t="s">
        <v>112</v>
      </c>
      <c r="I333" s="41"/>
      <c r="J333" s="41" t="s">
        <v>2822</v>
      </c>
      <c r="K333" s="30" t="s">
        <v>2603</v>
      </c>
      <c r="L333" s="30" t="s">
        <v>2763</v>
      </c>
      <c r="M333" s="30" t="s">
        <v>2823</v>
      </c>
      <c r="N333" s="105">
        <v>42726</v>
      </c>
      <c r="O333" s="30">
        <v>2653457169</v>
      </c>
      <c r="P333" s="30"/>
      <c r="Q333" s="30"/>
      <c r="R333" s="30"/>
      <c r="S333" s="30"/>
      <c r="T333" s="212"/>
      <c r="U333" s="167"/>
      <c r="V333" s="167"/>
      <c r="W333" s="167"/>
      <c r="X333" s="167"/>
      <c r="Y333" s="167"/>
      <c r="Z333" s="167"/>
      <c r="AA333" s="167"/>
      <c r="AB333" s="167"/>
      <c r="AC333" s="167"/>
      <c r="AD333" s="167"/>
      <c r="AE333" s="167"/>
      <c r="AF333" s="167"/>
      <c r="AG333" s="167"/>
      <c r="AH333" s="167"/>
      <c r="AI333" s="167"/>
      <c r="AJ333" s="73">
        <v>42765</v>
      </c>
      <c r="AK333" s="648"/>
      <c r="AL333" s="82"/>
    </row>
    <row r="334" spans="1:38" ht="50.1" customHeight="1" x14ac:dyDescent="0.2">
      <c r="A334" s="298"/>
      <c r="B334" s="41" t="s">
        <v>1137</v>
      </c>
      <c r="C334" s="41"/>
      <c r="D334" s="41"/>
      <c r="E334" s="30" t="s">
        <v>2818</v>
      </c>
      <c r="F334" s="196" t="s">
        <v>2817</v>
      </c>
      <c r="G334" s="41" t="s">
        <v>282</v>
      </c>
      <c r="H334" s="41" t="s">
        <v>1806</v>
      </c>
      <c r="I334" s="41"/>
      <c r="J334" s="30" t="s">
        <v>2737</v>
      </c>
      <c r="K334" s="41" t="s">
        <v>1393</v>
      </c>
      <c r="L334" s="41" t="s">
        <v>1454</v>
      </c>
      <c r="M334" s="30" t="s">
        <v>2094</v>
      </c>
      <c r="N334" s="105">
        <v>42754</v>
      </c>
      <c r="O334" s="106" t="s">
        <v>2819</v>
      </c>
      <c r="P334" s="106"/>
      <c r="Q334" s="106"/>
      <c r="R334" s="106"/>
      <c r="S334" s="106"/>
      <c r="T334" s="212"/>
      <c r="U334" s="167"/>
      <c r="V334" s="167"/>
      <c r="W334" s="167"/>
      <c r="X334" s="167"/>
      <c r="Y334" s="167"/>
      <c r="Z334" s="167"/>
      <c r="AA334" s="167"/>
      <c r="AB334" s="167"/>
      <c r="AC334" s="167"/>
      <c r="AD334" s="167"/>
      <c r="AE334" s="167"/>
      <c r="AF334" s="167"/>
      <c r="AG334" s="167"/>
      <c r="AH334" s="167"/>
      <c r="AI334" s="167"/>
      <c r="AJ334" s="73">
        <v>42772</v>
      </c>
      <c r="AK334" s="648"/>
      <c r="AL334" s="82"/>
    </row>
    <row r="335" spans="1:38" ht="50.1" customHeight="1" x14ac:dyDescent="0.2">
      <c r="A335" s="298"/>
      <c r="B335" s="41" t="s">
        <v>1137</v>
      </c>
      <c r="C335" s="41"/>
      <c r="D335" s="41"/>
      <c r="E335" s="30" t="s">
        <v>2657</v>
      </c>
      <c r="F335" s="196" t="s">
        <v>2711</v>
      </c>
      <c r="G335" s="41" t="s">
        <v>479</v>
      </c>
      <c r="H335" s="29" t="s">
        <v>1806</v>
      </c>
      <c r="I335" s="29"/>
      <c r="J335" s="30" t="s">
        <v>2313</v>
      </c>
      <c r="K335" s="107" t="s">
        <v>1393</v>
      </c>
      <c r="L335" s="41" t="s">
        <v>18</v>
      </c>
      <c r="M335" s="30" t="s">
        <v>2094</v>
      </c>
      <c r="N335" s="105">
        <v>42599</v>
      </c>
      <c r="O335" s="106" t="s">
        <v>2661</v>
      </c>
      <c r="P335" s="106"/>
      <c r="Q335" s="106"/>
      <c r="R335" s="106"/>
      <c r="S335" s="106"/>
      <c r="T335" s="212"/>
      <c r="U335" s="167"/>
      <c r="V335" s="167"/>
      <c r="W335" s="167"/>
      <c r="X335" s="167"/>
      <c r="Y335" s="167"/>
      <c r="Z335" s="167"/>
      <c r="AA335" s="167"/>
      <c r="AB335" s="167"/>
      <c r="AC335" s="167"/>
      <c r="AD335" s="167"/>
      <c r="AE335" s="167"/>
      <c r="AF335" s="167"/>
      <c r="AG335" s="167"/>
      <c r="AH335" s="167"/>
      <c r="AI335" s="167"/>
      <c r="AJ335" s="73">
        <v>42772</v>
      </c>
      <c r="AK335" s="648"/>
      <c r="AL335" s="211"/>
    </row>
    <row r="336" spans="1:38" ht="50.1" customHeight="1" x14ac:dyDescent="0.2">
      <c r="A336" s="298"/>
      <c r="B336" s="41" t="s">
        <v>584</v>
      </c>
      <c r="C336" s="41"/>
      <c r="D336" s="41"/>
      <c r="E336" s="30" t="s">
        <v>2824</v>
      </c>
      <c r="F336" s="196" t="s">
        <v>2825</v>
      </c>
      <c r="G336" s="30" t="s">
        <v>2825</v>
      </c>
      <c r="H336" s="41" t="s">
        <v>2826</v>
      </c>
      <c r="I336" s="41"/>
      <c r="J336" s="41" t="s">
        <v>112</v>
      </c>
      <c r="K336" s="30" t="s">
        <v>2603</v>
      </c>
      <c r="L336" s="30" t="s">
        <v>2364</v>
      </c>
      <c r="M336" s="30" t="s">
        <v>2823</v>
      </c>
      <c r="N336" s="105">
        <v>42759</v>
      </c>
      <c r="O336" s="106" t="s">
        <v>2827</v>
      </c>
      <c r="P336" s="106"/>
      <c r="Q336" s="106"/>
      <c r="R336" s="106"/>
      <c r="S336" s="106"/>
      <c r="T336" s="193" t="s">
        <v>2829</v>
      </c>
      <c r="U336" s="87"/>
      <c r="V336" s="87"/>
      <c r="W336" s="87"/>
      <c r="X336" s="87"/>
      <c r="Y336" s="87"/>
      <c r="Z336" s="87"/>
      <c r="AA336" s="87"/>
      <c r="AB336" s="87"/>
      <c r="AC336" s="87"/>
      <c r="AD336" s="87"/>
      <c r="AE336" s="87"/>
      <c r="AF336" s="87"/>
      <c r="AG336" s="87"/>
      <c r="AH336" s="87"/>
      <c r="AI336" s="87"/>
      <c r="AJ336" s="73">
        <v>42786</v>
      </c>
      <c r="AK336" s="648"/>
      <c r="AL336" s="174"/>
    </row>
    <row r="337" spans="1:38" ht="50.1" customHeight="1" x14ac:dyDescent="0.2">
      <c r="A337" s="298"/>
      <c r="B337" s="41" t="s">
        <v>1137</v>
      </c>
      <c r="C337" s="41"/>
      <c r="D337" s="41"/>
      <c r="E337" s="30" t="s">
        <v>2747</v>
      </c>
      <c r="F337" s="256" t="s">
        <v>2740</v>
      </c>
      <c r="G337" s="41" t="s">
        <v>2740</v>
      </c>
      <c r="H337" s="41" t="s">
        <v>112</v>
      </c>
      <c r="I337" s="41"/>
      <c r="J337" s="41" t="s">
        <v>2741</v>
      </c>
      <c r="K337" s="41" t="s">
        <v>1394</v>
      </c>
      <c r="L337" s="41" t="s">
        <v>2022</v>
      </c>
      <c r="M337" s="29" t="s">
        <v>2753</v>
      </c>
      <c r="N337" s="105">
        <v>42668</v>
      </c>
      <c r="O337" s="106" t="s">
        <v>2748</v>
      </c>
      <c r="P337" s="106"/>
      <c r="Q337" s="106"/>
      <c r="R337" s="106"/>
      <c r="S337" s="106"/>
      <c r="T337" s="28" t="s">
        <v>2881</v>
      </c>
      <c r="U337" s="30"/>
      <c r="V337" s="30"/>
      <c r="W337" s="30"/>
      <c r="X337" s="30"/>
      <c r="Y337" s="30"/>
      <c r="Z337" s="30"/>
      <c r="AA337" s="30"/>
      <c r="AB337" s="30"/>
      <c r="AC337" s="30"/>
      <c r="AD337" s="30"/>
      <c r="AE337" s="30"/>
      <c r="AF337" s="30"/>
      <c r="AG337" s="30"/>
      <c r="AH337" s="30"/>
      <c r="AI337" s="30"/>
      <c r="AJ337" s="73">
        <v>42800</v>
      </c>
      <c r="AK337" s="648"/>
      <c r="AL337" s="82"/>
    </row>
    <row r="338" spans="1:38" ht="50.1" customHeight="1" x14ac:dyDescent="0.2">
      <c r="A338" s="298"/>
      <c r="B338" s="41" t="s">
        <v>1137</v>
      </c>
      <c r="C338" s="41"/>
      <c r="D338" s="41"/>
      <c r="E338" s="30" t="s">
        <v>2749</v>
      </c>
      <c r="F338" s="196" t="s">
        <v>1020</v>
      </c>
      <c r="G338" s="29" t="s">
        <v>2750</v>
      </c>
      <c r="H338" s="41" t="s">
        <v>112</v>
      </c>
      <c r="I338" s="41"/>
      <c r="J338" s="30" t="s">
        <v>2751</v>
      </c>
      <c r="K338" s="107" t="s">
        <v>1540</v>
      </c>
      <c r="L338" s="41" t="s">
        <v>685</v>
      </c>
      <c r="M338" s="29" t="s">
        <v>2753</v>
      </c>
      <c r="N338" s="105">
        <v>42668</v>
      </c>
      <c r="O338" s="32" t="s">
        <v>2752</v>
      </c>
      <c r="P338" s="32"/>
      <c r="Q338" s="32"/>
      <c r="R338" s="32"/>
      <c r="S338" s="32"/>
      <c r="T338" s="220" t="s">
        <v>2880</v>
      </c>
      <c r="U338" s="769"/>
      <c r="V338" s="769"/>
      <c r="W338" s="769"/>
      <c r="X338" s="769"/>
      <c r="Y338" s="769"/>
      <c r="Z338" s="769"/>
      <c r="AA338" s="769"/>
      <c r="AB338" s="769"/>
      <c r="AC338" s="769"/>
      <c r="AD338" s="769"/>
      <c r="AE338" s="769"/>
      <c r="AF338" s="769"/>
      <c r="AG338" s="769"/>
      <c r="AH338" s="769"/>
      <c r="AI338" s="769"/>
      <c r="AJ338" s="73">
        <v>42800</v>
      </c>
      <c r="AK338" s="648"/>
      <c r="AL338" s="82"/>
    </row>
    <row r="339" spans="1:38" ht="50.1" customHeight="1" x14ac:dyDescent="0.2">
      <c r="A339" s="298"/>
      <c r="B339" s="107" t="s">
        <v>1137</v>
      </c>
      <c r="C339" s="107"/>
      <c r="D339" s="107"/>
      <c r="E339" s="29" t="s">
        <v>2242</v>
      </c>
      <c r="F339" s="104" t="s">
        <v>2882</v>
      </c>
      <c r="G339" s="29" t="s">
        <v>1461</v>
      </c>
      <c r="H339" s="29" t="s">
        <v>298</v>
      </c>
      <c r="I339" s="29"/>
      <c r="J339" s="30" t="s">
        <v>2330</v>
      </c>
      <c r="K339" s="107" t="s">
        <v>1540</v>
      </c>
      <c r="L339" s="38" t="s">
        <v>18</v>
      </c>
      <c r="M339" s="29" t="s">
        <v>1615</v>
      </c>
      <c r="N339" s="105">
        <v>42341</v>
      </c>
      <c r="O339" s="32" t="s">
        <v>2243</v>
      </c>
      <c r="P339" s="32"/>
      <c r="Q339" s="32"/>
      <c r="R339" s="32"/>
      <c r="S339" s="32"/>
      <c r="T339" s="28"/>
      <c r="U339" s="30"/>
      <c r="V339" s="30"/>
      <c r="W339" s="30"/>
      <c r="X339" s="30"/>
      <c r="Y339" s="30"/>
      <c r="Z339" s="30"/>
      <c r="AA339" s="30"/>
      <c r="AB339" s="30"/>
      <c r="AC339" s="30"/>
      <c r="AD339" s="30"/>
      <c r="AE339" s="30"/>
      <c r="AF339" s="30"/>
      <c r="AG339" s="30"/>
      <c r="AH339" s="30"/>
      <c r="AI339" s="30"/>
      <c r="AJ339" s="73">
        <v>42800</v>
      </c>
      <c r="AK339" s="648"/>
      <c r="AL339" s="82"/>
    </row>
    <row r="340" spans="1:38" ht="50.1" customHeight="1" x14ac:dyDescent="0.2">
      <c r="A340" s="298"/>
      <c r="B340" s="41" t="s">
        <v>1137</v>
      </c>
      <c r="C340" s="41"/>
      <c r="D340" s="41"/>
      <c r="E340" s="30" t="s">
        <v>2859</v>
      </c>
      <c r="F340" s="196" t="s">
        <v>2856</v>
      </c>
      <c r="G340" s="41" t="s">
        <v>2858</v>
      </c>
      <c r="H340" s="41" t="s">
        <v>1806</v>
      </c>
      <c r="I340" s="41"/>
      <c r="J340" s="30" t="s">
        <v>494</v>
      </c>
      <c r="K340" s="41" t="s">
        <v>1394</v>
      </c>
      <c r="L340" s="30" t="s">
        <v>2857</v>
      </c>
      <c r="M340" s="30" t="s">
        <v>2094</v>
      </c>
      <c r="N340" s="105">
        <v>42776</v>
      </c>
      <c r="O340" s="106" t="s">
        <v>2872</v>
      </c>
      <c r="P340" s="106"/>
      <c r="Q340" s="106"/>
      <c r="R340" s="106"/>
      <c r="S340" s="106"/>
      <c r="T340" s="221"/>
      <c r="U340" s="221"/>
      <c r="V340" s="221"/>
      <c r="W340" s="221"/>
      <c r="X340" s="221"/>
      <c r="Y340" s="221"/>
      <c r="Z340" s="221"/>
      <c r="AA340" s="221"/>
      <c r="AB340" s="221"/>
      <c r="AC340" s="221"/>
      <c r="AD340" s="221"/>
      <c r="AE340" s="221"/>
      <c r="AF340" s="221"/>
      <c r="AG340" s="221"/>
      <c r="AH340" s="221"/>
      <c r="AI340" s="221"/>
      <c r="AJ340" s="73">
        <v>42814</v>
      </c>
      <c r="AK340" s="648"/>
      <c r="AL340" s="716"/>
    </row>
    <row r="341" spans="1:38" ht="50.1" customHeight="1" x14ac:dyDescent="0.2">
      <c r="A341" s="298"/>
      <c r="B341" s="41" t="s">
        <v>584</v>
      </c>
      <c r="C341" s="41"/>
      <c r="D341" s="41"/>
      <c r="E341" s="30" t="s">
        <v>2705</v>
      </c>
      <c r="F341" s="196" t="s">
        <v>2706</v>
      </c>
      <c r="G341" s="41" t="s">
        <v>2707</v>
      </c>
      <c r="H341" s="30" t="s">
        <v>1806</v>
      </c>
      <c r="I341" s="30"/>
      <c r="J341" s="30" t="s">
        <v>2708</v>
      </c>
      <c r="K341" s="41" t="s">
        <v>1393</v>
      </c>
      <c r="L341" s="41" t="s">
        <v>641</v>
      </c>
      <c r="M341" s="30" t="s">
        <v>2094</v>
      </c>
      <c r="N341" s="105">
        <v>42657</v>
      </c>
      <c r="O341" s="106" t="s">
        <v>2704</v>
      </c>
      <c r="P341" s="106"/>
      <c r="Q341" s="106"/>
      <c r="R341" s="106"/>
      <c r="S341" s="106"/>
      <c r="T341" s="222"/>
      <c r="U341" s="221"/>
      <c r="V341" s="221"/>
      <c r="W341" s="221"/>
      <c r="X341" s="221"/>
      <c r="Y341" s="221"/>
      <c r="Z341" s="221"/>
      <c r="AA341" s="221"/>
      <c r="AB341" s="221"/>
      <c r="AC341" s="221"/>
      <c r="AD341" s="221"/>
      <c r="AE341" s="221"/>
      <c r="AF341" s="221"/>
      <c r="AG341" s="221"/>
      <c r="AH341" s="221"/>
      <c r="AI341" s="221"/>
      <c r="AJ341" s="73">
        <v>42814</v>
      </c>
      <c r="AK341" s="648"/>
      <c r="AL341" s="716"/>
    </row>
    <row r="342" spans="1:38" ht="50.1" customHeight="1" x14ac:dyDescent="0.2">
      <c r="A342" s="298"/>
      <c r="B342" s="38" t="s">
        <v>1137</v>
      </c>
      <c r="C342" s="38"/>
      <c r="D342" s="38"/>
      <c r="E342" s="30" t="s">
        <v>1813</v>
      </c>
      <c r="F342" s="104" t="s">
        <v>2945</v>
      </c>
      <c r="G342" s="30" t="s">
        <v>1812</v>
      </c>
      <c r="H342" s="30" t="s">
        <v>1806</v>
      </c>
      <c r="I342" s="30"/>
      <c r="J342" s="30" t="s">
        <v>1814</v>
      </c>
      <c r="K342" s="30" t="s">
        <v>1393</v>
      </c>
      <c r="L342" s="41" t="s">
        <v>685</v>
      </c>
      <c r="M342" s="29" t="s">
        <v>1615</v>
      </c>
      <c r="N342" s="105">
        <v>41823</v>
      </c>
      <c r="O342" s="106" t="s">
        <v>1976</v>
      </c>
      <c r="P342" s="106"/>
      <c r="Q342" s="106"/>
      <c r="R342" s="106"/>
      <c r="S342" s="106"/>
      <c r="T342" s="299" t="s">
        <v>3323</v>
      </c>
      <c r="U342" s="767"/>
      <c r="V342" s="767"/>
      <c r="W342" s="767"/>
      <c r="X342" s="767"/>
      <c r="Y342" s="767"/>
      <c r="Z342" s="767"/>
      <c r="AA342" s="767"/>
      <c r="AB342" s="767"/>
      <c r="AC342" s="767"/>
      <c r="AD342" s="767"/>
      <c r="AE342" s="767"/>
      <c r="AF342" s="767"/>
      <c r="AG342" s="767"/>
      <c r="AH342" s="767"/>
      <c r="AI342" s="767"/>
      <c r="AJ342" s="73">
        <v>42828</v>
      </c>
      <c r="AK342" s="648"/>
      <c r="AL342" s="82"/>
    </row>
    <row r="343" spans="1:38" ht="50.1" customHeight="1" x14ac:dyDescent="0.2">
      <c r="A343" s="298"/>
      <c r="B343" s="41" t="s">
        <v>584</v>
      </c>
      <c r="C343" s="41"/>
      <c r="D343" s="41"/>
      <c r="E343" s="30" t="s">
        <v>2854</v>
      </c>
      <c r="F343" s="196" t="s">
        <v>2853</v>
      </c>
      <c r="G343" s="30" t="s">
        <v>2850</v>
      </c>
      <c r="H343" s="41" t="s">
        <v>1806</v>
      </c>
      <c r="I343" s="41"/>
      <c r="J343" s="30" t="s">
        <v>2851</v>
      </c>
      <c r="K343" s="41" t="s">
        <v>1393</v>
      </c>
      <c r="L343" s="41" t="s">
        <v>2852</v>
      </c>
      <c r="M343" s="30" t="s">
        <v>2094</v>
      </c>
      <c r="N343" s="105">
        <v>42772</v>
      </c>
      <c r="O343" s="106" t="s">
        <v>2871</v>
      </c>
      <c r="P343" s="106"/>
      <c r="Q343" s="106"/>
      <c r="R343" s="106"/>
      <c r="S343" s="106"/>
      <c r="T343" s="212"/>
      <c r="U343" s="167"/>
      <c r="V343" s="167"/>
      <c r="W343" s="167"/>
      <c r="X343" s="167"/>
      <c r="Y343" s="167"/>
      <c r="Z343" s="167"/>
      <c r="AA343" s="167"/>
      <c r="AB343" s="167"/>
      <c r="AC343" s="167"/>
      <c r="AD343" s="167"/>
      <c r="AE343" s="167"/>
      <c r="AF343" s="167"/>
      <c r="AG343" s="167"/>
      <c r="AH343" s="167"/>
      <c r="AI343" s="167"/>
      <c r="AJ343" s="73">
        <v>42842</v>
      </c>
      <c r="AK343" s="648"/>
      <c r="AL343" s="82"/>
    </row>
    <row r="344" spans="1:38" ht="50.1" customHeight="1" x14ac:dyDescent="0.2">
      <c r="A344" s="298"/>
      <c r="B344" s="41" t="s">
        <v>1137</v>
      </c>
      <c r="C344" s="41"/>
      <c r="D344" s="41"/>
      <c r="E344" s="30" t="s">
        <v>2673</v>
      </c>
      <c r="F344" s="196" t="s">
        <v>2671</v>
      </c>
      <c r="G344" s="41" t="s">
        <v>2584</v>
      </c>
      <c r="H344" s="30" t="s">
        <v>112</v>
      </c>
      <c r="I344" s="30"/>
      <c r="J344" s="30" t="s">
        <v>2672</v>
      </c>
      <c r="K344" s="41" t="s">
        <v>1392</v>
      </c>
      <c r="L344" s="30" t="s">
        <v>2583</v>
      </c>
      <c r="M344" s="30" t="s">
        <v>2635</v>
      </c>
      <c r="N344" s="105">
        <v>42614</v>
      </c>
      <c r="O344" s="106" t="s">
        <v>2683</v>
      </c>
      <c r="P344" s="106"/>
      <c r="Q344" s="106"/>
      <c r="R344" s="106"/>
      <c r="S344" s="106"/>
      <c r="T344" s="223" t="s">
        <v>3141</v>
      </c>
      <c r="U344" s="770"/>
      <c r="V344" s="770"/>
      <c r="W344" s="770"/>
      <c r="X344" s="770"/>
      <c r="Y344" s="770"/>
      <c r="Z344" s="770"/>
      <c r="AA344" s="770"/>
      <c r="AB344" s="770"/>
      <c r="AC344" s="770"/>
      <c r="AD344" s="770"/>
      <c r="AE344" s="770"/>
      <c r="AF344" s="770"/>
      <c r="AG344" s="770"/>
      <c r="AH344" s="770"/>
      <c r="AI344" s="770"/>
      <c r="AJ344" s="73">
        <v>42849</v>
      </c>
      <c r="AK344" s="648"/>
      <c r="AL344" s="82"/>
    </row>
    <row r="345" spans="1:38" ht="50.1" customHeight="1" x14ac:dyDescent="0.2">
      <c r="A345" s="298"/>
      <c r="B345" s="41" t="s">
        <v>1137</v>
      </c>
      <c r="C345" s="41"/>
      <c r="D345" s="41"/>
      <c r="E345" s="30" t="s">
        <v>2749</v>
      </c>
      <c r="F345" s="196" t="s">
        <v>2742</v>
      </c>
      <c r="G345" s="29" t="s">
        <v>2750</v>
      </c>
      <c r="H345" s="41" t="s">
        <v>112</v>
      </c>
      <c r="I345" s="41"/>
      <c r="J345" s="30" t="s">
        <v>2751</v>
      </c>
      <c r="K345" s="107" t="s">
        <v>1540</v>
      </c>
      <c r="L345" s="41" t="s">
        <v>685</v>
      </c>
      <c r="M345" s="29" t="s">
        <v>2770</v>
      </c>
      <c r="N345" s="105">
        <v>42704</v>
      </c>
      <c r="O345" s="106" t="s">
        <v>2778</v>
      </c>
      <c r="P345" s="106"/>
      <c r="Q345" s="106"/>
      <c r="R345" s="106"/>
      <c r="S345" s="106"/>
      <c r="T345" s="220" t="s">
        <v>3142</v>
      </c>
      <c r="U345" s="769"/>
      <c r="V345" s="769"/>
      <c r="W345" s="769"/>
      <c r="X345" s="769"/>
      <c r="Y345" s="769"/>
      <c r="Z345" s="769"/>
      <c r="AA345" s="769"/>
      <c r="AB345" s="769"/>
      <c r="AC345" s="769"/>
      <c r="AD345" s="769"/>
      <c r="AE345" s="769"/>
      <c r="AF345" s="769"/>
      <c r="AG345" s="769"/>
      <c r="AH345" s="769"/>
      <c r="AI345" s="769"/>
      <c r="AJ345" s="73">
        <v>42849</v>
      </c>
      <c r="AK345" s="648"/>
      <c r="AL345" s="82"/>
    </row>
    <row r="346" spans="1:38" ht="50.1" customHeight="1" x14ac:dyDescent="0.2">
      <c r="A346" s="298"/>
      <c r="B346" s="41" t="s">
        <v>584</v>
      </c>
      <c r="C346" s="41"/>
      <c r="D346" s="41"/>
      <c r="E346" s="30" t="s">
        <v>2833</v>
      </c>
      <c r="F346" s="196" t="s">
        <v>2948</v>
      </c>
      <c r="G346" s="41" t="s">
        <v>2831</v>
      </c>
      <c r="H346" s="41" t="s">
        <v>1806</v>
      </c>
      <c r="I346" s="41"/>
      <c r="J346" s="30" t="s">
        <v>2832</v>
      </c>
      <c r="K346" s="41" t="s">
        <v>1393</v>
      </c>
      <c r="L346" s="30" t="s">
        <v>2834</v>
      </c>
      <c r="M346" s="30" t="s">
        <v>2094</v>
      </c>
      <c r="N346" s="105">
        <v>42762</v>
      </c>
      <c r="O346" s="106" t="s">
        <v>2835</v>
      </c>
      <c r="P346" s="106"/>
      <c r="Q346" s="106"/>
      <c r="R346" s="106"/>
      <c r="S346" s="106"/>
      <c r="T346" s="212"/>
      <c r="U346" s="167"/>
      <c r="V346" s="167"/>
      <c r="W346" s="167"/>
      <c r="X346" s="167"/>
      <c r="Y346" s="167"/>
      <c r="Z346" s="167"/>
      <c r="AA346" s="167"/>
      <c r="AB346" s="167"/>
      <c r="AC346" s="167"/>
      <c r="AD346" s="167"/>
      <c r="AE346" s="167"/>
      <c r="AF346" s="167"/>
      <c r="AG346" s="167"/>
      <c r="AH346" s="167"/>
      <c r="AI346" s="167"/>
      <c r="AJ346" s="73">
        <v>42849</v>
      </c>
      <c r="AK346" s="648"/>
      <c r="AL346" s="82"/>
    </row>
    <row r="347" spans="1:38" ht="50.1" customHeight="1" x14ac:dyDescent="0.2">
      <c r="A347" s="298"/>
      <c r="B347" s="41" t="s">
        <v>584</v>
      </c>
      <c r="C347" s="41"/>
      <c r="D347" s="41"/>
      <c r="E347" s="30" t="s">
        <v>1718</v>
      </c>
      <c r="F347" s="196" t="s">
        <v>1720</v>
      </c>
      <c r="G347" s="30" t="s">
        <v>1721</v>
      </c>
      <c r="H347" s="41" t="s">
        <v>112</v>
      </c>
      <c r="I347" s="41"/>
      <c r="J347" s="30" t="s">
        <v>1961</v>
      </c>
      <c r="K347" s="107" t="s">
        <v>1540</v>
      </c>
      <c r="L347" s="107" t="s">
        <v>685</v>
      </c>
      <c r="M347" s="30" t="s">
        <v>2770</v>
      </c>
      <c r="N347" s="105">
        <v>42733</v>
      </c>
      <c r="O347" s="106" t="s">
        <v>2795</v>
      </c>
      <c r="P347" s="106"/>
      <c r="Q347" s="106"/>
      <c r="R347" s="106"/>
      <c r="S347" s="106"/>
      <c r="T347" s="193" t="s">
        <v>3143</v>
      </c>
      <c r="U347" s="87"/>
      <c r="V347" s="87"/>
      <c r="W347" s="87"/>
      <c r="X347" s="87"/>
      <c r="Y347" s="87"/>
      <c r="Z347" s="87"/>
      <c r="AA347" s="87"/>
      <c r="AB347" s="87"/>
      <c r="AC347" s="87"/>
      <c r="AD347" s="87"/>
      <c r="AE347" s="87"/>
      <c r="AF347" s="87"/>
      <c r="AG347" s="87"/>
      <c r="AH347" s="87"/>
      <c r="AI347" s="87"/>
      <c r="AJ347" s="73">
        <v>42849</v>
      </c>
      <c r="AK347" s="648"/>
      <c r="AL347" s="211"/>
    </row>
    <row r="348" spans="1:38" ht="50.1" customHeight="1" x14ac:dyDescent="0.2">
      <c r="A348" s="298"/>
      <c r="B348" s="68" t="s">
        <v>1137</v>
      </c>
      <c r="C348" s="68"/>
      <c r="D348" s="68"/>
      <c r="E348" s="29" t="s">
        <v>169</v>
      </c>
      <c r="F348" s="104" t="s">
        <v>157</v>
      </c>
      <c r="G348" s="29" t="s">
        <v>1588</v>
      </c>
      <c r="H348" s="43" t="s">
        <v>2841</v>
      </c>
      <c r="I348" s="43"/>
      <c r="J348" s="43" t="s">
        <v>186</v>
      </c>
      <c r="K348" s="29" t="s">
        <v>1393</v>
      </c>
      <c r="L348" s="29" t="s">
        <v>685</v>
      </c>
      <c r="M348" s="29" t="s">
        <v>1528</v>
      </c>
      <c r="N348" s="204">
        <v>40543</v>
      </c>
      <c r="O348" s="69" t="s">
        <v>170</v>
      </c>
      <c r="P348" s="69"/>
      <c r="Q348" s="69"/>
      <c r="R348" s="69"/>
      <c r="S348" s="69"/>
      <c r="T348" s="212"/>
      <c r="U348" s="167"/>
      <c r="V348" s="167"/>
      <c r="W348" s="167"/>
      <c r="X348" s="167"/>
      <c r="Y348" s="167"/>
      <c r="Z348" s="167"/>
      <c r="AA348" s="167"/>
      <c r="AB348" s="167"/>
      <c r="AC348" s="167"/>
      <c r="AD348" s="167"/>
      <c r="AE348" s="167"/>
      <c r="AF348" s="167"/>
      <c r="AG348" s="167"/>
      <c r="AH348" s="167"/>
      <c r="AI348" s="167"/>
      <c r="AJ348" s="73">
        <v>42877</v>
      </c>
      <c r="AK348" s="648"/>
      <c r="AL348" s="82"/>
    </row>
    <row r="349" spans="1:38" ht="50.1" customHeight="1" x14ac:dyDescent="0.2">
      <c r="A349" s="298"/>
      <c r="B349" s="41" t="s">
        <v>1137</v>
      </c>
      <c r="C349" s="41"/>
      <c r="D349" s="41"/>
      <c r="E349" s="30" t="s">
        <v>2783</v>
      </c>
      <c r="F349" s="196" t="s">
        <v>2782</v>
      </c>
      <c r="G349" s="30" t="s">
        <v>2784</v>
      </c>
      <c r="H349" s="41" t="s">
        <v>1806</v>
      </c>
      <c r="I349" s="41"/>
      <c r="J349" s="30" t="s">
        <v>2785</v>
      </c>
      <c r="K349" s="41" t="s">
        <v>1393</v>
      </c>
      <c r="L349" s="41" t="s">
        <v>810</v>
      </c>
      <c r="M349" s="30" t="s">
        <v>2094</v>
      </c>
      <c r="N349" s="105">
        <v>42726</v>
      </c>
      <c r="O349" s="106" t="s">
        <v>2786</v>
      </c>
      <c r="P349" s="106"/>
      <c r="Q349" s="106"/>
      <c r="R349" s="106"/>
      <c r="S349" s="106"/>
      <c r="T349" s="210"/>
      <c r="U349" s="350"/>
      <c r="V349" s="350"/>
      <c r="W349" s="350"/>
      <c r="X349" s="350"/>
      <c r="Y349" s="350"/>
      <c r="Z349" s="350"/>
      <c r="AA349" s="350"/>
      <c r="AB349" s="350"/>
      <c r="AC349" s="350"/>
      <c r="AD349" s="350"/>
      <c r="AE349" s="350"/>
      <c r="AF349" s="350"/>
      <c r="AG349" s="350"/>
      <c r="AH349" s="350"/>
      <c r="AI349" s="350"/>
      <c r="AJ349" s="73">
        <v>42877</v>
      </c>
      <c r="AK349" s="648"/>
      <c r="AL349" s="211"/>
    </row>
    <row r="350" spans="1:38" ht="50.1" customHeight="1" x14ac:dyDescent="0.2">
      <c r="A350" s="298"/>
      <c r="B350" s="41" t="s">
        <v>584</v>
      </c>
      <c r="C350" s="41"/>
      <c r="D350" s="41"/>
      <c r="E350" s="30" t="s">
        <v>2956</v>
      </c>
      <c r="F350" s="196" t="s">
        <v>2982</v>
      </c>
      <c r="G350" s="41" t="s">
        <v>297</v>
      </c>
      <c r="H350" s="41" t="s">
        <v>1806</v>
      </c>
      <c r="I350" s="41"/>
      <c r="J350" s="30" t="s">
        <v>2946</v>
      </c>
      <c r="K350" s="41" t="s">
        <v>1393</v>
      </c>
      <c r="L350" s="41" t="s">
        <v>2947</v>
      </c>
      <c r="M350" s="30" t="s">
        <v>2567</v>
      </c>
      <c r="N350" s="105">
        <v>42828</v>
      </c>
      <c r="O350" s="106" t="s">
        <v>2955</v>
      </c>
      <c r="P350" s="106"/>
      <c r="Q350" s="106"/>
      <c r="R350" s="106"/>
      <c r="S350" s="106"/>
      <c r="T350" s="212"/>
      <c r="U350" s="167"/>
      <c r="V350" s="167"/>
      <c r="W350" s="167"/>
      <c r="X350" s="167"/>
      <c r="Y350" s="167"/>
      <c r="Z350" s="167"/>
      <c r="AA350" s="167"/>
      <c r="AB350" s="167"/>
      <c r="AC350" s="167"/>
      <c r="AD350" s="167"/>
      <c r="AE350" s="167"/>
      <c r="AF350" s="167"/>
      <c r="AG350" s="167"/>
      <c r="AH350" s="167"/>
      <c r="AI350" s="167"/>
      <c r="AJ350" s="73">
        <v>42877</v>
      </c>
      <c r="AK350" s="648"/>
      <c r="AL350" s="82"/>
    </row>
    <row r="351" spans="1:38" ht="50.1" customHeight="1" x14ac:dyDescent="0.2">
      <c r="A351" s="298"/>
      <c r="B351" s="41" t="s">
        <v>1137</v>
      </c>
      <c r="C351" s="41"/>
      <c r="D351" s="41"/>
      <c r="E351" s="30" t="s">
        <v>2962</v>
      </c>
      <c r="F351" s="196" t="s">
        <v>2963</v>
      </c>
      <c r="G351" s="41" t="s">
        <v>2964</v>
      </c>
      <c r="H351" s="41" t="s">
        <v>1806</v>
      </c>
      <c r="I351" s="41"/>
      <c r="J351" s="30" t="s">
        <v>603</v>
      </c>
      <c r="K351" s="41" t="s">
        <v>1394</v>
      </c>
      <c r="L351" s="41" t="s">
        <v>12</v>
      </c>
      <c r="M351" s="30" t="s">
        <v>2567</v>
      </c>
      <c r="N351" s="105">
        <v>42857</v>
      </c>
      <c r="O351" s="106" t="s">
        <v>2965</v>
      </c>
      <c r="P351" s="106"/>
      <c r="Q351" s="106"/>
      <c r="R351" s="106"/>
      <c r="S351" s="106"/>
      <c r="T351" s="212"/>
      <c r="U351" s="167"/>
      <c r="V351" s="167"/>
      <c r="W351" s="167"/>
      <c r="X351" s="167"/>
      <c r="Y351" s="167"/>
      <c r="Z351" s="167"/>
      <c r="AA351" s="167"/>
      <c r="AB351" s="167"/>
      <c r="AC351" s="167"/>
      <c r="AD351" s="167"/>
      <c r="AE351" s="167"/>
      <c r="AF351" s="167"/>
      <c r="AG351" s="167"/>
      <c r="AH351" s="167"/>
      <c r="AI351" s="167"/>
      <c r="AJ351" s="73">
        <v>42884</v>
      </c>
      <c r="AK351" s="648"/>
      <c r="AL351" s="82"/>
    </row>
    <row r="352" spans="1:38" ht="50.1" customHeight="1" x14ac:dyDescent="0.2">
      <c r="A352" s="298"/>
      <c r="B352" s="41" t="s">
        <v>584</v>
      </c>
      <c r="C352" s="41"/>
      <c r="D352" s="41"/>
      <c r="E352" s="30" t="s">
        <v>2966</v>
      </c>
      <c r="F352" s="196" t="s">
        <v>2971</v>
      </c>
      <c r="G352" s="41" t="s">
        <v>2964</v>
      </c>
      <c r="H352" s="41" t="s">
        <v>1806</v>
      </c>
      <c r="I352" s="41"/>
      <c r="J352" s="30" t="s">
        <v>603</v>
      </c>
      <c r="K352" s="41" t="s">
        <v>1393</v>
      </c>
      <c r="L352" s="41" t="s">
        <v>12</v>
      </c>
      <c r="M352" s="30" t="s">
        <v>2567</v>
      </c>
      <c r="N352" s="105">
        <v>42857</v>
      </c>
      <c r="O352" s="106" t="s">
        <v>2967</v>
      </c>
      <c r="P352" s="106"/>
      <c r="Q352" s="106"/>
      <c r="R352" s="106"/>
      <c r="S352" s="106"/>
      <c r="T352" s="212"/>
      <c r="U352" s="167"/>
      <c r="V352" s="167"/>
      <c r="W352" s="167"/>
      <c r="X352" s="167"/>
      <c r="Y352" s="167"/>
      <c r="Z352" s="167"/>
      <c r="AA352" s="167"/>
      <c r="AB352" s="167"/>
      <c r="AC352" s="167"/>
      <c r="AD352" s="167"/>
      <c r="AE352" s="167"/>
      <c r="AF352" s="167"/>
      <c r="AG352" s="167"/>
      <c r="AH352" s="167"/>
      <c r="AI352" s="167"/>
      <c r="AJ352" s="73">
        <v>42898</v>
      </c>
      <c r="AK352" s="648"/>
      <c r="AL352" s="82"/>
    </row>
    <row r="353" spans="1:38" ht="50.1" customHeight="1" x14ac:dyDescent="0.2">
      <c r="A353" s="298"/>
      <c r="B353" s="41" t="s">
        <v>584</v>
      </c>
      <c r="C353" s="41"/>
      <c r="D353" s="41"/>
      <c r="E353" s="30" t="s">
        <v>2883</v>
      </c>
      <c r="F353" s="196" t="s">
        <v>3028</v>
      </c>
      <c r="G353" s="259" t="s">
        <v>2861</v>
      </c>
      <c r="H353" s="41" t="s">
        <v>1806</v>
      </c>
      <c r="I353" s="41"/>
      <c r="J353" s="30" t="s">
        <v>2862</v>
      </c>
      <c r="K353" s="41" t="s">
        <v>1614</v>
      </c>
      <c r="L353" s="30" t="s">
        <v>2863</v>
      </c>
      <c r="M353" s="30" t="s">
        <v>2566</v>
      </c>
      <c r="N353" s="105">
        <v>42781</v>
      </c>
      <c r="O353" s="106" t="s">
        <v>2884</v>
      </c>
      <c r="P353" s="106"/>
      <c r="Q353" s="106"/>
      <c r="R353" s="106"/>
      <c r="S353" s="106"/>
      <c r="T353" s="28" t="s">
        <v>3029</v>
      </c>
      <c r="U353" s="30"/>
      <c r="V353" s="30"/>
      <c r="W353" s="30"/>
      <c r="X353" s="30"/>
      <c r="Y353" s="30"/>
      <c r="Z353" s="30"/>
      <c r="AA353" s="30"/>
      <c r="AB353" s="30"/>
      <c r="AC353" s="30"/>
      <c r="AD353" s="30"/>
      <c r="AE353" s="30"/>
      <c r="AF353" s="30"/>
      <c r="AG353" s="30"/>
      <c r="AH353" s="30"/>
      <c r="AI353" s="30"/>
      <c r="AJ353" s="73">
        <v>42898</v>
      </c>
      <c r="AK353" s="648"/>
      <c r="AL353" s="82"/>
    </row>
    <row r="354" spans="1:38" ht="50.1" customHeight="1" x14ac:dyDescent="0.2">
      <c r="A354" s="298"/>
      <c r="B354" s="41" t="s">
        <v>1137</v>
      </c>
      <c r="C354" s="41"/>
      <c r="D354" s="41"/>
      <c r="E354" s="30" t="s">
        <v>2746</v>
      </c>
      <c r="F354" s="196" t="s">
        <v>2744</v>
      </c>
      <c r="G354" s="30" t="s">
        <v>2744</v>
      </c>
      <c r="H354" s="41" t="s">
        <v>112</v>
      </c>
      <c r="I354" s="41"/>
      <c r="J354" s="41" t="s">
        <v>2741</v>
      </c>
      <c r="K354" s="41" t="s">
        <v>1394</v>
      </c>
      <c r="L354" s="41" t="s">
        <v>879</v>
      </c>
      <c r="M354" s="29" t="s">
        <v>2753</v>
      </c>
      <c r="N354" s="105">
        <v>42668</v>
      </c>
      <c r="O354" s="41">
        <v>2430337161</v>
      </c>
      <c r="P354" s="41"/>
      <c r="Q354" s="41"/>
      <c r="R354" s="41"/>
      <c r="S354" s="41"/>
      <c r="T354" s="212" t="s">
        <v>3144</v>
      </c>
      <c r="U354" s="167"/>
      <c r="V354" s="167"/>
      <c r="W354" s="167"/>
      <c r="X354" s="167"/>
      <c r="Y354" s="167"/>
      <c r="Z354" s="167"/>
      <c r="AA354" s="167"/>
      <c r="AB354" s="167"/>
      <c r="AC354" s="167"/>
      <c r="AD354" s="167"/>
      <c r="AE354" s="167"/>
      <c r="AF354" s="167"/>
      <c r="AG354" s="167"/>
      <c r="AH354" s="167"/>
      <c r="AI354" s="167"/>
      <c r="AJ354" s="73">
        <v>42905</v>
      </c>
      <c r="AK354" s="648"/>
      <c r="AL354" s="82"/>
    </row>
    <row r="355" spans="1:38" ht="50.1" customHeight="1" x14ac:dyDescent="0.2">
      <c r="A355" s="298"/>
      <c r="B355" s="41" t="s">
        <v>584</v>
      </c>
      <c r="C355" s="41"/>
      <c r="D355" s="41"/>
      <c r="E355" s="30" t="s">
        <v>2460</v>
      </c>
      <c r="F355" s="196" t="s">
        <v>2461</v>
      </c>
      <c r="G355" s="41" t="s">
        <v>548</v>
      </c>
      <c r="H355" s="41" t="s">
        <v>112</v>
      </c>
      <c r="I355" s="41"/>
      <c r="J355" s="30" t="s">
        <v>960</v>
      </c>
      <c r="K355" s="41" t="s">
        <v>1162</v>
      </c>
      <c r="L355" s="41" t="s">
        <v>2462</v>
      </c>
      <c r="M355" s="30" t="s">
        <v>2446</v>
      </c>
      <c r="N355" s="105">
        <v>42433</v>
      </c>
      <c r="O355" s="106" t="s">
        <v>2466</v>
      </c>
      <c r="P355" s="106"/>
      <c r="Q355" s="106"/>
      <c r="R355" s="106"/>
      <c r="S355" s="106"/>
      <c r="T355" s="224" t="s">
        <v>3145</v>
      </c>
      <c r="U355" s="771"/>
      <c r="V355" s="771"/>
      <c r="W355" s="771"/>
      <c r="X355" s="771"/>
      <c r="Y355" s="771"/>
      <c r="Z355" s="771"/>
      <c r="AA355" s="771"/>
      <c r="AB355" s="771"/>
      <c r="AC355" s="771"/>
      <c r="AD355" s="771"/>
      <c r="AE355" s="771"/>
      <c r="AF355" s="771"/>
      <c r="AG355" s="771"/>
      <c r="AH355" s="771"/>
      <c r="AI355" s="771"/>
      <c r="AJ355" s="73">
        <v>42905</v>
      </c>
      <c r="AK355" s="648"/>
      <c r="AL355" s="211"/>
    </row>
    <row r="356" spans="1:38" ht="50.1" customHeight="1" x14ac:dyDescent="0.2">
      <c r="A356" s="298"/>
      <c r="B356" s="41" t="s">
        <v>584</v>
      </c>
      <c r="C356" s="41"/>
      <c r="D356" s="41"/>
      <c r="E356" s="30" t="s">
        <v>2868</v>
      </c>
      <c r="F356" s="196" t="s">
        <v>3030</v>
      </c>
      <c r="G356" s="41" t="s">
        <v>2744</v>
      </c>
      <c r="H356" s="30" t="s">
        <v>1806</v>
      </c>
      <c r="I356" s="30"/>
      <c r="J356" s="30" t="s">
        <v>2869</v>
      </c>
      <c r="K356" s="41" t="s">
        <v>1393</v>
      </c>
      <c r="L356" s="41" t="s">
        <v>685</v>
      </c>
      <c r="M356" s="30" t="s">
        <v>2873</v>
      </c>
      <c r="N356" s="105">
        <v>42696</v>
      </c>
      <c r="O356" s="106" t="s">
        <v>2889</v>
      </c>
      <c r="P356" s="106"/>
      <c r="Q356" s="106"/>
      <c r="R356" s="106"/>
      <c r="S356" s="106"/>
      <c r="T356" s="212"/>
      <c r="U356" s="167"/>
      <c r="V356" s="167"/>
      <c r="W356" s="167"/>
      <c r="X356" s="167"/>
      <c r="Y356" s="167"/>
      <c r="Z356" s="167"/>
      <c r="AA356" s="167"/>
      <c r="AB356" s="167"/>
      <c r="AC356" s="167"/>
      <c r="AD356" s="167"/>
      <c r="AE356" s="167"/>
      <c r="AF356" s="167"/>
      <c r="AG356" s="167"/>
      <c r="AH356" s="167"/>
      <c r="AI356" s="167"/>
      <c r="AJ356" s="73">
        <v>42912</v>
      </c>
      <c r="AK356" s="648"/>
      <c r="AL356" s="82"/>
    </row>
    <row r="357" spans="1:38" ht="50.1" customHeight="1" x14ac:dyDescent="0.2">
      <c r="A357" s="298"/>
      <c r="B357" s="41" t="s">
        <v>584</v>
      </c>
      <c r="C357" s="41"/>
      <c r="D357" s="41"/>
      <c r="E357" s="30" t="s">
        <v>2767</v>
      </c>
      <c r="F357" s="196" t="s">
        <v>3031</v>
      </c>
      <c r="G357" s="41" t="s">
        <v>2740</v>
      </c>
      <c r="H357" s="30" t="s">
        <v>1806</v>
      </c>
      <c r="I357" s="30"/>
      <c r="J357" s="30" t="s">
        <v>2765</v>
      </c>
      <c r="K357" s="41" t="s">
        <v>1393</v>
      </c>
      <c r="L357" s="41" t="s">
        <v>2766</v>
      </c>
      <c r="M357" s="30" t="s">
        <v>2873</v>
      </c>
      <c r="N357" s="105">
        <v>42696</v>
      </c>
      <c r="O357" s="106" t="s">
        <v>2768</v>
      </c>
      <c r="P357" s="106"/>
      <c r="Q357" s="106"/>
      <c r="R357" s="106"/>
      <c r="S357" s="106"/>
      <c r="T357" s="212" t="s">
        <v>3292</v>
      </c>
      <c r="U357" s="167"/>
      <c r="V357" s="167"/>
      <c r="W357" s="167"/>
      <c r="X357" s="167"/>
      <c r="Y357" s="167"/>
      <c r="Z357" s="167"/>
      <c r="AA357" s="167"/>
      <c r="AB357" s="167"/>
      <c r="AC357" s="167"/>
      <c r="AD357" s="167"/>
      <c r="AE357" s="167"/>
      <c r="AF357" s="167"/>
      <c r="AG357" s="167"/>
      <c r="AH357" s="167"/>
      <c r="AI357" s="167"/>
      <c r="AJ357" s="73">
        <v>42912</v>
      </c>
      <c r="AK357" s="648"/>
      <c r="AL357" s="82"/>
    </row>
    <row r="358" spans="1:38" ht="50.1" customHeight="1" x14ac:dyDescent="0.2">
      <c r="A358" s="298"/>
      <c r="B358" s="41" t="s">
        <v>584</v>
      </c>
      <c r="C358" s="41"/>
      <c r="D358" s="41"/>
      <c r="E358" s="30" t="s">
        <v>2997</v>
      </c>
      <c r="F358" s="196" t="s">
        <v>3034</v>
      </c>
      <c r="G358" s="41" t="s">
        <v>2096</v>
      </c>
      <c r="H358" s="41" t="s">
        <v>1806</v>
      </c>
      <c r="I358" s="41"/>
      <c r="J358" s="30" t="s">
        <v>763</v>
      </c>
      <c r="K358" s="41" t="s">
        <v>1393</v>
      </c>
      <c r="L358" s="41" t="s">
        <v>1286</v>
      </c>
      <c r="M358" s="30" t="s">
        <v>2567</v>
      </c>
      <c r="N358" s="105">
        <v>42887</v>
      </c>
      <c r="O358" s="106" t="s">
        <v>2998</v>
      </c>
      <c r="P358" s="106"/>
      <c r="Q358" s="106"/>
      <c r="R358" s="106"/>
      <c r="S358" s="106"/>
      <c r="T358" s="212"/>
      <c r="U358" s="167"/>
      <c r="V358" s="167"/>
      <c r="W358" s="167"/>
      <c r="X358" s="167"/>
      <c r="Y358" s="167"/>
      <c r="Z358" s="167"/>
      <c r="AA358" s="167"/>
      <c r="AB358" s="167"/>
      <c r="AC358" s="167"/>
      <c r="AD358" s="167"/>
      <c r="AE358" s="167"/>
      <c r="AF358" s="167"/>
      <c r="AG358" s="167"/>
      <c r="AH358" s="167"/>
      <c r="AI358" s="167"/>
      <c r="AJ358" s="73">
        <v>42926</v>
      </c>
      <c r="AK358" s="648"/>
      <c r="AL358" s="82"/>
    </row>
    <row r="359" spans="1:38" ht="50.1" customHeight="1" x14ac:dyDescent="0.2">
      <c r="A359" s="298"/>
      <c r="B359" s="41" t="s">
        <v>584</v>
      </c>
      <c r="C359" s="41"/>
      <c r="D359" s="41"/>
      <c r="E359" s="30" t="s">
        <v>2995</v>
      </c>
      <c r="F359" s="196" t="s">
        <v>3034</v>
      </c>
      <c r="G359" s="41" t="s">
        <v>2096</v>
      </c>
      <c r="H359" s="41" t="s">
        <v>1806</v>
      </c>
      <c r="I359" s="41"/>
      <c r="J359" s="30" t="s">
        <v>102</v>
      </c>
      <c r="K359" s="41" t="s">
        <v>1393</v>
      </c>
      <c r="L359" s="41" t="s">
        <v>1616</v>
      </c>
      <c r="M359" s="30" t="s">
        <v>2567</v>
      </c>
      <c r="N359" s="105">
        <v>42887</v>
      </c>
      <c r="O359" s="106" t="s">
        <v>2996</v>
      </c>
      <c r="P359" s="106"/>
      <c r="Q359" s="106"/>
      <c r="R359" s="106"/>
      <c r="S359" s="106"/>
      <c r="T359" s="212"/>
      <c r="U359" s="167"/>
      <c r="V359" s="167"/>
      <c r="W359" s="167"/>
      <c r="X359" s="167"/>
      <c r="Y359" s="167"/>
      <c r="Z359" s="167"/>
      <c r="AA359" s="167"/>
      <c r="AB359" s="167"/>
      <c r="AC359" s="167"/>
      <c r="AD359" s="167"/>
      <c r="AE359" s="167"/>
      <c r="AF359" s="167"/>
      <c r="AG359" s="167"/>
      <c r="AH359" s="167"/>
      <c r="AI359" s="167"/>
      <c r="AJ359" s="73">
        <v>42926</v>
      </c>
      <c r="AK359" s="648"/>
      <c r="AL359" s="82"/>
    </row>
    <row r="360" spans="1:38" ht="50.1" customHeight="1" x14ac:dyDescent="0.2">
      <c r="A360" s="298"/>
      <c r="B360" s="41" t="s">
        <v>1137</v>
      </c>
      <c r="C360" s="41"/>
      <c r="D360" s="41"/>
      <c r="E360" s="30" t="s">
        <v>2989</v>
      </c>
      <c r="F360" s="196" t="s">
        <v>2986</v>
      </c>
      <c r="G360" s="30" t="s">
        <v>2984</v>
      </c>
      <c r="H360" s="41" t="s">
        <v>1806</v>
      </c>
      <c r="I360" s="41"/>
      <c r="J360" s="30" t="s">
        <v>2985</v>
      </c>
      <c r="K360" s="41" t="s">
        <v>1392</v>
      </c>
      <c r="L360" s="41" t="s">
        <v>1616</v>
      </c>
      <c r="M360" s="30" t="s">
        <v>2567</v>
      </c>
      <c r="N360" s="105">
        <v>42886</v>
      </c>
      <c r="O360" s="106" t="s">
        <v>2990</v>
      </c>
      <c r="P360" s="106"/>
      <c r="Q360" s="106"/>
      <c r="R360" s="106"/>
      <c r="S360" s="106"/>
      <c r="T360" s="212" t="s">
        <v>3301</v>
      </c>
      <c r="U360" s="167"/>
      <c r="V360" s="167"/>
      <c r="W360" s="167"/>
      <c r="X360" s="167"/>
      <c r="Y360" s="167"/>
      <c r="Z360" s="167"/>
      <c r="AA360" s="167"/>
      <c r="AB360" s="167"/>
      <c r="AC360" s="167"/>
      <c r="AD360" s="167"/>
      <c r="AE360" s="167"/>
      <c r="AF360" s="167"/>
      <c r="AG360" s="167"/>
      <c r="AH360" s="167"/>
      <c r="AI360" s="167"/>
      <c r="AJ360" s="73">
        <v>42933</v>
      </c>
      <c r="AK360" s="648"/>
      <c r="AL360" s="82"/>
    </row>
    <row r="361" spans="1:38" ht="50.1" customHeight="1" x14ac:dyDescent="0.2">
      <c r="A361" s="298"/>
      <c r="B361" s="41" t="s">
        <v>1137</v>
      </c>
      <c r="C361" s="41"/>
      <c r="D361" s="41"/>
      <c r="E361" s="30" t="s">
        <v>2303</v>
      </c>
      <c r="F361" s="196" t="s">
        <v>2304</v>
      </c>
      <c r="G361" s="41" t="s">
        <v>2042</v>
      </c>
      <c r="H361" s="41" t="s">
        <v>1806</v>
      </c>
      <c r="I361" s="41"/>
      <c r="J361" s="30" t="s">
        <v>2305</v>
      </c>
      <c r="K361" s="41" t="s">
        <v>1394</v>
      </c>
      <c r="L361" s="30" t="s">
        <v>2306</v>
      </c>
      <c r="M361" s="30" t="s">
        <v>2094</v>
      </c>
      <c r="N361" s="105">
        <v>42353</v>
      </c>
      <c r="O361" s="106" t="s">
        <v>2307</v>
      </c>
      <c r="P361" s="106"/>
      <c r="Q361" s="106"/>
      <c r="R361" s="106"/>
      <c r="S361" s="106"/>
      <c r="T361" s="212"/>
      <c r="U361" s="167"/>
      <c r="V361" s="167"/>
      <c r="W361" s="167"/>
      <c r="X361" s="167"/>
      <c r="Y361" s="167"/>
      <c r="Z361" s="167"/>
      <c r="AA361" s="167"/>
      <c r="AB361" s="167"/>
      <c r="AC361" s="167"/>
      <c r="AD361" s="167"/>
      <c r="AE361" s="167"/>
      <c r="AF361" s="167"/>
      <c r="AG361" s="167"/>
      <c r="AH361" s="167"/>
      <c r="AI361" s="167"/>
      <c r="AJ361" s="73">
        <v>42940</v>
      </c>
      <c r="AK361" s="648"/>
      <c r="AL361" s="82"/>
    </row>
    <row r="362" spans="1:38" ht="50.1" customHeight="1" x14ac:dyDescent="0.2">
      <c r="A362" s="298"/>
      <c r="B362" s="41" t="s">
        <v>584</v>
      </c>
      <c r="C362" s="41"/>
      <c r="D362" s="41"/>
      <c r="E362" s="30" t="s">
        <v>2805</v>
      </c>
      <c r="F362" s="196" t="s">
        <v>2806</v>
      </c>
      <c r="G362" s="41" t="s">
        <v>1941</v>
      </c>
      <c r="H362" s="41" t="s">
        <v>112</v>
      </c>
      <c r="I362" s="41"/>
      <c r="J362" s="30" t="s">
        <v>195</v>
      </c>
      <c r="K362" s="41" t="s">
        <v>454</v>
      </c>
      <c r="L362" s="41" t="s">
        <v>685</v>
      </c>
      <c r="M362" s="30" t="s">
        <v>2807</v>
      </c>
      <c r="N362" s="105">
        <v>42751</v>
      </c>
      <c r="O362" s="106" t="s">
        <v>2814</v>
      </c>
      <c r="P362" s="106"/>
      <c r="Q362" s="106"/>
      <c r="R362" s="106"/>
      <c r="S362" s="106"/>
      <c r="T362" s="225"/>
      <c r="U362" s="772"/>
      <c r="V362" s="772"/>
      <c r="W362" s="772"/>
      <c r="X362" s="772"/>
      <c r="Y362" s="772"/>
      <c r="Z362" s="772"/>
      <c r="AA362" s="772"/>
      <c r="AB362" s="772"/>
      <c r="AC362" s="772"/>
      <c r="AD362" s="772"/>
      <c r="AE362" s="772"/>
      <c r="AF362" s="772"/>
      <c r="AG362" s="772"/>
      <c r="AH362" s="772"/>
      <c r="AI362" s="772"/>
      <c r="AJ362" s="73">
        <v>42948</v>
      </c>
      <c r="AK362" s="648"/>
      <c r="AL362" s="646"/>
    </row>
    <row r="363" spans="1:38" ht="50.1" customHeight="1" x14ac:dyDescent="0.2">
      <c r="A363" s="298"/>
      <c r="B363" s="68" t="s">
        <v>1137</v>
      </c>
      <c r="C363" s="68"/>
      <c r="D363" s="68"/>
      <c r="E363" s="29" t="s">
        <v>1291</v>
      </c>
      <c r="F363" s="104" t="s">
        <v>1560</v>
      </c>
      <c r="G363" s="29" t="s">
        <v>1560</v>
      </c>
      <c r="H363" s="29" t="s">
        <v>1065</v>
      </c>
      <c r="I363" s="29"/>
      <c r="J363" s="29" t="s">
        <v>1280</v>
      </c>
      <c r="K363" s="29" t="s">
        <v>1394</v>
      </c>
      <c r="L363" s="29" t="s">
        <v>12</v>
      </c>
      <c r="M363" s="29" t="s">
        <v>1528</v>
      </c>
      <c r="N363" s="226">
        <v>41625</v>
      </c>
      <c r="O363" s="69" t="s">
        <v>1975</v>
      </c>
      <c r="P363" s="69"/>
      <c r="Q363" s="69"/>
      <c r="R363" s="69"/>
      <c r="S363" s="69"/>
      <c r="T363" s="212"/>
      <c r="U363" s="167"/>
      <c r="V363" s="167"/>
      <c r="W363" s="167"/>
      <c r="X363" s="167"/>
      <c r="Y363" s="167"/>
      <c r="Z363" s="167"/>
      <c r="AA363" s="167"/>
      <c r="AB363" s="167"/>
      <c r="AC363" s="167"/>
      <c r="AD363" s="167"/>
      <c r="AE363" s="167"/>
      <c r="AF363" s="167"/>
      <c r="AG363" s="167"/>
      <c r="AH363" s="167"/>
      <c r="AI363" s="167"/>
      <c r="AJ363" s="73">
        <v>42954</v>
      </c>
      <c r="AK363" s="648"/>
      <c r="AL363" s="82"/>
    </row>
    <row r="364" spans="1:38" ht="50.1" customHeight="1" x14ac:dyDescent="0.2">
      <c r="A364" s="298"/>
      <c r="B364" s="41" t="s">
        <v>584</v>
      </c>
      <c r="C364" s="41"/>
      <c r="D364" s="41"/>
      <c r="E364" s="30" t="s">
        <v>456</v>
      </c>
      <c r="F364" s="196" t="s">
        <v>2836</v>
      </c>
      <c r="G364" s="30" t="s">
        <v>2838</v>
      </c>
      <c r="H364" s="107" t="s">
        <v>112</v>
      </c>
      <c r="I364" s="107"/>
      <c r="J364" s="30" t="s">
        <v>2839</v>
      </c>
      <c r="K364" s="41" t="s">
        <v>1162</v>
      </c>
      <c r="L364" s="41" t="s">
        <v>879</v>
      </c>
      <c r="M364" s="30" t="s">
        <v>2840</v>
      </c>
      <c r="N364" s="105">
        <v>42762</v>
      </c>
      <c r="O364" s="106" t="s">
        <v>2843</v>
      </c>
      <c r="P364" s="106"/>
      <c r="Q364" s="106"/>
      <c r="R364" s="106"/>
      <c r="S364" s="106"/>
      <c r="T364" s="173" t="s">
        <v>2837</v>
      </c>
      <c r="U364" s="173"/>
      <c r="V364" s="173"/>
      <c r="W364" s="173"/>
      <c r="X364" s="173"/>
      <c r="Y364" s="173"/>
      <c r="Z364" s="173"/>
      <c r="AA364" s="173"/>
      <c r="AB364" s="173"/>
      <c r="AC364" s="173"/>
      <c r="AD364" s="173"/>
      <c r="AE364" s="173"/>
      <c r="AF364" s="173"/>
      <c r="AG364" s="173"/>
      <c r="AH364" s="173"/>
      <c r="AI364" s="173"/>
      <c r="AJ364" s="74">
        <v>42968</v>
      </c>
      <c r="AK364" s="720"/>
      <c r="AL364" s="155"/>
    </row>
    <row r="365" spans="1:38" ht="50.1" customHeight="1" x14ac:dyDescent="0.2">
      <c r="A365" s="298"/>
      <c r="B365" s="68" t="s">
        <v>1137</v>
      </c>
      <c r="C365" s="68"/>
      <c r="D365" s="68"/>
      <c r="E365" s="74" t="s">
        <v>1378</v>
      </c>
      <c r="F365" s="198" t="s">
        <v>1766</v>
      </c>
      <c r="G365" s="74" t="s">
        <v>1400</v>
      </c>
      <c r="H365" s="29" t="s">
        <v>1065</v>
      </c>
      <c r="I365" s="29"/>
      <c r="J365" s="29" t="s">
        <v>1280</v>
      </c>
      <c r="K365" s="74" t="s">
        <v>1393</v>
      </c>
      <c r="L365" s="74" t="s">
        <v>12</v>
      </c>
      <c r="M365" s="38" t="s">
        <v>3092</v>
      </c>
      <c r="N365" s="204">
        <v>41663</v>
      </c>
      <c r="O365" s="228" t="s">
        <v>1389</v>
      </c>
      <c r="P365" s="228"/>
      <c r="Q365" s="228"/>
      <c r="R365" s="228"/>
      <c r="S365" s="228"/>
      <c r="T365" s="28" t="s">
        <v>3063</v>
      </c>
      <c r="U365" s="30"/>
      <c r="V365" s="30"/>
      <c r="W365" s="30"/>
      <c r="X365" s="30"/>
      <c r="Y365" s="30"/>
      <c r="Z365" s="30"/>
      <c r="AA365" s="30"/>
      <c r="AB365" s="30"/>
      <c r="AC365" s="30"/>
      <c r="AD365" s="30"/>
      <c r="AE365" s="30"/>
      <c r="AF365" s="30"/>
      <c r="AG365" s="30"/>
      <c r="AH365" s="30"/>
      <c r="AI365" s="30"/>
      <c r="AJ365" s="73">
        <v>42975</v>
      </c>
      <c r="AK365" s="648"/>
      <c r="AL365" s="82"/>
    </row>
    <row r="366" spans="1:38" ht="50.1" customHeight="1" x14ac:dyDescent="0.2">
      <c r="A366" s="298"/>
      <c r="B366" s="41" t="s">
        <v>584</v>
      </c>
      <c r="C366" s="41"/>
      <c r="D366" s="41"/>
      <c r="E366" s="38" t="s">
        <v>1379</v>
      </c>
      <c r="F366" s="201" t="s">
        <v>1767</v>
      </c>
      <c r="G366" s="38" t="s">
        <v>1400</v>
      </c>
      <c r="H366" s="29" t="s">
        <v>1065</v>
      </c>
      <c r="I366" s="29"/>
      <c r="J366" s="29" t="s">
        <v>1280</v>
      </c>
      <c r="K366" s="38" t="s">
        <v>1393</v>
      </c>
      <c r="L366" s="38" t="s">
        <v>12</v>
      </c>
      <c r="M366" s="188" t="s">
        <v>3092</v>
      </c>
      <c r="N366" s="204">
        <v>41663</v>
      </c>
      <c r="O366" s="106" t="s">
        <v>1586</v>
      </c>
      <c r="P366" s="106"/>
      <c r="Q366" s="106"/>
      <c r="R366" s="106"/>
      <c r="S366" s="106"/>
      <c r="T366" s="28" t="s">
        <v>3063</v>
      </c>
      <c r="U366" s="30"/>
      <c r="V366" s="30"/>
      <c r="W366" s="30"/>
      <c r="X366" s="30"/>
      <c r="Y366" s="30"/>
      <c r="Z366" s="30"/>
      <c r="AA366" s="30"/>
      <c r="AB366" s="30"/>
      <c r="AC366" s="30"/>
      <c r="AD366" s="30"/>
      <c r="AE366" s="30"/>
      <c r="AF366" s="30"/>
      <c r="AG366" s="30"/>
      <c r="AH366" s="30"/>
      <c r="AI366" s="30"/>
      <c r="AJ366" s="73">
        <v>42975</v>
      </c>
      <c r="AK366" s="720"/>
      <c r="AL366" s="227"/>
    </row>
    <row r="367" spans="1:38" ht="50.1" customHeight="1" x14ac:dyDescent="0.2">
      <c r="A367" s="298"/>
      <c r="B367" s="41" t="s">
        <v>584</v>
      </c>
      <c r="C367" s="41"/>
      <c r="D367" s="41"/>
      <c r="E367" s="30" t="s">
        <v>3026</v>
      </c>
      <c r="F367" s="196" t="s">
        <v>2987</v>
      </c>
      <c r="G367" s="30" t="s">
        <v>1804</v>
      </c>
      <c r="H367" s="41" t="s">
        <v>1806</v>
      </c>
      <c r="I367" s="41"/>
      <c r="J367" s="30" t="s">
        <v>2988</v>
      </c>
      <c r="K367" s="41" t="s">
        <v>1393</v>
      </c>
      <c r="L367" s="41" t="s">
        <v>2991</v>
      </c>
      <c r="M367" s="30" t="s">
        <v>2567</v>
      </c>
      <c r="N367" s="105">
        <v>42895</v>
      </c>
      <c r="O367" s="106" t="s">
        <v>3027</v>
      </c>
      <c r="P367" s="106"/>
      <c r="Q367" s="106"/>
      <c r="R367" s="106"/>
      <c r="S367" s="106"/>
      <c r="T367" s="28" t="s">
        <v>3064</v>
      </c>
      <c r="U367" s="30"/>
      <c r="V367" s="30"/>
      <c r="W367" s="30"/>
      <c r="X367" s="30"/>
      <c r="Y367" s="30"/>
      <c r="Z367" s="30"/>
      <c r="AA367" s="30"/>
      <c r="AB367" s="30"/>
      <c r="AC367" s="30"/>
      <c r="AD367" s="30"/>
      <c r="AE367" s="30"/>
      <c r="AF367" s="30"/>
      <c r="AG367" s="30"/>
      <c r="AH367" s="30"/>
      <c r="AI367" s="30"/>
      <c r="AJ367" s="73">
        <v>42989</v>
      </c>
      <c r="AK367" s="720"/>
      <c r="AL367" s="227"/>
    </row>
    <row r="368" spans="1:38" ht="50.1" customHeight="1" x14ac:dyDescent="0.2">
      <c r="A368" s="298"/>
      <c r="B368" s="41" t="s">
        <v>584</v>
      </c>
      <c r="C368" s="41"/>
      <c r="D368" s="41"/>
      <c r="E368" s="30" t="s">
        <v>3035</v>
      </c>
      <c r="F368" s="196" t="s">
        <v>3065</v>
      </c>
      <c r="G368" s="30" t="s">
        <v>294</v>
      </c>
      <c r="H368" s="41" t="s">
        <v>1806</v>
      </c>
      <c r="I368" s="41"/>
      <c r="J368" s="30" t="s">
        <v>3037</v>
      </c>
      <c r="K368" s="41" t="s">
        <v>1393</v>
      </c>
      <c r="L368" s="41" t="s">
        <v>1616</v>
      </c>
      <c r="M368" s="30" t="s">
        <v>2567</v>
      </c>
      <c r="N368" s="105">
        <v>42929</v>
      </c>
      <c r="O368" s="106" t="s">
        <v>3036</v>
      </c>
      <c r="P368" s="106"/>
      <c r="Q368" s="106"/>
      <c r="R368" s="106"/>
      <c r="S368" s="106"/>
      <c r="T368" s="28" t="s">
        <v>3066</v>
      </c>
      <c r="U368" s="30"/>
      <c r="V368" s="30"/>
      <c r="W368" s="30"/>
      <c r="X368" s="30"/>
      <c r="Y368" s="30"/>
      <c r="Z368" s="30"/>
      <c r="AA368" s="30"/>
      <c r="AB368" s="30"/>
      <c r="AC368" s="30"/>
      <c r="AD368" s="30"/>
      <c r="AE368" s="30"/>
      <c r="AF368" s="30"/>
      <c r="AG368" s="30"/>
      <c r="AH368" s="30"/>
      <c r="AI368" s="30"/>
      <c r="AJ368" s="73">
        <v>42989</v>
      </c>
      <c r="AK368" s="720"/>
      <c r="AL368" s="227"/>
    </row>
    <row r="369" spans="1:38" ht="50.1" customHeight="1" x14ac:dyDescent="0.2">
      <c r="A369" s="298"/>
      <c r="B369" s="41" t="s">
        <v>584</v>
      </c>
      <c r="C369" s="41"/>
      <c r="D369" s="41"/>
      <c r="E369" s="30" t="s">
        <v>2966</v>
      </c>
      <c r="F369" s="196" t="s">
        <v>2971</v>
      </c>
      <c r="G369" s="41" t="s">
        <v>2964</v>
      </c>
      <c r="H369" s="41" t="s">
        <v>1806</v>
      </c>
      <c r="I369" s="41"/>
      <c r="J369" s="30" t="s">
        <v>603</v>
      </c>
      <c r="K369" s="41" t="s">
        <v>1393</v>
      </c>
      <c r="L369" s="41" t="s">
        <v>12</v>
      </c>
      <c r="M369" s="30" t="s">
        <v>2634</v>
      </c>
      <c r="N369" s="105">
        <v>42920</v>
      </c>
      <c r="O369" s="106" t="s">
        <v>3032</v>
      </c>
      <c r="P369" s="106"/>
      <c r="Q369" s="106"/>
      <c r="R369" s="106"/>
      <c r="S369" s="106"/>
      <c r="T369" s="30" t="s">
        <v>3060</v>
      </c>
      <c r="U369" s="30"/>
      <c r="V369" s="30"/>
      <c r="W369" s="30"/>
      <c r="X369" s="30"/>
      <c r="Y369" s="30"/>
      <c r="Z369" s="30"/>
      <c r="AA369" s="30"/>
      <c r="AB369" s="30"/>
      <c r="AC369" s="30"/>
      <c r="AD369" s="30"/>
      <c r="AE369" s="30"/>
      <c r="AF369" s="30"/>
      <c r="AG369" s="30"/>
      <c r="AH369" s="30"/>
      <c r="AI369" s="30"/>
      <c r="AJ369" s="73">
        <v>42996</v>
      </c>
      <c r="AK369" s="720"/>
      <c r="AL369" s="227"/>
    </row>
    <row r="370" spans="1:38" ht="50.1" customHeight="1" x14ac:dyDescent="0.2">
      <c r="A370" s="298"/>
      <c r="B370" s="41" t="s">
        <v>1137</v>
      </c>
      <c r="C370" s="41"/>
      <c r="D370" s="41"/>
      <c r="E370" s="209" t="s">
        <v>2645</v>
      </c>
      <c r="F370" s="764" t="s">
        <v>2621</v>
      </c>
      <c r="G370" s="209" t="s">
        <v>2621</v>
      </c>
      <c r="H370" s="30" t="s">
        <v>2624</v>
      </c>
      <c r="I370" s="30"/>
      <c r="J370" s="30" t="s">
        <v>25</v>
      </c>
      <c r="K370" s="29" t="s">
        <v>1394</v>
      </c>
      <c r="L370" s="209" t="s">
        <v>685</v>
      </c>
      <c r="M370" s="30" t="s">
        <v>1528</v>
      </c>
      <c r="N370" s="31">
        <v>42580</v>
      </c>
      <c r="O370" s="209">
        <v>2146272161</v>
      </c>
      <c r="P370" s="209"/>
      <c r="Q370" s="209"/>
      <c r="R370" s="209"/>
      <c r="S370" s="209"/>
      <c r="T370" s="30" t="s">
        <v>3058</v>
      </c>
      <c r="U370" s="30"/>
      <c r="V370" s="30"/>
      <c r="W370" s="30"/>
      <c r="X370" s="30"/>
      <c r="Y370" s="30"/>
      <c r="Z370" s="30"/>
      <c r="AA370" s="30"/>
      <c r="AB370" s="30"/>
      <c r="AC370" s="30"/>
      <c r="AD370" s="30"/>
      <c r="AE370" s="30"/>
      <c r="AF370" s="30"/>
      <c r="AG370" s="30"/>
      <c r="AH370" s="30"/>
      <c r="AI370" s="30"/>
      <c r="AJ370" s="73">
        <v>43010</v>
      </c>
      <c r="AK370" s="720"/>
      <c r="AL370" s="227"/>
    </row>
    <row r="371" spans="1:38" ht="50.1" customHeight="1" x14ac:dyDescent="0.2">
      <c r="A371" s="298"/>
      <c r="B371" s="107" t="s">
        <v>1137</v>
      </c>
      <c r="C371" s="107"/>
      <c r="D371" s="107"/>
      <c r="E371" s="30" t="s">
        <v>2293</v>
      </c>
      <c r="F371" s="104" t="s">
        <v>3033</v>
      </c>
      <c r="G371" s="30" t="s">
        <v>2259</v>
      </c>
      <c r="H371" s="41" t="s">
        <v>1806</v>
      </c>
      <c r="I371" s="41"/>
      <c r="J371" s="30" t="s">
        <v>1056</v>
      </c>
      <c r="K371" s="38" t="s">
        <v>1393</v>
      </c>
      <c r="L371" s="38" t="s">
        <v>18</v>
      </c>
      <c r="M371" s="29" t="s">
        <v>1615</v>
      </c>
      <c r="N371" s="105">
        <v>42367</v>
      </c>
      <c r="O371" s="69" t="s">
        <v>2299</v>
      </c>
      <c r="P371" s="69"/>
      <c r="Q371" s="69"/>
      <c r="R371" s="69"/>
      <c r="S371" s="69"/>
      <c r="T371" s="30" t="s">
        <v>3069</v>
      </c>
      <c r="U371" s="30"/>
      <c r="V371" s="30"/>
      <c r="W371" s="30"/>
      <c r="X371" s="30"/>
      <c r="Y371" s="30"/>
      <c r="Z371" s="30"/>
      <c r="AA371" s="30"/>
      <c r="AB371" s="30"/>
      <c r="AC371" s="30"/>
      <c r="AD371" s="30"/>
      <c r="AE371" s="30"/>
      <c r="AF371" s="30"/>
      <c r="AG371" s="30"/>
      <c r="AH371" s="30"/>
      <c r="AI371" s="30"/>
      <c r="AJ371" s="73">
        <v>43017</v>
      </c>
      <c r="AK371" s="720"/>
      <c r="AL371" s="227"/>
    </row>
    <row r="372" spans="1:38" ht="50.1" customHeight="1" x14ac:dyDescent="0.2">
      <c r="A372" s="298"/>
      <c r="B372" s="41" t="s">
        <v>584</v>
      </c>
      <c r="C372" s="41"/>
      <c r="D372" s="41"/>
      <c r="E372" s="30" t="s">
        <v>2530</v>
      </c>
      <c r="F372" s="196" t="s">
        <v>2950</v>
      </c>
      <c r="G372" s="41" t="s">
        <v>1941</v>
      </c>
      <c r="H372" s="41" t="s">
        <v>1806</v>
      </c>
      <c r="I372" s="41"/>
      <c r="J372" s="30" t="s">
        <v>195</v>
      </c>
      <c r="K372" s="41" t="s">
        <v>1393</v>
      </c>
      <c r="L372" s="41" t="s">
        <v>685</v>
      </c>
      <c r="M372" s="29" t="s">
        <v>2567</v>
      </c>
      <c r="N372" s="105">
        <v>42486</v>
      </c>
      <c r="O372" s="30">
        <v>1716163161</v>
      </c>
      <c r="P372" s="30"/>
      <c r="Q372" s="30"/>
      <c r="R372" s="30"/>
      <c r="S372" s="30"/>
      <c r="T372" s="30" t="s">
        <v>3146</v>
      </c>
      <c r="U372" s="30"/>
      <c r="V372" s="30"/>
      <c r="W372" s="30"/>
      <c r="X372" s="30"/>
      <c r="Y372" s="30"/>
      <c r="Z372" s="30"/>
      <c r="AA372" s="30"/>
      <c r="AB372" s="30"/>
      <c r="AC372" s="30"/>
      <c r="AD372" s="30"/>
      <c r="AE372" s="30"/>
      <c r="AF372" s="30"/>
      <c r="AG372" s="30"/>
      <c r="AH372" s="30"/>
      <c r="AI372" s="30"/>
      <c r="AJ372" s="73">
        <v>43024</v>
      </c>
      <c r="AK372" s="720"/>
      <c r="AL372" s="227"/>
    </row>
    <row r="373" spans="1:38" ht="50.1" customHeight="1" x14ac:dyDescent="0.2">
      <c r="A373" s="298"/>
      <c r="B373" s="41" t="s">
        <v>584</v>
      </c>
      <c r="C373" s="41"/>
      <c r="D373" s="41"/>
      <c r="E373" s="648" t="s">
        <v>2800</v>
      </c>
      <c r="F373" s="196" t="s">
        <v>2815</v>
      </c>
      <c r="G373" s="41" t="s">
        <v>208</v>
      </c>
      <c r="H373" s="41" t="s">
        <v>1806</v>
      </c>
      <c r="I373" s="41"/>
      <c r="J373" s="30" t="s">
        <v>536</v>
      </c>
      <c r="K373" s="41" t="s">
        <v>1393</v>
      </c>
      <c r="L373" s="41" t="s">
        <v>1286</v>
      </c>
      <c r="M373" s="30" t="s">
        <v>2094</v>
      </c>
      <c r="N373" s="105">
        <v>42731</v>
      </c>
      <c r="O373" s="106" t="s">
        <v>2799</v>
      </c>
      <c r="P373" s="106"/>
      <c r="Q373" s="106"/>
      <c r="R373" s="106"/>
      <c r="S373" s="106"/>
      <c r="T373" s="30" t="s">
        <v>3147</v>
      </c>
      <c r="U373" s="30"/>
      <c r="V373" s="30"/>
      <c r="W373" s="30"/>
      <c r="X373" s="30"/>
      <c r="Y373" s="30"/>
      <c r="Z373" s="30"/>
      <c r="AA373" s="30"/>
      <c r="AB373" s="30"/>
      <c r="AC373" s="30"/>
      <c r="AD373" s="30"/>
      <c r="AE373" s="30"/>
      <c r="AF373" s="30"/>
      <c r="AG373" s="30"/>
      <c r="AH373" s="30"/>
      <c r="AI373" s="30"/>
      <c r="AJ373" s="73">
        <v>43024</v>
      </c>
      <c r="AK373" s="720"/>
      <c r="AL373" s="227"/>
    </row>
    <row r="374" spans="1:38" ht="50.1" customHeight="1" x14ac:dyDescent="0.2">
      <c r="A374" s="298"/>
      <c r="B374" s="41" t="s">
        <v>584</v>
      </c>
      <c r="C374" s="41"/>
      <c r="D374" s="41"/>
      <c r="E374" s="30" t="s">
        <v>3071</v>
      </c>
      <c r="F374" s="196" t="s">
        <v>3051</v>
      </c>
      <c r="G374" s="30" t="s">
        <v>3052</v>
      </c>
      <c r="H374" s="41" t="s">
        <v>1806</v>
      </c>
      <c r="I374" s="41"/>
      <c r="J374" s="30" t="s">
        <v>3053</v>
      </c>
      <c r="K374" s="41" t="s">
        <v>3055</v>
      </c>
      <c r="L374" s="30" t="s">
        <v>3054</v>
      </c>
      <c r="M374" s="30" t="s">
        <v>3056</v>
      </c>
      <c r="N374" s="105">
        <v>42957</v>
      </c>
      <c r="O374" s="106" t="s">
        <v>3061</v>
      </c>
      <c r="P374" s="106"/>
      <c r="Q374" s="106"/>
      <c r="R374" s="106"/>
      <c r="S374" s="106"/>
      <c r="T374" s="28" t="s">
        <v>3072</v>
      </c>
      <c r="U374" s="30"/>
      <c r="V374" s="30"/>
      <c r="W374" s="30"/>
      <c r="X374" s="30"/>
      <c r="Y374" s="30"/>
      <c r="Z374" s="30"/>
      <c r="AA374" s="30"/>
      <c r="AB374" s="30"/>
      <c r="AC374" s="30"/>
      <c r="AD374" s="30"/>
      <c r="AE374" s="30"/>
      <c r="AF374" s="30"/>
      <c r="AG374" s="30"/>
      <c r="AH374" s="30"/>
      <c r="AI374" s="30"/>
      <c r="AJ374" s="73">
        <v>43038</v>
      </c>
      <c r="AK374" s="720"/>
      <c r="AL374" s="227"/>
    </row>
    <row r="375" spans="1:38" ht="50.1" customHeight="1" x14ac:dyDescent="0.2">
      <c r="A375" s="298"/>
      <c r="B375" s="118" t="s">
        <v>584</v>
      </c>
      <c r="C375" s="118"/>
      <c r="D375" s="118"/>
      <c r="E375" s="114" t="s">
        <v>2554</v>
      </c>
      <c r="F375" s="123" t="s">
        <v>3210</v>
      </c>
      <c r="G375" s="114" t="s">
        <v>65</v>
      </c>
      <c r="H375" s="122" t="s">
        <v>1806</v>
      </c>
      <c r="I375" s="122"/>
      <c r="J375" s="114" t="s">
        <v>51</v>
      </c>
      <c r="K375" s="118" t="s">
        <v>11</v>
      </c>
      <c r="L375" s="118" t="s">
        <v>3096</v>
      </c>
      <c r="M375" s="114" t="s">
        <v>3090</v>
      </c>
      <c r="N375" s="117" t="s">
        <v>3211</v>
      </c>
      <c r="O375" s="117" t="s">
        <v>2555</v>
      </c>
      <c r="P375" s="117"/>
      <c r="Q375" s="117"/>
      <c r="R375" s="117"/>
      <c r="S375" s="117"/>
      <c r="T375" s="30" t="s">
        <v>3241</v>
      </c>
      <c r="U375" s="30"/>
      <c r="V375" s="30"/>
      <c r="W375" s="30"/>
      <c r="X375" s="30"/>
      <c r="Y375" s="30"/>
      <c r="Z375" s="30"/>
      <c r="AA375" s="30"/>
      <c r="AB375" s="30"/>
      <c r="AC375" s="30"/>
      <c r="AD375" s="30"/>
      <c r="AE375" s="30"/>
      <c r="AF375" s="30"/>
      <c r="AG375" s="30"/>
      <c r="AH375" s="30"/>
      <c r="AI375" s="30"/>
      <c r="AJ375" s="73">
        <v>43102</v>
      </c>
      <c r="AK375" s="720"/>
      <c r="AL375" s="227"/>
    </row>
    <row r="376" spans="1:38" ht="50.1" customHeight="1" x14ac:dyDescent="0.2">
      <c r="A376" s="298"/>
      <c r="B376" s="118" t="s">
        <v>1137</v>
      </c>
      <c r="C376" s="118"/>
      <c r="D376" s="118"/>
      <c r="E376" s="114" t="s">
        <v>3248</v>
      </c>
      <c r="F376" s="123" t="s">
        <v>3185</v>
      </c>
      <c r="G376" s="114" t="s">
        <v>3182</v>
      </c>
      <c r="H376" s="122" t="s">
        <v>3218</v>
      </c>
      <c r="I376" s="122"/>
      <c r="J376" s="114" t="s">
        <v>1551</v>
      </c>
      <c r="K376" s="118" t="s">
        <v>16</v>
      </c>
      <c r="L376" s="118" t="s">
        <v>66</v>
      </c>
      <c r="M376" s="114" t="s">
        <v>3090</v>
      </c>
      <c r="N376" s="121">
        <v>43059</v>
      </c>
      <c r="O376" s="120" t="s">
        <v>3183</v>
      </c>
      <c r="P376" s="120"/>
      <c r="Q376" s="120"/>
      <c r="R376" s="120"/>
      <c r="S376" s="120"/>
      <c r="T376" s="30" t="s">
        <v>3265</v>
      </c>
      <c r="U376" s="30"/>
      <c r="V376" s="30"/>
      <c r="W376" s="30"/>
      <c r="X376" s="30"/>
      <c r="Y376" s="30"/>
      <c r="Z376" s="30"/>
      <c r="AA376" s="30"/>
      <c r="AB376" s="30"/>
      <c r="AC376" s="30"/>
      <c r="AD376" s="30"/>
      <c r="AE376" s="30"/>
      <c r="AF376" s="30"/>
      <c r="AG376" s="30"/>
      <c r="AH376" s="30"/>
      <c r="AI376" s="30"/>
      <c r="AJ376" s="73">
        <v>43115</v>
      </c>
      <c r="AK376" s="720"/>
      <c r="AL376" s="227"/>
    </row>
    <row r="377" spans="1:38" ht="50.1" customHeight="1" x14ac:dyDescent="0.2">
      <c r="A377" s="298"/>
      <c r="B377" s="118" t="s">
        <v>584</v>
      </c>
      <c r="C377" s="118"/>
      <c r="D377" s="118"/>
      <c r="E377" s="114" t="s">
        <v>3249</v>
      </c>
      <c r="F377" s="123" t="s">
        <v>3266</v>
      </c>
      <c r="G377" s="114" t="s">
        <v>3182</v>
      </c>
      <c r="H377" s="122" t="s">
        <v>3218</v>
      </c>
      <c r="I377" s="122"/>
      <c r="J377" s="114" t="s">
        <v>1551</v>
      </c>
      <c r="K377" s="118" t="s">
        <v>11</v>
      </c>
      <c r="L377" s="118" t="s">
        <v>66</v>
      </c>
      <c r="M377" s="114" t="s">
        <v>3090</v>
      </c>
      <c r="N377" s="121">
        <v>43059</v>
      </c>
      <c r="O377" s="120" t="s">
        <v>3184</v>
      </c>
      <c r="P377" s="120"/>
      <c r="Q377" s="120"/>
      <c r="R377" s="120"/>
      <c r="S377" s="120"/>
      <c r="T377" s="30" t="s">
        <v>3267</v>
      </c>
      <c r="U377" s="30"/>
      <c r="V377" s="30"/>
      <c r="W377" s="30"/>
      <c r="X377" s="30"/>
      <c r="Y377" s="30"/>
      <c r="Z377" s="30"/>
      <c r="AA377" s="30"/>
      <c r="AB377" s="30"/>
      <c r="AC377" s="30"/>
      <c r="AD377" s="30"/>
      <c r="AE377" s="30"/>
      <c r="AF377" s="30"/>
      <c r="AG377" s="30"/>
      <c r="AH377" s="30"/>
      <c r="AI377" s="30"/>
      <c r="AJ377" s="73">
        <v>43115</v>
      </c>
      <c r="AK377" s="720"/>
      <c r="AL377" s="227"/>
    </row>
    <row r="378" spans="1:38" ht="50.1" customHeight="1" x14ac:dyDescent="0.2">
      <c r="A378" s="298"/>
      <c r="B378" s="118" t="s">
        <v>584</v>
      </c>
      <c r="C378" s="118"/>
      <c r="D378" s="118"/>
      <c r="E378" s="114" t="s">
        <v>3252</v>
      </c>
      <c r="F378" s="123" t="s">
        <v>3073</v>
      </c>
      <c r="G378" s="114" t="s">
        <v>3075</v>
      </c>
      <c r="H378" s="122" t="s">
        <v>3079</v>
      </c>
      <c r="I378" s="122"/>
      <c r="J378" s="114" t="s">
        <v>3076</v>
      </c>
      <c r="K378" s="118" t="s">
        <v>454</v>
      </c>
      <c r="L378" s="118" t="s">
        <v>3077</v>
      </c>
      <c r="M378" s="114" t="s">
        <v>3081</v>
      </c>
      <c r="N378" s="121">
        <v>43036</v>
      </c>
      <c r="O378" s="120" t="s">
        <v>3078</v>
      </c>
      <c r="P378" s="120"/>
      <c r="Q378" s="120"/>
      <c r="R378" s="120"/>
      <c r="S378" s="120"/>
      <c r="T378" s="30" t="s">
        <v>3268</v>
      </c>
      <c r="U378" s="30"/>
      <c r="V378" s="30"/>
      <c r="W378" s="30"/>
      <c r="X378" s="30"/>
      <c r="Y378" s="30"/>
      <c r="Z378" s="30"/>
      <c r="AA378" s="30"/>
      <c r="AB378" s="30"/>
      <c r="AC378" s="30"/>
      <c r="AD378" s="30"/>
      <c r="AE378" s="30"/>
      <c r="AF378" s="30"/>
      <c r="AG378" s="30"/>
      <c r="AH378" s="30"/>
      <c r="AI378" s="30"/>
      <c r="AJ378" s="73">
        <v>43122</v>
      </c>
      <c r="AK378" s="720"/>
      <c r="AL378" s="227"/>
    </row>
    <row r="379" spans="1:38" ht="50.1" customHeight="1" x14ac:dyDescent="0.2">
      <c r="A379" s="298"/>
      <c r="B379" s="118" t="s">
        <v>584</v>
      </c>
      <c r="C379" s="118"/>
      <c r="D379" s="118"/>
      <c r="E379" s="114" t="s">
        <v>3115</v>
      </c>
      <c r="F379" s="123" t="s">
        <v>3116</v>
      </c>
      <c r="G379" s="114" t="s">
        <v>3117</v>
      </c>
      <c r="H379" s="122" t="s">
        <v>3079</v>
      </c>
      <c r="I379" s="122"/>
      <c r="J379" s="114" t="s">
        <v>31</v>
      </c>
      <c r="K379" s="118" t="s">
        <v>454</v>
      </c>
      <c r="L379" s="118" t="s">
        <v>3094</v>
      </c>
      <c r="M379" s="114" t="s">
        <v>3081</v>
      </c>
      <c r="N379" s="121">
        <v>43042</v>
      </c>
      <c r="O379" s="120" t="s">
        <v>3118</v>
      </c>
      <c r="P379" s="120"/>
      <c r="Q379" s="120"/>
      <c r="R379" s="120"/>
      <c r="S379" s="120"/>
      <c r="T379" s="114" t="s">
        <v>3269</v>
      </c>
      <c r="U379" s="114"/>
      <c r="V379" s="114"/>
      <c r="W379" s="114"/>
      <c r="X379" s="114"/>
      <c r="Y379" s="114"/>
      <c r="Z379" s="114"/>
      <c r="AA379" s="114"/>
      <c r="AB379" s="114"/>
      <c r="AC379" s="114"/>
      <c r="AD379" s="114"/>
      <c r="AE379" s="114"/>
      <c r="AF379" s="114"/>
      <c r="AG379" s="114"/>
      <c r="AH379" s="114"/>
      <c r="AI379" s="114"/>
      <c r="AJ379" s="73">
        <v>43122</v>
      </c>
      <c r="AK379" s="720"/>
      <c r="AL379" s="227"/>
    </row>
    <row r="380" spans="1:38" ht="50.1" customHeight="1" x14ac:dyDescent="0.2">
      <c r="A380" s="298"/>
      <c r="B380" s="118" t="s">
        <v>584</v>
      </c>
      <c r="C380" s="118"/>
      <c r="D380" s="118"/>
      <c r="E380" s="114" t="s">
        <v>3071</v>
      </c>
      <c r="F380" s="123" t="s">
        <v>3051</v>
      </c>
      <c r="G380" s="114" t="s">
        <v>3052</v>
      </c>
      <c r="H380" s="122" t="s">
        <v>3218</v>
      </c>
      <c r="I380" s="122"/>
      <c r="J380" s="114" t="s">
        <v>3053</v>
      </c>
      <c r="K380" s="118" t="s">
        <v>3055</v>
      </c>
      <c r="L380" s="114" t="s">
        <v>3054</v>
      </c>
      <c r="M380" s="114" t="s">
        <v>2634</v>
      </c>
      <c r="N380" s="121">
        <v>43056</v>
      </c>
      <c r="O380" s="120">
        <v>2212111171</v>
      </c>
      <c r="P380" s="120"/>
      <c r="Q380" s="120"/>
      <c r="R380" s="120"/>
      <c r="S380" s="120"/>
      <c r="T380" s="125" t="s">
        <v>3270</v>
      </c>
      <c r="U380" s="125"/>
      <c r="V380" s="125"/>
      <c r="W380" s="125"/>
      <c r="X380" s="125"/>
      <c r="Y380" s="125"/>
      <c r="Z380" s="125"/>
      <c r="AA380" s="125"/>
      <c r="AB380" s="125"/>
      <c r="AC380" s="125"/>
      <c r="AD380" s="125"/>
      <c r="AE380" s="125"/>
      <c r="AF380" s="125"/>
      <c r="AG380" s="125"/>
      <c r="AH380" s="125"/>
      <c r="AI380" s="125"/>
      <c r="AJ380" s="73">
        <v>43122</v>
      </c>
      <c r="AK380" s="720"/>
      <c r="AL380" s="227"/>
    </row>
    <row r="381" spans="1:38" s="298" customFormat="1" ht="50.1" customHeight="1" x14ac:dyDescent="0.2">
      <c r="B381" s="118" t="s">
        <v>1137</v>
      </c>
      <c r="C381" s="118"/>
      <c r="D381" s="118"/>
      <c r="E381" s="114" t="s">
        <v>3197</v>
      </c>
      <c r="F381" s="123" t="s">
        <v>3198</v>
      </c>
      <c r="G381" s="114" t="s">
        <v>2831</v>
      </c>
      <c r="H381" s="122" t="s">
        <v>1806</v>
      </c>
      <c r="I381" s="122"/>
      <c r="J381" s="114" t="s">
        <v>414</v>
      </c>
      <c r="K381" s="118" t="s">
        <v>16</v>
      </c>
      <c r="L381" s="118" t="s">
        <v>66</v>
      </c>
      <c r="M381" s="114" t="s">
        <v>3090</v>
      </c>
      <c r="N381" s="117" t="s">
        <v>3287</v>
      </c>
      <c r="O381" s="117" t="s">
        <v>3199</v>
      </c>
      <c r="P381" s="117"/>
      <c r="Q381" s="117"/>
      <c r="R381" s="117"/>
      <c r="S381" s="117"/>
      <c r="T381" s="30" t="s">
        <v>3294</v>
      </c>
      <c r="U381" s="30"/>
      <c r="V381" s="30"/>
      <c r="W381" s="30"/>
      <c r="X381" s="30"/>
      <c r="Y381" s="30"/>
      <c r="Z381" s="30"/>
      <c r="AA381" s="30"/>
      <c r="AB381" s="30"/>
      <c r="AC381" s="30"/>
      <c r="AD381" s="30"/>
      <c r="AE381" s="30"/>
      <c r="AF381" s="30"/>
      <c r="AG381" s="30"/>
      <c r="AH381" s="30"/>
      <c r="AI381" s="30"/>
      <c r="AJ381" s="73">
        <v>43136</v>
      </c>
      <c r="AK381" s="648"/>
      <c r="AL381" s="82"/>
    </row>
    <row r="382" spans="1:38" s="298" customFormat="1" ht="50.1" customHeight="1" x14ac:dyDescent="0.2">
      <c r="B382" s="118" t="s">
        <v>1137</v>
      </c>
      <c r="C382" s="118"/>
      <c r="D382" s="118"/>
      <c r="E382" s="114" t="s">
        <v>3253</v>
      </c>
      <c r="F382" s="123" t="s">
        <v>2792</v>
      </c>
      <c r="G382" s="114" t="s">
        <v>1481</v>
      </c>
      <c r="H382" s="122" t="s">
        <v>1806</v>
      </c>
      <c r="I382" s="122"/>
      <c r="J382" s="114" t="s">
        <v>414</v>
      </c>
      <c r="K382" s="118" t="s">
        <v>16</v>
      </c>
      <c r="L382" s="118" t="s">
        <v>66</v>
      </c>
      <c r="M382" s="114" t="s">
        <v>3090</v>
      </c>
      <c r="N382" s="121">
        <v>43052</v>
      </c>
      <c r="O382" s="120" t="s">
        <v>3120</v>
      </c>
      <c r="P382" s="120"/>
      <c r="Q382" s="120"/>
      <c r="R382" s="120"/>
      <c r="S382" s="120"/>
      <c r="T382" s="30" t="s">
        <v>3293</v>
      </c>
      <c r="U382" s="30"/>
      <c r="V382" s="30"/>
      <c r="W382" s="30"/>
      <c r="X382" s="30"/>
      <c r="Y382" s="30"/>
      <c r="Z382" s="30"/>
      <c r="AA382" s="30"/>
      <c r="AB382" s="30"/>
      <c r="AC382" s="30"/>
      <c r="AD382" s="30"/>
      <c r="AE382" s="30"/>
      <c r="AF382" s="30"/>
      <c r="AG382" s="30"/>
      <c r="AH382" s="30"/>
      <c r="AI382" s="30"/>
      <c r="AJ382" s="73">
        <v>43136</v>
      </c>
      <c r="AK382" s="648"/>
      <c r="AL382" s="82"/>
    </row>
    <row r="383" spans="1:38" s="298" customFormat="1" ht="50.1" customHeight="1" x14ac:dyDescent="0.2">
      <c r="B383" s="118" t="s">
        <v>584</v>
      </c>
      <c r="C383" s="118"/>
      <c r="D383" s="118"/>
      <c r="E383" s="114" t="s">
        <v>463</v>
      </c>
      <c r="F383" s="291" t="s">
        <v>3188</v>
      </c>
      <c r="G383" s="114" t="s">
        <v>3189</v>
      </c>
      <c r="H383" s="122" t="s">
        <v>3079</v>
      </c>
      <c r="I383" s="122"/>
      <c r="J383" s="114" t="s">
        <v>3190</v>
      </c>
      <c r="K383" s="118" t="s">
        <v>105</v>
      </c>
      <c r="L383" s="118" t="s">
        <v>3191</v>
      </c>
      <c r="M383" s="114" t="s">
        <v>3081</v>
      </c>
      <c r="N383" s="117" t="s">
        <v>3285</v>
      </c>
      <c r="O383" s="117" t="s">
        <v>3205</v>
      </c>
      <c r="P383" s="117"/>
      <c r="Q383" s="117"/>
      <c r="R383" s="117"/>
      <c r="S383" s="117"/>
      <c r="T383" s="30" t="s">
        <v>5030</v>
      </c>
      <c r="U383" s="30"/>
      <c r="V383" s="30"/>
      <c r="W383" s="30"/>
      <c r="X383" s="30"/>
      <c r="Y383" s="30"/>
      <c r="Z383" s="30"/>
      <c r="AA383" s="30"/>
      <c r="AB383" s="30"/>
      <c r="AC383" s="30"/>
      <c r="AD383" s="30"/>
      <c r="AE383" s="30"/>
      <c r="AF383" s="30"/>
      <c r="AG383" s="30"/>
      <c r="AH383" s="30"/>
      <c r="AI383" s="30"/>
      <c r="AJ383" s="73">
        <v>43164</v>
      </c>
      <c r="AK383" s="648"/>
      <c r="AL383" s="82"/>
    </row>
    <row r="384" spans="1:38" s="298" customFormat="1" ht="50.1" customHeight="1" x14ac:dyDescent="0.2">
      <c r="B384" s="118" t="s">
        <v>1137</v>
      </c>
      <c r="C384" s="118"/>
      <c r="D384" s="118"/>
      <c r="E384" s="114" t="s">
        <v>2472</v>
      </c>
      <c r="F384" s="123" t="s">
        <v>2470</v>
      </c>
      <c r="G384" s="118" t="s">
        <v>861</v>
      </c>
      <c r="H384" s="118" t="s">
        <v>1806</v>
      </c>
      <c r="I384" s="118"/>
      <c r="J384" s="114" t="s">
        <v>697</v>
      </c>
      <c r="K384" s="118" t="s">
        <v>11</v>
      </c>
      <c r="L384" s="118" t="s">
        <v>3100</v>
      </c>
      <c r="M384" s="114" t="s">
        <v>3090</v>
      </c>
      <c r="N384" s="121">
        <v>42404</v>
      </c>
      <c r="O384" s="114">
        <v>1303616165</v>
      </c>
      <c r="P384" s="114"/>
      <c r="Q384" s="114"/>
      <c r="R384" s="114"/>
      <c r="S384" s="114"/>
      <c r="T384" s="30" t="s">
        <v>3332</v>
      </c>
      <c r="U384" s="30"/>
      <c r="V384" s="30"/>
      <c r="W384" s="30"/>
      <c r="X384" s="30"/>
      <c r="Y384" s="30"/>
      <c r="Z384" s="30"/>
      <c r="AA384" s="30"/>
      <c r="AB384" s="30"/>
      <c r="AC384" s="30"/>
      <c r="AD384" s="30"/>
      <c r="AE384" s="30"/>
      <c r="AF384" s="30"/>
      <c r="AG384" s="30"/>
      <c r="AH384" s="30"/>
      <c r="AI384" s="30"/>
      <c r="AJ384" s="73">
        <v>43171</v>
      </c>
      <c r="AK384" s="648"/>
      <c r="AL384" s="82"/>
    </row>
    <row r="385" spans="2:38" s="298" customFormat="1" ht="50.1" customHeight="1" x14ac:dyDescent="0.2">
      <c r="B385" s="118" t="s">
        <v>1137</v>
      </c>
      <c r="C385" s="118"/>
      <c r="D385" s="118"/>
      <c r="E385" s="114" t="s">
        <v>2473</v>
      </c>
      <c r="F385" s="123" t="s">
        <v>2471</v>
      </c>
      <c r="G385" s="118" t="s">
        <v>861</v>
      </c>
      <c r="H385" s="118" t="s">
        <v>1806</v>
      </c>
      <c r="I385" s="118"/>
      <c r="J385" s="114" t="s">
        <v>504</v>
      </c>
      <c r="K385" s="118" t="s">
        <v>11</v>
      </c>
      <c r="L385" s="114" t="s">
        <v>3101</v>
      </c>
      <c r="M385" s="114" t="s">
        <v>3090</v>
      </c>
      <c r="N385" s="121">
        <v>42404</v>
      </c>
      <c r="O385" s="114">
        <v>1303598163</v>
      </c>
      <c r="P385" s="114"/>
      <c r="Q385" s="114"/>
      <c r="R385" s="114"/>
      <c r="S385" s="114"/>
      <c r="T385" s="30" t="s">
        <v>3331</v>
      </c>
      <c r="U385" s="30"/>
      <c r="V385" s="30"/>
      <c r="W385" s="30"/>
      <c r="X385" s="30"/>
      <c r="Y385" s="30"/>
      <c r="Z385" s="30"/>
      <c r="AA385" s="30"/>
      <c r="AB385" s="30"/>
      <c r="AC385" s="30"/>
      <c r="AD385" s="30"/>
      <c r="AE385" s="30"/>
      <c r="AF385" s="30"/>
      <c r="AG385" s="30"/>
      <c r="AH385" s="30"/>
      <c r="AI385" s="30"/>
      <c r="AJ385" s="73">
        <v>43171</v>
      </c>
      <c r="AK385" s="648"/>
      <c r="AL385" s="82"/>
    </row>
    <row r="386" spans="2:38" s="298" customFormat="1" ht="50.1" customHeight="1" x14ac:dyDescent="0.2">
      <c r="B386" s="118" t="s">
        <v>1137</v>
      </c>
      <c r="C386" s="118"/>
      <c r="D386" s="118"/>
      <c r="E386" s="114" t="s">
        <v>3239</v>
      </c>
      <c r="F386" s="123" t="s">
        <v>3217</v>
      </c>
      <c r="G386" s="114" t="s">
        <v>2001</v>
      </c>
      <c r="H386" s="122" t="s">
        <v>3218</v>
      </c>
      <c r="I386" s="122"/>
      <c r="J386" s="114" t="s">
        <v>3219</v>
      </c>
      <c r="K386" s="118" t="s">
        <v>11</v>
      </c>
      <c r="L386" s="118" t="s">
        <v>3220</v>
      </c>
      <c r="M386" s="114" t="s">
        <v>3090</v>
      </c>
      <c r="N386" s="117" t="s">
        <v>3289</v>
      </c>
      <c r="O386" s="117" t="s">
        <v>3238</v>
      </c>
      <c r="P386" s="117"/>
      <c r="Q386" s="117"/>
      <c r="R386" s="117"/>
      <c r="S386" s="117"/>
      <c r="T386" s="30" t="s">
        <v>3322</v>
      </c>
      <c r="U386" s="30"/>
      <c r="V386" s="30"/>
      <c r="W386" s="30"/>
      <c r="X386" s="30"/>
      <c r="Y386" s="30"/>
      <c r="Z386" s="30"/>
      <c r="AA386" s="30"/>
      <c r="AB386" s="30"/>
      <c r="AC386" s="30"/>
      <c r="AD386" s="30"/>
      <c r="AE386" s="30"/>
      <c r="AF386" s="30"/>
      <c r="AG386" s="30"/>
      <c r="AH386" s="30"/>
      <c r="AI386" s="30"/>
      <c r="AJ386" s="73">
        <v>43171</v>
      </c>
      <c r="AK386" s="648"/>
      <c r="AL386" s="82"/>
    </row>
    <row r="387" spans="2:38" s="298" customFormat="1" ht="50.1" customHeight="1" x14ac:dyDescent="0.2">
      <c r="B387" s="342" t="s">
        <v>584</v>
      </c>
      <c r="C387" s="342"/>
      <c r="D387" s="342"/>
      <c r="E387" s="119" t="s">
        <v>485</v>
      </c>
      <c r="F387" s="135" t="s">
        <v>486</v>
      </c>
      <c r="G387" s="119" t="s">
        <v>148</v>
      </c>
      <c r="H387" s="119" t="s">
        <v>1383</v>
      </c>
      <c r="I387" s="119"/>
      <c r="J387" s="119" t="s">
        <v>487</v>
      </c>
      <c r="K387" s="119" t="s">
        <v>11</v>
      </c>
      <c r="L387" s="119" t="s">
        <v>3098</v>
      </c>
      <c r="M387" s="119" t="s">
        <v>2992</v>
      </c>
      <c r="N387" s="134">
        <v>40687</v>
      </c>
      <c r="O387" s="124" t="s">
        <v>557</v>
      </c>
      <c r="P387" s="124"/>
      <c r="Q387" s="124"/>
      <c r="R387" s="124"/>
      <c r="S387" s="124"/>
      <c r="T387" s="30" t="s">
        <v>3333</v>
      </c>
      <c r="U387" s="30"/>
      <c r="V387" s="30"/>
      <c r="W387" s="30"/>
      <c r="X387" s="30"/>
      <c r="Y387" s="30"/>
      <c r="Z387" s="30"/>
      <c r="AA387" s="30"/>
      <c r="AB387" s="30"/>
      <c r="AC387" s="30"/>
      <c r="AD387" s="30"/>
      <c r="AE387" s="30"/>
      <c r="AF387" s="30"/>
      <c r="AG387" s="30"/>
      <c r="AH387" s="30"/>
      <c r="AI387" s="30"/>
      <c r="AJ387" s="73">
        <v>43171</v>
      </c>
      <c r="AK387" s="648"/>
      <c r="AL387" s="82"/>
    </row>
    <row r="388" spans="2:38" s="298" customFormat="1" ht="50.1" customHeight="1" x14ac:dyDescent="0.2">
      <c r="B388" s="118" t="s">
        <v>584</v>
      </c>
      <c r="C388" s="118"/>
      <c r="D388" s="118"/>
      <c r="E388" s="114" t="s">
        <v>3255</v>
      </c>
      <c r="F388" s="123" t="s">
        <v>3326</v>
      </c>
      <c r="G388" s="114" t="s">
        <v>3126</v>
      </c>
      <c r="H388" s="122" t="s">
        <v>1806</v>
      </c>
      <c r="I388" s="122"/>
      <c r="J388" s="114" t="s">
        <v>3186</v>
      </c>
      <c r="K388" s="118" t="s">
        <v>11</v>
      </c>
      <c r="L388" s="118" t="s">
        <v>3125</v>
      </c>
      <c r="M388" s="114" t="s">
        <v>3090</v>
      </c>
      <c r="N388" s="121">
        <v>43053</v>
      </c>
      <c r="O388" s="120" t="s">
        <v>3122</v>
      </c>
      <c r="P388" s="120"/>
      <c r="Q388" s="120"/>
      <c r="R388" s="120"/>
      <c r="S388" s="120"/>
      <c r="T388" s="30" t="s">
        <v>3327</v>
      </c>
      <c r="U388" s="30"/>
      <c r="V388" s="30"/>
      <c r="W388" s="30"/>
      <c r="X388" s="30"/>
      <c r="Y388" s="30"/>
      <c r="Z388" s="30"/>
      <c r="AA388" s="30"/>
      <c r="AB388" s="30"/>
      <c r="AC388" s="30"/>
      <c r="AD388" s="30"/>
      <c r="AE388" s="30"/>
      <c r="AF388" s="30"/>
      <c r="AG388" s="30"/>
      <c r="AH388" s="30"/>
      <c r="AI388" s="30"/>
      <c r="AJ388" s="73">
        <v>43178</v>
      </c>
      <c r="AK388" s="648"/>
      <c r="AL388" s="82"/>
    </row>
    <row r="389" spans="2:38" s="298" customFormat="1" ht="50.1" customHeight="1" x14ac:dyDescent="0.2">
      <c r="B389" s="118" t="s">
        <v>584</v>
      </c>
      <c r="C389" s="118"/>
      <c r="D389" s="118"/>
      <c r="E389" s="114" t="s">
        <v>3254</v>
      </c>
      <c r="F389" s="123" t="s">
        <v>3136</v>
      </c>
      <c r="G389" s="114" t="s">
        <v>3124</v>
      </c>
      <c r="H389" s="122" t="s">
        <v>1806</v>
      </c>
      <c r="I389" s="122"/>
      <c r="J389" s="114" t="s">
        <v>3187</v>
      </c>
      <c r="K389" s="118" t="s">
        <v>11</v>
      </c>
      <c r="L389" s="118" t="s">
        <v>3123</v>
      </c>
      <c r="M389" s="114" t="s">
        <v>3090</v>
      </c>
      <c r="N389" s="121">
        <v>43053</v>
      </c>
      <c r="O389" s="120" t="s">
        <v>3121</v>
      </c>
      <c r="P389" s="120"/>
      <c r="Q389" s="120"/>
      <c r="R389" s="120"/>
      <c r="S389" s="120"/>
      <c r="T389" s="30" t="s">
        <v>3328</v>
      </c>
      <c r="U389" s="30"/>
      <c r="V389" s="30"/>
      <c r="W389" s="30"/>
      <c r="X389" s="30"/>
      <c r="Y389" s="30"/>
      <c r="Z389" s="30"/>
      <c r="AA389" s="30"/>
      <c r="AB389" s="30"/>
      <c r="AC389" s="30"/>
      <c r="AD389" s="30"/>
      <c r="AE389" s="30"/>
      <c r="AF389" s="30"/>
      <c r="AG389" s="30"/>
      <c r="AH389" s="30"/>
      <c r="AI389" s="30"/>
      <c r="AJ389" s="73">
        <v>43178</v>
      </c>
      <c r="AK389" s="648"/>
      <c r="AL389" s="82"/>
    </row>
    <row r="390" spans="2:38" s="298" customFormat="1" ht="50.1" customHeight="1" x14ac:dyDescent="0.2">
      <c r="B390" s="118" t="s">
        <v>584</v>
      </c>
      <c r="C390" s="118"/>
      <c r="D390" s="118"/>
      <c r="E390" s="114" t="s">
        <v>3260</v>
      </c>
      <c r="F390" s="123" t="s">
        <v>3261</v>
      </c>
      <c r="G390" s="114" t="s">
        <v>3262</v>
      </c>
      <c r="H390" s="122" t="s">
        <v>3218</v>
      </c>
      <c r="I390" s="122"/>
      <c r="J390" s="72" t="s">
        <v>3263</v>
      </c>
      <c r="K390" s="118" t="s">
        <v>11</v>
      </c>
      <c r="L390" s="118" t="s">
        <v>66</v>
      </c>
      <c r="M390" s="114" t="s">
        <v>3090</v>
      </c>
      <c r="N390" s="117" t="s">
        <v>3277</v>
      </c>
      <c r="O390" s="117" t="s">
        <v>3264</v>
      </c>
      <c r="P390" s="117"/>
      <c r="Q390" s="117"/>
      <c r="R390" s="117"/>
      <c r="S390" s="117"/>
      <c r="T390" s="30" t="s">
        <v>3392</v>
      </c>
      <c r="U390" s="30"/>
      <c r="V390" s="30"/>
      <c r="W390" s="30"/>
      <c r="X390" s="30"/>
      <c r="Y390" s="30"/>
      <c r="Z390" s="30"/>
      <c r="AA390" s="30"/>
      <c r="AB390" s="30"/>
      <c r="AC390" s="30"/>
      <c r="AD390" s="30"/>
      <c r="AE390" s="30"/>
      <c r="AF390" s="30"/>
      <c r="AG390" s="30"/>
      <c r="AH390" s="30"/>
      <c r="AI390" s="30"/>
      <c r="AJ390" s="73">
        <v>43213</v>
      </c>
      <c r="AK390" s="648"/>
      <c r="AL390" s="82"/>
    </row>
    <row r="391" spans="2:38" s="298" customFormat="1" ht="50.1" customHeight="1" x14ac:dyDescent="0.2">
      <c r="B391" s="118" t="s">
        <v>1137</v>
      </c>
      <c r="C391" s="118"/>
      <c r="D391" s="118"/>
      <c r="E391" s="114" t="s">
        <v>2743</v>
      </c>
      <c r="F391" s="123" t="s">
        <v>2744</v>
      </c>
      <c r="G391" s="114" t="s">
        <v>2744</v>
      </c>
      <c r="H391" s="122" t="s">
        <v>3079</v>
      </c>
      <c r="I391" s="122"/>
      <c r="J391" s="114" t="s">
        <v>3080</v>
      </c>
      <c r="K391" s="118" t="s">
        <v>16</v>
      </c>
      <c r="L391" s="118" t="s">
        <v>66</v>
      </c>
      <c r="M391" s="114" t="s">
        <v>3081</v>
      </c>
      <c r="N391" s="121">
        <v>43036</v>
      </c>
      <c r="O391" s="120" t="s">
        <v>3082</v>
      </c>
      <c r="P391" s="120"/>
      <c r="Q391" s="120"/>
      <c r="R391" s="120"/>
      <c r="S391" s="120"/>
      <c r="T391" s="30" t="s">
        <v>3383</v>
      </c>
      <c r="U391" s="30"/>
      <c r="V391" s="30"/>
      <c r="W391" s="30"/>
      <c r="X391" s="30"/>
      <c r="Y391" s="30"/>
      <c r="Z391" s="30"/>
      <c r="AA391" s="30"/>
      <c r="AB391" s="30"/>
      <c r="AC391" s="30"/>
      <c r="AD391" s="30"/>
      <c r="AE391" s="30"/>
      <c r="AF391" s="30"/>
      <c r="AG391" s="30"/>
      <c r="AH391" s="30"/>
      <c r="AI391" s="30"/>
      <c r="AJ391" s="73">
        <v>43220</v>
      </c>
      <c r="AK391" s="648"/>
      <c r="AL391" s="82"/>
    </row>
    <row r="392" spans="2:38" s="298" customFormat="1" ht="50.1" customHeight="1" x14ac:dyDescent="0.2">
      <c r="B392" s="118" t="s">
        <v>584</v>
      </c>
      <c r="C392" s="118"/>
      <c r="D392" s="118"/>
      <c r="E392" s="114" t="s">
        <v>466</v>
      </c>
      <c r="F392" s="123" t="s">
        <v>1149</v>
      </c>
      <c r="G392" s="123" t="s">
        <v>467</v>
      </c>
      <c r="H392" s="114" t="s">
        <v>3079</v>
      </c>
      <c r="I392" s="114"/>
      <c r="J392" s="114" t="s">
        <v>3112</v>
      </c>
      <c r="K392" s="127" t="s">
        <v>105</v>
      </c>
      <c r="L392" s="126" t="s">
        <v>3074</v>
      </c>
      <c r="M392" s="114" t="s">
        <v>3081</v>
      </c>
      <c r="N392" s="306">
        <v>43034</v>
      </c>
      <c r="O392" s="120" t="s">
        <v>3367</v>
      </c>
      <c r="P392" s="120"/>
      <c r="Q392" s="120"/>
      <c r="R392" s="120"/>
      <c r="S392" s="120"/>
      <c r="T392" s="30" t="s">
        <v>3384</v>
      </c>
      <c r="U392" s="30"/>
      <c r="V392" s="30"/>
      <c r="W392" s="30"/>
      <c r="X392" s="30"/>
      <c r="Y392" s="30"/>
      <c r="Z392" s="30"/>
      <c r="AA392" s="30"/>
      <c r="AB392" s="30"/>
      <c r="AC392" s="30"/>
      <c r="AD392" s="30"/>
      <c r="AE392" s="30"/>
      <c r="AF392" s="30"/>
      <c r="AG392" s="30"/>
      <c r="AH392" s="30"/>
      <c r="AI392" s="30"/>
      <c r="AJ392" s="73">
        <v>43220</v>
      </c>
      <c r="AK392" s="648"/>
      <c r="AL392" s="82"/>
    </row>
    <row r="393" spans="2:38" s="298" customFormat="1" ht="50.1" customHeight="1" x14ac:dyDescent="0.2">
      <c r="B393" s="118" t="s">
        <v>1137</v>
      </c>
      <c r="C393" s="118"/>
      <c r="D393" s="118"/>
      <c r="E393" s="114" t="s">
        <v>2301</v>
      </c>
      <c r="F393" s="123" t="s">
        <v>3403</v>
      </c>
      <c r="G393" s="123" t="s">
        <v>2744</v>
      </c>
      <c r="H393" s="114" t="s">
        <v>3079</v>
      </c>
      <c r="I393" s="114"/>
      <c r="J393" s="114" t="s">
        <v>834</v>
      </c>
      <c r="K393" s="127" t="s">
        <v>11</v>
      </c>
      <c r="L393" s="118" t="s">
        <v>66</v>
      </c>
      <c r="M393" s="114" t="s">
        <v>3404</v>
      </c>
      <c r="N393" s="306">
        <v>43055</v>
      </c>
      <c r="O393" s="120" t="s">
        <v>3385</v>
      </c>
      <c r="P393" s="120"/>
      <c r="Q393" s="120"/>
      <c r="R393" s="120"/>
      <c r="S393" s="120"/>
      <c r="T393" s="30"/>
      <c r="U393" s="30"/>
      <c r="V393" s="30"/>
      <c r="W393" s="30"/>
      <c r="X393" s="30"/>
      <c r="Y393" s="30"/>
      <c r="Z393" s="30"/>
      <c r="AA393" s="30"/>
      <c r="AB393" s="30"/>
      <c r="AC393" s="30"/>
      <c r="AD393" s="30"/>
      <c r="AE393" s="30"/>
      <c r="AF393" s="30"/>
      <c r="AG393" s="30"/>
      <c r="AH393" s="30"/>
      <c r="AI393" s="30"/>
      <c r="AJ393" s="73">
        <v>43220</v>
      </c>
      <c r="AK393" s="648"/>
      <c r="AL393" s="82"/>
    </row>
    <row r="394" spans="2:38" s="298" customFormat="1" ht="50.1" customHeight="1" x14ac:dyDescent="0.2">
      <c r="B394" s="118" t="s">
        <v>1137</v>
      </c>
      <c r="C394" s="118"/>
      <c r="D394" s="118"/>
      <c r="E394" s="114" t="s">
        <v>169</v>
      </c>
      <c r="F394" s="123" t="s">
        <v>157</v>
      </c>
      <c r="G394" s="114" t="s">
        <v>1588</v>
      </c>
      <c r="H394" s="122" t="s">
        <v>3079</v>
      </c>
      <c r="I394" s="122"/>
      <c r="J394" s="72" t="s">
        <v>3315</v>
      </c>
      <c r="K394" s="118" t="s">
        <v>11</v>
      </c>
      <c r="L394" s="118" t="s">
        <v>66</v>
      </c>
      <c r="M394" s="114" t="s">
        <v>3081</v>
      </c>
      <c r="N394" s="117" t="s">
        <v>3316</v>
      </c>
      <c r="O394" s="117" t="s">
        <v>3317</v>
      </c>
      <c r="P394" s="117"/>
      <c r="Q394" s="117"/>
      <c r="R394" s="117"/>
      <c r="S394" s="117"/>
      <c r="T394" s="30" t="s">
        <v>3395</v>
      </c>
      <c r="U394" s="30"/>
      <c r="V394" s="30"/>
      <c r="W394" s="30"/>
      <c r="X394" s="30"/>
      <c r="Y394" s="30"/>
      <c r="Z394" s="30"/>
      <c r="AA394" s="30"/>
      <c r="AB394" s="30"/>
      <c r="AC394" s="30"/>
      <c r="AD394" s="30"/>
      <c r="AE394" s="30"/>
      <c r="AF394" s="30"/>
      <c r="AG394" s="30"/>
      <c r="AH394" s="30"/>
      <c r="AI394" s="30"/>
      <c r="AJ394" s="73">
        <v>43227</v>
      </c>
      <c r="AK394" s="648"/>
      <c r="AL394" s="82"/>
    </row>
    <row r="395" spans="2:38" s="298" customFormat="1" ht="50.1" customHeight="1" x14ac:dyDescent="0.2">
      <c r="B395" s="129" t="s">
        <v>1137</v>
      </c>
      <c r="C395" s="129"/>
      <c r="D395" s="129"/>
      <c r="E395" s="122" t="s">
        <v>3247</v>
      </c>
      <c r="F395" s="291" t="s">
        <v>3235</v>
      </c>
      <c r="G395" s="122" t="s">
        <v>1941</v>
      </c>
      <c r="H395" s="122" t="s">
        <v>3218</v>
      </c>
      <c r="I395" s="122"/>
      <c r="J395" s="122" t="s">
        <v>195</v>
      </c>
      <c r="K395" s="129" t="s">
        <v>11</v>
      </c>
      <c r="L395" s="129" t="s">
        <v>66</v>
      </c>
      <c r="M395" s="122" t="s">
        <v>3090</v>
      </c>
      <c r="N395" s="293">
        <v>43048</v>
      </c>
      <c r="O395" s="308" t="s">
        <v>3119</v>
      </c>
      <c r="P395" s="308"/>
      <c r="Q395" s="308"/>
      <c r="R395" s="308"/>
      <c r="S395" s="308"/>
      <c r="T395" s="30" t="s">
        <v>3399</v>
      </c>
      <c r="U395" s="30"/>
      <c r="V395" s="30"/>
      <c r="W395" s="30"/>
      <c r="X395" s="30"/>
      <c r="Y395" s="30"/>
      <c r="Z395" s="30"/>
      <c r="AA395" s="30"/>
      <c r="AB395" s="30"/>
      <c r="AC395" s="30"/>
      <c r="AD395" s="30"/>
      <c r="AE395" s="30"/>
      <c r="AF395" s="30"/>
      <c r="AG395" s="30"/>
      <c r="AH395" s="30"/>
      <c r="AI395" s="30"/>
      <c r="AJ395" s="73">
        <v>43234</v>
      </c>
      <c r="AK395" s="648"/>
      <c r="AL395" s="82"/>
    </row>
    <row r="396" spans="2:38" s="298" customFormat="1" ht="50.1" customHeight="1" x14ac:dyDescent="0.2">
      <c r="B396" s="118" t="s">
        <v>1137</v>
      </c>
      <c r="C396" s="118"/>
      <c r="D396" s="118"/>
      <c r="E396" s="114" t="s">
        <v>3194</v>
      </c>
      <c r="F396" s="123" t="s">
        <v>3196</v>
      </c>
      <c r="G396" s="114" t="s">
        <v>2621</v>
      </c>
      <c r="H396" s="122" t="s">
        <v>3218</v>
      </c>
      <c r="I396" s="122"/>
      <c r="J396" s="114" t="s">
        <v>25</v>
      </c>
      <c r="K396" s="118" t="s">
        <v>11</v>
      </c>
      <c r="L396" s="118" t="s">
        <v>66</v>
      </c>
      <c r="M396" s="114" t="s">
        <v>3090</v>
      </c>
      <c r="N396" s="117" t="s">
        <v>3286</v>
      </c>
      <c r="O396" s="117" t="s">
        <v>3195</v>
      </c>
      <c r="P396" s="117"/>
      <c r="Q396" s="117"/>
      <c r="R396" s="117"/>
      <c r="S396" s="117"/>
      <c r="T396" s="30" t="s">
        <v>3400</v>
      </c>
      <c r="U396" s="30"/>
      <c r="V396" s="30"/>
      <c r="W396" s="30"/>
      <c r="X396" s="30"/>
      <c r="Y396" s="30"/>
      <c r="Z396" s="30"/>
      <c r="AA396" s="30"/>
      <c r="AB396" s="30"/>
      <c r="AC396" s="30"/>
      <c r="AD396" s="30"/>
      <c r="AE396" s="30"/>
      <c r="AF396" s="30"/>
      <c r="AG396" s="30"/>
      <c r="AH396" s="30"/>
      <c r="AI396" s="30"/>
      <c r="AJ396" s="73">
        <v>43234</v>
      </c>
      <c r="AK396" s="648"/>
      <c r="AL396" s="82"/>
    </row>
    <row r="397" spans="2:38" s="298" customFormat="1" ht="50.1" customHeight="1" x14ac:dyDescent="0.2">
      <c r="B397" s="129" t="s">
        <v>584</v>
      </c>
      <c r="C397" s="129"/>
      <c r="D397" s="129"/>
      <c r="E397" s="122" t="s">
        <v>3200</v>
      </c>
      <c r="F397" s="291" t="s">
        <v>3396</v>
      </c>
      <c r="G397" s="122" t="s">
        <v>2831</v>
      </c>
      <c r="H397" s="122" t="s">
        <v>3218</v>
      </c>
      <c r="I397" s="122" t="s">
        <v>4626</v>
      </c>
      <c r="J397" s="122" t="s">
        <v>414</v>
      </c>
      <c r="K397" s="129" t="s">
        <v>11</v>
      </c>
      <c r="L397" s="129" t="s">
        <v>66</v>
      </c>
      <c r="M397" s="122" t="s">
        <v>3090</v>
      </c>
      <c r="N397" s="112" t="s">
        <v>3287</v>
      </c>
      <c r="O397" s="112" t="s">
        <v>3201</v>
      </c>
      <c r="P397" s="112"/>
      <c r="Q397" s="112"/>
      <c r="R397" s="112"/>
      <c r="S397" s="112"/>
      <c r="T397" s="30" t="s">
        <v>4625</v>
      </c>
      <c r="U397" s="30"/>
      <c r="V397" s="30"/>
      <c r="W397" s="30"/>
      <c r="X397" s="30"/>
      <c r="Y397" s="30"/>
      <c r="Z397" s="30"/>
      <c r="AA397" s="30"/>
      <c r="AB397" s="30"/>
      <c r="AC397" s="30"/>
      <c r="AD397" s="30"/>
      <c r="AE397" s="30"/>
      <c r="AF397" s="30"/>
      <c r="AG397" s="30"/>
      <c r="AH397" s="30"/>
      <c r="AI397" s="30"/>
      <c r="AJ397" s="281">
        <v>43248</v>
      </c>
      <c r="AK397" s="648"/>
      <c r="AL397" s="82"/>
    </row>
    <row r="398" spans="2:38" s="298" customFormat="1" ht="50.1" customHeight="1" x14ac:dyDescent="0.2">
      <c r="B398" s="118" t="s">
        <v>584</v>
      </c>
      <c r="C398" s="118"/>
      <c r="D398" s="118"/>
      <c r="E398" s="114" t="s">
        <v>2885</v>
      </c>
      <c r="F398" s="123" t="s">
        <v>3481</v>
      </c>
      <c r="G398" s="114" t="s">
        <v>2744</v>
      </c>
      <c r="H398" s="118" t="s">
        <v>1806</v>
      </c>
      <c r="I398" s="118"/>
      <c r="J398" s="114" t="s">
        <v>2864</v>
      </c>
      <c r="K398" s="118" t="s">
        <v>11</v>
      </c>
      <c r="L398" s="118" t="s">
        <v>3097</v>
      </c>
      <c r="M398" s="30" t="s">
        <v>3090</v>
      </c>
      <c r="N398" s="73">
        <v>42801</v>
      </c>
      <c r="O398" s="32" t="s">
        <v>3482</v>
      </c>
      <c r="P398" s="32"/>
      <c r="Q398" s="32"/>
      <c r="R398" s="32"/>
      <c r="S398" s="32"/>
      <c r="T398" s="30" t="s">
        <v>3536</v>
      </c>
      <c r="U398" s="30"/>
      <c r="V398" s="30"/>
      <c r="W398" s="30"/>
      <c r="X398" s="30"/>
      <c r="Y398" s="30"/>
      <c r="Z398" s="30"/>
      <c r="AA398" s="30"/>
      <c r="AB398" s="30"/>
      <c r="AC398" s="30"/>
      <c r="AD398" s="30"/>
      <c r="AE398" s="30"/>
      <c r="AF398" s="30"/>
      <c r="AG398" s="30"/>
      <c r="AH398" s="30"/>
      <c r="AI398" s="30"/>
      <c r="AJ398" s="73">
        <v>43248</v>
      </c>
      <c r="AK398" s="648"/>
      <c r="AL398" s="82"/>
    </row>
    <row r="399" spans="2:38" s="298" customFormat="1" ht="50.1" customHeight="1" x14ac:dyDescent="0.2">
      <c r="B399" s="118" t="s">
        <v>584</v>
      </c>
      <c r="C399" s="118"/>
      <c r="D399" s="118"/>
      <c r="E399" s="122" t="s">
        <v>3246</v>
      </c>
      <c r="F399" s="291" t="s">
        <v>3374</v>
      </c>
      <c r="G399" s="122" t="s">
        <v>1941</v>
      </c>
      <c r="H399" s="122" t="s">
        <v>1806</v>
      </c>
      <c r="I399" s="122"/>
      <c r="J399" s="122" t="s">
        <v>884</v>
      </c>
      <c r="K399" s="129" t="s">
        <v>11</v>
      </c>
      <c r="L399" s="129" t="s">
        <v>685</v>
      </c>
      <c r="M399" s="122" t="s">
        <v>3090</v>
      </c>
      <c r="N399" s="293">
        <v>43063</v>
      </c>
      <c r="O399" s="308" t="s">
        <v>3181</v>
      </c>
      <c r="P399" s="308"/>
      <c r="Q399" s="308"/>
      <c r="R399" s="308"/>
      <c r="S399" s="308"/>
      <c r="T399" s="30" t="s">
        <v>3502</v>
      </c>
      <c r="U399" s="30"/>
      <c r="V399" s="30"/>
      <c r="W399" s="30"/>
      <c r="X399" s="30"/>
      <c r="Y399" s="30"/>
      <c r="Z399" s="30"/>
      <c r="AA399" s="30"/>
      <c r="AB399" s="30"/>
      <c r="AC399" s="30"/>
      <c r="AD399" s="30"/>
      <c r="AE399" s="30"/>
      <c r="AF399" s="30"/>
      <c r="AG399" s="30"/>
      <c r="AH399" s="30"/>
      <c r="AI399" s="30"/>
      <c r="AJ399" s="73">
        <v>43269</v>
      </c>
      <c r="AK399" s="648"/>
      <c r="AL399" s="82"/>
    </row>
    <row r="400" spans="2:38" s="298" customFormat="1" ht="50.1" customHeight="1" x14ac:dyDescent="0.2">
      <c r="B400" s="127" t="s">
        <v>1137</v>
      </c>
      <c r="C400" s="127"/>
      <c r="D400" s="127"/>
      <c r="E400" s="119" t="s">
        <v>3275</v>
      </c>
      <c r="F400" s="135" t="s">
        <v>3257</v>
      </c>
      <c r="G400" s="119" t="s">
        <v>1894</v>
      </c>
      <c r="H400" s="119" t="s">
        <v>3079</v>
      </c>
      <c r="I400" s="119"/>
      <c r="J400" s="119" t="s">
        <v>981</v>
      </c>
      <c r="K400" s="127" t="s">
        <v>11</v>
      </c>
      <c r="L400" s="127" t="s">
        <v>685</v>
      </c>
      <c r="M400" s="119" t="s">
        <v>3258</v>
      </c>
      <c r="N400" s="124" t="s">
        <v>3276</v>
      </c>
      <c r="O400" s="124" t="s">
        <v>3259</v>
      </c>
      <c r="P400" s="124"/>
      <c r="Q400" s="124"/>
      <c r="R400" s="124"/>
      <c r="S400" s="124"/>
      <c r="T400" s="30" t="s">
        <v>3506</v>
      </c>
      <c r="U400" s="30"/>
      <c r="V400" s="30"/>
      <c r="W400" s="30"/>
      <c r="X400" s="30"/>
      <c r="Y400" s="30"/>
      <c r="Z400" s="30"/>
      <c r="AA400" s="30"/>
      <c r="AB400" s="30"/>
      <c r="AC400" s="30"/>
      <c r="AD400" s="30"/>
      <c r="AE400" s="30"/>
      <c r="AF400" s="30"/>
      <c r="AG400" s="30"/>
      <c r="AH400" s="30"/>
      <c r="AI400" s="30"/>
      <c r="AJ400" s="73">
        <v>43283</v>
      </c>
      <c r="AK400" s="648"/>
      <c r="AL400" s="82"/>
    </row>
    <row r="401" spans="1:38" s="298" customFormat="1" ht="50.1" customHeight="1" x14ac:dyDescent="0.2">
      <c r="B401" s="127" t="s">
        <v>1137</v>
      </c>
      <c r="C401" s="127"/>
      <c r="D401" s="127"/>
      <c r="E401" s="119" t="s">
        <v>3368</v>
      </c>
      <c r="F401" s="135" t="s">
        <v>3382</v>
      </c>
      <c r="G401" s="135" t="s">
        <v>1058</v>
      </c>
      <c r="H401" s="119" t="s">
        <v>3218</v>
      </c>
      <c r="I401" s="119"/>
      <c r="J401" s="119" t="s">
        <v>3369</v>
      </c>
      <c r="K401" s="127" t="s">
        <v>16</v>
      </c>
      <c r="L401" s="312" t="s">
        <v>685</v>
      </c>
      <c r="M401" s="119" t="s">
        <v>3090</v>
      </c>
      <c r="N401" s="313">
        <v>43206</v>
      </c>
      <c r="O401" s="139" t="s">
        <v>3370</v>
      </c>
      <c r="P401" s="139"/>
      <c r="Q401" s="139"/>
      <c r="R401" s="139"/>
      <c r="S401" s="139"/>
      <c r="T401" s="30" t="s">
        <v>3507</v>
      </c>
      <c r="U401" s="30"/>
      <c r="V401" s="30"/>
      <c r="W401" s="30"/>
      <c r="X401" s="30"/>
      <c r="Y401" s="30"/>
      <c r="Z401" s="30"/>
      <c r="AA401" s="30"/>
      <c r="AB401" s="30"/>
      <c r="AC401" s="30"/>
      <c r="AD401" s="30"/>
      <c r="AE401" s="30"/>
      <c r="AF401" s="30"/>
      <c r="AG401" s="30"/>
      <c r="AH401" s="30"/>
      <c r="AI401" s="30"/>
      <c r="AJ401" s="73">
        <v>43283</v>
      </c>
      <c r="AK401" s="648"/>
      <c r="AL401" s="82"/>
    </row>
    <row r="402" spans="1:38" ht="50.1" customHeight="1" x14ac:dyDescent="0.2">
      <c r="A402" s="298"/>
      <c r="B402" s="118" t="s">
        <v>1137</v>
      </c>
      <c r="C402" s="118"/>
      <c r="D402" s="118"/>
      <c r="E402" s="114" t="s">
        <v>428</v>
      </c>
      <c r="F402" s="123" t="s">
        <v>420</v>
      </c>
      <c r="G402" s="123" t="s">
        <v>420</v>
      </c>
      <c r="H402" s="114" t="s">
        <v>3079</v>
      </c>
      <c r="I402" s="114"/>
      <c r="J402" s="114" t="s">
        <v>1553</v>
      </c>
      <c r="K402" s="127" t="s">
        <v>16</v>
      </c>
      <c r="L402" s="126" t="s">
        <v>12</v>
      </c>
      <c r="M402" s="114" t="s">
        <v>3081</v>
      </c>
      <c r="N402" s="306">
        <v>43201</v>
      </c>
      <c r="O402" s="120" t="s">
        <v>3362</v>
      </c>
      <c r="P402" s="120"/>
      <c r="Q402" s="120"/>
      <c r="R402" s="120"/>
      <c r="S402" s="120"/>
      <c r="T402" s="117" t="s">
        <v>3529</v>
      </c>
      <c r="U402" s="117"/>
      <c r="V402" s="117"/>
      <c r="W402" s="117"/>
      <c r="X402" s="117"/>
      <c r="Y402" s="117"/>
      <c r="Z402" s="117"/>
      <c r="AA402" s="117"/>
      <c r="AB402" s="117"/>
      <c r="AC402" s="117"/>
      <c r="AD402" s="117"/>
      <c r="AE402" s="117"/>
      <c r="AF402" s="117"/>
      <c r="AG402" s="117"/>
      <c r="AH402" s="117"/>
      <c r="AI402" s="117"/>
      <c r="AJ402" s="306" t="s">
        <v>3528</v>
      </c>
      <c r="AK402" s="649"/>
      <c r="AL402" s="717"/>
    </row>
    <row r="403" spans="1:38" ht="50.1" customHeight="1" x14ac:dyDescent="0.2">
      <c r="A403" s="298"/>
      <c r="B403" s="118" t="s">
        <v>1137</v>
      </c>
      <c r="C403" s="118"/>
      <c r="D403" s="118"/>
      <c r="E403" s="114" t="s">
        <v>2455</v>
      </c>
      <c r="F403" s="123" t="s">
        <v>2456</v>
      </c>
      <c r="G403" s="123" t="s">
        <v>3371</v>
      </c>
      <c r="H403" s="114" t="s">
        <v>3079</v>
      </c>
      <c r="I403" s="114"/>
      <c r="J403" s="114" t="s">
        <v>3372</v>
      </c>
      <c r="K403" s="127" t="s">
        <v>11</v>
      </c>
      <c r="L403" s="126" t="s">
        <v>685</v>
      </c>
      <c r="M403" s="114" t="s">
        <v>3081</v>
      </c>
      <c r="N403" s="306">
        <v>43207</v>
      </c>
      <c r="O403" s="120" t="s">
        <v>3373</v>
      </c>
      <c r="P403" s="120"/>
      <c r="Q403" s="120"/>
      <c r="R403" s="120"/>
      <c r="S403" s="120"/>
      <c r="T403" s="117" t="s">
        <v>3530</v>
      </c>
      <c r="U403" s="117"/>
      <c r="V403" s="117"/>
      <c r="W403" s="117"/>
      <c r="X403" s="117"/>
      <c r="Y403" s="117"/>
      <c r="Z403" s="117"/>
      <c r="AA403" s="117"/>
      <c r="AB403" s="117"/>
      <c r="AC403" s="117"/>
      <c r="AD403" s="117"/>
      <c r="AE403" s="117"/>
      <c r="AF403" s="117"/>
      <c r="AG403" s="117"/>
      <c r="AH403" s="117"/>
      <c r="AI403" s="117"/>
      <c r="AJ403" s="306" t="s">
        <v>3528</v>
      </c>
      <c r="AK403" s="649"/>
      <c r="AL403" s="717"/>
    </row>
    <row r="404" spans="1:38" ht="50.1" customHeight="1" x14ac:dyDescent="0.2">
      <c r="A404" s="298"/>
      <c r="B404" s="129" t="s">
        <v>1137</v>
      </c>
      <c r="C404" s="129"/>
      <c r="D404" s="129"/>
      <c r="E404" s="122" t="s">
        <v>3483</v>
      </c>
      <c r="F404" s="291" t="s">
        <v>4772</v>
      </c>
      <c r="G404" s="122" t="s">
        <v>3484</v>
      </c>
      <c r="H404" s="122" t="s">
        <v>3218</v>
      </c>
      <c r="I404" s="122" t="s">
        <v>4769</v>
      </c>
      <c r="J404" s="122" t="s">
        <v>3485</v>
      </c>
      <c r="K404" s="129" t="s">
        <v>16</v>
      </c>
      <c r="L404" s="122" t="s">
        <v>2583</v>
      </c>
      <c r="M404" s="122" t="s">
        <v>3090</v>
      </c>
      <c r="N404" s="293">
        <v>43249</v>
      </c>
      <c r="O404" s="308" t="s">
        <v>3492</v>
      </c>
      <c r="P404" s="308"/>
      <c r="Q404" s="308"/>
      <c r="R404" s="308"/>
      <c r="S404" s="308"/>
      <c r="T404" s="117"/>
      <c r="U404" s="117"/>
      <c r="V404" s="117"/>
      <c r="W404" s="117"/>
      <c r="X404" s="117"/>
      <c r="Y404" s="117"/>
      <c r="Z404" s="117"/>
      <c r="AA404" s="117"/>
      <c r="AB404" s="117"/>
      <c r="AC404" s="117"/>
      <c r="AD404" s="117"/>
      <c r="AE404" s="117"/>
      <c r="AF404" s="117"/>
      <c r="AG404" s="117"/>
      <c r="AH404" s="117"/>
      <c r="AI404" s="117"/>
      <c r="AJ404" s="306" t="s">
        <v>3535</v>
      </c>
      <c r="AK404" s="649"/>
      <c r="AL404" s="717"/>
    </row>
    <row r="405" spans="1:38" s="318" customFormat="1" ht="50.1" customHeight="1" x14ac:dyDescent="0.2">
      <c r="A405" s="707"/>
      <c r="B405" s="129" t="s">
        <v>584</v>
      </c>
      <c r="C405" s="129"/>
      <c r="D405" s="129"/>
      <c r="E405" s="122" t="s">
        <v>3386</v>
      </c>
      <c r="F405" s="291" t="s">
        <v>3359</v>
      </c>
      <c r="G405" s="122" t="s">
        <v>3387</v>
      </c>
      <c r="H405" s="122" t="s">
        <v>3079</v>
      </c>
      <c r="I405" s="122"/>
      <c r="J405" s="122" t="s">
        <v>3389</v>
      </c>
      <c r="K405" s="129" t="s">
        <v>11</v>
      </c>
      <c r="L405" s="129" t="s">
        <v>685</v>
      </c>
      <c r="M405" s="122" t="s">
        <v>3081</v>
      </c>
      <c r="N405" s="293">
        <v>43220</v>
      </c>
      <c r="O405" s="308" t="s">
        <v>3388</v>
      </c>
      <c r="P405" s="308"/>
      <c r="Q405" s="308"/>
      <c r="R405" s="308"/>
      <c r="S405" s="308"/>
      <c r="T405" s="112" t="s">
        <v>3545</v>
      </c>
      <c r="U405" s="112"/>
      <c r="V405" s="112"/>
      <c r="W405" s="112"/>
      <c r="X405" s="112"/>
      <c r="Y405" s="112"/>
      <c r="Z405" s="112"/>
      <c r="AA405" s="112"/>
      <c r="AB405" s="112"/>
      <c r="AC405" s="112"/>
      <c r="AD405" s="112"/>
      <c r="AE405" s="112"/>
      <c r="AF405" s="112"/>
      <c r="AG405" s="112"/>
      <c r="AH405" s="112"/>
      <c r="AI405" s="112"/>
      <c r="AJ405" s="325" t="s">
        <v>3544</v>
      </c>
      <c r="AK405" s="650"/>
      <c r="AL405" s="694"/>
    </row>
    <row r="406" spans="1:38" s="318" customFormat="1" ht="50.1" customHeight="1" x14ac:dyDescent="0.2">
      <c r="A406" s="707"/>
      <c r="B406" s="116" t="s">
        <v>584</v>
      </c>
      <c r="C406" s="116"/>
      <c r="D406" s="116"/>
      <c r="E406" s="122" t="s">
        <v>1839</v>
      </c>
      <c r="F406" s="291" t="s">
        <v>3610</v>
      </c>
      <c r="G406" s="122" t="s">
        <v>1837</v>
      </c>
      <c r="H406" s="122" t="s">
        <v>1806</v>
      </c>
      <c r="I406" s="122"/>
      <c r="J406" s="122" t="s">
        <v>1838</v>
      </c>
      <c r="K406" s="129" t="s">
        <v>11</v>
      </c>
      <c r="L406" s="122" t="s">
        <v>12</v>
      </c>
      <c r="M406" s="122" t="s">
        <v>3090</v>
      </c>
      <c r="N406" s="296">
        <v>41831</v>
      </c>
      <c r="O406" s="308" t="s">
        <v>1841</v>
      </c>
      <c r="P406" s="308"/>
      <c r="Q406" s="308"/>
      <c r="R406" s="308"/>
      <c r="S406" s="308"/>
      <c r="T406" s="112" t="s">
        <v>3627</v>
      </c>
      <c r="U406" s="112"/>
      <c r="V406" s="112"/>
      <c r="W406" s="112"/>
      <c r="X406" s="112"/>
      <c r="Y406" s="112"/>
      <c r="Z406" s="112"/>
      <c r="AA406" s="112"/>
      <c r="AB406" s="112"/>
      <c r="AC406" s="112"/>
      <c r="AD406" s="112"/>
      <c r="AE406" s="112"/>
      <c r="AF406" s="112"/>
      <c r="AG406" s="112"/>
      <c r="AH406" s="112"/>
      <c r="AI406" s="112"/>
      <c r="AJ406" s="325" t="s">
        <v>3626</v>
      </c>
      <c r="AK406" s="650"/>
      <c r="AL406" s="694"/>
    </row>
    <row r="407" spans="1:38" s="318" customFormat="1" ht="50.1" customHeight="1" x14ac:dyDescent="0.2">
      <c r="A407" s="707"/>
      <c r="B407" s="326" t="s">
        <v>1137</v>
      </c>
      <c r="C407" s="326"/>
      <c r="D407" s="326"/>
      <c r="E407" s="122" t="s">
        <v>418</v>
      </c>
      <c r="F407" s="122" t="s">
        <v>3625</v>
      </c>
      <c r="G407" s="326" t="s">
        <v>3234</v>
      </c>
      <c r="H407" s="326" t="s">
        <v>3218</v>
      </c>
      <c r="I407" s="326"/>
      <c r="J407" s="122" t="s">
        <v>414</v>
      </c>
      <c r="K407" s="129" t="s">
        <v>16</v>
      </c>
      <c r="L407" s="122" t="s">
        <v>12</v>
      </c>
      <c r="M407" s="122" t="s">
        <v>3091</v>
      </c>
      <c r="N407" s="293">
        <v>41122</v>
      </c>
      <c r="O407" s="308" t="s">
        <v>3068</v>
      </c>
      <c r="P407" s="308"/>
      <c r="Q407" s="308"/>
      <c r="R407" s="308"/>
      <c r="S407" s="308"/>
      <c r="T407" s="112" t="s">
        <v>3657</v>
      </c>
      <c r="U407" s="112"/>
      <c r="V407" s="112"/>
      <c r="W407" s="112"/>
      <c r="X407" s="112"/>
      <c r="Y407" s="112"/>
      <c r="Z407" s="112"/>
      <c r="AA407" s="112"/>
      <c r="AB407" s="112"/>
      <c r="AC407" s="112"/>
      <c r="AD407" s="112"/>
      <c r="AE407" s="112"/>
      <c r="AF407" s="112"/>
      <c r="AG407" s="112"/>
      <c r="AH407" s="112"/>
      <c r="AI407" s="112"/>
      <c r="AJ407" s="325" t="s">
        <v>3626</v>
      </c>
      <c r="AK407" s="650"/>
      <c r="AL407" s="694"/>
    </row>
    <row r="408" spans="1:38" s="318" customFormat="1" ht="50.1" customHeight="1" x14ac:dyDescent="0.2">
      <c r="A408" s="707"/>
      <c r="B408" s="129" t="s">
        <v>584</v>
      </c>
      <c r="C408" s="129"/>
      <c r="D408" s="129"/>
      <c r="E408" s="122" t="s">
        <v>3513</v>
      </c>
      <c r="F408" s="291" t="s">
        <v>3603</v>
      </c>
      <c r="G408" s="122" t="s">
        <v>148</v>
      </c>
      <c r="H408" s="122" t="s">
        <v>3218</v>
      </c>
      <c r="I408" s="122"/>
      <c r="J408" s="122" t="s">
        <v>487</v>
      </c>
      <c r="K408" s="129" t="s">
        <v>11</v>
      </c>
      <c r="L408" s="122" t="s">
        <v>12</v>
      </c>
      <c r="M408" s="122" t="s">
        <v>3090</v>
      </c>
      <c r="N408" s="293">
        <v>43285</v>
      </c>
      <c r="O408" s="308" t="s">
        <v>3514</v>
      </c>
      <c r="P408" s="308"/>
      <c r="Q408" s="308"/>
      <c r="R408" s="308"/>
      <c r="S408" s="308"/>
      <c r="T408" s="112" t="s">
        <v>3645</v>
      </c>
      <c r="U408" s="112"/>
      <c r="V408" s="112"/>
      <c r="W408" s="112"/>
      <c r="X408" s="112"/>
      <c r="Y408" s="112"/>
      <c r="Z408" s="112"/>
      <c r="AA408" s="112"/>
      <c r="AB408" s="112"/>
      <c r="AC408" s="112"/>
      <c r="AD408" s="112"/>
      <c r="AE408" s="112"/>
      <c r="AF408" s="112"/>
      <c r="AG408" s="112"/>
      <c r="AH408" s="112"/>
      <c r="AI408" s="112"/>
      <c r="AJ408" s="325" t="s">
        <v>3644</v>
      </c>
      <c r="AK408" s="650"/>
      <c r="AL408" s="694"/>
    </row>
    <row r="409" spans="1:38" s="318" customFormat="1" ht="50.1" customHeight="1" x14ac:dyDescent="0.2">
      <c r="A409" s="707"/>
      <c r="B409" s="308" t="s">
        <v>584</v>
      </c>
      <c r="C409" s="308"/>
      <c r="D409" s="308"/>
      <c r="E409" s="308" t="s">
        <v>3375</v>
      </c>
      <c r="F409" s="112" t="s">
        <v>4771</v>
      </c>
      <c r="G409" s="308" t="s">
        <v>2047</v>
      </c>
      <c r="H409" s="308" t="s">
        <v>3218</v>
      </c>
      <c r="I409" s="112" t="s">
        <v>5274</v>
      </c>
      <c r="J409" s="308" t="s">
        <v>3376</v>
      </c>
      <c r="K409" s="308" t="s">
        <v>11</v>
      </c>
      <c r="L409" s="308" t="s">
        <v>3454</v>
      </c>
      <c r="M409" s="308" t="s">
        <v>3090</v>
      </c>
      <c r="N409" s="308">
        <v>43209</v>
      </c>
      <c r="O409" s="308" t="s">
        <v>3377</v>
      </c>
      <c r="P409" s="308"/>
      <c r="Q409" s="308"/>
      <c r="R409" s="308"/>
      <c r="S409" s="308"/>
      <c r="T409" s="112"/>
      <c r="U409" s="112"/>
      <c r="V409" s="112"/>
      <c r="W409" s="112"/>
      <c r="X409" s="112"/>
      <c r="Y409" s="112"/>
      <c r="Z409" s="112"/>
      <c r="AA409" s="112"/>
      <c r="AB409" s="112"/>
      <c r="AC409" s="112"/>
      <c r="AD409" s="112"/>
      <c r="AE409" s="112"/>
      <c r="AF409" s="112"/>
      <c r="AG409" s="112"/>
      <c r="AH409" s="112"/>
      <c r="AI409" s="112"/>
      <c r="AJ409" s="325" t="s">
        <v>3656</v>
      </c>
      <c r="AK409" s="650"/>
      <c r="AL409" s="694"/>
    </row>
    <row r="410" spans="1:38" s="318" customFormat="1" ht="50.1" customHeight="1" x14ac:dyDescent="0.2">
      <c r="A410" s="707"/>
      <c r="B410" s="129" t="s">
        <v>584</v>
      </c>
      <c r="C410" s="129"/>
      <c r="D410" s="129"/>
      <c r="E410" s="122" t="s">
        <v>3546</v>
      </c>
      <c r="F410" s="291" t="s">
        <v>3605</v>
      </c>
      <c r="G410" s="122" t="s">
        <v>3484</v>
      </c>
      <c r="H410" s="122" t="s">
        <v>1806</v>
      </c>
      <c r="I410" s="122" t="s">
        <v>4769</v>
      </c>
      <c r="J410" s="122" t="s">
        <v>25</v>
      </c>
      <c r="K410" s="129" t="s">
        <v>11</v>
      </c>
      <c r="L410" s="122" t="s">
        <v>2583</v>
      </c>
      <c r="M410" s="122" t="s">
        <v>3090</v>
      </c>
      <c r="N410" s="293">
        <v>43319</v>
      </c>
      <c r="O410" s="308" t="s">
        <v>3547</v>
      </c>
      <c r="P410" s="308"/>
      <c r="Q410" s="308"/>
      <c r="R410" s="308"/>
      <c r="S410" s="308"/>
      <c r="T410" s="112" t="s">
        <v>4770</v>
      </c>
      <c r="U410" s="112"/>
      <c r="V410" s="112"/>
      <c r="W410" s="112"/>
      <c r="X410" s="112"/>
      <c r="Y410" s="112"/>
      <c r="Z410" s="112"/>
      <c r="AA410" s="112"/>
      <c r="AB410" s="112"/>
      <c r="AC410" s="112"/>
      <c r="AD410" s="112"/>
      <c r="AE410" s="112"/>
      <c r="AF410" s="112"/>
      <c r="AG410" s="112"/>
      <c r="AH410" s="112"/>
      <c r="AI410" s="112"/>
      <c r="AJ410" s="325" t="s">
        <v>3703</v>
      </c>
      <c r="AK410" s="650"/>
      <c r="AL410" s="694"/>
    </row>
    <row r="411" spans="1:38" s="318" customFormat="1" ht="50.1" customHeight="1" x14ac:dyDescent="0.2">
      <c r="A411" s="707"/>
      <c r="B411" s="129" t="s">
        <v>584</v>
      </c>
      <c r="C411" s="129"/>
      <c r="D411" s="129"/>
      <c r="E411" s="122" t="s">
        <v>3251</v>
      </c>
      <c r="F411" s="291" t="s">
        <v>3621</v>
      </c>
      <c r="G411" s="122" t="s">
        <v>1588</v>
      </c>
      <c r="H411" s="129" t="s">
        <v>3218</v>
      </c>
      <c r="I411" s="122" t="s">
        <v>5273</v>
      </c>
      <c r="J411" s="122" t="s">
        <v>2808</v>
      </c>
      <c r="K411" s="129" t="s">
        <v>11</v>
      </c>
      <c r="L411" s="129" t="s">
        <v>685</v>
      </c>
      <c r="M411" s="122" t="s">
        <v>3091</v>
      </c>
      <c r="N411" s="325">
        <v>42800</v>
      </c>
      <c r="O411" s="308" t="s">
        <v>3378</v>
      </c>
      <c r="P411" s="308"/>
      <c r="Q411" s="308"/>
      <c r="R411" s="308"/>
      <c r="S411" s="308"/>
      <c r="T411" s="112" t="s">
        <v>5275</v>
      </c>
      <c r="U411" s="112"/>
      <c r="V411" s="112"/>
      <c r="W411" s="112"/>
      <c r="X411" s="112"/>
      <c r="Y411" s="112"/>
      <c r="Z411" s="112"/>
      <c r="AA411" s="112"/>
      <c r="AB411" s="112"/>
      <c r="AC411" s="112"/>
      <c r="AD411" s="112"/>
      <c r="AE411" s="112"/>
      <c r="AF411" s="112"/>
      <c r="AG411" s="112"/>
      <c r="AH411" s="112"/>
      <c r="AI411" s="112"/>
      <c r="AJ411" s="325" t="s">
        <v>3711</v>
      </c>
      <c r="AK411" s="650"/>
      <c r="AL411" s="694"/>
    </row>
    <row r="412" spans="1:38" s="318" customFormat="1" ht="50.1" customHeight="1" x14ac:dyDescent="0.2">
      <c r="A412" s="707"/>
      <c r="B412" s="129" t="s">
        <v>584</v>
      </c>
      <c r="C412" s="129"/>
      <c r="D412" s="129"/>
      <c r="E412" s="122" t="s">
        <v>2981</v>
      </c>
      <c r="F412" s="291" t="s">
        <v>3622</v>
      </c>
      <c r="G412" s="122" t="s">
        <v>1588</v>
      </c>
      <c r="H412" s="129" t="s">
        <v>3218</v>
      </c>
      <c r="I412" s="122" t="s">
        <v>5273</v>
      </c>
      <c r="J412" s="122" t="s">
        <v>2808</v>
      </c>
      <c r="K412" s="129" t="s">
        <v>11</v>
      </c>
      <c r="L412" s="129" t="s">
        <v>685</v>
      </c>
      <c r="M412" s="122" t="s">
        <v>3091</v>
      </c>
      <c r="N412" s="293">
        <v>42872</v>
      </c>
      <c r="O412" s="308" t="s">
        <v>3379</v>
      </c>
      <c r="P412" s="308"/>
      <c r="Q412" s="308"/>
      <c r="R412" s="308"/>
      <c r="S412" s="308"/>
      <c r="T412" s="112" t="s">
        <v>5276</v>
      </c>
      <c r="U412" s="112"/>
      <c r="V412" s="112"/>
      <c r="W412" s="112"/>
      <c r="X412" s="112"/>
      <c r="Y412" s="112"/>
      <c r="Z412" s="112"/>
      <c r="AA412" s="112"/>
      <c r="AB412" s="112"/>
      <c r="AC412" s="112"/>
      <c r="AD412" s="112"/>
      <c r="AE412" s="112"/>
      <c r="AF412" s="112"/>
      <c r="AG412" s="112"/>
      <c r="AH412" s="112"/>
      <c r="AI412" s="112"/>
      <c r="AJ412" s="325" t="s">
        <v>3711</v>
      </c>
      <c r="AK412" s="650"/>
      <c r="AL412" s="694"/>
    </row>
    <row r="413" spans="1:38" s="318" customFormat="1" ht="50.1" customHeight="1" x14ac:dyDescent="0.2">
      <c r="A413" s="707"/>
      <c r="B413" s="129" t="s">
        <v>1137</v>
      </c>
      <c r="C413" s="129"/>
      <c r="D413" s="129"/>
      <c r="E413" s="122" t="s">
        <v>2842</v>
      </c>
      <c r="F413" s="291" t="s">
        <v>3623</v>
      </c>
      <c r="G413" s="122" t="s">
        <v>1588</v>
      </c>
      <c r="H413" s="129" t="s">
        <v>1806</v>
      </c>
      <c r="I413" s="122" t="s">
        <v>5277</v>
      </c>
      <c r="J413" s="122" t="s">
        <v>2808</v>
      </c>
      <c r="K413" s="129" t="s">
        <v>11</v>
      </c>
      <c r="L413" s="129" t="s">
        <v>685</v>
      </c>
      <c r="M413" s="122" t="s">
        <v>3091</v>
      </c>
      <c r="N413" s="293">
        <v>42751</v>
      </c>
      <c r="O413" s="308" t="s">
        <v>3380</v>
      </c>
      <c r="P413" s="308"/>
      <c r="Q413" s="308"/>
      <c r="R413" s="308"/>
      <c r="S413" s="308"/>
      <c r="T413" s="112" t="s">
        <v>5278</v>
      </c>
      <c r="U413" s="112"/>
      <c r="V413" s="112"/>
      <c r="W413" s="112"/>
      <c r="X413" s="112"/>
      <c r="Y413" s="112"/>
      <c r="Z413" s="112"/>
      <c r="AA413" s="112"/>
      <c r="AB413" s="112"/>
      <c r="AC413" s="112"/>
      <c r="AD413" s="112"/>
      <c r="AE413" s="112"/>
      <c r="AF413" s="112"/>
      <c r="AG413" s="112"/>
      <c r="AH413" s="112"/>
      <c r="AI413" s="112"/>
      <c r="AJ413" s="325" t="s">
        <v>3711</v>
      </c>
      <c r="AK413" s="650"/>
      <c r="AL413" s="694"/>
    </row>
    <row r="414" spans="1:38" s="318" customFormat="1" ht="50.1" customHeight="1" x14ac:dyDescent="0.2">
      <c r="A414" s="707"/>
      <c r="B414" s="129" t="s">
        <v>584</v>
      </c>
      <c r="C414" s="129"/>
      <c r="D414" s="129"/>
      <c r="E414" s="122" t="s">
        <v>2954</v>
      </c>
      <c r="F414" s="291" t="s">
        <v>3624</v>
      </c>
      <c r="G414" s="122" t="s">
        <v>1588</v>
      </c>
      <c r="H414" s="129" t="s">
        <v>3218</v>
      </c>
      <c r="I414" s="122" t="s">
        <v>5273</v>
      </c>
      <c r="J414" s="122" t="s">
        <v>2808</v>
      </c>
      <c r="K414" s="129" t="s">
        <v>11</v>
      </c>
      <c r="L414" s="129" t="s">
        <v>685</v>
      </c>
      <c r="M414" s="122" t="s">
        <v>3091</v>
      </c>
      <c r="N414" s="293">
        <v>42824</v>
      </c>
      <c r="O414" s="308" t="s">
        <v>3381</v>
      </c>
      <c r="P414" s="308"/>
      <c r="Q414" s="308"/>
      <c r="R414" s="308"/>
      <c r="S414" s="308"/>
      <c r="T414" s="112" t="s">
        <v>5279</v>
      </c>
      <c r="U414" s="112"/>
      <c r="V414" s="112"/>
      <c r="W414" s="112"/>
      <c r="X414" s="112"/>
      <c r="Y414" s="112"/>
      <c r="Z414" s="112"/>
      <c r="AA414" s="112"/>
      <c r="AB414" s="112"/>
      <c r="AC414" s="112"/>
      <c r="AD414" s="112"/>
      <c r="AE414" s="112"/>
      <c r="AF414" s="112"/>
      <c r="AG414" s="112"/>
      <c r="AH414" s="112"/>
      <c r="AI414" s="112"/>
      <c r="AJ414" s="325" t="s">
        <v>3711</v>
      </c>
      <c r="AK414" s="650"/>
      <c r="AL414" s="694"/>
    </row>
    <row r="415" spans="1:38" s="318" customFormat="1" ht="50.1" customHeight="1" x14ac:dyDescent="0.2">
      <c r="A415" s="707"/>
      <c r="B415" s="129" t="s">
        <v>584</v>
      </c>
      <c r="C415" s="129"/>
      <c r="D415" s="129"/>
      <c r="E415" s="122" t="s">
        <v>3568</v>
      </c>
      <c r="F415" s="291" t="s">
        <v>3606</v>
      </c>
      <c r="G415" s="122" t="s">
        <v>1058</v>
      </c>
      <c r="H415" s="122" t="s">
        <v>1806</v>
      </c>
      <c r="I415" s="122"/>
      <c r="J415" s="122" t="s">
        <v>3369</v>
      </c>
      <c r="K415" s="129" t="s">
        <v>11</v>
      </c>
      <c r="L415" s="122" t="s">
        <v>685</v>
      </c>
      <c r="M415" s="122" t="s">
        <v>3090</v>
      </c>
      <c r="N415" s="293">
        <v>43334</v>
      </c>
      <c r="O415" s="308" t="s">
        <v>3569</v>
      </c>
      <c r="P415" s="308"/>
      <c r="Q415" s="308"/>
      <c r="R415" s="308"/>
      <c r="S415" s="308"/>
      <c r="T415" s="112" t="s">
        <v>3732</v>
      </c>
      <c r="U415" s="112"/>
      <c r="V415" s="112"/>
      <c r="W415" s="112"/>
      <c r="X415" s="112"/>
      <c r="Y415" s="112"/>
      <c r="Z415" s="112"/>
      <c r="AA415" s="112"/>
      <c r="AB415" s="112"/>
      <c r="AC415" s="112"/>
      <c r="AD415" s="112"/>
      <c r="AE415" s="112"/>
      <c r="AF415" s="112"/>
      <c r="AG415" s="112"/>
      <c r="AH415" s="112"/>
      <c r="AI415" s="112"/>
      <c r="AJ415" s="325" t="s">
        <v>3731</v>
      </c>
      <c r="AK415" s="650"/>
      <c r="AL415" s="694"/>
    </row>
    <row r="416" spans="1:38" s="318" customFormat="1" ht="50.1" customHeight="1" x14ac:dyDescent="0.2">
      <c r="A416" s="707"/>
      <c r="B416" s="129" t="s">
        <v>1137</v>
      </c>
      <c r="C416" s="129"/>
      <c r="D416" s="129"/>
      <c r="E416" s="122" t="s">
        <v>3666</v>
      </c>
      <c r="F416" s="291" t="s">
        <v>3598</v>
      </c>
      <c r="G416" s="122" t="s">
        <v>3597</v>
      </c>
      <c r="H416" s="122" t="s">
        <v>1806</v>
      </c>
      <c r="I416" s="122"/>
      <c r="J416" s="122" t="s">
        <v>735</v>
      </c>
      <c r="K416" s="122" t="s">
        <v>16</v>
      </c>
      <c r="L416" s="122" t="s">
        <v>12</v>
      </c>
      <c r="M416" s="122" t="s">
        <v>3090</v>
      </c>
      <c r="N416" s="293">
        <v>43391</v>
      </c>
      <c r="O416" s="308" t="s">
        <v>3667</v>
      </c>
      <c r="P416" s="308"/>
      <c r="Q416" s="308"/>
      <c r="R416" s="308"/>
      <c r="S416" s="308"/>
      <c r="T416" s="112" t="s">
        <v>5535</v>
      </c>
      <c r="U416" s="112"/>
      <c r="V416" s="112"/>
      <c r="W416" s="112"/>
      <c r="X416" s="112"/>
      <c r="Y416" s="112"/>
      <c r="Z416" s="112"/>
      <c r="AA416" s="112"/>
      <c r="AB416" s="112"/>
      <c r="AC416" s="112"/>
      <c r="AD416" s="112"/>
      <c r="AE416" s="112"/>
      <c r="AF416" s="112"/>
      <c r="AG416" s="112"/>
      <c r="AH416" s="112"/>
      <c r="AI416" s="112"/>
      <c r="AJ416" s="325" t="s">
        <v>3762</v>
      </c>
      <c r="AK416" s="650"/>
      <c r="AL416" s="694"/>
    </row>
    <row r="417" spans="1:43" s="318" customFormat="1" ht="50.1" customHeight="1" x14ac:dyDescent="0.2">
      <c r="A417" s="707"/>
      <c r="B417" s="129" t="s">
        <v>1137</v>
      </c>
      <c r="C417" s="129" t="s">
        <v>3799</v>
      </c>
      <c r="D417" s="129"/>
      <c r="E417" s="122" t="s">
        <v>3646</v>
      </c>
      <c r="F417" s="291" t="s">
        <v>3647</v>
      </c>
      <c r="G417" s="122" t="s">
        <v>3648</v>
      </c>
      <c r="H417" s="122" t="s">
        <v>3649</v>
      </c>
      <c r="I417" s="122"/>
      <c r="J417" s="122" t="s">
        <v>3650</v>
      </c>
      <c r="K417" s="122" t="s">
        <v>105</v>
      </c>
      <c r="L417" s="122" t="s">
        <v>12</v>
      </c>
      <c r="M417" s="122" t="s">
        <v>3081</v>
      </c>
      <c r="N417" s="293">
        <v>43382</v>
      </c>
      <c r="O417" s="308" t="s">
        <v>3651</v>
      </c>
      <c r="P417" s="308"/>
      <c r="Q417" s="308"/>
      <c r="R417" s="308"/>
      <c r="S417" s="308"/>
      <c r="T417" s="112" t="s">
        <v>3763</v>
      </c>
      <c r="U417" s="112"/>
      <c r="V417" s="112"/>
      <c r="W417" s="112"/>
      <c r="X417" s="112"/>
      <c r="Y417" s="112"/>
      <c r="Z417" s="112"/>
      <c r="AA417" s="112"/>
      <c r="AB417" s="112"/>
      <c r="AC417" s="112"/>
      <c r="AD417" s="112"/>
      <c r="AE417" s="112"/>
      <c r="AF417" s="112"/>
      <c r="AG417" s="112"/>
      <c r="AH417" s="112"/>
      <c r="AI417" s="112"/>
      <c r="AJ417" s="325" t="s">
        <v>3801</v>
      </c>
      <c r="AK417" s="650"/>
      <c r="AL417" s="694"/>
    </row>
    <row r="418" spans="1:43" s="318" customFormat="1" ht="50.1" customHeight="1" x14ac:dyDescent="0.2">
      <c r="A418" s="707"/>
      <c r="B418" s="129" t="s">
        <v>584</v>
      </c>
      <c r="C418" s="129" t="s">
        <v>3799</v>
      </c>
      <c r="D418" s="129"/>
      <c r="E418" s="122" t="s">
        <v>616</v>
      </c>
      <c r="F418" s="291" t="s">
        <v>3637</v>
      </c>
      <c r="G418" s="122" t="s">
        <v>1371</v>
      </c>
      <c r="H418" s="122" t="s">
        <v>3639</v>
      </c>
      <c r="I418" s="122"/>
      <c r="J418" s="122" t="s">
        <v>3638</v>
      </c>
      <c r="K418" s="122" t="s">
        <v>105</v>
      </c>
      <c r="L418" s="122" t="s">
        <v>12</v>
      </c>
      <c r="M418" s="122" t="s">
        <v>3081</v>
      </c>
      <c r="N418" s="293">
        <v>43371</v>
      </c>
      <c r="O418" s="308" t="s">
        <v>3640</v>
      </c>
      <c r="P418" s="308"/>
      <c r="Q418" s="308"/>
      <c r="R418" s="308"/>
      <c r="S418" s="308"/>
      <c r="T418" s="112" t="s">
        <v>3764</v>
      </c>
      <c r="U418" s="112"/>
      <c r="V418" s="112"/>
      <c r="W418" s="112"/>
      <c r="X418" s="112"/>
      <c r="Y418" s="112"/>
      <c r="Z418" s="112"/>
      <c r="AA418" s="112"/>
      <c r="AB418" s="112"/>
      <c r="AC418" s="112"/>
      <c r="AD418" s="112"/>
      <c r="AE418" s="112"/>
      <c r="AF418" s="112"/>
      <c r="AG418" s="112"/>
      <c r="AH418" s="112"/>
      <c r="AI418" s="112"/>
      <c r="AJ418" s="325" t="s">
        <v>3801</v>
      </c>
      <c r="AK418" s="650"/>
      <c r="AL418" s="694"/>
    </row>
    <row r="419" spans="1:43" s="318" customFormat="1" ht="50.1" customHeight="1" x14ac:dyDescent="0.2">
      <c r="A419" s="707"/>
      <c r="B419" s="129" t="s">
        <v>1137</v>
      </c>
      <c r="C419" s="122" t="s">
        <v>3798</v>
      </c>
      <c r="D419" s="122"/>
      <c r="E419" s="122" t="s">
        <v>3766</v>
      </c>
      <c r="F419" s="291" t="s">
        <v>3773</v>
      </c>
      <c r="G419" s="122" t="s">
        <v>3724</v>
      </c>
      <c r="H419" s="122" t="s">
        <v>3218</v>
      </c>
      <c r="I419" s="122"/>
      <c r="J419" s="122" t="s">
        <v>603</v>
      </c>
      <c r="K419" s="122" t="s">
        <v>16</v>
      </c>
      <c r="L419" s="122" t="s">
        <v>66</v>
      </c>
      <c r="M419" s="122" t="s">
        <v>3090</v>
      </c>
      <c r="N419" s="293">
        <v>43461</v>
      </c>
      <c r="O419" s="308" t="s">
        <v>3767</v>
      </c>
      <c r="P419" s="308"/>
      <c r="Q419" s="308"/>
      <c r="R419" s="308"/>
      <c r="S419" s="308"/>
      <c r="T419" s="112" t="s">
        <v>3808</v>
      </c>
      <c r="U419" s="112"/>
      <c r="V419" s="112"/>
      <c r="W419" s="112"/>
      <c r="X419" s="112"/>
      <c r="Y419" s="112"/>
      <c r="Z419" s="112"/>
      <c r="AA419" s="112"/>
      <c r="AB419" s="112"/>
      <c r="AC419" s="112"/>
      <c r="AD419" s="112"/>
      <c r="AE419" s="112"/>
      <c r="AF419" s="112"/>
      <c r="AG419" s="112"/>
      <c r="AH419" s="112"/>
      <c r="AI419" s="112"/>
      <c r="AJ419" s="325" t="s">
        <v>3807</v>
      </c>
      <c r="AK419" s="650"/>
      <c r="AL419" s="694"/>
    </row>
    <row r="420" spans="1:43" s="318" customFormat="1" ht="50.1" customHeight="1" x14ac:dyDescent="0.2">
      <c r="A420" s="707"/>
      <c r="B420" s="129" t="s">
        <v>1137</v>
      </c>
      <c r="C420" s="122" t="s">
        <v>3798</v>
      </c>
      <c r="D420" s="122"/>
      <c r="E420" s="122" t="s">
        <v>3768</v>
      </c>
      <c r="F420" s="291" t="s">
        <v>3774</v>
      </c>
      <c r="G420" s="122" t="s">
        <v>3725</v>
      </c>
      <c r="H420" s="122" t="s">
        <v>3218</v>
      </c>
      <c r="I420" s="122"/>
      <c r="J420" s="122" t="s">
        <v>3726</v>
      </c>
      <c r="K420" s="122" t="s">
        <v>16</v>
      </c>
      <c r="L420" s="122" t="s">
        <v>3727</v>
      </c>
      <c r="M420" s="122" t="s">
        <v>3090</v>
      </c>
      <c r="N420" s="293">
        <v>43461</v>
      </c>
      <c r="O420" s="308" t="s">
        <v>3769</v>
      </c>
      <c r="P420" s="308"/>
      <c r="Q420" s="308"/>
      <c r="R420" s="308"/>
      <c r="S420" s="308"/>
      <c r="T420" s="321" t="s">
        <v>3809</v>
      </c>
      <c r="U420" s="321"/>
      <c r="V420" s="321"/>
      <c r="W420" s="321"/>
      <c r="X420" s="321"/>
      <c r="Y420" s="321"/>
      <c r="Z420" s="321"/>
      <c r="AA420" s="321"/>
      <c r="AB420" s="321"/>
      <c r="AC420" s="321"/>
      <c r="AD420" s="321"/>
      <c r="AE420" s="321"/>
      <c r="AF420" s="321"/>
      <c r="AG420" s="321"/>
      <c r="AH420" s="321"/>
      <c r="AI420" s="321"/>
      <c r="AJ420" s="325" t="s">
        <v>3807</v>
      </c>
      <c r="AK420" s="650"/>
      <c r="AL420" s="718"/>
    </row>
    <row r="421" spans="1:43" s="344" customFormat="1" ht="50.1" customHeight="1" x14ac:dyDescent="0.2">
      <c r="A421" s="707"/>
      <c r="B421" s="129" t="s">
        <v>1137</v>
      </c>
      <c r="C421" s="122" t="s">
        <v>3799</v>
      </c>
      <c r="D421" s="122"/>
      <c r="E421" s="122" t="s">
        <v>3698</v>
      </c>
      <c r="F421" s="291" t="s">
        <v>3699</v>
      </c>
      <c r="G421" s="122" t="s">
        <v>3699</v>
      </c>
      <c r="H421" s="122" t="s">
        <v>3700</v>
      </c>
      <c r="I421" s="122" t="s">
        <v>3701</v>
      </c>
      <c r="J421" s="122" t="s">
        <v>55</v>
      </c>
      <c r="K421" s="122" t="s">
        <v>16</v>
      </c>
      <c r="L421" s="122" t="s">
        <v>685</v>
      </c>
      <c r="M421" s="122" t="s">
        <v>3081</v>
      </c>
      <c r="N421" s="293">
        <v>43403</v>
      </c>
      <c r="O421" s="308" t="s">
        <v>3702</v>
      </c>
      <c r="P421" s="308"/>
      <c r="Q421" s="308"/>
      <c r="R421" s="308"/>
      <c r="S421" s="308"/>
      <c r="T421" s="112" t="s">
        <v>3811</v>
      </c>
      <c r="U421" s="112"/>
      <c r="V421" s="112"/>
      <c r="W421" s="112"/>
      <c r="X421" s="112"/>
      <c r="Y421" s="112"/>
      <c r="Z421" s="112"/>
      <c r="AA421" s="112"/>
      <c r="AB421" s="112"/>
      <c r="AC421" s="112"/>
      <c r="AD421" s="112"/>
      <c r="AE421" s="112"/>
      <c r="AF421" s="112"/>
      <c r="AG421" s="112"/>
      <c r="AH421" s="112"/>
      <c r="AI421" s="112"/>
      <c r="AJ421" s="325" t="s">
        <v>3807</v>
      </c>
      <c r="AK421" s="650"/>
      <c r="AL421" s="694"/>
    </row>
    <row r="422" spans="1:43" ht="50.1" customHeight="1" x14ac:dyDescent="0.2">
      <c r="A422" s="298"/>
      <c r="B422" s="129" t="s">
        <v>1137</v>
      </c>
      <c r="C422" s="122" t="s">
        <v>3799</v>
      </c>
      <c r="D422" s="122"/>
      <c r="E422" s="122" t="s">
        <v>3659</v>
      </c>
      <c r="F422" s="291" t="s">
        <v>3660</v>
      </c>
      <c r="G422" s="122" t="s">
        <v>3661</v>
      </c>
      <c r="H422" s="122" t="s">
        <v>3662</v>
      </c>
      <c r="I422" s="122" t="s">
        <v>3663</v>
      </c>
      <c r="J422" s="122" t="s">
        <v>3664</v>
      </c>
      <c r="K422" s="122" t="s">
        <v>11</v>
      </c>
      <c r="L422" s="122" t="s">
        <v>12</v>
      </c>
      <c r="M422" s="122" t="s">
        <v>3081</v>
      </c>
      <c r="N422" s="293">
        <v>43395</v>
      </c>
      <c r="O422" s="308" t="s">
        <v>3665</v>
      </c>
      <c r="P422" s="308"/>
      <c r="Q422" s="308"/>
      <c r="R422" s="308"/>
      <c r="S422" s="308"/>
      <c r="T422" s="30" t="s">
        <v>3812</v>
      </c>
      <c r="U422" s="30"/>
      <c r="V422" s="30"/>
      <c r="W422" s="30"/>
      <c r="X422" s="30"/>
      <c r="Y422" s="30"/>
      <c r="Z422" s="30"/>
      <c r="AA422" s="30"/>
      <c r="AB422" s="30"/>
      <c r="AC422" s="30"/>
      <c r="AD422" s="30"/>
      <c r="AE422" s="30"/>
      <c r="AF422" s="30"/>
      <c r="AG422" s="30"/>
      <c r="AH422" s="30"/>
      <c r="AI422" s="30"/>
      <c r="AJ422" s="73">
        <v>43507</v>
      </c>
      <c r="AK422" s="648"/>
      <c r="AL422" s="82"/>
    </row>
    <row r="423" spans="1:43" ht="50.1" customHeight="1" x14ac:dyDescent="0.2">
      <c r="A423" s="298"/>
      <c r="B423" s="129" t="s">
        <v>1137</v>
      </c>
      <c r="C423" s="122" t="s">
        <v>3799</v>
      </c>
      <c r="D423" s="122"/>
      <c r="E423" s="122" t="s">
        <v>3706</v>
      </c>
      <c r="F423" s="291" t="s">
        <v>3787</v>
      </c>
      <c r="G423" s="122" t="s">
        <v>3707</v>
      </c>
      <c r="H423" s="122" t="s">
        <v>3713</v>
      </c>
      <c r="I423" s="122" t="s">
        <v>3708</v>
      </c>
      <c r="J423" s="122" t="s">
        <v>3709</v>
      </c>
      <c r="K423" s="122" t="s">
        <v>105</v>
      </c>
      <c r="L423" s="122" t="s">
        <v>685</v>
      </c>
      <c r="M423" s="122" t="s">
        <v>3081</v>
      </c>
      <c r="N423" s="293">
        <v>43418</v>
      </c>
      <c r="O423" s="308" t="s">
        <v>3714</v>
      </c>
      <c r="P423" s="308"/>
      <c r="Q423" s="308"/>
      <c r="R423" s="308"/>
      <c r="S423" s="308"/>
      <c r="T423" s="87" t="s">
        <v>3817</v>
      </c>
      <c r="U423" s="87"/>
      <c r="V423" s="87"/>
      <c r="W423" s="87"/>
      <c r="X423" s="87"/>
      <c r="Y423" s="87"/>
      <c r="Z423" s="87"/>
      <c r="AA423" s="87"/>
      <c r="AB423" s="87"/>
      <c r="AC423" s="87"/>
      <c r="AD423" s="87"/>
      <c r="AE423" s="87"/>
      <c r="AF423" s="87"/>
      <c r="AG423" s="87"/>
      <c r="AH423" s="87"/>
      <c r="AI423" s="87"/>
      <c r="AJ423" s="73">
        <v>43514</v>
      </c>
      <c r="AK423" s="648"/>
      <c r="AL423" s="716"/>
    </row>
    <row r="424" spans="1:43" s="298" customFormat="1" ht="50.1" customHeight="1" x14ac:dyDescent="0.2">
      <c r="B424" s="129" t="s">
        <v>1137</v>
      </c>
      <c r="C424" s="122" t="s">
        <v>3797</v>
      </c>
      <c r="D424" s="122"/>
      <c r="E424" s="324" t="s">
        <v>3250</v>
      </c>
      <c r="F424" s="291" t="s">
        <v>3786</v>
      </c>
      <c r="G424" s="129" t="s">
        <v>65</v>
      </c>
      <c r="H424" s="122" t="s">
        <v>1806</v>
      </c>
      <c r="I424" s="122" t="s">
        <v>3059</v>
      </c>
      <c r="J424" s="122" t="s">
        <v>51</v>
      </c>
      <c r="K424" s="129" t="s">
        <v>16</v>
      </c>
      <c r="L424" s="129" t="s">
        <v>1369</v>
      </c>
      <c r="M424" s="122" t="s">
        <v>3090</v>
      </c>
      <c r="N424" s="293">
        <v>42719</v>
      </c>
      <c r="O424" s="112" t="s">
        <v>2797</v>
      </c>
      <c r="P424" s="112"/>
      <c r="Q424" s="112"/>
      <c r="R424" s="112"/>
      <c r="S424" s="112"/>
      <c r="T424" s="30" t="s">
        <v>3828</v>
      </c>
      <c r="U424" s="30"/>
      <c r="V424" s="30"/>
      <c r="W424" s="30"/>
      <c r="X424" s="30"/>
      <c r="Y424" s="30"/>
      <c r="Z424" s="30"/>
      <c r="AA424" s="30"/>
      <c r="AB424" s="30"/>
      <c r="AC424" s="30"/>
      <c r="AD424" s="30"/>
      <c r="AE424" s="30"/>
      <c r="AF424" s="30"/>
      <c r="AG424" s="30"/>
      <c r="AH424" s="30"/>
      <c r="AI424" s="30"/>
      <c r="AJ424" s="73">
        <v>43521</v>
      </c>
      <c r="AK424" s="648"/>
      <c r="AL424" s="82"/>
    </row>
    <row r="425" spans="1:43" ht="50.1" customHeight="1" x14ac:dyDescent="0.2">
      <c r="A425" s="298"/>
      <c r="B425" s="129" t="s">
        <v>584</v>
      </c>
      <c r="C425" s="122" t="s">
        <v>3797</v>
      </c>
      <c r="D425" s="122"/>
      <c r="E425" s="122" t="s">
        <v>3633</v>
      </c>
      <c r="F425" s="291" t="s">
        <v>3607</v>
      </c>
      <c r="G425" s="122" t="s">
        <v>3589</v>
      </c>
      <c r="H425" s="122" t="s">
        <v>1806</v>
      </c>
      <c r="I425" s="122" t="s">
        <v>3590</v>
      </c>
      <c r="J425" s="122" t="s">
        <v>3588</v>
      </c>
      <c r="K425" s="122" t="s">
        <v>11</v>
      </c>
      <c r="L425" s="122" t="s">
        <v>685</v>
      </c>
      <c r="M425" s="122" t="s">
        <v>3090</v>
      </c>
      <c r="N425" s="293">
        <v>43376</v>
      </c>
      <c r="O425" s="308" t="s">
        <v>3636</v>
      </c>
      <c r="P425" s="308"/>
      <c r="Q425" s="308"/>
      <c r="R425" s="308"/>
      <c r="S425" s="308"/>
      <c r="T425" s="30" t="s">
        <v>3837</v>
      </c>
      <c r="U425" s="30"/>
      <c r="V425" s="30"/>
      <c r="W425" s="30"/>
      <c r="X425" s="30"/>
      <c r="Y425" s="30"/>
      <c r="Z425" s="30"/>
      <c r="AA425" s="30"/>
      <c r="AB425" s="30"/>
      <c r="AC425" s="30"/>
      <c r="AD425" s="30"/>
      <c r="AE425" s="30"/>
      <c r="AF425" s="30"/>
      <c r="AG425" s="30"/>
      <c r="AH425" s="30"/>
      <c r="AI425" s="30"/>
      <c r="AJ425" s="73">
        <v>43542</v>
      </c>
      <c r="AK425" s="648"/>
      <c r="AL425" s="82"/>
    </row>
    <row r="426" spans="1:43" ht="50.1" customHeight="1" x14ac:dyDescent="0.2">
      <c r="A426" s="298"/>
      <c r="B426" s="129" t="s">
        <v>584</v>
      </c>
      <c r="C426" s="122" t="s">
        <v>3797</v>
      </c>
      <c r="D426" s="122"/>
      <c r="E426" s="122" t="s">
        <v>3634</v>
      </c>
      <c r="F426" s="291" t="s">
        <v>3587</v>
      </c>
      <c r="G426" s="122" t="s">
        <v>3591</v>
      </c>
      <c r="H426" s="122" t="s">
        <v>1806</v>
      </c>
      <c r="I426" s="122" t="s">
        <v>3594</v>
      </c>
      <c r="J426" s="122" t="s">
        <v>3593</v>
      </c>
      <c r="K426" s="122" t="s">
        <v>11</v>
      </c>
      <c r="L426" s="122" t="s">
        <v>3592</v>
      </c>
      <c r="M426" s="122" t="s">
        <v>3090</v>
      </c>
      <c r="N426" s="293">
        <v>43376</v>
      </c>
      <c r="O426" s="308" t="s">
        <v>3635</v>
      </c>
      <c r="P426" s="308"/>
      <c r="Q426" s="308"/>
      <c r="R426" s="308"/>
      <c r="S426" s="308"/>
      <c r="T426" s="30" t="s">
        <v>3838</v>
      </c>
      <c r="U426" s="30"/>
      <c r="V426" s="30"/>
      <c r="W426" s="30"/>
      <c r="X426" s="30"/>
      <c r="Y426" s="30"/>
      <c r="Z426" s="30"/>
      <c r="AA426" s="30"/>
      <c r="AB426" s="30"/>
      <c r="AC426" s="30"/>
      <c r="AD426" s="30"/>
      <c r="AE426" s="30"/>
      <c r="AF426" s="30"/>
      <c r="AG426" s="30"/>
      <c r="AH426" s="30"/>
      <c r="AI426" s="30"/>
      <c r="AJ426" s="73">
        <v>43542</v>
      </c>
      <c r="AK426" s="648"/>
      <c r="AL426" s="82"/>
    </row>
    <row r="427" spans="1:43" ht="50.1" customHeight="1" x14ac:dyDescent="0.2">
      <c r="A427" s="298"/>
      <c r="B427" s="129" t="s">
        <v>584</v>
      </c>
      <c r="C427" s="122" t="s">
        <v>3797</v>
      </c>
      <c r="D427" s="122"/>
      <c r="E427" s="122" t="s">
        <v>3543</v>
      </c>
      <c r="F427" s="291" t="s">
        <v>3865</v>
      </c>
      <c r="G427" s="122" t="s">
        <v>53</v>
      </c>
      <c r="H427" s="122" t="s">
        <v>1806</v>
      </c>
      <c r="I427" s="122" t="s">
        <v>3843</v>
      </c>
      <c r="J427" s="122" t="s">
        <v>3525</v>
      </c>
      <c r="K427" s="122" t="s">
        <v>11</v>
      </c>
      <c r="L427" s="122" t="s">
        <v>3048</v>
      </c>
      <c r="M427" s="122" t="s">
        <v>3090</v>
      </c>
      <c r="N427" s="293">
        <v>43306</v>
      </c>
      <c r="O427" s="308" t="s">
        <v>3531</v>
      </c>
      <c r="P427" s="308"/>
      <c r="Q427" s="308"/>
      <c r="R427" s="308"/>
      <c r="S427" s="308"/>
      <c r="T427" s="30" t="s">
        <v>3866</v>
      </c>
      <c r="U427" s="30"/>
      <c r="V427" s="30"/>
      <c r="W427" s="30"/>
      <c r="X427" s="30"/>
      <c r="Y427" s="30"/>
      <c r="Z427" s="30"/>
      <c r="AA427" s="30"/>
      <c r="AB427" s="30"/>
      <c r="AC427" s="30"/>
      <c r="AD427" s="30"/>
      <c r="AE427" s="30"/>
      <c r="AF427" s="30"/>
      <c r="AG427" s="30"/>
      <c r="AH427" s="30"/>
      <c r="AI427" s="30"/>
      <c r="AJ427" s="73">
        <v>43563</v>
      </c>
      <c r="AK427" s="648"/>
      <c r="AL427" s="82"/>
    </row>
    <row r="428" spans="1:43" ht="50.1" customHeight="1" x14ac:dyDescent="0.2">
      <c r="A428" s="298"/>
      <c r="B428" s="129" t="s">
        <v>584</v>
      </c>
      <c r="C428" s="122" t="s">
        <v>3798</v>
      </c>
      <c r="D428" s="122"/>
      <c r="E428" s="122" t="s">
        <v>3654</v>
      </c>
      <c r="F428" s="291" t="s">
        <v>3899</v>
      </c>
      <c r="G428" s="122" t="s">
        <v>3597</v>
      </c>
      <c r="H428" s="122" t="s">
        <v>1806</v>
      </c>
      <c r="I428" s="122" t="s">
        <v>3599</v>
      </c>
      <c r="J428" s="122" t="s">
        <v>735</v>
      </c>
      <c r="K428" s="122" t="s">
        <v>11</v>
      </c>
      <c r="L428" s="122" t="s">
        <v>12</v>
      </c>
      <c r="M428" s="122" t="s">
        <v>3090</v>
      </c>
      <c r="N428" s="293">
        <v>43381</v>
      </c>
      <c r="O428" s="308" t="s">
        <v>3655</v>
      </c>
      <c r="P428" s="308"/>
      <c r="Q428" s="308"/>
      <c r="R428" s="308"/>
      <c r="S428" s="308"/>
      <c r="T428" s="30" t="s">
        <v>5534</v>
      </c>
      <c r="U428" s="30"/>
      <c r="V428" s="30"/>
      <c r="W428" s="30"/>
      <c r="X428" s="30"/>
      <c r="Y428" s="30"/>
      <c r="Z428" s="30"/>
      <c r="AA428" s="30"/>
      <c r="AB428" s="30"/>
      <c r="AC428" s="30"/>
      <c r="AD428" s="30"/>
      <c r="AE428" s="30"/>
      <c r="AF428" s="30"/>
      <c r="AG428" s="30"/>
      <c r="AH428" s="30"/>
      <c r="AI428" s="30"/>
      <c r="AJ428" s="73">
        <v>43591</v>
      </c>
      <c r="AK428" s="648"/>
      <c r="AL428" s="82"/>
    </row>
    <row r="429" spans="1:43" ht="50.1" customHeight="1" x14ac:dyDescent="0.2">
      <c r="A429" s="298"/>
      <c r="B429" s="129" t="s">
        <v>584</v>
      </c>
      <c r="C429" s="122" t="s">
        <v>3798</v>
      </c>
      <c r="D429" s="122"/>
      <c r="E429" s="122" t="s">
        <v>3652</v>
      </c>
      <c r="F429" s="291" t="s">
        <v>3900</v>
      </c>
      <c r="G429" s="122" t="s">
        <v>3600</v>
      </c>
      <c r="H429" s="122" t="s">
        <v>1806</v>
      </c>
      <c r="I429" s="122" t="s">
        <v>3601</v>
      </c>
      <c r="J429" s="122" t="s">
        <v>3602</v>
      </c>
      <c r="K429" s="122" t="s">
        <v>11</v>
      </c>
      <c r="L429" s="122" t="s">
        <v>12</v>
      </c>
      <c r="M429" s="122" t="s">
        <v>3090</v>
      </c>
      <c r="N429" s="293">
        <v>43381</v>
      </c>
      <c r="O429" s="308" t="s">
        <v>3653</v>
      </c>
      <c r="P429" s="308"/>
      <c r="Q429" s="308"/>
      <c r="R429" s="308"/>
      <c r="S429" s="308"/>
      <c r="T429" s="30" t="s">
        <v>3918</v>
      </c>
      <c r="U429" s="30"/>
      <c r="V429" s="30"/>
      <c r="W429" s="30"/>
      <c r="X429" s="30"/>
      <c r="Y429" s="30"/>
      <c r="Z429" s="30"/>
      <c r="AA429" s="30"/>
      <c r="AB429" s="30"/>
      <c r="AC429" s="30"/>
      <c r="AD429" s="30"/>
      <c r="AE429" s="30"/>
      <c r="AF429" s="30"/>
      <c r="AG429" s="30"/>
      <c r="AH429" s="30"/>
      <c r="AI429" s="30"/>
      <c r="AJ429" s="73">
        <v>43591</v>
      </c>
      <c r="AK429" s="648"/>
      <c r="AL429" s="82"/>
    </row>
    <row r="430" spans="1:43" ht="50.1" customHeight="1" x14ac:dyDescent="0.2">
      <c r="A430" s="298"/>
      <c r="B430" s="129" t="s">
        <v>584</v>
      </c>
      <c r="C430" s="122" t="s">
        <v>3797</v>
      </c>
      <c r="D430" s="122"/>
      <c r="E430" s="122" t="s">
        <v>3881</v>
      </c>
      <c r="F430" s="291" t="s">
        <v>3882</v>
      </c>
      <c r="G430" s="122" t="s">
        <v>3394</v>
      </c>
      <c r="H430" s="122" t="s">
        <v>3911</v>
      </c>
      <c r="I430" s="122" t="s">
        <v>3883</v>
      </c>
      <c r="J430" s="122" t="s">
        <v>3884</v>
      </c>
      <c r="K430" s="122" t="s">
        <v>105</v>
      </c>
      <c r="L430" s="122" t="s">
        <v>12</v>
      </c>
      <c r="M430" s="122" t="s">
        <v>3081</v>
      </c>
      <c r="N430" s="293">
        <v>43564</v>
      </c>
      <c r="O430" s="308" t="s">
        <v>3885</v>
      </c>
      <c r="P430" s="308"/>
      <c r="Q430" s="308"/>
      <c r="R430" s="308"/>
      <c r="S430" s="308"/>
      <c r="T430" s="122" t="s">
        <v>5541</v>
      </c>
      <c r="U430" s="122"/>
      <c r="V430" s="122"/>
      <c r="W430" s="122"/>
      <c r="X430" s="122"/>
      <c r="Y430" s="122"/>
      <c r="Z430" s="122"/>
      <c r="AA430" s="122"/>
      <c r="AB430" s="122"/>
      <c r="AC430" s="122"/>
      <c r="AD430" s="122"/>
      <c r="AE430" s="122"/>
      <c r="AF430" s="122"/>
      <c r="AG430" s="122"/>
      <c r="AH430" s="122"/>
      <c r="AI430" s="122"/>
      <c r="AJ430" s="73">
        <v>43619</v>
      </c>
      <c r="AK430" s="290"/>
      <c r="AL430" s="719"/>
      <c r="AM430" s="97"/>
      <c r="AN430" s="97"/>
      <c r="AO430" s="97"/>
      <c r="AP430" s="97"/>
      <c r="AQ430" s="97"/>
    </row>
    <row r="431" spans="1:43" ht="50.1" customHeight="1" x14ac:dyDescent="0.2">
      <c r="A431" s="298"/>
      <c r="B431" s="129" t="s">
        <v>1137</v>
      </c>
      <c r="C431" s="122" t="s">
        <v>3798</v>
      </c>
      <c r="D431" s="122"/>
      <c r="E431" s="122" t="s">
        <v>3775</v>
      </c>
      <c r="F431" s="291" t="s">
        <v>3800</v>
      </c>
      <c r="G431" s="122" t="s">
        <v>1415</v>
      </c>
      <c r="H431" s="122" t="s">
        <v>3218</v>
      </c>
      <c r="I431" s="122" t="s">
        <v>3729</v>
      </c>
      <c r="J431" s="122" t="s">
        <v>3728</v>
      </c>
      <c r="K431" s="122" t="s">
        <v>16</v>
      </c>
      <c r="L431" s="122" t="s">
        <v>3098</v>
      </c>
      <c r="M431" s="122" t="s">
        <v>3090</v>
      </c>
      <c r="N431" s="293">
        <v>43489</v>
      </c>
      <c r="O431" s="308" t="s">
        <v>3776</v>
      </c>
      <c r="P431" s="308"/>
      <c r="Q431" s="308"/>
      <c r="R431" s="308"/>
      <c r="S431" s="308"/>
      <c r="T431" s="122" t="s">
        <v>4122</v>
      </c>
      <c r="U431" s="122"/>
      <c r="V431" s="122"/>
      <c r="W431" s="122"/>
      <c r="X431" s="122"/>
      <c r="Y431" s="122"/>
      <c r="Z431" s="122"/>
      <c r="AA431" s="122"/>
      <c r="AB431" s="122"/>
      <c r="AC431" s="122"/>
      <c r="AD431" s="122"/>
      <c r="AE431" s="122"/>
      <c r="AF431" s="122"/>
      <c r="AG431" s="122"/>
      <c r="AH431" s="122"/>
      <c r="AI431" s="122"/>
      <c r="AJ431" s="73">
        <v>43654</v>
      </c>
      <c r="AK431" s="290"/>
      <c r="AL431" s="719"/>
      <c r="AM431" s="97"/>
      <c r="AN431" s="97"/>
      <c r="AO431" s="97"/>
      <c r="AP431" s="97"/>
      <c r="AQ431" s="97"/>
    </row>
    <row r="432" spans="1:43" ht="50.1" customHeight="1" x14ac:dyDescent="0.2">
      <c r="A432" s="298"/>
      <c r="B432" s="129" t="s">
        <v>584</v>
      </c>
      <c r="C432" s="122" t="s">
        <v>3797</v>
      </c>
      <c r="D432" s="122"/>
      <c r="E432" s="122" t="s">
        <v>3915</v>
      </c>
      <c r="F432" s="291" t="s">
        <v>4393</v>
      </c>
      <c r="G432" s="122" t="s">
        <v>3574</v>
      </c>
      <c r="H432" s="122" t="s">
        <v>3576</v>
      </c>
      <c r="I432" s="122" t="s">
        <v>3723</v>
      </c>
      <c r="J432" s="122" t="s">
        <v>3722</v>
      </c>
      <c r="K432" s="122" t="s">
        <v>3578</v>
      </c>
      <c r="L432" s="122" t="s">
        <v>3048</v>
      </c>
      <c r="M432" s="122" t="s">
        <v>2992</v>
      </c>
      <c r="N432" s="293">
        <v>43448</v>
      </c>
      <c r="O432" s="308" t="s">
        <v>3730</v>
      </c>
      <c r="P432" s="308"/>
      <c r="Q432" s="308"/>
      <c r="R432" s="308"/>
      <c r="S432" s="308"/>
      <c r="T432" s="122" t="s">
        <v>4139</v>
      </c>
      <c r="U432" s="122"/>
      <c r="V432" s="122"/>
      <c r="W432" s="122"/>
      <c r="X432" s="122"/>
      <c r="Y432" s="122"/>
      <c r="Z432" s="122"/>
      <c r="AA432" s="122"/>
      <c r="AB432" s="122"/>
      <c r="AC432" s="122"/>
      <c r="AD432" s="122"/>
      <c r="AE432" s="122"/>
      <c r="AF432" s="122"/>
      <c r="AG432" s="122"/>
      <c r="AH432" s="122"/>
      <c r="AI432" s="122"/>
      <c r="AJ432" s="73">
        <v>43661</v>
      </c>
      <c r="AK432" s="290"/>
      <c r="AL432" s="719"/>
      <c r="AM432" s="97"/>
      <c r="AN432" s="97"/>
      <c r="AO432" s="97"/>
      <c r="AP432" s="97"/>
      <c r="AQ432" s="97"/>
    </row>
    <row r="433" spans="1:43" ht="50.1" customHeight="1" x14ac:dyDescent="0.2">
      <c r="A433" s="298"/>
      <c r="B433" s="129" t="s">
        <v>584</v>
      </c>
      <c r="C433" s="122" t="s">
        <v>3799</v>
      </c>
      <c r="D433" s="122"/>
      <c r="E433" s="122" t="s">
        <v>3777</v>
      </c>
      <c r="F433" s="291" t="s">
        <v>3788</v>
      </c>
      <c r="G433" s="122" t="s">
        <v>3778</v>
      </c>
      <c r="H433" s="122" t="s">
        <v>3842</v>
      </c>
      <c r="I433" s="122" t="s">
        <v>3779</v>
      </c>
      <c r="J433" s="122" t="s">
        <v>3780</v>
      </c>
      <c r="K433" s="122" t="s">
        <v>454</v>
      </c>
      <c r="L433" s="122" t="s">
        <v>3098</v>
      </c>
      <c r="M433" s="122" t="s">
        <v>3081</v>
      </c>
      <c r="N433" s="293">
        <v>43489</v>
      </c>
      <c r="O433" s="308" t="s">
        <v>3781</v>
      </c>
      <c r="P433" s="308"/>
      <c r="Q433" s="308"/>
      <c r="R433" s="308"/>
      <c r="S433" s="308"/>
      <c r="T433" s="122" t="s">
        <v>4092</v>
      </c>
      <c r="U433" s="122"/>
      <c r="V433" s="122"/>
      <c r="W433" s="122"/>
      <c r="X433" s="122"/>
      <c r="Y433" s="122"/>
      <c r="Z433" s="122"/>
      <c r="AA433" s="122"/>
      <c r="AB433" s="122"/>
      <c r="AC433" s="122"/>
      <c r="AD433" s="122"/>
      <c r="AE433" s="122"/>
      <c r="AF433" s="122"/>
      <c r="AG433" s="122"/>
      <c r="AH433" s="122"/>
      <c r="AI433" s="122"/>
      <c r="AJ433" s="73">
        <v>43661</v>
      </c>
      <c r="AK433" s="290"/>
      <c r="AL433" s="719"/>
      <c r="AM433" s="97"/>
      <c r="AN433" s="97"/>
      <c r="AO433" s="97"/>
      <c r="AP433" s="97"/>
      <c r="AQ433" s="97"/>
    </row>
    <row r="434" spans="1:43" ht="50.1" customHeight="1" x14ac:dyDescent="0.2">
      <c r="A434" s="298"/>
      <c r="B434" s="129" t="s">
        <v>584</v>
      </c>
      <c r="C434" s="122" t="s">
        <v>3797</v>
      </c>
      <c r="D434" s="122"/>
      <c r="E434" s="122" t="s">
        <v>3829</v>
      </c>
      <c r="F434" s="291" t="s">
        <v>4212</v>
      </c>
      <c r="G434" s="122" t="s">
        <v>3830</v>
      </c>
      <c r="H434" s="122" t="s">
        <v>1806</v>
      </c>
      <c r="I434" s="122" t="s">
        <v>3831</v>
      </c>
      <c r="J434" s="122" t="s">
        <v>3832</v>
      </c>
      <c r="K434" s="122" t="s">
        <v>11</v>
      </c>
      <c r="L434" s="122" t="s">
        <v>12</v>
      </c>
      <c r="M434" s="122" t="s">
        <v>3090</v>
      </c>
      <c r="N434" s="293">
        <v>43531</v>
      </c>
      <c r="O434" s="308" t="s">
        <v>3833</v>
      </c>
      <c r="P434" s="308"/>
      <c r="Q434" s="308"/>
      <c r="R434" s="308"/>
      <c r="S434" s="308"/>
      <c r="T434" s="122" t="s">
        <v>4154</v>
      </c>
      <c r="U434" s="122"/>
      <c r="V434" s="122"/>
      <c r="W434" s="122"/>
      <c r="X434" s="122"/>
      <c r="Y434" s="122"/>
      <c r="Z434" s="122"/>
      <c r="AA434" s="122"/>
      <c r="AB434" s="122"/>
      <c r="AC434" s="122"/>
      <c r="AD434" s="122"/>
      <c r="AE434" s="122"/>
      <c r="AF434" s="122"/>
      <c r="AG434" s="122"/>
      <c r="AH434" s="122"/>
      <c r="AI434" s="122"/>
      <c r="AJ434" s="73">
        <v>43689</v>
      </c>
      <c r="AK434" s="290"/>
      <c r="AL434" s="719"/>
      <c r="AM434" s="97"/>
      <c r="AN434" s="97"/>
      <c r="AO434" s="97"/>
      <c r="AP434" s="97"/>
      <c r="AQ434" s="97"/>
    </row>
    <row r="435" spans="1:43" ht="50.1" customHeight="1" x14ac:dyDescent="0.2">
      <c r="A435" s="298"/>
      <c r="B435" s="129" t="s">
        <v>584</v>
      </c>
      <c r="C435" s="122" t="s">
        <v>3797</v>
      </c>
      <c r="D435" s="122"/>
      <c r="E435" s="122" t="s">
        <v>3928</v>
      </c>
      <c r="F435" s="291" t="s">
        <v>4847</v>
      </c>
      <c r="G435" s="122" t="s">
        <v>22</v>
      </c>
      <c r="H435" s="122" t="s">
        <v>1806</v>
      </c>
      <c r="I435" s="122" t="s">
        <v>3919</v>
      </c>
      <c r="J435" s="122" t="s">
        <v>25</v>
      </c>
      <c r="K435" s="122" t="s">
        <v>11</v>
      </c>
      <c r="L435" s="122" t="s">
        <v>66</v>
      </c>
      <c r="M435" s="122" t="s">
        <v>3090</v>
      </c>
      <c r="N435" s="293">
        <v>43598</v>
      </c>
      <c r="O435" s="308" t="s">
        <v>3929</v>
      </c>
      <c r="P435" s="308"/>
      <c r="Q435" s="308"/>
      <c r="R435" s="308"/>
      <c r="S435" s="308"/>
      <c r="T435" s="122"/>
      <c r="U435" s="122"/>
      <c r="V435" s="122"/>
      <c r="W435" s="122"/>
      <c r="X435" s="122"/>
      <c r="Y435" s="122"/>
      <c r="Z435" s="122"/>
      <c r="AA435" s="122"/>
      <c r="AB435" s="122"/>
      <c r="AC435" s="122"/>
      <c r="AD435" s="122"/>
      <c r="AE435" s="122"/>
      <c r="AF435" s="122"/>
      <c r="AG435" s="122"/>
      <c r="AH435" s="122"/>
      <c r="AI435" s="122"/>
      <c r="AJ435" s="73">
        <v>43703</v>
      </c>
      <c r="AK435" s="290"/>
      <c r="AL435" s="719"/>
      <c r="AM435" s="97"/>
      <c r="AN435" s="97"/>
      <c r="AO435" s="97"/>
      <c r="AP435" s="97"/>
      <c r="AQ435" s="97"/>
    </row>
    <row r="436" spans="1:43" ht="50.1" customHeight="1" x14ac:dyDescent="0.2">
      <c r="A436" s="298"/>
      <c r="B436" s="129" t="s">
        <v>584</v>
      </c>
      <c r="C436" s="122" t="s">
        <v>3798</v>
      </c>
      <c r="D436" s="122"/>
      <c r="E436" s="122" t="s">
        <v>3987</v>
      </c>
      <c r="F436" s="291" t="s">
        <v>4846</v>
      </c>
      <c r="G436" s="122" t="s">
        <v>3931</v>
      </c>
      <c r="H436" s="122" t="s">
        <v>1806</v>
      </c>
      <c r="I436" s="122" t="s">
        <v>3932</v>
      </c>
      <c r="J436" s="122" t="s">
        <v>2741</v>
      </c>
      <c r="K436" s="122" t="s">
        <v>11</v>
      </c>
      <c r="L436" s="122" t="s">
        <v>1616</v>
      </c>
      <c r="M436" s="122" t="s">
        <v>3090</v>
      </c>
      <c r="N436" s="293">
        <v>43616</v>
      </c>
      <c r="O436" s="308" t="s">
        <v>3988</v>
      </c>
      <c r="P436" s="308"/>
      <c r="Q436" s="308"/>
      <c r="R436" s="308"/>
      <c r="S436" s="308"/>
      <c r="T436" s="122" t="s">
        <v>4345</v>
      </c>
      <c r="U436" s="122"/>
      <c r="V436" s="122"/>
      <c r="W436" s="122"/>
      <c r="X436" s="122"/>
      <c r="Y436" s="122"/>
      <c r="Z436" s="122"/>
      <c r="AA436" s="122"/>
      <c r="AB436" s="122"/>
      <c r="AC436" s="122"/>
      <c r="AD436" s="122"/>
      <c r="AE436" s="122"/>
      <c r="AF436" s="122"/>
      <c r="AG436" s="122"/>
      <c r="AH436" s="122"/>
      <c r="AI436" s="122"/>
      <c r="AJ436" s="73">
        <v>43703</v>
      </c>
      <c r="AK436" s="290"/>
      <c r="AL436" s="719"/>
      <c r="AM436" s="97"/>
      <c r="AN436" s="97"/>
      <c r="AO436" s="97"/>
      <c r="AP436" s="97"/>
      <c r="AQ436" s="97"/>
    </row>
    <row r="437" spans="1:43" ht="50.1" customHeight="1" x14ac:dyDescent="0.2">
      <c r="A437" s="298"/>
      <c r="B437" s="129" t="s">
        <v>1137</v>
      </c>
      <c r="C437" s="122" t="s">
        <v>3798</v>
      </c>
      <c r="D437" s="122"/>
      <c r="E437" s="122" t="s">
        <v>3973</v>
      </c>
      <c r="F437" s="291" t="s">
        <v>4766</v>
      </c>
      <c r="G437" s="122" t="s">
        <v>3940</v>
      </c>
      <c r="H437" s="122" t="s">
        <v>1806</v>
      </c>
      <c r="I437" s="122" t="s">
        <v>3941</v>
      </c>
      <c r="J437" s="122" t="s">
        <v>595</v>
      </c>
      <c r="K437" s="122" t="s">
        <v>16</v>
      </c>
      <c r="L437" s="122" t="s">
        <v>685</v>
      </c>
      <c r="M437" s="122" t="s">
        <v>3090</v>
      </c>
      <c r="N437" s="293">
        <v>43615</v>
      </c>
      <c r="O437" s="308" t="s">
        <v>3974</v>
      </c>
      <c r="P437" s="308"/>
      <c r="Q437" s="308"/>
      <c r="R437" s="308"/>
      <c r="S437" s="308"/>
      <c r="T437" s="122" t="s">
        <v>4379</v>
      </c>
      <c r="U437" s="122"/>
      <c r="V437" s="122"/>
      <c r="W437" s="122"/>
      <c r="X437" s="122"/>
      <c r="Y437" s="122"/>
      <c r="Z437" s="122"/>
      <c r="AA437" s="122"/>
      <c r="AB437" s="122"/>
      <c r="AC437" s="122"/>
      <c r="AD437" s="122"/>
      <c r="AE437" s="122"/>
      <c r="AF437" s="122"/>
      <c r="AG437" s="122"/>
      <c r="AH437" s="122"/>
      <c r="AI437" s="122"/>
      <c r="AJ437" s="73">
        <v>43731</v>
      </c>
      <c r="AK437" s="290"/>
      <c r="AL437" s="719"/>
      <c r="AM437" s="97"/>
      <c r="AN437" s="97"/>
      <c r="AO437" s="97"/>
      <c r="AP437" s="97"/>
      <c r="AQ437" s="97"/>
    </row>
    <row r="438" spans="1:43" ht="50.1" customHeight="1" x14ac:dyDescent="0.2">
      <c r="A438" s="298"/>
      <c r="B438" s="129" t="s">
        <v>1137</v>
      </c>
      <c r="C438" s="122" t="s">
        <v>3797</v>
      </c>
      <c r="D438" s="122"/>
      <c r="E438" s="122" t="s">
        <v>3573</v>
      </c>
      <c r="F438" s="291" t="s">
        <v>4393</v>
      </c>
      <c r="G438" s="122" t="s">
        <v>4392</v>
      </c>
      <c r="H438" s="122" t="s">
        <v>3576</v>
      </c>
      <c r="I438" s="122" t="s">
        <v>3577</v>
      </c>
      <c r="J438" s="122" t="s">
        <v>3575</v>
      </c>
      <c r="K438" s="122" t="s">
        <v>3578</v>
      </c>
      <c r="L438" s="122" t="s">
        <v>12</v>
      </c>
      <c r="M438" s="122" t="s">
        <v>2992</v>
      </c>
      <c r="N438" s="293">
        <v>43356</v>
      </c>
      <c r="O438" s="308" t="s">
        <v>3583</v>
      </c>
      <c r="P438" s="308"/>
      <c r="Q438" s="308"/>
      <c r="R438" s="308"/>
      <c r="S438" s="308"/>
      <c r="T438" s="122" t="s">
        <v>4394</v>
      </c>
      <c r="U438" s="122"/>
      <c r="V438" s="122"/>
      <c r="W438" s="122"/>
      <c r="X438" s="122"/>
      <c r="Y438" s="122"/>
      <c r="Z438" s="122"/>
      <c r="AA438" s="122"/>
      <c r="AB438" s="122"/>
      <c r="AC438" s="122"/>
      <c r="AD438" s="122"/>
      <c r="AE438" s="122"/>
      <c r="AF438" s="122"/>
      <c r="AG438" s="122"/>
      <c r="AH438" s="122"/>
      <c r="AI438" s="122"/>
      <c r="AJ438" s="73">
        <v>43738</v>
      </c>
      <c r="AK438" s="648"/>
      <c r="AL438" s="305"/>
      <c r="AM438" s="97"/>
      <c r="AN438" s="97"/>
      <c r="AO438" s="97"/>
      <c r="AP438" s="97"/>
    </row>
    <row r="439" spans="1:43" ht="50.1" customHeight="1" x14ac:dyDescent="0.2">
      <c r="A439" s="298"/>
      <c r="B439" s="129" t="s">
        <v>1137</v>
      </c>
      <c r="C439" s="122" t="s">
        <v>3798</v>
      </c>
      <c r="D439" s="122"/>
      <c r="E439" s="122" t="s">
        <v>4012</v>
      </c>
      <c r="F439" s="291" t="s">
        <v>4845</v>
      </c>
      <c r="G439" s="122" t="s">
        <v>3958</v>
      </c>
      <c r="H439" s="122" t="s">
        <v>1806</v>
      </c>
      <c r="I439" s="122" t="s">
        <v>3959</v>
      </c>
      <c r="J439" s="122" t="s">
        <v>692</v>
      </c>
      <c r="K439" s="122" t="s">
        <v>16</v>
      </c>
      <c r="L439" s="122" t="s">
        <v>3098</v>
      </c>
      <c r="M439" s="122" t="s">
        <v>3090</v>
      </c>
      <c r="N439" s="293">
        <v>43613</v>
      </c>
      <c r="O439" s="308" t="s">
        <v>4013</v>
      </c>
      <c r="P439" s="308"/>
      <c r="Q439" s="308"/>
      <c r="R439" s="308"/>
      <c r="S439" s="308"/>
      <c r="T439" s="122" t="s">
        <v>4406</v>
      </c>
      <c r="U439" s="122"/>
      <c r="V439" s="122"/>
      <c r="W439" s="122"/>
      <c r="X439" s="122"/>
      <c r="Y439" s="122"/>
      <c r="Z439" s="122"/>
      <c r="AA439" s="122"/>
      <c r="AB439" s="122"/>
      <c r="AC439" s="122"/>
      <c r="AD439" s="122"/>
      <c r="AE439" s="122"/>
      <c r="AF439" s="122"/>
      <c r="AG439" s="122"/>
      <c r="AH439" s="122"/>
      <c r="AI439" s="122"/>
      <c r="AJ439" s="73">
        <v>43745</v>
      </c>
      <c r="AK439" s="290"/>
      <c r="AL439" s="719"/>
      <c r="AM439" s="97"/>
      <c r="AN439" s="97"/>
      <c r="AO439" s="97"/>
      <c r="AP439" s="97"/>
      <c r="AQ439" s="97"/>
    </row>
    <row r="440" spans="1:43" ht="50.1" customHeight="1" x14ac:dyDescent="0.2">
      <c r="A440" s="298"/>
      <c r="B440" s="129" t="s">
        <v>1137</v>
      </c>
      <c r="C440" s="122" t="s">
        <v>3797</v>
      </c>
      <c r="D440" s="122"/>
      <c r="E440" s="122" t="s">
        <v>4014</v>
      </c>
      <c r="F440" s="291" t="s">
        <v>4844</v>
      </c>
      <c r="G440" s="122" t="s">
        <v>3309</v>
      </c>
      <c r="H440" s="122" t="s">
        <v>1806</v>
      </c>
      <c r="I440" s="122" t="s">
        <v>3964</v>
      </c>
      <c r="J440" s="122" t="s">
        <v>3963</v>
      </c>
      <c r="K440" s="122" t="s">
        <v>16</v>
      </c>
      <c r="L440" s="122" t="s">
        <v>66</v>
      </c>
      <c r="M440" s="122" t="s">
        <v>3090</v>
      </c>
      <c r="N440" s="293">
        <v>43628</v>
      </c>
      <c r="O440" s="308" t="s">
        <v>4015</v>
      </c>
      <c r="P440" s="308"/>
      <c r="Q440" s="308"/>
      <c r="R440" s="308"/>
      <c r="S440" s="308"/>
      <c r="T440" s="122" t="s">
        <v>4437</v>
      </c>
      <c r="U440" s="122"/>
      <c r="V440" s="122"/>
      <c r="W440" s="122"/>
      <c r="X440" s="122"/>
      <c r="Y440" s="122"/>
      <c r="Z440" s="122"/>
      <c r="AA440" s="122"/>
      <c r="AB440" s="122"/>
      <c r="AC440" s="122"/>
      <c r="AD440" s="122"/>
      <c r="AE440" s="122"/>
      <c r="AF440" s="122"/>
      <c r="AG440" s="122"/>
      <c r="AH440" s="122"/>
      <c r="AI440" s="122"/>
      <c r="AJ440" s="73">
        <v>43759</v>
      </c>
      <c r="AK440" s="290"/>
      <c r="AL440" s="719"/>
      <c r="AM440" s="97"/>
      <c r="AN440" s="97"/>
      <c r="AO440" s="97"/>
      <c r="AP440" s="97"/>
      <c r="AQ440" s="97"/>
    </row>
    <row r="441" spans="1:43" ht="50.1" customHeight="1" x14ac:dyDescent="0.2">
      <c r="A441" s="298"/>
      <c r="B441" s="129" t="s">
        <v>1137</v>
      </c>
      <c r="C441" s="122" t="s">
        <v>3797</v>
      </c>
      <c r="D441" s="122"/>
      <c r="E441" s="122" t="s">
        <v>3998</v>
      </c>
      <c r="F441" s="291" t="s">
        <v>4842</v>
      </c>
      <c r="G441" s="122" t="s">
        <v>639</v>
      </c>
      <c r="H441" s="122" t="s">
        <v>1806</v>
      </c>
      <c r="I441" s="122" t="s">
        <v>3962</v>
      </c>
      <c r="J441" s="122" t="s">
        <v>981</v>
      </c>
      <c r="K441" s="122" t="s">
        <v>11</v>
      </c>
      <c r="L441" s="122" t="s">
        <v>66</v>
      </c>
      <c r="M441" s="122" t="s">
        <v>3090</v>
      </c>
      <c r="N441" s="293">
        <v>43622</v>
      </c>
      <c r="O441" s="308" t="s">
        <v>3999</v>
      </c>
      <c r="P441" s="308"/>
      <c r="Q441" s="308"/>
      <c r="R441" s="308"/>
      <c r="S441" s="308"/>
      <c r="T441" s="122" t="s">
        <v>4456</v>
      </c>
      <c r="U441" s="122"/>
      <c r="V441" s="122"/>
      <c r="W441" s="122"/>
      <c r="X441" s="122"/>
      <c r="Y441" s="122"/>
      <c r="Z441" s="122"/>
      <c r="AA441" s="122"/>
      <c r="AB441" s="122"/>
      <c r="AC441" s="122"/>
      <c r="AD441" s="122"/>
      <c r="AE441" s="122"/>
      <c r="AF441" s="122"/>
      <c r="AG441" s="122"/>
      <c r="AH441" s="122"/>
      <c r="AI441" s="122"/>
      <c r="AJ441" s="73">
        <v>43767</v>
      </c>
      <c r="AK441" s="290"/>
      <c r="AL441" s="719"/>
      <c r="AM441" s="97"/>
      <c r="AN441" s="97"/>
      <c r="AO441" s="97"/>
      <c r="AP441" s="97"/>
      <c r="AQ441" s="97"/>
    </row>
    <row r="442" spans="1:43" ht="50.1" customHeight="1" x14ac:dyDescent="0.2">
      <c r="A442" s="298"/>
      <c r="B442" s="129" t="s">
        <v>1137</v>
      </c>
      <c r="C442" s="122" t="s">
        <v>3797</v>
      </c>
      <c r="D442" s="122"/>
      <c r="E442" s="122" t="s">
        <v>3893</v>
      </c>
      <c r="F442" s="291" t="s">
        <v>4843</v>
      </c>
      <c r="G442" s="122" t="s">
        <v>4392</v>
      </c>
      <c r="H442" s="122" t="s">
        <v>3576</v>
      </c>
      <c r="I442" s="122" t="s">
        <v>3577</v>
      </c>
      <c r="J442" s="122" t="s">
        <v>3575</v>
      </c>
      <c r="K442" s="122" t="s">
        <v>3578</v>
      </c>
      <c r="L442" s="122" t="s">
        <v>12</v>
      </c>
      <c r="M442" s="122" t="s">
        <v>3090</v>
      </c>
      <c r="N442" s="293">
        <v>43382</v>
      </c>
      <c r="O442" s="308" t="s">
        <v>3658</v>
      </c>
      <c r="P442" s="308"/>
      <c r="Q442" s="308"/>
      <c r="R442" s="308"/>
      <c r="S442" s="308"/>
      <c r="T442" s="122" t="s">
        <v>4477</v>
      </c>
      <c r="U442" s="122"/>
      <c r="V442" s="122"/>
      <c r="W442" s="122"/>
      <c r="X442" s="122"/>
      <c r="Y442" s="122"/>
      <c r="Z442" s="122"/>
      <c r="AA442" s="122"/>
      <c r="AB442" s="122"/>
      <c r="AC442" s="122"/>
      <c r="AD442" s="122"/>
      <c r="AE442" s="122"/>
      <c r="AF442" s="122"/>
      <c r="AG442" s="122"/>
      <c r="AH442" s="122"/>
      <c r="AI442" s="122"/>
      <c r="AJ442" s="73">
        <v>43773</v>
      </c>
      <c r="AK442" s="290"/>
      <c r="AL442" s="719"/>
      <c r="AM442" s="97"/>
      <c r="AN442" s="97"/>
      <c r="AO442" s="97"/>
      <c r="AP442" s="97"/>
      <c r="AQ442" s="97"/>
    </row>
    <row r="443" spans="1:43" ht="50.1" customHeight="1" x14ac:dyDescent="0.2">
      <c r="A443" s="298"/>
      <c r="B443" s="129" t="s">
        <v>1137</v>
      </c>
      <c r="C443" s="122" t="s">
        <v>3797</v>
      </c>
      <c r="D443" s="122"/>
      <c r="E443" s="122" t="s">
        <v>3815</v>
      </c>
      <c r="F443" s="291" t="s">
        <v>4480</v>
      </c>
      <c r="G443" s="122" t="s">
        <v>4392</v>
      </c>
      <c r="H443" s="122" t="s">
        <v>3576</v>
      </c>
      <c r="I443" s="122" t="s">
        <v>3723</v>
      </c>
      <c r="J443" s="122" t="s">
        <v>3722</v>
      </c>
      <c r="K443" s="122" t="s">
        <v>3578</v>
      </c>
      <c r="L443" s="122" t="s">
        <v>3048</v>
      </c>
      <c r="M443" s="122" t="s">
        <v>3090</v>
      </c>
      <c r="N443" s="293">
        <v>43515</v>
      </c>
      <c r="O443" s="308" t="s">
        <v>3816</v>
      </c>
      <c r="P443" s="308"/>
      <c r="Q443" s="308"/>
      <c r="R443" s="308"/>
      <c r="S443" s="308"/>
      <c r="T443" s="122" t="s">
        <v>4478</v>
      </c>
      <c r="U443" s="122"/>
      <c r="V443" s="122"/>
      <c r="W443" s="122"/>
      <c r="X443" s="122"/>
      <c r="Y443" s="122"/>
      <c r="Z443" s="122"/>
      <c r="AA443" s="122"/>
      <c r="AB443" s="122"/>
      <c r="AC443" s="122"/>
      <c r="AD443" s="122"/>
      <c r="AE443" s="122"/>
      <c r="AF443" s="122"/>
      <c r="AG443" s="122"/>
      <c r="AH443" s="122"/>
      <c r="AI443" s="122"/>
      <c r="AJ443" s="73">
        <v>43773</v>
      </c>
      <c r="AK443" s="290"/>
      <c r="AL443" s="719"/>
      <c r="AM443" s="97"/>
      <c r="AN443" s="97"/>
      <c r="AO443" s="97"/>
      <c r="AP443" s="97"/>
      <c r="AQ443" s="97"/>
    </row>
    <row r="444" spans="1:43" ht="50.1" customHeight="1" x14ac:dyDescent="0.2">
      <c r="A444" s="298"/>
      <c r="B444" s="129" t="s">
        <v>584</v>
      </c>
      <c r="C444" s="122" t="s">
        <v>3798</v>
      </c>
      <c r="D444" s="122"/>
      <c r="E444" s="122" t="s">
        <v>4192</v>
      </c>
      <c r="F444" s="291" t="s">
        <v>4765</v>
      </c>
      <c r="G444" s="122" t="s">
        <v>3940</v>
      </c>
      <c r="H444" s="122" t="s">
        <v>1806</v>
      </c>
      <c r="I444" s="122" t="s">
        <v>4186</v>
      </c>
      <c r="J444" s="122" t="s">
        <v>411</v>
      </c>
      <c r="K444" s="122" t="s">
        <v>11</v>
      </c>
      <c r="L444" s="122" t="s">
        <v>685</v>
      </c>
      <c r="M444" s="122" t="s">
        <v>3090</v>
      </c>
      <c r="N444" s="293">
        <v>43679</v>
      </c>
      <c r="O444" s="308" t="s">
        <v>4191</v>
      </c>
      <c r="P444" s="308"/>
      <c r="Q444" s="308"/>
      <c r="R444" s="308"/>
      <c r="S444" s="308"/>
      <c r="T444" s="122" t="s">
        <v>4479</v>
      </c>
      <c r="U444" s="122"/>
      <c r="V444" s="122"/>
      <c r="W444" s="122"/>
      <c r="X444" s="122"/>
      <c r="Y444" s="122"/>
      <c r="Z444" s="122"/>
      <c r="AA444" s="122"/>
      <c r="AB444" s="122"/>
      <c r="AC444" s="122"/>
      <c r="AD444" s="122"/>
      <c r="AE444" s="122"/>
      <c r="AF444" s="122"/>
      <c r="AG444" s="122"/>
      <c r="AH444" s="122"/>
      <c r="AI444" s="122"/>
      <c r="AJ444" s="73">
        <v>43773</v>
      </c>
      <c r="AK444" s="290"/>
      <c r="AL444" s="719"/>
      <c r="AM444" s="97"/>
      <c r="AN444" s="97"/>
      <c r="AO444" s="97"/>
      <c r="AP444" s="97"/>
      <c r="AQ444" s="97"/>
    </row>
    <row r="445" spans="1:43" ht="50.1" customHeight="1" x14ac:dyDescent="0.2">
      <c r="A445" s="298"/>
      <c r="B445" s="129" t="s">
        <v>1137</v>
      </c>
      <c r="C445" s="122" t="s">
        <v>3797</v>
      </c>
      <c r="D445" s="122"/>
      <c r="E445" s="122" t="s">
        <v>222</v>
      </c>
      <c r="F445" s="291" t="s">
        <v>220</v>
      </c>
      <c r="G445" s="122" t="s">
        <v>220</v>
      </c>
      <c r="H445" s="122" t="s">
        <v>221</v>
      </c>
      <c r="I445" s="122" t="s">
        <v>3093</v>
      </c>
      <c r="J445" s="122" t="s">
        <v>414</v>
      </c>
      <c r="K445" s="122" t="s">
        <v>16</v>
      </c>
      <c r="L445" s="122" t="s">
        <v>685</v>
      </c>
      <c r="M445" s="122" t="s">
        <v>2992</v>
      </c>
      <c r="N445" s="293">
        <v>40676</v>
      </c>
      <c r="O445" s="308" t="s">
        <v>223</v>
      </c>
      <c r="P445" s="308"/>
      <c r="Q445" s="308"/>
      <c r="R445" s="308"/>
      <c r="S445" s="308"/>
      <c r="T445" s="122" t="s">
        <v>4492</v>
      </c>
      <c r="U445" s="122"/>
      <c r="V445" s="122"/>
      <c r="W445" s="122"/>
      <c r="X445" s="122"/>
      <c r="Y445" s="122"/>
      <c r="Z445" s="122"/>
      <c r="AA445" s="122"/>
      <c r="AB445" s="122"/>
      <c r="AC445" s="122"/>
      <c r="AD445" s="122"/>
      <c r="AE445" s="122"/>
      <c r="AF445" s="122"/>
      <c r="AG445" s="122"/>
      <c r="AH445" s="122"/>
      <c r="AI445" s="122"/>
      <c r="AJ445" s="73">
        <v>43780</v>
      </c>
      <c r="AK445" s="290"/>
      <c r="AL445" s="719"/>
      <c r="AM445" s="97"/>
      <c r="AN445" s="97"/>
      <c r="AO445" s="97"/>
      <c r="AP445" s="97"/>
      <c r="AQ445" s="97"/>
    </row>
    <row r="446" spans="1:43" ht="50.1" customHeight="1" x14ac:dyDescent="0.2">
      <c r="A446" s="298"/>
      <c r="B446" s="129" t="s">
        <v>1137</v>
      </c>
      <c r="C446" s="122" t="s">
        <v>3797</v>
      </c>
      <c r="D446" s="122"/>
      <c r="E446" s="122" t="s">
        <v>3904</v>
      </c>
      <c r="F446" s="291" t="s">
        <v>4493</v>
      </c>
      <c r="G446" s="122" t="s">
        <v>838</v>
      </c>
      <c r="H446" s="122" t="s">
        <v>1806</v>
      </c>
      <c r="I446" s="122" t="s">
        <v>3997</v>
      </c>
      <c r="J446" s="122" t="s">
        <v>414</v>
      </c>
      <c r="K446" s="122" t="s">
        <v>11</v>
      </c>
      <c r="L446" s="122" t="s">
        <v>685</v>
      </c>
      <c r="M446" s="122" t="s">
        <v>3090</v>
      </c>
      <c r="N446" s="293">
        <v>43571</v>
      </c>
      <c r="O446" s="308" t="s">
        <v>3905</v>
      </c>
      <c r="P446" s="308"/>
      <c r="Q446" s="308"/>
      <c r="R446" s="308"/>
      <c r="S446" s="308"/>
      <c r="T446" s="122" t="s">
        <v>4494</v>
      </c>
      <c r="U446" s="122"/>
      <c r="V446" s="122"/>
      <c r="W446" s="122"/>
      <c r="X446" s="122"/>
      <c r="Y446" s="122"/>
      <c r="Z446" s="122"/>
      <c r="AA446" s="122"/>
      <c r="AB446" s="122"/>
      <c r="AC446" s="122"/>
      <c r="AD446" s="122"/>
      <c r="AE446" s="122"/>
      <c r="AF446" s="122"/>
      <c r="AG446" s="122"/>
      <c r="AH446" s="122"/>
      <c r="AI446" s="122"/>
      <c r="AJ446" s="73">
        <v>43780</v>
      </c>
      <c r="AK446" s="290"/>
      <c r="AL446" s="719"/>
      <c r="AM446" s="97"/>
      <c r="AN446" s="97"/>
      <c r="AO446" s="97"/>
      <c r="AP446" s="97"/>
      <c r="AQ446" s="97"/>
    </row>
    <row r="447" spans="1:43" ht="50.1" customHeight="1" x14ac:dyDescent="0.2">
      <c r="A447" s="298"/>
      <c r="B447" s="129" t="s">
        <v>1137</v>
      </c>
      <c r="C447" s="122" t="s">
        <v>3798</v>
      </c>
      <c r="D447" s="122"/>
      <c r="E447" s="122" t="s">
        <v>3990</v>
      </c>
      <c r="F447" s="291" t="s">
        <v>4841</v>
      </c>
      <c r="G447" s="122" t="s">
        <v>2831</v>
      </c>
      <c r="H447" s="122" t="s">
        <v>1806</v>
      </c>
      <c r="I447" s="122" t="s">
        <v>3933</v>
      </c>
      <c r="J447" s="122" t="s">
        <v>735</v>
      </c>
      <c r="K447" s="122" t="s">
        <v>16</v>
      </c>
      <c r="L447" s="122" t="s">
        <v>685</v>
      </c>
      <c r="M447" s="122" t="s">
        <v>3090</v>
      </c>
      <c r="N447" s="293">
        <v>43619</v>
      </c>
      <c r="O447" s="308" t="s">
        <v>3989</v>
      </c>
      <c r="P447" s="308"/>
      <c r="Q447" s="308"/>
      <c r="R447" s="308"/>
      <c r="S447" s="308"/>
      <c r="T447" s="122"/>
      <c r="U447" s="122"/>
      <c r="V447" s="122"/>
      <c r="W447" s="122"/>
      <c r="X447" s="122"/>
      <c r="Y447" s="122"/>
      <c r="Z447" s="122"/>
      <c r="AA447" s="122"/>
      <c r="AB447" s="122"/>
      <c r="AC447" s="122"/>
      <c r="AD447" s="122"/>
      <c r="AE447" s="122"/>
      <c r="AF447" s="122"/>
      <c r="AG447" s="122"/>
      <c r="AH447" s="122"/>
      <c r="AI447" s="122"/>
      <c r="AJ447" s="73">
        <v>43815</v>
      </c>
      <c r="AK447" s="290"/>
      <c r="AL447" s="719"/>
      <c r="AM447" s="97"/>
      <c r="AN447" s="97"/>
      <c r="AO447" s="97"/>
      <c r="AP447" s="97"/>
      <c r="AQ447" s="97"/>
    </row>
    <row r="448" spans="1:43" ht="50.1" customHeight="1" x14ac:dyDescent="0.2">
      <c r="A448" s="298"/>
      <c r="B448" s="129" t="s">
        <v>584</v>
      </c>
      <c r="C448" s="122" t="s">
        <v>3798</v>
      </c>
      <c r="D448" s="122"/>
      <c r="E448" s="122" t="s">
        <v>3991</v>
      </c>
      <c r="F448" s="291" t="s">
        <v>4840</v>
      </c>
      <c r="G448" s="122" t="s">
        <v>2831</v>
      </c>
      <c r="H448" s="122" t="s">
        <v>1806</v>
      </c>
      <c r="I448" s="122" t="s">
        <v>3933</v>
      </c>
      <c r="J448" s="122" t="s">
        <v>735</v>
      </c>
      <c r="K448" s="122" t="s">
        <v>11</v>
      </c>
      <c r="L448" s="122" t="s">
        <v>685</v>
      </c>
      <c r="M448" s="122" t="s">
        <v>3090</v>
      </c>
      <c r="N448" s="293">
        <v>43619</v>
      </c>
      <c r="O448" s="308" t="s">
        <v>3992</v>
      </c>
      <c r="P448" s="308"/>
      <c r="Q448" s="308"/>
      <c r="R448" s="308"/>
      <c r="S448" s="308"/>
      <c r="T448" s="122"/>
      <c r="U448" s="122"/>
      <c r="V448" s="122"/>
      <c r="W448" s="122"/>
      <c r="X448" s="122"/>
      <c r="Y448" s="122"/>
      <c r="Z448" s="122"/>
      <c r="AA448" s="122"/>
      <c r="AB448" s="122"/>
      <c r="AC448" s="122"/>
      <c r="AD448" s="122"/>
      <c r="AE448" s="122"/>
      <c r="AF448" s="122"/>
      <c r="AG448" s="122"/>
      <c r="AH448" s="122"/>
      <c r="AI448" s="122"/>
      <c r="AJ448" s="73">
        <v>43815</v>
      </c>
      <c r="AK448" s="290"/>
      <c r="AL448" s="719"/>
      <c r="AM448" s="97"/>
      <c r="AN448" s="97"/>
      <c r="AO448" s="97"/>
      <c r="AP448" s="97"/>
      <c r="AQ448" s="97"/>
    </row>
    <row r="449" spans="1:213" ht="50.1" customHeight="1" x14ac:dyDescent="0.2">
      <c r="A449" s="298"/>
      <c r="B449" s="129" t="s">
        <v>1137</v>
      </c>
      <c r="C449" s="122" t="s">
        <v>3797</v>
      </c>
      <c r="D449" s="122"/>
      <c r="E449" s="122" t="s">
        <v>4144</v>
      </c>
      <c r="F449" s="291" t="s">
        <v>4839</v>
      </c>
      <c r="G449" s="122" t="s">
        <v>4110</v>
      </c>
      <c r="H449" s="122" t="s">
        <v>1806</v>
      </c>
      <c r="I449" s="122" t="s">
        <v>4111</v>
      </c>
      <c r="J449" s="122" t="s">
        <v>1838</v>
      </c>
      <c r="K449" s="122" t="s">
        <v>11</v>
      </c>
      <c r="L449" s="122" t="s">
        <v>3098</v>
      </c>
      <c r="M449" s="122" t="s">
        <v>3090</v>
      </c>
      <c r="N449" s="293">
        <v>43664</v>
      </c>
      <c r="O449" s="308" t="s">
        <v>4145</v>
      </c>
      <c r="P449" s="308"/>
      <c r="Q449" s="308"/>
      <c r="R449" s="308"/>
      <c r="S449" s="308"/>
      <c r="T449" s="122" t="s">
        <v>4619</v>
      </c>
      <c r="U449" s="122"/>
      <c r="V449" s="122"/>
      <c r="W449" s="122"/>
      <c r="X449" s="122"/>
      <c r="Y449" s="122"/>
      <c r="Z449" s="122"/>
      <c r="AA449" s="122"/>
      <c r="AB449" s="122"/>
      <c r="AC449" s="122"/>
      <c r="AD449" s="122"/>
      <c r="AE449" s="122"/>
      <c r="AF449" s="122"/>
      <c r="AG449" s="122"/>
      <c r="AH449" s="122"/>
      <c r="AI449" s="122"/>
      <c r="AJ449" s="73">
        <v>43822</v>
      </c>
      <c r="AK449" s="290"/>
      <c r="AL449" s="112"/>
      <c r="AM449" s="97"/>
      <c r="AN449" s="97"/>
      <c r="AO449" s="97"/>
      <c r="AP449" s="97"/>
      <c r="AQ449" s="97"/>
    </row>
    <row r="450" spans="1:213" ht="50.1" customHeight="1" x14ac:dyDescent="0.2">
      <c r="A450" s="298"/>
      <c r="B450" s="129" t="s">
        <v>1137</v>
      </c>
      <c r="C450" s="122" t="s">
        <v>3797</v>
      </c>
      <c r="D450" s="122"/>
      <c r="E450" s="122" t="s">
        <v>4440</v>
      </c>
      <c r="F450" s="291" t="s">
        <v>4588</v>
      </c>
      <c r="G450" s="122" t="s">
        <v>4620</v>
      </c>
      <c r="H450" s="122" t="s">
        <v>1806</v>
      </c>
      <c r="I450" s="122" t="s">
        <v>4441</v>
      </c>
      <c r="J450" s="122" t="s">
        <v>2190</v>
      </c>
      <c r="K450" s="122" t="s">
        <v>3055</v>
      </c>
      <c r="L450" s="122" t="s">
        <v>641</v>
      </c>
      <c r="M450" s="122" t="s">
        <v>4469</v>
      </c>
      <c r="N450" s="293">
        <v>43756</v>
      </c>
      <c r="O450" s="308" t="s">
        <v>4442</v>
      </c>
      <c r="P450" s="308"/>
      <c r="Q450" s="308"/>
      <c r="R450" s="308"/>
      <c r="S450" s="308"/>
      <c r="T450" s="122" t="s">
        <v>4621</v>
      </c>
      <c r="U450" s="122"/>
      <c r="V450" s="122"/>
      <c r="W450" s="122"/>
      <c r="X450" s="122"/>
      <c r="Y450" s="122"/>
      <c r="Z450" s="122"/>
      <c r="AA450" s="122"/>
      <c r="AB450" s="122"/>
      <c r="AC450" s="122"/>
      <c r="AD450" s="122"/>
      <c r="AE450" s="122"/>
      <c r="AF450" s="122"/>
      <c r="AG450" s="122"/>
      <c r="AH450" s="122"/>
      <c r="AI450" s="122"/>
      <c r="AJ450" s="73">
        <v>43822</v>
      </c>
      <c r="AK450" s="290"/>
      <c r="AL450" s="112"/>
      <c r="AM450" s="97"/>
      <c r="AN450" s="97"/>
      <c r="AO450" s="97"/>
      <c r="AP450" s="97"/>
      <c r="AQ450" s="97"/>
    </row>
    <row r="451" spans="1:213" ht="50.1" customHeight="1" x14ac:dyDescent="0.2">
      <c r="A451" s="298"/>
      <c r="B451" s="129" t="s">
        <v>584</v>
      </c>
      <c r="C451" s="122" t="s">
        <v>3797</v>
      </c>
      <c r="D451" s="122"/>
      <c r="E451" s="122" t="s">
        <v>4457</v>
      </c>
      <c r="F451" s="291" t="s">
        <v>4838</v>
      </c>
      <c r="G451" s="122" t="s">
        <v>855</v>
      </c>
      <c r="H451" s="122" t="s">
        <v>1806</v>
      </c>
      <c r="I451" s="122" t="s">
        <v>4459</v>
      </c>
      <c r="J451" s="122" t="s">
        <v>857</v>
      </c>
      <c r="K451" s="122" t="s">
        <v>11</v>
      </c>
      <c r="L451" s="122" t="s">
        <v>742</v>
      </c>
      <c r="M451" s="122" t="s">
        <v>3090</v>
      </c>
      <c r="N451" s="293">
        <v>43759</v>
      </c>
      <c r="O451" s="308" t="s">
        <v>4458</v>
      </c>
      <c r="P451" s="308"/>
      <c r="Q451" s="308"/>
      <c r="R451" s="308"/>
      <c r="S451" s="308"/>
      <c r="T451" s="122" t="s">
        <v>4622</v>
      </c>
      <c r="U451" s="122"/>
      <c r="V451" s="122"/>
      <c r="W451" s="122"/>
      <c r="X451" s="122"/>
      <c r="Y451" s="122"/>
      <c r="Z451" s="122"/>
      <c r="AA451" s="122"/>
      <c r="AB451" s="122"/>
      <c r="AC451" s="122"/>
      <c r="AD451" s="122"/>
      <c r="AE451" s="122"/>
      <c r="AF451" s="122"/>
      <c r="AG451" s="122"/>
      <c r="AH451" s="122"/>
      <c r="AI451" s="122"/>
      <c r="AJ451" s="73">
        <v>43822</v>
      </c>
      <c r="AK451" s="290"/>
      <c r="AL451" s="112"/>
      <c r="AM451" s="97"/>
      <c r="AN451" s="97"/>
      <c r="AO451" s="97"/>
      <c r="AP451" s="97"/>
      <c r="AQ451" s="97"/>
    </row>
    <row r="452" spans="1:213" ht="50.1" customHeight="1" x14ac:dyDescent="0.2">
      <c r="A452" s="298"/>
      <c r="B452" s="129" t="s">
        <v>1137</v>
      </c>
      <c r="C452" s="122" t="s">
        <v>3798</v>
      </c>
      <c r="D452" s="122"/>
      <c r="E452" s="122" t="s">
        <v>3993</v>
      </c>
      <c r="F452" s="291" t="s">
        <v>4656</v>
      </c>
      <c r="G452" s="122" t="s">
        <v>1451</v>
      </c>
      <c r="H452" s="122" t="s">
        <v>1806</v>
      </c>
      <c r="I452" s="122" t="s">
        <v>3942</v>
      </c>
      <c r="J452" s="122" t="s">
        <v>1455</v>
      </c>
      <c r="K452" s="122" t="s">
        <v>16</v>
      </c>
      <c r="L452" s="122" t="s">
        <v>3094</v>
      </c>
      <c r="M452" s="122" t="s">
        <v>3090</v>
      </c>
      <c r="N452" s="293">
        <v>43619</v>
      </c>
      <c r="O452" s="308" t="s">
        <v>4268</v>
      </c>
      <c r="P452" s="308"/>
      <c r="Q452" s="308"/>
      <c r="R452" s="308"/>
      <c r="S452" s="308"/>
      <c r="T452" s="122" t="s">
        <v>4702</v>
      </c>
      <c r="U452" s="122"/>
      <c r="V452" s="122"/>
      <c r="W452" s="122"/>
      <c r="X452" s="122"/>
      <c r="Y452" s="122"/>
      <c r="Z452" s="122"/>
      <c r="AA452" s="122"/>
      <c r="AB452" s="122"/>
      <c r="AC452" s="122"/>
      <c r="AD452" s="122"/>
      <c r="AE452" s="122"/>
      <c r="AF452" s="122"/>
      <c r="AG452" s="122"/>
      <c r="AH452" s="122"/>
      <c r="AI452" s="122"/>
      <c r="AJ452" s="73">
        <v>43850</v>
      </c>
      <c r="AK452" s="648"/>
      <c r="AL452" s="30"/>
    </row>
    <row r="453" spans="1:213" ht="50.1" customHeight="1" x14ac:dyDescent="0.2">
      <c r="A453" s="298"/>
      <c r="B453" s="118" t="s">
        <v>584</v>
      </c>
      <c r="C453" s="114" t="s">
        <v>3797</v>
      </c>
      <c r="D453" s="114"/>
      <c r="E453" s="364" t="s">
        <v>4511</v>
      </c>
      <c r="F453" s="196" t="s">
        <v>4589</v>
      </c>
      <c r="G453" s="72" t="s">
        <v>4501</v>
      </c>
      <c r="H453" s="72" t="s">
        <v>1193</v>
      </c>
      <c r="I453" s="72" t="s">
        <v>4502</v>
      </c>
      <c r="J453" s="72" t="s">
        <v>25</v>
      </c>
      <c r="K453" s="72" t="s">
        <v>454</v>
      </c>
      <c r="L453" s="72" t="s">
        <v>1286</v>
      </c>
      <c r="M453" s="72" t="s">
        <v>3081</v>
      </c>
      <c r="N453" s="105">
        <v>43777</v>
      </c>
      <c r="O453" s="106" t="s">
        <v>4512</v>
      </c>
      <c r="P453" s="106"/>
      <c r="Q453" s="106"/>
      <c r="R453" s="106"/>
      <c r="S453" s="106"/>
      <c r="T453" s="30" t="s">
        <v>4876</v>
      </c>
      <c r="U453" s="30"/>
      <c r="V453" s="30"/>
      <c r="W453" s="30"/>
      <c r="X453" s="30"/>
      <c r="Y453" s="30"/>
      <c r="Z453" s="30"/>
      <c r="AA453" s="30"/>
      <c r="AB453" s="30"/>
      <c r="AC453" s="30"/>
      <c r="AD453" s="30"/>
      <c r="AE453" s="30"/>
      <c r="AF453" s="30"/>
      <c r="AG453" s="30"/>
      <c r="AH453" s="30"/>
      <c r="AI453" s="30"/>
      <c r="AJ453" s="73">
        <v>43899</v>
      </c>
      <c r="AK453" s="648"/>
      <c r="AL453" s="30"/>
    </row>
    <row r="454" spans="1:213" ht="50.1" customHeight="1" x14ac:dyDescent="0.2">
      <c r="A454" s="298"/>
      <c r="B454" s="129" t="s">
        <v>1137</v>
      </c>
      <c r="C454" s="122" t="s">
        <v>3797</v>
      </c>
      <c r="D454" s="122"/>
      <c r="E454" s="122" t="s">
        <v>3488</v>
      </c>
      <c r="F454" s="291" t="s">
        <v>3117</v>
      </c>
      <c r="G454" s="122" t="s">
        <v>3489</v>
      </c>
      <c r="H454" s="122" t="s">
        <v>3490</v>
      </c>
      <c r="I454" s="122" t="s">
        <v>3491</v>
      </c>
      <c r="J454" s="122" t="s">
        <v>490</v>
      </c>
      <c r="K454" s="129" t="s">
        <v>16</v>
      </c>
      <c r="L454" s="122" t="s">
        <v>3094</v>
      </c>
      <c r="M454" s="122" t="s">
        <v>2992</v>
      </c>
      <c r="N454" s="293">
        <v>43256</v>
      </c>
      <c r="O454" s="308" t="s">
        <v>3493</v>
      </c>
      <c r="P454" s="308"/>
      <c r="Q454" s="308"/>
      <c r="R454" s="308"/>
      <c r="S454" s="308"/>
      <c r="T454" s="122" t="s">
        <v>4915</v>
      </c>
      <c r="U454" s="122"/>
      <c r="V454" s="122"/>
      <c r="W454" s="122"/>
      <c r="X454" s="122"/>
      <c r="Y454" s="122"/>
      <c r="Z454" s="122"/>
      <c r="AA454" s="122"/>
      <c r="AB454" s="122"/>
      <c r="AC454" s="122"/>
      <c r="AD454" s="122"/>
      <c r="AE454" s="122"/>
      <c r="AF454" s="122"/>
      <c r="AG454" s="122"/>
      <c r="AH454" s="122"/>
      <c r="AI454" s="122"/>
      <c r="AJ454" s="308" t="s">
        <v>4914</v>
      </c>
      <c r="AK454" s="290"/>
      <c r="AL454" s="115"/>
      <c r="AO454" s="305"/>
      <c r="AP454" s="305"/>
      <c r="AQ454" s="305"/>
      <c r="AR454" s="305"/>
      <c r="AS454" s="305"/>
      <c r="AT454" s="305"/>
      <c r="AU454" s="305"/>
      <c r="AV454" s="305"/>
      <c r="AW454" s="305"/>
      <c r="AX454" s="305"/>
      <c r="AY454" s="305"/>
      <c r="AZ454" s="305"/>
      <c r="BA454" s="305"/>
      <c r="BB454" s="305"/>
      <c r="BC454" s="304"/>
      <c r="BD454" s="304"/>
      <c r="BE454" s="304"/>
      <c r="BF454" s="304"/>
      <c r="BG454" s="304"/>
      <c r="BH454" s="304"/>
      <c r="BI454" s="304"/>
      <c r="BJ454" s="297"/>
      <c r="BK454" s="292"/>
      <c r="BL454" s="292"/>
      <c r="BM454" s="327"/>
      <c r="BN454" s="292"/>
      <c r="BO454" s="292"/>
      <c r="BP454" s="292"/>
      <c r="BQ454" s="292"/>
      <c r="BR454" s="292"/>
      <c r="BS454" s="292"/>
      <c r="BT454" s="292"/>
      <c r="BU454" s="292"/>
      <c r="BV454" s="292"/>
      <c r="BW454" s="292"/>
      <c r="BX454" s="292"/>
      <c r="BY454" s="297"/>
      <c r="BZ454" s="297"/>
      <c r="CA454" s="297"/>
      <c r="CB454" s="297"/>
      <c r="CC454" s="297"/>
      <c r="CD454" s="297"/>
      <c r="CE454" s="297"/>
      <c r="CF454" s="297"/>
      <c r="CG454" s="297"/>
      <c r="CH454" s="297"/>
      <c r="CI454" s="297"/>
      <c r="CJ454" s="297"/>
      <c r="CK454" s="297"/>
      <c r="CL454" s="297"/>
      <c r="CM454" s="297"/>
      <c r="CN454" s="297"/>
      <c r="CO454" s="297"/>
      <c r="CP454" s="297"/>
      <c r="CQ454" s="297"/>
      <c r="CR454" s="297"/>
      <c r="CS454" s="297"/>
      <c r="CT454" s="297"/>
      <c r="CU454" s="297"/>
      <c r="CV454" s="297"/>
      <c r="CW454" s="297"/>
      <c r="CX454" s="297"/>
      <c r="CY454" s="297"/>
      <c r="CZ454" s="297"/>
      <c r="DA454" s="297"/>
      <c r="DB454" s="307"/>
      <c r="DC454" s="307"/>
      <c r="DD454" s="307"/>
      <c r="DE454" s="307"/>
      <c r="DF454" s="307"/>
      <c r="DG454" s="307"/>
      <c r="DH454" s="307"/>
      <c r="DI454" s="307"/>
      <c r="DJ454" s="307"/>
      <c r="DK454" s="307"/>
      <c r="DL454" s="307"/>
      <c r="DM454" s="307"/>
      <c r="DN454" s="116"/>
      <c r="DO454" s="116"/>
      <c r="DP454" s="116"/>
      <c r="DQ454" s="116">
        <v>169</v>
      </c>
      <c r="DR454" s="116">
        <v>157</v>
      </c>
      <c r="DS454" s="116">
        <v>145</v>
      </c>
      <c r="DT454" s="116">
        <v>136</v>
      </c>
      <c r="DU454" s="116">
        <v>120</v>
      </c>
      <c r="DV454" s="116">
        <v>110</v>
      </c>
      <c r="DW454" s="116">
        <v>105</v>
      </c>
      <c r="DX454" s="116">
        <v>102</v>
      </c>
      <c r="DY454" s="116">
        <v>102</v>
      </c>
      <c r="DZ454" s="116">
        <v>102</v>
      </c>
      <c r="EA454" s="142">
        <v>102</v>
      </c>
      <c r="EB454" s="142">
        <v>98</v>
      </c>
      <c r="EC454" s="142">
        <v>96</v>
      </c>
      <c r="ED454" s="142">
        <v>93</v>
      </c>
      <c r="EE454" s="142">
        <v>83</v>
      </c>
      <c r="EF454" s="142"/>
      <c r="EG454" s="142">
        <v>76</v>
      </c>
      <c r="EH454" s="142">
        <v>73</v>
      </c>
      <c r="EI454" s="142">
        <v>64</v>
      </c>
      <c r="EJ454" s="142">
        <v>58</v>
      </c>
      <c r="EK454" s="142">
        <v>57</v>
      </c>
      <c r="EL454" s="116" t="s">
        <v>3710</v>
      </c>
      <c r="EM454" s="116" t="s">
        <v>3710</v>
      </c>
      <c r="EN454" s="116" t="s">
        <v>3710</v>
      </c>
      <c r="EO454" s="116" t="s">
        <v>3710</v>
      </c>
      <c r="EP454" s="116" t="s">
        <v>3710</v>
      </c>
      <c r="EQ454" s="116" t="s">
        <v>3710</v>
      </c>
      <c r="ER454" s="116" t="s">
        <v>3710</v>
      </c>
      <c r="ES454" s="116" t="s">
        <v>3710</v>
      </c>
      <c r="ET454" s="116" t="s">
        <v>3710</v>
      </c>
      <c r="EU454" s="116" t="s">
        <v>3710</v>
      </c>
      <c r="EV454" s="116" t="s">
        <v>3710</v>
      </c>
      <c r="EW454" s="116" t="s">
        <v>3710</v>
      </c>
      <c r="EX454" s="116" t="s">
        <v>3710</v>
      </c>
      <c r="EY454" s="116" t="s">
        <v>3710</v>
      </c>
      <c r="EZ454" s="116" t="s">
        <v>3710</v>
      </c>
      <c r="FA454" s="116" t="s">
        <v>3710</v>
      </c>
      <c r="FB454" s="116" t="s">
        <v>3710</v>
      </c>
      <c r="FC454" s="116" t="s">
        <v>3710</v>
      </c>
      <c r="FD454" s="116" t="s">
        <v>3710</v>
      </c>
      <c r="FE454" s="116" t="s">
        <v>3710</v>
      </c>
      <c r="FF454" s="116" t="s">
        <v>3710</v>
      </c>
      <c r="FG454" s="116" t="s">
        <v>3710</v>
      </c>
      <c r="FH454" s="116" t="s">
        <v>3710</v>
      </c>
      <c r="FI454" s="116" t="s">
        <v>3710</v>
      </c>
      <c r="FJ454" s="116" t="s">
        <v>3710</v>
      </c>
      <c r="FK454" s="116" t="s">
        <v>3710</v>
      </c>
      <c r="FL454" s="116" t="s">
        <v>3710</v>
      </c>
      <c r="FM454" s="116" t="s">
        <v>3710</v>
      </c>
      <c r="FN454" s="116" t="s">
        <v>3710</v>
      </c>
      <c r="FO454" s="116" t="s">
        <v>3710</v>
      </c>
      <c r="FP454" s="116" t="s">
        <v>3710</v>
      </c>
      <c r="FQ454" s="116" t="s">
        <v>3710</v>
      </c>
      <c r="FR454" s="116" t="s">
        <v>3710</v>
      </c>
      <c r="FS454" s="116" t="s">
        <v>3710</v>
      </c>
      <c r="FT454" s="116" t="s">
        <v>3710</v>
      </c>
      <c r="FU454" s="116" t="s">
        <v>3710</v>
      </c>
      <c r="FV454" s="116" t="s">
        <v>3710</v>
      </c>
      <c r="FW454" s="116" t="s">
        <v>3710</v>
      </c>
      <c r="FX454" s="116" t="s">
        <v>3710</v>
      </c>
      <c r="FY454" s="116" t="s">
        <v>3710</v>
      </c>
      <c r="FZ454" s="116" t="s">
        <v>3710</v>
      </c>
      <c r="GA454" s="116" t="s">
        <v>3710</v>
      </c>
      <c r="GB454" s="116" t="s">
        <v>3710</v>
      </c>
      <c r="GC454" s="116" t="s">
        <v>3710</v>
      </c>
      <c r="GD454" s="116" t="s">
        <v>3710</v>
      </c>
      <c r="GE454" s="116" t="s">
        <v>3710</v>
      </c>
      <c r="GF454" s="116" t="s">
        <v>3710</v>
      </c>
      <c r="GG454" s="116" t="s">
        <v>3710</v>
      </c>
      <c r="GH454" s="116" t="s">
        <v>3710</v>
      </c>
      <c r="GI454" s="116" t="s">
        <v>3710</v>
      </c>
      <c r="GJ454" s="116" t="s">
        <v>3710</v>
      </c>
      <c r="GK454" s="116" t="s">
        <v>3710</v>
      </c>
      <c r="GL454" s="116" t="s">
        <v>3710</v>
      </c>
      <c r="GM454" s="116" t="s">
        <v>4549</v>
      </c>
      <c r="GN454" s="116" t="s">
        <v>4549</v>
      </c>
      <c r="GO454" s="116" t="s">
        <v>4549</v>
      </c>
      <c r="GP454" s="116" t="s">
        <v>4549</v>
      </c>
      <c r="GQ454" s="116" t="s">
        <v>4549</v>
      </c>
      <c r="GR454" s="116" t="s">
        <v>4549</v>
      </c>
      <c r="GS454" s="116" t="s">
        <v>4549</v>
      </c>
      <c r="GT454" s="116" t="s">
        <v>4759</v>
      </c>
      <c r="GU454" s="116" t="s">
        <v>4759</v>
      </c>
      <c r="GV454" s="116" t="s">
        <v>4759</v>
      </c>
      <c r="GW454" s="116" t="s">
        <v>4759</v>
      </c>
      <c r="GX454" s="116" t="s">
        <v>4859</v>
      </c>
      <c r="GY454" s="116" t="s">
        <v>4859</v>
      </c>
      <c r="GZ454" s="116" t="s">
        <v>4859</v>
      </c>
      <c r="HA454" s="116" t="s">
        <v>4890</v>
      </c>
      <c r="HB454" s="116" t="s">
        <v>4890</v>
      </c>
      <c r="HC454" s="116" t="s">
        <v>4912</v>
      </c>
      <c r="HD454" s="352" t="s">
        <v>4722</v>
      </c>
      <c r="HE454" s="456">
        <f>N454+365+120+122</f>
        <v>43863</v>
      </c>
    </row>
    <row r="455" spans="1:213" ht="50.1" customHeight="1" x14ac:dyDescent="0.2">
      <c r="A455" s="298"/>
      <c r="B455" s="500" t="s">
        <v>584</v>
      </c>
      <c r="C455" s="500" t="s">
        <v>3798</v>
      </c>
      <c r="D455" s="500"/>
      <c r="E455" s="500" t="s">
        <v>4605</v>
      </c>
      <c r="F455" s="291" t="s">
        <v>4697</v>
      </c>
      <c r="G455" s="500" t="s">
        <v>3819</v>
      </c>
      <c r="H455" s="500" t="s">
        <v>4606</v>
      </c>
      <c r="I455" s="30" t="s">
        <v>112</v>
      </c>
      <c r="J455" s="30" t="s">
        <v>112</v>
      </c>
      <c r="K455" s="500" t="s">
        <v>4926</v>
      </c>
      <c r="L455" s="500" t="s">
        <v>112</v>
      </c>
      <c r="M455" s="188" t="s">
        <v>4607</v>
      </c>
      <c r="N455" s="70">
        <v>43808</v>
      </c>
      <c r="O455" s="500">
        <v>3399112190</v>
      </c>
      <c r="P455" s="500"/>
      <c r="Q455" s="500"/>
      <c r="R455" s="500"/>
      <c r="S455" s="500"/>
      <c r="T455" s="188" t="s">
        <v>4927</v>
      </c>
      <c r="U455" s="188"/>
      <c r="V455" s="188"/>
      <c r="W455" s="188"/>
      <c r="X455" s="188"/>
      <c r="Y455" s="188"/>
      <c r="Z455" s="188"/>
      <c r="AA455" s="188"/>
      <c r="AB455" s="188"/>
      <c r="AC455" s="188"/>
      <c r="AD455" s="188"/>
      <c r="AE455" s="188"/>
      <c r="AF455" s="188"/>
      <c r="AG455" s="188"/>
      <c r="AH455" s="188"/>
      <c r="AI455" s="188"/>
      <c r="AJ455" s="73">
        <v>43941</v>
      </c>
      <c r="AK455" s="648"/>
      <c r="AL455" s="30"/>
    </row>
    <row r="456" spans="1:213" ht="50.1" customHeight="1" x14ac:dyDescent="0.2">
      <c r="A456" s="298"/>
      <c r="B456" s="118" t="s">
        <v>584</v>
      </c>
      <c r="C456" s="114" t="s">
        <v>3798</v>
      </c>
      <c r="D456" s="114"/>
      <c r="E456" s="364" t="s">
        <v>4940</v>
      </c>
      <c r="F456" s="123" t="s">
        <v>4942</v>
      </c>
      <c r="G456" s="122" t="s">
        <v>4573</v>
      </c>
      <c r="H456" s="122" t="s">
        <v>1806</v>
      </c>
      <c r="I456" s="122" t="s">
        <v>4669</v>
      </c>
      <c r="J456" s="122" t="s">
        <v>414</v>
      </c>
      <c r="K456" s="122" t="s">
        <v>11</v>
      </c>
      <c r="L456" s="122" t="s">
        <v>685</v>
      </c>
      <c r="M456" s="122" t="s">
        <v>3090</v>
      </c>
      <c r="N456" s="121">
        <v>43804</v>
      </c>
      <c r="O456" s="120" t="s">
        <v>4609</v>
      </c>
      <c r="P456" s="120"/>
      <c r="Q456" s="120"/>
      <c r="R456" s="120"/>
      <c r="S456" s="120"/>
      <c r="T456" s="114" t="s">
        <v>4943</v>
      </c>
      <c r="U456" s="114"/>
      <c r="V456" s="114"/>
      <c r="W456" s="114"/>
      <c r="X456" s="114"/>
      <c r="Y456" s="114"/>
      <c r="Z456" s="114"/>
      <c r="AA456" s="114"/>
      <c r="AB456" s="114"/>
      <c r="AC456" s="114"/>
      <c r="AD456" s="114"/>
      <c r="AE456" s="114"/>
      <c r="AF456" s="114"/>
      <c r="AG456" s="114"/>
      <c r="AH456" s="114"/>
      <c r="AI456" s="114"/>
      <c r="AJ456" s="73">
        <v>43948</v>
      </c>
      <c r="AK456" s="648"/>
      <c r="AL456" s="30"/>
    </row>
    <row r="457" spans="1:213" ht="50.1" customHeight="1" x14ac:dyDescent="0.2">
      <c r="A457" s="298"/>
      <c r="B457" s="129" t="s">
        <v>584</v>
      </c>
      <c r="C457" s="122" t="s">
        <v>3797</v>
      </c>
      <c r="D457" s="122"/>
      <c r="E457" s="122" t="s">
        <v>3500</v>
      </c>
      <c r="F457" s="291" t="s">
        <v>3604</v>
      </c>
      <c r="G457" s="122" t="s">
        <v>3489</v>
      </c>
      <c r="H457" s="122" t="s">
        <v>3490</v>
      </c>
      <c r="I457" s="122" t="s">
        <v>3491</v>
      </c>
      <c r="J457" s="122" t="s">
        <v>490</v>
      </c>
      <c r="K457" s="129" t="s">
        <v>11</v>
      </c>
      <c r="L457" s="122" t="s">
        <v>1286</v>
      </c>
      <c r="M457" s="122" t="s">
        <v>3090</v>
      </c>
      <c r="N457" s="293">
        <v>43270</v>
      </c>
      <c r="O457" s="308" t="s">
        <v>3501</v>
      </c>
      <c r="P457" s="308"/>
      <c r="Q457" s="308"/>
      <c r="R457" s="308"/>
      <c r="S457" s="308"/>
      <c r="T457" s="112" t="s">
        <v>5002</v>
      </c>
      <c r="U457" s="112"/>
      <c r="V457" s="112"/>
      <c r="W457" s="112"/>
      <c r="X457" s="112"/>
      <c r="Y457" s="112"/>
      <c r="Z457" s="112"/>
      <c r="AA457" s="112"/>
      <c r="AB457" s="112"/>
      <c r="AC457" s="112"/>
      <c r="AD457" s="112"/>
      <c r="AE457" s="112"/>
      <c r="AF457" s="112"/>
      <c r="AG457" s="112"/>
      <c r="AH457" s="112"/>
      <c r="AI457" s="112"/>
      <c r="AJ457" s="73">
        <v>43976</v>
      </c>
      <c r="AK457" s="290"/>
      <c r="AL457" s="122"/>
    </row>
    <row r="458" spans="1:213" ht="50.1" customHeight="1" x14ac:dyDescent="0.2">
      <c r="A458" s="298"/>
      <c r="B458" s="432" t="s">
        <v>1137</v>
      </c>
      <c r="C458" s="433" t="s">
        <v>3797</v>
      </c>
      <c r="D458" s="433"/>
      <c r="E458" s="433" t="s">
        <v>4790</v>
      </c>
      <c r="F458" s="433" t="s">
        <v>4732</v>
      </c>
      <c r="G458" s="433" t="s">
        <v>2744</v>
      </c>
      <c r="H458" s="432" t="s">
        <v>1806</v>
      </c>
      <c r="I458" s="433" t="s">
        <v>4733</v>
      </c>
      <c r="J458" s="433" t="s">
        <v>1292</v>
      </c>
      <c r="K458" s="432" t="s">
        <v>11</v>
      </c>
      <c r="L458" s="432" t="s">
        <v>685</v>
      </c>
      <c r="M458" s="433" t="s">
        <v>3090</v>
      </c>
      <c r="N458" s="434">
        <v>43865</v>
      </c>
      <c r="O458" s="433">
        <v>354321208</v>
      </c>
      <c r="P458" s="433"/>
      <c r="Q458" s="433"/>
      <c r="R458" s="433"/>
      <c r="S458" s="433"/>
      <c r="T458" s="112" t="s">
        <v>5003</v>
      </c>
      <c r="U458" s="112"/>
      <c r="V458" s="112"/>
      <c r="W458" s="112"/>
      <c r="X458" s="112"/>
      <c r="Y458" s="112"/>
      <c r="Z458" s="112"/>
      <c r="AA458" s="112"/>
      <c r="AB458" s="112"/>
      <c r="AC458" s="112"/>
      <c r="AD458" s="112"/>
      <c r="AE458" s="112"/>
      <c r="AF458" s="112"/>
      <c r="AG458" s="112"/>
      <c r="AH458" s="112"/>
      <c r="AI458" s="112"/>
      <c r="AJ458" s="73">
        <v>43976</v>
      </c>
      <c r="AK458" s="645"/>
      <c r="AL458" s="501"/>
    </row>
    <row r="459" spans="1:213" ht="50.1" customHeight="1" x14ac:dyDescent="0.2">
      <c r="A459" s="298"/>
      <c r="B459" s="30" t="s">
        <v>1137</v>
      </c>
      <c r="C459" s="433" t="s">
        <v>3797</v>
      </c>
      <c r="D459" s="433"/>
      <c r="E459" s="30" t="s">
        <v>1506</v>
      </c>
      <c r="F459" s="435" t="s">
        <v>1507</v>
      </c>
      <c r="G459" s="30" t="s">
        <v>1507</v>
      </c>
      <c r="H459" s="30" t="s">
        <v>3113</v>
      </c>
      <c r="I459" s="30" t="s">
        <v>3105</v>
      </c>
      <c r="J459" s="30" t="s">
        <v>1508</v>
      </c>
      <c r="K459" s="30" t="s">
        <v>16</v>
      </c>
      <c r="L459" s="30" t="s">
        <v>685</v>
      </c>
      <c r="M459" s="30" t="s">
        <v>2992</v>
      </c>
      <c r="N459" s="73">
        <v>42013</v>
      </c>
      <c r="O459" s="30">
        <v>24004154</v>
      </c>
      <c r="P459" s="30"/>
      <c r="Q459" s="30"/>
      <c r="R459" s="30"/>
      <c r="S459" s="30"/>
      <c r="T459" s="112" t="s">
        <v>5034</v>
      </c>
      <c r="U459" s="112"/>
      <c r="V459" s="112"/>
      <c r="W459" s="112"/>
      <c r="X459" s="112"/>
      <c r="Y459" s="112"/>
      <c r="Z459" s="112"/>
      <c r="AA459" s="112"/>
      <c r="AB459" s="112"/>
      <c r="AC459" s="112"/>
      <c r="AD459" s="112"/>
      <c r="AE459" s="112"/>
      <c r="AF459" s="112"/>
      <c r="AG459" s="112"/>
      <c r="AH459" s="112"/>
      <c r="AI459" s="112"/>
      <c r="AJ459" s="73">
        <v>44004</v>
      </c>
      <c r="AK459" s="648"/>
      <c r="AL459" s="30"/>
    </row>
    <row r="460" spans="1:213" ht="50.1" customHeight="1" x14ac:dyDescent="0.2">
      <c r="A460" s="298"/>
      <c r="B460" s="30" t="s">
        <v>1137</v>
      </c>
      <c r="C460" s="433" t="s">
        <v>3798</v>
      </c>
      <c r="D460" s="433"/>
      <c r="E460" s="30" t="s">
        <v>4010</v>
      </c>
      <c r="F460" s="435" t="s">
        <v>5035</v>
      </c>
      <c r="G460" s="30" t="s">
        <v>3951</v>
      </c>
      <c r="H460" s="30" t="s">
        <v>1806</v>
      </c>
      <c r="I460" s="30" t="s">
        <v>3953</v>
      </c>
      <c r="J460" s="30" t="s">
        <v>3955</v>
      </c>
      <c r="K460" s="30" t="s">
        <v>16</v>
      </c>
      <c r="L460" s="30" t="s">
        <v>2583</v>
      </c>
      <c r="M460" s="30" t="s">
        <v>3090</v>
      </c>
      <c r="N460" s="73">
        <v>43622</v>
      </c>
      <c r="O460" s="30" t="s">
        <v>4011</v>
      </c>
      <c r="P460" s="30"/>
      <c r="Q460" s="30"/>
      <c r="R460" s="30"/>
      <c r="S460" s="30"/>
      <c r="T460" s="112" t="s">
        <v>5036</v>
      </c>
      <c r="U460" s="112"/>
      <c r="V460" s="112"/>
      <c r="W460" s="112"/>
      <c r="X460" s="112"/>
      <c r="Y460" s="112"/>
      <c r="Z460" s="112"/>
      <c r="AA460" s="112"/>
      <c r="AB460" s="112"/>
      <c r="AC460" s="112"/>
      <c r="AD460" s="112"/>
      <c r="AE460" s="112"/>
      <c r="AF460" s="112"/>
      <c r="AG460" s="112"/>
      <c r="AH460" s="112"/>
      <c r="AI460" s="112"/>
      <c r="AJ460" s="73">
        <v>44004</v>
      </c>
      <c r="AK460" s="648"/>
      <c r="AL460" s="30"/>
    </row>
    <row r="461" spans="1:213" ht="50.1" customHeight="1" x14ac:dyDescent="0.2">
      <c r="A461" s="298"/>
      <c r="B461" s="118" t="s">
        <v>1137</v>
      </c>
      <c r="C461" s="114" t="s">
        <v>3797</v>
      </c>
      <c r="D461" s="114"/>
      <c r="E461" s="364" t="s">
        <v>4623</v>
      </c>
      <c r="F461" s="123" t="s">
        <v>4671</v>
      </c>
      <c r="G461" s="122" t="s">
        <v>2744</v>
      </c>
      <c r="H461" s="122" t="s">
        <v>1806</v>
      </c>
      <c r="I461" s="122" t="s">
        <v>4670</v>
      </c>
      <c r="J461" s="122" t="s">
        <v>1292</v>
      </c>
      <c r="K461" s="122" t="s">
        <v>11</v>
      </c>
      <c r="L461" s="122" t="s">
        <v>685</v>
      </c>
      <c r="M461" s="122" t="s">
        <v>3090</v>
      </c>
      <c r="N461" s="121">
        <v>43815</v>
      </c>
      <c r="O461" s="120" t="s">
        <v>4624</v>
      </c>
      <c r="P461" s="120"/>
      <c r="Q461" s="120"/>
      <c r="R461" s="120"/>
      <c r="S461" s="120"/>
      <c r="T461" s="112" t="s">
        <v>5066</v>
      </c>
      <c r="U461" s="112"/>
      <c r="V461" s="112"/>
      <c r="W461" s="112"/>
      <c r="X461" s="112"/>
      <c r="Y461" s="112"/>
      <c r="Z461" s="112"/>
      <c r="AA461" s="112"/>
      <c r="AB461" s="112"/>
      <c r="AC461" s="112"/>
      <c r="AD461" s="112"/>
      <c r="AE461" s="112"/>
      <c r="AF461" s="112"/>
      <c r="AG461" s="112"/>
      <c r="AH461" s="112"/>
      <c r="AI461" s="112"/>
      <c r="AJ461" s="73">
        <v>44011</v>
      </c>
      <c r="AK461" s="648"/>
      <c r="AL461" s="30"/>
    </row>
    <row r="462" spans="1:213" ht="50.1" customHeight="1" x14ac:dyDescent="0.2">
      <c r="A462" s="298"/>
      <c r="B462" s="118" t="s">
        <v>584</v>
      </c>
      <c r="C462" s="114" t="s">
        <v>3797</v>
      </c>
      <c r="D462" s="114"/>
      <c r="E462" s="364" t="s">
        <v>4591</v>
      </c>
      <c r="F462" s="123" t="s">
        <v>4667</v>
      </c>
      <c r="G462" s="122" t="s">
        <v>4563</v>
      </c>
      <c r="H462" s="122" t="s">
        <v>1806</v>
      </c>
      <c r="I462" s="122" t="s">
        <v>4668</v>
      </c>
      <c r="J462" s="122" t="s">
        <v>4564</v>
      </c>
      <c r="K462" s="122" t="s">
        <v>105</v>
      </c>
      <c r="L462" s="122" t="s">
        <v>3454</v>
      </c>
      <c r="M462" s="122" t="s">
        <v>3090</v>
      </c>
      <c r="N462" s="121">
        <v>43803</v>
      </c>
      <c r="O462" s="120" t="s">
        <v>4590</v>
      </c>
      <c r="P462" s="120"/>
      <c r="Q462" s="120"/>
      <c r="R462" s="120"/>
      <c r="S462" s="120"/>
      <c r="T462" s="114" t="s">
        <v>5091</v>
      </c>
      <c r="U462" s="114"/>
      <c r="V462" s="114"/>
      <c r="W462" s="114"/>
      <c r="X462" s="114"/>
      <c r="Y462" s="114"/>
      <c r="Z462" s="114"/>
      <c r="AA462" s="114"/>
      <c r="AB462" s="114"/>
      <c r="AC462" s="114"/>
      <c r="AD462" s="114"/>
      <c r="AE462" s="114"/>
      <c r="AF462" s="114"/>
      <c r="AG462" s="114"/>
      <c r="AH462" s="114"/>
      <c r="AI462" s="114"/>
      <c r="AJ462" s="73">
        <v>44018</v>
      </c>
      <c r="AK462" s="648"/>
      <c r="AL462" s="30"/>
    </row>
    <row r="463" spans="1:213" ht="50.1" customHeight="1" x14ac:dyDescent="0.2">
      <c r="A463" s="298"/>
      <c r="B463" s="476" t="s">
        <v>1137</v>
      </c>
      <c r="C463" s="477" t="s">
        <v>3797</v>
      </c>
      <c r="D463" s="477"/>
      <c r="E463" s="113" t="s">
        <v>4877</v>
      </c>
      <c r="F463" s="113" t="s">
        <v>4870</v>
      </c>
      <c r="G463" s="326" t="s">
        <v>907</v>
      </c>
      <c r="H463" s="432" t="s">
        <v>1806</v>
      </c>
      <c r="I463" s="113" t="s">
        <v>4871</v>
      </c>
      <c r="J463" s="113" t="s">
        <v>25</v>
      </c>
      <c r="K463" s="476" t="s">
        <v>11</v>
      </c>
      <c r="L463" s="432" t="s">
        <v>685</v>
      </c>
      <c r="M463" s="433" t="s">
        <v>3090</v>
      </c>
      <c r="N463" s="765">
        <v>43903</v>
      </c>
      <c r="O463" s="477" t="s">
        <v>4878</v>
      </c>
      <c r="P463" s="477"/>
      <c r="Q463" s="477"/>
      <c r="R463" s="477"/>
      <c r="S463" s="477"/>
      <c r="T463" s="114" t="s">
        <v>5096</v>
      </c>
      <c r="U463" s="114"/>
      <c r="V463" s="114"/>
      <c r="W463" s="114"/>
      <c r="X463" s="114"/>
      <c r="Y463" s="114"/>
      <c r="Z463" s="114"/>
      <c r="AA463" s="114"/>
      <c r="AB463" s="114"/>
      <c r="AC463" s="114"/>
      <c r="AD463" s="114"/>
      <c r="AE463" s="114"/>
      <c r="AF463" s="114"/>
      <c r="AG463" s="114"/>
      <c r="AH463" s="114"/>
      <c r="AI463" s="114"/>
      <c r="AJ463" s="73">
        <v>44025</v>
      </c>
      <c r="AK463" s="648"/>
      <c r="AL463" s="30"/>
    </row>
    <row r="464" spans="1:213" s="97" customFormat="1" ht="50.1" customHeight="1" x14ac:dyDescent="0.2">
      <c r="A464" s="167"/>
      <c r="B464" s="129" t="s">
        <v>1137</v>
      </c>
      <c r="C464" s="122" t="s">
        <v>3798</v>
      </c>
      <c r="D464" s="122"/>
      <c r="E464" s="122" t="s">
        <v>3912</v>
      </c>
      <c r="F464" s="291" t="s">
        <v>1451</v>
      </c>
      <c r="G464" s="122" t="s">
        <v>1451</v>
      </c>
      <c r="H464" s="122" t="s">
        <v>3909</v>
      </c>
      <c r="I464" s="122" t="s">
        <v>3908</v>
      </c>
      <c r="J464" s="122" t="s">
        <v>490</v>
      </c>
      <c r="K464" s="122" t="s">
        <v>16</v>
      </c>
      <c r="L464" s="122" t="s">
        <v>3094</v>
      </c>
      <c r="M464" s="122" t="s">
        <v>2992</v>
      </c>
      <c r="N464" s="293">
        <v>43585</v>
      </c>
      <c r="O464" s="308" t="s">
        <v>4979</v>
      </c>
      <c r="P464" s="308"/>
      <c r="Q464" s="308"/>
      <c r="R464" s="308"/>
      <c r="S464" s="308"/>
      <c r="T464" s="122" t="s">
        <v>5155</v>
      </c>
      <c r="U464" s="122"/>
      <c r="V464" s="122"/>
      <c r="W464" s="122"/>
      <c r="X464" s="122"/>
      <c r="Y464" s="122"/>
      <c r="Z464" s="122"/>
      <c r="AA464" s="122"/>
      <c r="AB464" s="122"/>
      <c r="AC464" s="122"/>
      <c r="AD464" s="122"/>
      <c r="AE464" s="122"/>
      <c r="AF464" s="122"/>
      <c r="AG464" s="122"/>
      <c r="AH464" s="122"/>
      <c r="AI464" s="122"/>
      <c r="AJ464" s="115">
        <v>44032</v>
      </c>
      <c r="AK464" s="648"/>
      <c r="AL464" s="30"/>
    </row>
    <row r="465" spans="1:231" s="97" customFormat="1" ht="50.1" customHeight="1" x14ac:dyDescent="0.2">
      <c r="A465" s="167"/>
      <c r="B465" s="129" t="s">
        <v>1137</v>
      </c>
      <c r="C465" s="122" t="s">
        <v>3797</v>
      </c>
      <c r="D465" s="122"/>
      <c r="E465" s="122" t="s">
        <v>4941</v>
      </c>
      <c r="F465" s="291" t="s">
        <v>4928</v>
      </c>
      <c r="G465" s="122" t="s">
        <v>4934</v>
      </c>
      <c r="H465" s="122" t="s">
        <v>4931</v>
      </c>
      <c r="I465" s="122" t="s">
        <v>4933</v>
      </c>
      <c r="J465" s="122" t="s">
        <v>4929</v>
      </c>
      <c r="K465" s="122" t="s">
        <v>105</v>
      </c>
      <c r="L465" s="122" t="s">
        <v>3442</v>
      </c>
      <c r="M465" s="122" t="s">
        <v>3081</v>
      </c>
      <c r="N465" s="293">
        <v>43948</v>
      </c>
      <c r="O465" s="308" t="s">
        <v>4989</v>
      </c>
      <c r="P465" s="308"/>
      <c r="Q465" s="308"/>
      <c r="R465" s="308"/>
      <c r="S465" s="308"/>
      <c r="T465" s="122" t="s">
        <v>5102</v>
      </c>
      <c r="U465" s="122"/>
      <c r="V465" s="122"/>
      <c r="W465" s="122"/>
      <c r="X465" s="122"/>
      <c r="Y465" s="122"/>
      <c r="Z465" s="122"/>
      <c r="AA465" s="122"/>
      <c r="AB465" s="122"/>
      <c r="AC465" s="122"/>
      <c r="AD465" s="122"/>
      <c r="AE465" s="122"/>
      <c r="AF465" s="122"/>
      <c r="AG465" s="122"/>
      <c r="AH465" s="122"/>
      <c r="AI465" s="122"/>
      <c r="AJ465" s="115" t="s">
        <v>5101</v>
      </c>
      <c r="AK465" s="648"/>
      <c r="AL465" s="30"/>
    </row>
    <row r="466" spans="1:231" s="564" customFormat="1" ht="50.1" customHeight="1" x14ac:dyDescent="0.2">
      <c r="A466" s="298"/>
      <c r="B466" s="129" t="s">
        <v>584</v>
      </c>
      <c r="C466" s="122" t="s">
        <v>3797</v>
      </c>
      <c r="D466" s="122"/>
      <c r="E466" s="122" t="s">
        <v>1647</v>
      </c>
      <c r="F466" s="291" t="s">
        <v>5126</v>
      </c>
      <c r="G466" s="122" t="s">
        <v>1648</v>
      </c>
      <c r="H466" s="122" t="s">
        <v>1806</v>
      </c>
      <c r="I466" s="122" t="s">
        <v>3105</v>
      </c>
      <c r="J466" s="122" t="s">
        <v>1508</v>
      </c>
      <c r="K466" s="129" t="s">
        <v>11</v>
      </c>
      <c r="L466" s="129" t="s">
        <v>685</v>
      </c>
      <c r="M466" s="122" t="s">
        <v>3090</v>
      </c>
      <c r="N466" s="293">
        <v>42038</v>
      </c>
      <c r="O466" s="308" t="s">
        <v>1686</v>
      </c>
      <c r="P466" s="308"/>
      <c r="Q466" s="308"/>
      <c r="R466" s="308"/>
      <c r="S466" s="308"/>
      <c r="T466" s="122" t="s">
        <v>5128</v>
      </c>
      <c r="U466" s="122"/>
      <c r="V466" s="122"/>
      <c r="W466" s="122"/>
      <c r="X466" s="122"/>
      <c r="Y466" s="122"/>
      <c r="Z466" s="122"/>
      <c r="AA466" s="122"/>
      <c r="AB466" s="122"/>
      <c r="AC466" s="122"/>
      <c r="AD466" s="122"/>
      <c r="AE466" s="122"/>
      <c r="AF466" s="122"/>
      <c r="AG466" s="122"/>
      <c r="AH466" s="122"/>
      <c r="AI466" s="122"/>
      <c r="AJ466" s="308" t="s">
        <v>5125</v>
      </c>
      <c r="AK466" s="648"/>
      <c r="AL466" s="30"/>
      <c r="AM466" s="559"/>
      <c r="AN466" s="559"/>
      <c r="AO466" s="305"/>
      <c r="AP466" s="559"/>
      <c r="AQ466" s="559"/>
      <c r="AR466" s="559"/>
      <c r="AS466" s="559"/>
      <c r="AT466" s="559"/>
      <c r="AU466" s="559"/>
      <c r="AV466" s="305"/>
      <c r="AW466" s="559"/>
      <c r="AX466" s="305"/>
      <c r="AY466" s="305"/>
      <c r="AZ466" s="559"/>
      <c r="BA466" s="305"/>
      <c r="BB466" s="305"/>
      <c r="BC466" s="305"/>
      <c r="BD466" s="305"/>
      <c r="BE466" s="304"/>
      <c r="BF466" s="304"/>
      <c r="BG466" s="304"/>
      <c r="BH466" s="304"/>
      <c r="BI466" s="304"/>
      <c r="BJ466" s="304"/>
      <c r="BK466" s="304"/>
      <c r="BL466" s="304"/>
      <c r="BM466" s="304"/>
      <c r="BN466" s="304"/>
      <c r="BO466" s="304"/>
      <c r="BP466" s="304"/>
      <c r="BQ466" s="304"/>
      <c r="BR466" s="304"/>
      <c r="BS466" s="304"/>
      <c r="BT466" s="304"/>
      <c r="BU466" s="304"/>
      <c r="BV466" s="304"/>
      <c r="BW466" s="304"/>
      <c r="BX466" s="304"/>
      <c r="BY466" s="304"/>
      <c r="BZ466" s="304"/>
      <c r="CA466" s="305"/>
      <c r="CB466" s="305"/>
      <c r="CC466" s="305"/>
      <c r="CD466" s="305"/>
      <c r="CE466" s="305"/>
      <c r="CF466" s="305"/>
      <c r="CG466" s="305"/>
      <c r="CH466" s="305"/>
      <c r="CI466" s="305"/>
      <c r="CJ466" s="305"/>
      <c r="CK466" s="305"/>
      <c r="CL466" s="305"/>
      <c r="CM466" s="305"/>
      <c r="CN466" s="305"/>
      <c r="CO466" s="305"/>
      <c r="CP466" s="305"/>
      <c r="CQ466" s="305"/>
      <c r="CR466" s="305"/>
      <c r="CS466" s="305"/>
      <c r="CT466" s="305"/>
      <c r="CU466" s="305"/>
      <c r="CV466" s="305"/>
      <c r="CW466" s="305"/>
      <c r="CX466" s="305"/>
      <c r="CY466" s="305"/>
      <c r="CZ466" s="305"/>
      <c r="DA466" s="305"/>
      <c r="DB466" s="305"/>
      <c r="DC466" s="305"/>
      <c r="DD466" s="305"/>
      <c r="DE466" s="305"/>
      <c r="DF466" s="305"/>
      <c r="DG466" s="305"/>
      <c r="DH466" s="305"/>
      <c r="DI466" s="305"/>
      <c r="DJ466" s="305"/>
      <c r="DK466" s="305"/>
      <c r="DL466" s="305"/>
      <c r="DM466" s="305"/>
      <c r="DN466" s="305"/>
      <c r="DO466" s="305"/>
      <c r="DP466" s="305"/>
      <c r="DQ466" s="305"/>
      <c r="DR466" s="305"/>
      <c r="DS466" s="305"/>
      <c r="DT466" s="305"/>
      <c r="DU466" s="305"/>
      <c r="DV466" s="305"/>
      <c r="DW466" s="305"/>
      <c r="DX466" s="305"/>
      <c r="DY466" s="305"/>
      <c r="DZ466" s="305"/>
      <c r="EA466" s="305"/>
      <c r="EB466" s="305"/>
      <c r="EC466" s="557"/>
      <c r="ED466" s="557"/>
      <c r="EE466" s="557"/>
      <c r="EF466" s="557"/>
      <c r="EG466" s="557"/>
      <c r="EH466" s="557"/>
      <c r="EI466" s="557"/>
      <c r="EJ466" s="557"/>
      <c r="EK466" s="557"/>
      <c r="EL466" s="557"/>
      <c r="EM466" s="557"/>
      <c r="EN466" s="557"/>
      <c r="EO466" s="557"/>
      <c r="EP466" s="557"/>
      <c r="EQ466" s="557"/>
      <c r="ER466" s="557"/>
      <c r="ES466" s="557"/>
      <c r="ET466" s="557"/>
      <c r="EU466" s="557"/>
      <c r="EV466" s="557"/>
      <c r="EW466" s="557"/>
      <c r="EX466" s="557"/>
      <c r="EY466" s="557"/>
      <c r="EZ466" s="561"/>
      <c r="FA466" s="561"/>
      <c r="FB466" s="561"/>
      <c r="FC466" s="561"/>
      <c r="FD466" s="561"/>
      <c r="FE466" s="561"/>
      <c r="FF466" s="561"/>
      <c r="FG466" s="561"/>
      <c r="FH466" s="561"/>
      <c r="FI466" s="561"/>
      <c r="FJ466" s="561"/>
      <c r="FK466" s="561"/>
      <c r="FL466" s="561"/>
      <c r="FM466" s="561"/>
      <c r="FN466" s="561"/>
      <c r="FO466" s="561"/>
      <c r="FP466" s="561"/>
      <c r="FQ466" s="561"/>
      <c r="FR466" s="561"/>
      <c r="FS466" s="561"/>
      <c r="FT466" s="561"/>
      <c r="FU466" s="561"/>
      <c r="FV466" s="561"/>
      <c r="FW466" s="561"/>
      <c r="FX466" s="562"/>
      <c r="FY466" s="562"/>
      <c r="FZ466" s="562"/>
      <c r="GA466" s="562"/>
      <c r="GB466" s="562"/>
      <c r="GC466" s="562"/>
      <c r="GD466" s="562"/>
      <c r="GE466" s="562"/>
      <c r="GF466" s="562"/>
      <c r="GG466" s="562"/>
      <c r="GH466" s="562"/>
      <c r="GI466" s="562"/>
      <c r="GJ466" s="562"/>
      <c r="GK466" s="562"/>
      <c r="GL466" s="562"/>
      <c r="GM466" s="562"/>
      <c r="GN466" s="562"/>
      <c r="GO466" s="562"/>
      <c r="GP466" s="562"/>
      <c r="GQ466" s="562"/>
      <c r="GR466" s="562"/>
      <c r="GS466" s="562"/>
      <c r="GT466" s="562"/>
      <c r="GU466" s="562"/>
      <c r="GV466" s="562"/>
      <c r="GW466" s="562"/>
      <c r="GX466" s="562"/>
      <c r="GY466" s="562"/>
      <c r="GZ466" s="562"/>
      <c r="HA466" s="562"/>
      <c r="HB466" s="562"/>
      <c r="HC466" s="562"/>
      <c r="HD466" s="562"/>
      <c r="HE466" s="562"/>
      <c r="HF466" s="562"/>
      <c r="HG466" s="562"/>
      <c r="HH466" s="562"/>
      <c r="HI466" s="562"/>
      <c r="HJ466" s="562"/>
      <c r="HK466" s="562"/>
      <c r="HL466" s="562"/>
      <c r="HM466" s="562"/>
      <c r="HN466" s="562"/>
      <c r="HO466" s="562"/>
      <c r="HP466" s="562"/>
      <c r="HQ466" s="562"/>
      <c r="HR466" s="562"/>
      <c r="HS466" s="562"/>
      <c r="HT466" s="562"/>
      <c r="HU466" s="562"/>
      <c r="HV466" s="558"/>
      <c r="HW466" s="563"/>
    </row>
    <row r="467" spans="1:231" ht="50.1" customHeight="1" x14ac:dyDescent="0.2">
      <c r="A467" s="298"/>
      <c r="B467" s="129" t="s">
        <v>584</v>
      </c>
      <c r="C467" s="122" t="s">
        <v>3798</v>
      </c>
      <c r="D467" s="122"/>
      <c r="E467" s="122" t="s">
        <v>5019</v>
      </c>
      <c r="F467" s="291" t="s">
        <v>5127</v>
      </c>
      <c r="G467" s="122" t="s">
        <v>5013</v>
      </c>
      <c r="H467" s="122" t="s">
        <v>5021</v>
      </c>
      <c r="I467" s="122" t="s">
        <v>5020</v>
      </c>
      <c r="J467" s="122" t="s">
        <v>5012</v>
      </c>
      <c r="K467" s="129" t="s">
        <v>11</v>
      </c>
      <c r="L467" s="122" t="s">
        <v>3132</v>
      </c>
      <c r="M467" s="122" t="s">
        <v>3090</v>
      </c>
      <c r="N467" s="293">
        <v>43979</v>
      </c>
      <c r="O467" s="308" t="s">
        <v>5022</v>
      </c>
      <c r="P467" s="308"/>
      <c r="Q467" s="308"/>
      <c r="R467" s="308"/>
      <c r="S467" s="308"/>
      <c r="T467" s="115" t="s">
        <v>5129</v>
      </c>
      <c r="U467" s="115"/>
      <c r="V467" s="115"/>
      <c r="W467" s="115"/>
      <c r="X467" s="115"/>
      <c r="Y467" s="115"/>
      <c r="Z467" s="115"/>
      <c r="AA467" s="115"/>
      <c r="AB467" s="115"/>
      <c r="AC467" s="115"/>
      <c r="AD467" s="115"/>
      <c r="AE467" s="115"/>
      <c r="AF467" s="115"/>
      <c r="AG467" s="115"/>
      <c r="AH467" s="115"/>
      <c r="AI467" s="115"/>
      <c r="AJ467" s="308" t="s">
        <v>5125</v>
      </c>
      <c r="AK467" s="648"/>
      <c r="AL467" s="30"/>
    </row>
    <row r="468" spans="1:231" ht="50.1" customHeight="1" x14ac:dyDescent="0.2">
      <c r="A468" s="298"/>
      <c r="B468" s="118" t="s">
        <v>1137</v>
      </c>
      <c r="C468" s="114" t="s">
        <v>3798</v>
      </c>
      <c r="D468" s="114"/>
      <c r="E468" s="114" t="s">
        <v>4768</v>
      </c>
      <c r="F468" s="123" t="s">
        <v>5104</v>
      </c>
      <c r="G468" s="118" t="s">
        <v>599</v>
      </c>
      <c r="H468" s="118" t="s">
        <v>1806</v>
      </c>
      <c r="I468" s="114" t="s">
        <v>4727</v>
      </c>
      <c r="J468" s="114" t="s">
        <v>4728</v>
      </c>
      <c r="K468" s="118" t="s">
        <v>11</v>
      </c>
      <c r="L468" s="118" t="s">
        <v>685</v>
      </c>
      <c r="M468" s="114" t="s">
        <v>3090</v>
      </c>
      <c r="N468" s="121">
        <v>43865</v>
      </c>
      <c r="O468" s="117" t="s">
        <v>5024</v>
      </c>
      <c r="P468" s="117"/>
      <c r="Q468" s="117"/>
      <c r="R468" s="117"/>
      <c r="S468" s="117"/>
      <c r="T468" s="115" t="s">
        <v>5142</v>
      </c>
      <c r="U468" s="115"/>
      <c r="V468" s="115"/>
      <c r="W468" s="115"/>
      <c r="X468" s="115"/>
      <c r="Y468" s="115"/>
      <c r="Z468" s="115"/>
      <c r="AA468" s="115"/>
      <c r="AB468" s="115"/>
      <c r="AC468" s="115"/>
      <c r="AD468" s="115"/>
      <c r="AE468" s="115"/>
      <c r="AF468" s="115"/>
      <c r="AG468" s="115"/>
      <c r="AH468" s="115"/>
      <c r="AI468" s="115"/>
      <c r="AJ468" s="73">
        <v>44046</v>
      </c>
      <c r="AK468" s="648"/>
      <c r="AL468" s="30"/>
    </row>
    <row r="469" spans="1:231" ht="50.1" customHeight="1" x14ac:dyDescent="0.2">
      <c r="A469" s="298"/>
      <c r="B469" s="476" t="s">
        <v>584</v>
      </c>
      <c r="C469" s="477" t="s">
        <v>3797</v>
      </c>
      <c r="D469" s="477"/>
      <c r="E469" s="477" t="s">
        <v>4591</v>
      </c>
      <c r="F469" s="291" t="s">
        <v>4667</v>
      </c>
      <c r="G469" s="477" t="s">
        <v>5136</v>
      </c>
      <c r="H469" s="326" t="s">
        <v>1806</v>
      </c>
      <c r="I469" s="113" t="s">
        <v>5137</v>
      </c>
      <c r="J469" s="113" t="s">
        <v>5138</v>
      </c>
      <c r="K469" s="326" t="s">
        <v>105</v>
      </c>
      <c r="L469" s="113" t="s">
        <v>3454</v>
      </c>
      <c r="M469" s="477" t="s">
        <v>5139</v>
      </c>
      <c r="N469" s="766">
        <v>44043</v>
      </c>
      <c r="O469" s="616" t="s">
        <v>5140</v>
      </c>
      <c r="P469" s="616"/>
      <c r="Q469" s="616"/>
      <c r="R469" s="616"/>
      <c r="S469" s="616"/>
      <c r="T469" s="115" t="s">
        <v>5154</v>
      </c>
      <c r="U469" s="115"/>
      <c r="V469" s="115"/>
      <c r="W469" s="115"/>
      <c r="X469" s="115"/>
      <c r="Y469" s="115"/>
      <c r="Z469" s="115"/>
      <c r="AA469" s="115"/>
      <c r="AB469" s="115"/>
      <c r="AC469" s="115"/>
      <c r="AD469" s="115"/>
      <c r="AE469" s="115"/>
      <c r="AF469" s="115"/>
      <c r="AG469" s="115"/>
      <c r="AH469" s="115"/>
      <c r="AI469" s="115"/>
      <c r="AJ469" s="73">
        <v>44053</v>
      </c>
      <c r="AK469" s="648"/>
      <c r="AL469" s="30"/>
    </row>
    <row r="470" spans="1:231" ht="50.1" customHeight="1" x14ac:dyDescent="0.2">
      <c r="A470" s="298"/>
      <c r="B470" s="129" t="s">
        <v>1137</v>
      </c>
      <c r="C470" s="122" t="s">
        <v>3797</v>
      </c>
      <c r="D470" s="122"/>
      <c r="E470" s="122" t="s">
        <v>4958</v>
      </c>
      <c r="F470" s="291" t="s">
        <v>4957</v>
      </c>
      <c r="G470" s="122" t="s">
        <v>4957</v>
      </c>
      <c r="H470" s="122" t="s">
        <v>4960</v>
      </c>
      <c r="I470" s="122" t="s">
        <v>4959</v>
      </c>
      <c r="J470" s="122" t="s">
        <v>5011</v>
      </c>
      <c r="K470" s="129" t="s">
        <v>16</v>
      </c>
      <c r="L470" s="122" t="s">
        <v>3454</v>
      </c>
      <c r="M470" s="122" t="s">
        <v>3081</v>
      </c>
      <c r="N470" s="293">
        <v>43959</v>
      </c>
      <c r="O470" s="308" t="s">
        <v>4990</v>
      </c>
      <c r="P470" s="308"/>
      <c r="Q470" s="308"/>
      <c r="R470" s="308"/>
      <c r="S470" s="308"/>
      <c r="T470" s="122" t="s">
        <v>5175</v>
      </c>
      <c r="U470" s="122"/>
      <c r="V470" s="122"/>
      <c r="W470" s="122"/>
      <c r="X470" s="122"/>
      <c r="Y470" s="122"/>
      <c r="Z470" s="122"/>
      <c r="AA470" s="122"/>
      <c r="AB470" s="122"/>
      <c r="AC470" s="122"/>
      <c r="AD470" s="122"/>
      <c r="AE470" s="122"/>
      <c r="AF470" s="122"/>
      <c r="AG470" s="122"/>
      <c r="AH470" s="122"/>
      <c r="AI470" s="122"/>
      <c r="AJ470" s="73">
        <v>44082</v>
      </c>
      <c r="AK470" s="648"/>
      <c r="AL470" s="30"/>
    </row>
    <row r="471" spans="1:231" ht="50.1" customHeight="1" x14ac:dyDescent="0.2">
      <c r="A471" s="298"/>
      <c r="B471" s="71" t="s">
        <v>1137</v>
      </c>
      <c r="C471" s="30" t="s">
        <v>3798</v>
      </c>
      <c r="D471" s="30"/>
      <c r="E471" s="106" t="s">
        <v>5045</v>
      </c>
      <c r="F471" s="196" t="s">
        <v>5046</v>
      </c>
      <c r="G471" s="30" t="s">
        <v>5046</v>
      </c>
      <c r="H471" s="30" t="s">
        <v>5048</v>
      </c>
      <c r="I471" s="30" t="s">
        <v>112</v>
      </c>
      <c r="J471" s="30" t="s">
        <v>112</v>
      </c>
      <c r="K471" s="30" t="s">
        <v>4926</v>
      </c>
      <c r="L471" s="308" t="s">
        <v>112</v>
      </c>
      <c r="M471" s="30" t="s">
        <v>5047</v>
      </c>
      <c r="N471" s="70">
        <v>44008</v>
      </c>
      <c r="O471" s="41" t="s">
        <v>5072</v>
      </c>
      <c r="P471" s="41"/>
      <c r="Q471" s="41"/>
      <c r="R471" s="41"/>
      <c r="S471" s="41"/>
      <c r="T471" s="30" t="s">
        <v>5205</v>
      </c>
      <c r="U471" s="30"/>
      <c r="V471" s="30"/>
      <c r="W471" s="30"/>
      <c r="X471" s="30"/>
      <c r="Y471" s="30"/>
      <c r="Z471" s="30"/>
      <c r="AA471" s="30"/>
      <c r="AB471" s="30"/>
      <c r="AC471" s="30"/>
      <c r="AD471" s="30"/>
      <c r="AE471" s="30"/>
      <c r="AF471" s="30"/>
      <c r="AG471" s="30"/>
      <c r="AH471" s="30"/>
      <c r="AI471" s="30"/>
      <c r="AJ471" s="73">
        <v>44088</v>
      </c>
      <c r="AK471" s="648"/>
      <c r="AL471" s="30"/>
    </row>
    <row r="472" spans="1:231" ht="50.1" customHeight="1" x14ac:dyDescent="0.2">
      <c r="A472" s="298"/>
      <c r="B472" s="71" t="s">
        <v>584</v>
      </c>
      <c r="C472" s="72" t="s">
        <v>3798</v>
      </c>
      <c r="D472" s="72"/>
      <c r="E472" s="81" t="s">
        <v>5083</v>
      </c>
      <c r="F472" s="288" t="s">
        <v>5130</v>
      </c>
      <c r="G472" s="72" t="s">
        <v>5053</v>
      </c>
      <c r="H472" s="72" t="s">
        <v>5090</v>
      </c>
      <c r="I472" s="72" t="s">
        <v>5054</v>
      </c>
      <c r="J472" s="72" t="s">
        <v>1066</v>
      </c>
      <c r="K472" s="71" t="s">
        <v>11</v>
      </c>
      <c r="L472" s="72" t="s">
        <v>12</v>
      </c>
      <c r="M472" s="72" t="s">
        <v>1615</v>
      </c>
      <c r="N472" s="418">
        <v>44021</v>
      </c>
      <c r="O472" s="360" t="s">
        <v>5093</v>
      </c>
      <c r="P472" s="360"/>
      <c r="Q472" s="360"/>
      <c r="R472" s="360"/>
      <c r="S472" s="360"/>
      <c r="T472" s="767" t="s">
        <v>5262</v>
      </c>
      <c r="U472" s="767"/>
      <c r="V472" s="767"/>
      <c r="W472" s="767"/>
      <c r="X472" s="767"/>
      <c r="Y472" s="767"/>
      <c r="Z472" s="767"/>
      <c r="AA472" s="767"/>
      <c r="AB472" s="767"/>
      <c r="AC472" s="767"/>
      <c r="AD472" s="767"/>
      <c r="AE472" s="767"/>
      <c r="AF472" s="767"/>
      <c r="AG472" s="767"/>
      <c r="AH472" s="767"/>
      <c r="AI472" s="767"/>
      <c r="AJ472" s="73">
        <v>44102</v>
      </c>
      <c r="AK472" s="648"/>
      <c r="AL472" s="30"/>
    </row>
    <row r="473" spans="1:231" ht="50.1" customHeight="1" x14ac:dyDescent="0.2">
      <c r="A473" s="298"/>
      <c r="B473" s="129" t="s">
        <v>584</v>
      </c>
      <c r="C473" s="122" t="s">
        <v>3797</v>
      </c>
      <c r="D473" s="122"/>
      <c r="E473" s="122" t="s">
        <v>616</v>
      </c>
      <c r="F473" s="291" t="s">
        <v>4916</v>
      </c>
      <c r="G473" s="122" t="s">
        <v>1371</v>
      </c>
      <c r="H473" s="122" t="s">
        <v>4917</v>
      </c>
      <c r="I473" s="122" t="s">
        <v>4932</v>
      </c>
      <c r="J473" s="122" t="s">
        <v>4918</v>
      </c>
      <c r="K473" s="129" t="s">
        <v>105</v>
      </c>
      <c r="L473" s="122" t="s">
        <v>1369</v>
      </c>
      <c r="M473" s="122" t="s">
        <v>3903</v>
      </c>
      <c r="N473" s="293">
        <v>43924</v>
      </c>
      <c r="O473" s="308" t="s">
        <v>4919</v>
      </c>
      <c r="P473" s="308"/>
      <c r="Q473" s="308"/>
      <c r="R473" s="308"/>
      <c r="S473" s="308"/>
      <c r="T473" s="122" t="s">
        <v>5253</v>
      </c>
      <c r="U473" s="122"/>
      <c r="V473" s="122"/>
      <c r="W473" s="122"/>
      <c r="X473" s="122"/>
      <c r="Y473" s="122"/>
      <c r="Z473" s="122"/>
      <c r="AA473" s="122"/>
      <c r="AB473" s="122"/>
      <c r="AC473" s="122"/>
      <c r="AD473" s="122"/>
      <c r="AE473" s="122"/>
      <c r="AF473" s="122"/>
      <c r="AG473" s="122"/>
      <c r="AH473" s="122"/>
      <c r="AI473" s="122"/>
      <c r="AJ473" s="73">
        <v>44117</v>
      </c>
      <c r="AK473" s="648"/>
      <c r="AL473" s="30"/>
    </row>
    <row r="474" spans="1:231" ht="50.1" customHeight="1" x14ac:dyDescent="0.2">
      <c r="A474" s="298"/>
      <c r="B474" s="129" t="s">
        <v>584</v>
      </c>
      <c r="C474" s="122" t="s">
        <v>3797</v>
      </c>
      <c r="D474" s="122"/>
      <c r="E474" s="112" t="s">
        <v>5217</v>
      </c>
      <c r="F474" s="291" t="s">
        <v>5308</v>
      </c>
      <c r="G474" s="122" t="s">
        <v>475</v>
      </c>
      <c r="H474" s="129" t="s">
        <v>1806</v>
      </c>
      <c r="I474" s="122" t="s">
        <v>5075</v>
      </c>
      <c r="J474" s="122" t="s">
        <v>5074</v>
      </c>
      <c r="K474" s="129" t="s">
        <v>11</v>
      </c>
      <c r="L474" s="122" t="s">
        <v>1133</v>
      </c>
      <c r="M474" s="122" t="s">
        <v>1615</v>
      </c>
      <c r="N474" s="293">
        <v>44014</v>
      </c>
      <c r="O474" s="308" t="s">
        <v>5095</v>
      </c>
      <c r="P474" s="308"/>
      <c r="Q474" s="308"/>
      <c r="R474" s="308"/>
      <c r="S474" s="308"/>
      <c r="T474" s="122" t="s">
        <v>5327</v>
      </c>
      <c r="U474" s="122"/>
      <c r="V474" s="122"/>
      <c r="W474" s="122"/>
      <c r="X474" s="122"/>
      <c r="Y474" s="122"/>
      <c r="Z474" s="122"/>
      <c r="AA474" s="122"/>
      <c r="AB474" s="122"/>
      <c r="AC474" s="122"/>
      <c r="AD474" s="122"/>
      <c r="AE474" s="122"/>
      <c r="AF474" s="122"/>
      <c r="AG474" s="122"/>
      <c r="AH474" s="122"/>
      <c r="AI474" s="122"/>
      <c r="AJ474" s="73">
        <v>44158</v>
      </c>
      <c r="AK474" s="648"/>
      <c r="AL474" s="30"/>
    </row>
    <row r="475" spans="1:231" ht="50.1" customHeight="1" x14ac:dyDescent="0.2">
      <c r="A475" s="298"/>
      <c r="B475" s="129" t="s">
        <v>584</v>
      </c>
      <c r="C475" s="122" t="s">
        <v>3798</v>
      </c>
      <c r="D475" s="122"/>
      <c r="E475" s="122" t="s">
        <v>3913</v>
      </c>
      <c r="F475" s="291" t="s">
        <v>3907</v>
      </c>
      <c r="G475" s="122" t="s">
        <v>3484</v>
      </c>
      <c r="H475" s="122" t="s">
        <v>3490</v>
      </c>
      <c r="I475" s="122" t="s">
        <v>3910</v>
      </c>
      <c r="J475" s="122" t="s">
        <v>25</v>
      </c>
      <c r="K475" s="122" t="s">
        <v>11</v>
      </c>
      <c r="L475" s="122" t="s">
        <v>3422</v>
      </c>
      <c r="M475" s="122" t="s">
        <v>2992</v>
      </c>
      <c r="N475" s="293">
        <v>43585</v>
      </c>
      <c r="O475" s="308" t="s">
        <v>4980</v>
      </c>
      <c r="P475" s="308"/>
      <c r="Q475" s="308"/>
      <c r="R475" s="308"/>
      <c r="S475" s="308"/>
      <c r="T475" s="122" t="s">
        <v>5337</v>
      </c>
      <c r="U475" s="122"/>
      <c r="V475" s="122"/>
      <c r="W475" s="122"/>
      <c r="X475" s="122"/>
      <c r="Y475" s="122"/>
      <c r="Z475" s="122"/>
      <c r="AA475" s="122"/>
      <c r="AB475" s="122"/>
      <c r="AC475" s="122"/>
      <c r="AD475" s="122"/>
      <c r="AE475" s="122"/>
      <c r="AF475" s="122"/>
      <c r="AG475" s="122"/>
      <c r="AH475" s="122"/>
      <c r="AI475" s="122"/>
      <c r="AJ475" s="73">
        <v>44165</v>
      </c>
      <c r="AK475" s="648"/>
      <c r="AL475" s="30"/>
    </row>
    <row r="476" spans="1:231" ht="50.1" customHeight="1" x14ac:dyDescent="0.2">
      <c r="A476" s="298"/>
      <c r="B476" s="129" t="s">
        <v>584</v>
      </c>
      <c r="C476" s="122" t="s">
        <v>3797</v>
      </c>
      <c r="D476" s="122"/>
      <c r="E476" s="30" t="s">
        <v>5238</v>
      </c>
      <c r="F476" s="30" t="s">
        <v>5363</v>
      </c>
      <c r="G476" s="30" t="s">
        <v>113</v>
      </c>
      <c r="H476" s="30" t="s">
        <v>1806</v>
      </c>
      <c r="I476" s="30" t="s">
        <v>5364</v>
      </c>
      <c r="J476" s="30" t="s">
        <v>605</v>
      </c>
      <c r="K476" s="30" t="s">
        <v>11</v>
      </c>
      <c r="L476" s="30" t="s">
        <v>3417</v>
      </c>
      <c r="M476" s="30" t="s">
        <v>3090</v>
      </c>
      <c r="N476" s="73">
        <v>44032</v>
      </c>
      <c r="O476" s="30" t="s">
        <v>5173</v>
      </c>
      <c r="P476" s="30"/>
      <c r="Q476" s="30"/>
      <c r="R476" s="30"/>
      <c r="S476" s="30"/>
      <c r="T476" s="122" t="s">
        <v>5365</v>
      </c>
      <c r="U476" s="122"/>
      <c r="V476" s="122"/>
      <c r="W476" s="122"/>
      <c r="X476" s="122"/>
      <c r="Y476" s="122"/>
      <c r="Z476" s="122"/>
      <c r="AA476" s="122"/>
      <c r="AB476" s="122"/>
      <c r="AC476" s="122"/>
      <c r="AD476" s="122"/>
      <c r="AE476" s="122"/>
      <c r="AF476" s="122"/>
      <c r="AG476" s="122"/>
      <c r="AH476" s="122"/>
      <c r="AI476" s="122"/>
      <c r="AJ476" s="73">
        <v>44179</v>
      </c>
      <c r="AK476" s="648"/>
      <c r="AL476" s="30"/>
    </row>
    <row r="477" spans="1:231" ht="50.1" customHeight="1" x14ac:dyDescent="0.2">
      <c r="A477" s="298"/>
      <c r="B477" s="129" t="s">
        <v>1137</v>
      </c>
      <c r="C477" s="122" t="s">
        <v>3798</v>
      </c>
      <c r="D477" s="122"/>
      <c r="E477" s="72" t="s">
        <v>4142</v>
      </c>
      <c r="F477" s="291" t="s">
        <v>4664</v>
      </c>
      <c r="G477" s="122" t="s">
        <v>3522</v>
      </c>
      <c r="H477" s="122" t="s">
        <v>1806</v>
      </c>
      <c r="I477" s="122" t="s">
        <v>3949</v>
      </c>
      <c r="J477" s="122" t="s">
        <v>3950</v>
      </c>
      <c r="K477" s="122" t="s">
        <v>16</v>
      </c>
      <c r="L477" s="122" t="s">
        <v>3094</v>
      </c>
      <c r="M477" s="122" t="s">
        <v>3090</v>
      </c>
      <c r="N477" s="293">
        <v>43663</v>
      </c>
      <c r="O477" s="308" t="s">
        <v>4143</v>
      </c>
      <c r="P477" s="308"/>
      <c r="Q477" s="308"/>
      <c r="R477" s="308"/>
      <c r="S477" s="308"/>
      <c r="T477" s="445" t="s">
        <v>5410</v>
      </c>
      <c r="U477" s="445"/>
      <c r="V477" s="445"/>
      <c r="W477" s="445"/>
      <c r="X477" s="445"/>
      <c r="Y477" s="445"/>
      <c r="Z477" s="445"/>
      <c r="AA477" s="445"/>
      <c r="AB477" s="445"/>
      <c r="AC477" s="445"/>
      <c r="AD477" s="445"/>
      <c r="AE477" s="445"/>
      <c r="AF477" s="445"/>
      <c r="AG477" s="445"/>
      <c r="AH477" s="445"/>
      <c r="AI477" s="445"/>
      <c r="AJ477" s="281">
        <v>44193</v>
      </c>
      <c r="AK477" s="651"/>
      <c r="AL477" s="72"/>
    </row>
    <row r="478" spans="1:231" ht="50.1" customHeight="1" x14ac:dyDescent="0.2">
      <c r="A478" s="298"/>
      <c r="B478" s="41" t="s">
        <v>584</v>
      </c>
      <c r="C478" s="41" t="s">
        <v>3798</v>
      </c>
      <c r="D478" s="41"/>
      <c r="E478" s="30" t="s">
        <v>5222</v>
      </c>
      <c r="F478" s="196" t="s">
        <v>5540</v>
      </c>
      <c r="G478" s="30" t="s">
        <v>5225</v>
      </c>
      <c r="H478" s="30" t="s">
        <v>5227</v>
      </c>
      <c r="I478" s="122" t="s">
        <v>5020</v>
      </c>
      <c r="J478" s="122" t="s">
        <v>5012</v>
      </c>
      <c r="K478" s="129" t="s">
        <v>11</v>
      </c>
      <c r="L478" s="122" t="s">
        <v>3132</v>
      </c>
      <c r="M478" s="30" t="s">
        <v>5223</v>
      </c>
      <c r="N478" s="70">
        <v>44099</v>
      </c>
      <c r="O478" s="30" t="s">
        <v>5224</v>
      </c>
      <c r="P478" s="30"/>
      <c r="Q478" s="30"/>
      <c r="R478" s="30"/>
      <c r="S478" s="30"/>
      <c r="T478" s="611" t="s">
        <v>5226</v>
      </c>
      <c r="U478" s="611"/>
      <c r="V478" s="611"/>
      <c r="W478" s="611"/>
      <c r="X478" s="611"/>
      <c r="Y478" s="611"/>
      <c r="Z478" s="611"/>
      <c r="AA478" s="611"/>
      <c r="AB478" s="611"/>
      <c r="AC478" s="611"/>
      <c r="AD478" s="611"/>
      <c r="AE478" s="611"/>
      <c r="AF478" s="611"/>
      <c r="AG478" s="611"/>
      <c r="AH478" s="611"/>
      <c r="AI478" s="611"/>
      <c r="AJ478" s="73">
        <v>44193</v>
      </c>
      <c r="AK478" s="648"/>
      <c r="AL478" s="30"/>
    </row>
    <row r="479" spans="1:231" ht="50.1" customHeight="1" x14ac:dyDescent="0.2">
      <c r="A479" s="298"/>
      <c r="B479" s="129" t="s">
        <v>1137</v>
      </c>
      <c r="C479" s="30" t="s">
        <v>3797</v>
      </c>
      <c r="D479" s="30"/>
      <c r="E479" s="30" t="s">
        <v>4339</v>
      </c>
      <c r="F479" s="123" t="s">
        <v>4358</v>
      </c>
      <c r="G479" s="122" t="s">
        <v>4358</v>
      </c>
      <c r="H479" s="122" t="s">
        <v>4338</v>
      </c>
      <c r="I479" s="122" t="s">
        <v>4337</v>
      </c>
      <c r="J479" s="122" t="s">
        <v>4336</v>
      </c>
      <c r="K479" s="122" t="s">
        <v>16</v>
      </c>
      <c r="L479" s="122" t="s">
        <v>900</v>
      </c>
      <c r="M479" s="122" t="s">
        <v>2992</v>
      </c>
      <c r="N479" s="121">
        <v>43713</v>
      </c>
      <c r="O479" s="117" t="s">
        <v>4983</v>
      </c>
      <c r="P479" s="117"/>
      <c r="Q479" s="117"/>
      <c r="R479" s="117"/>
      <c r="S479" s="117"/>
      <c r="T479" s="167" t="s">
        <v>5489</v>
      </c>
      <c r="U479" s="167"/>
      <c r="V479" s="167"/>
      <c r="W479" s="167"/>
      <c r="X479" s="167"/>
      <c r="Y479" s="167"/>
      <c r="Z479" s="167"/>
      <c r="AA479" s="167"/>
      <c r="AB479" s="167"/>
      <c r="AC479" s="167"/>
      <c r="AD479" s="167"/>
      <c r="AE479" s="167"/>
      <c r="AF479" s="167"/>
      <c r="AG479" s="167"/>
      <c r="AH479" s="167"/>
      <c r="AI479" s="167"/>
      <c r="AJ479" s="73">
        <v>44221</v>
      </c>
      <c r="AK479" s="648"/>
      <c r="AL479" s="30"/>
    </row>
    <row r="480" spans="1:231" s="318" customFormat="1" ht="50.1" customHeight="1" x14ac:dyDescent="0.2">
      <c r="A480" s="707"/>
      <c r="B480" s="129" t="s">
        <v>1137</v>
      </c>
      <c r="C480" s="129" t="s">
        <v>3798</v>
      </c>
      <c r="D480" s="129"/>
      <c r="E480" s="72" t="s">
        <v>5465</v>
      </c>
      <c r="F480" s="613" t="s">
        <v>5196</v>
      </c>
      <c r="G480" s="477" t="s">
        <v>5190</v>
      </c>
      <c r="H480" s="122" t="s">
        <v>5090</v>
      </c>
      <c r="I480" s="477" t="s">
        <v>5189</v>
      </c>
      <c r="J480" s="113" t="s">
        <v>5191</v>
      </c>
      <c r="K480" s="476" t="s">
        <v>16</v>
      </c>
      <c r="L480" s="113" t="s">
        <v>2583</v>
      </c>
      <c r="M480" s="113" t="s">
        <v>3090</v>
      </c>
      <c r="N480" s="766">
        <v>44078</v>
      </c>
      <c r="O480" s="616" t="s">
        <v>5209</v>
      </c>
      <c r="P480" s="616"/>
      <c r="Q480" s="616"/>
      <c r="R480" s="616"/>
      <c r="S480" s="616"/>
      <c r="T480" s="167" t="s">
        <v>5188</v>
      </c>
      <c r="U480" s="167"/>
      <c r="V480" s="167"/>
      <c r="W480" s="167"/>
      <c r="X480" s="167"/>
      <c r="Y480" s="167"/>
      <c r="Z480" s="167"/>
      <c r="AA480" s="167"/>
      <c r="AB480" s="167"/>
      <c r="AC480" s="167"/>
      <c r="AD480" s="167"/>
      <c r="AE480" s="167"/>
      <c r="AF480" s="167"/>
      <c r="AG480" s="167"/>
      <c r="AH480" s="167"/>
      <c r="AI480" s="167"/>
      <c r="AJ480" s="281">
        <v>44221</v>
      </c>
      <c r="AK480" s="651"/>
      <c r="AL480" s="72"/>
    </row>
    <row r="481" spans="1:38" ht="50.1" customHeight="1" x14ac:dyDescent="0.2">
      <c r="A481" s="298"/>
      <c r="B481" s="477" t="s">
        <v>584</v>
      </c>
      <c r="C481" s="477" t="s">
        <v>3797</v>
      </c>
      <c r="D481" s="477"/>
      <c r="E481" s="30" t="s">
        <v>5217</v>
      </c>
      <c r="F481" s="288" t="s">
        <v>5332</v>
      </c>
      <c r="G481" s="6" t="s">
        <v>989</v>
      </c>
      <c r="H481" s="72" t="s">
        <v>1806</v>
      </c>
      <c r="I481" s="113" t="s">
        <v>5075</v>
      </c>
      <c r="J481" s="6" t="s">
        <v>5074</v>
      </c>
      <c r="K481" s="477" t="s">
        <v>11</v>
      </c>
      <c r="L481" s="122" t="s">
        <v>1133</v>
      </c>
      <c r="M481" s="122" t="s">
        <v>2442</v>
      </c>
      <c r="N481" s="643">
        <v>44159</v>
      </c>
      <c r="O481" s="615" t="s">
        <v>5328</v>
      </c>
      <c r="P481" s="615"/>
      <c r="Q481" s="615"/>
      <c r="R481" s="615"/>
      <c r="S481" s="615"/>
      <c r="T481" s="167" t="s">
        <v>5490</v>
      </c>
      <c r="U481" s="167"/>
      <c r="V481" s="167"/>
      <c r="W481" s="167"/>
      <c r="X481" s="167"/>
      <c r="Y481" s="167"/>
      <c r="Z481" s="167"/>
      <c r="AA481" s="167"/>
      <c r="AB481" s="167"/>
      <c r="AC481" s="167"/>
      <c r="AD481" s="167"/>
      <c r="AE481" s="167"/>
      <c r="AF481" s="167"/>
      <c r="AG481" s="167"/>
      <c r="AH481" s="167"/>
      <c r="AI481" s="167"/>
      <c r="AJ481" s="73">
        <v>44221</v>
      </c>
      <c r="AK481" s="648"/>
      <c r="AL481" s="30"/>
    </row>
    <row r="482" spans="1:38" ht="50.1" customHeight="1" x14ac:dyDescent="0.2">
      <c r="A482" s="298"/>
      <c r="B482" s="129" t="s">
        <v>584</v>
      </c>
      <c r="C482" s="113" t="s">
        <v>3798</v>
      </c>
      <c r="D482" s="113"/>
      <c r="E482" s="122" t="s">
        <v>4007</v>
      </c>
      <c r="F482" s="291" t="s">
        <v>5428</v>
      </c>
      <c r="G482" s="122" t="s">
        <v>3522</v>
      </c>
      <c r="H482" s="122" t="s">
        <v>1806</v>
      </c>
      <c r="I482" s="122" t="s">
        <v>3949</v>
      </c>
      <c r="J482" s="122" t="s">
        <v>3950</v>
      </c>
      <c r="K482" s="122" t="s">
        <v>11</v>
      </c>
      <c r="L482" s="122" t="s">
        <v>3094</v>
      </c>
      <c r="M482" s="122" t="s">
        <v>3090</v>
      </c>
      <c r="N482" s="73">
        <v>43620</v>
      </c>
      <c r="O482" s="308" t="s">
        <v>4008</v>
      </c>
      <c r="P482" s="308"/>
      <c r="Q482" s="308"/>
      <c r="R482" s="308"/>
      <c r="S482" s="308"/>
      <c r="T482" s="167" t="s">
        <v>5497</v>
      </c>
      <c r="U482" s="167"/>
      <c r="V482" s="167"/>
      <c r="W482" s="167"/>
      <c r="X482" s="167"/>
      <c r="Y482" s="167"/>
      <c r="Z482" s="167"/>
      <c r="AA482" s="167"/>
      <c r="AB482" s="167"/>
      <c r="AC482" s="167"/>
      <c r="AD482" s="167"/>
      <c r="AE482" s="167"/>
      <c r="AF482" s="167"/>
      <c r="AG482" s="167"/>
      <c r="AH482" s="167"/>
      <c r="AI482" s="167"/>
      <c r="AJ482" s="73">
        <v>44228</v>
      </c>
      <c r="AK482" s="648"/>
      <c r="AL482" s="30"/>
    </row>
    <row r="483" spans="1:38" ht="50.1" customHeight="1" x14ac:dyDescent="0.2">
      <c r="A483" s="298"/>
      <c r="B483" s="118" t="s">
        <v>584</v>
      </c>
      <c r="C483" s="433" t="s">
        <v>3797</v>
      </c>
      <c r="D483" s="433"/>
      <c r="E483" s="30" t="s">
        <v>4365</v>
      </c>
      <c r="F483" s="30" t="s">
        <v>5519</v>
      </c>
      <c r="G483" s="30" t="s">
        <v>4358</v>
      </c>
      <c r="H483" s="30" t="s">
        <v>1806</v>
      </c>
      <c r="I483" s="30" t="s">
        <v>4337</v>
      </c>
      <c r="J483" s="30" t="s">
        <v>4336</v>
      </c>
      <c r="K483" s="30" t="s">
        <v>11</v>
      </c>
      <c r="L483" s="30" t="s">
        <v>900</v>
      </c>
      <c r="M483" s="30" t="s">
        <v>3090</v>
      </c>
      <c r="N483" s="73">
        <v>43719</v>
      </c>
      <c r="O483" s="30" t="s">
        <v>5436</v>
      </c>
      <c r="P483" s="30"/>
      <c r="Q483" s="30"/>
      <c r="R483" s="30"/>
      <c r="S483" s="30"/>
      <c r="T483" s="167" t="s">
        <v>5520</v>
      </c>
      <c r="U483" s="167"/>
      <c r="V483" s="167"/>
      <c r="W483" s="167"/>
      <c r="X483" s="167"/>
      <c r="Y483" s="167"/>
      <c r="Z483" s="167"/>
      <c r="AA483" s="167"/>
      <c r="AB483" s="167"/>
      <c r="AC483" s="167"/>
      <c r="AD483" s="167"/>
      <c r="AE483" s="167"/>
      <c r="AF483" s="167"/>
      <c r="AG483" s="167"/>
      <c r="AH483" s="167"/>
      <c r="AI483" s="167"/>
      <c r="AJ483" s="73">
        <v>44235</v>
      </c>
      <c r="AK483" s="648"/>
      <c r="AL483" s="30" t="s">
        <v>5533</v>
      </c>
    </row>
    <row r="484" spans="1:38" ht="50.1" customHeight="1" x14ac:dyDescent="0.2">
      <c r="A484" s="30" t="s">
        <v>5619</v>
      </c>
      <c r="B484" s="30" t="s">
        <v>1137</v>
      </c>
      <c r="C484" s="30" t="s">
        <v>3798</v>
      </c>
      <c r="D484" s="30" t="s">
        <v>5636</v>
      </c>
      <c r="E484" s="30" t="s">
        <v>5412</v>
      </c>
      <c r="F484" s="30" t="s">
        <v>5661</v>
      </c>
      <c r="G484" s="30" t="s">
        <v>5190</v>
      </c>
      <c r="H484" s="30" t="s">
        <v>1806</v>
      </c>
      <c r="I484" s="30" t="s">
        <v>5407</v>
      </c>
      <c r="J484" s="30" t="s">
        <v>5406</v>
      </c>
      <c r="K484" s="30" t="s">
        <v>16</v>
      </c>
      <c r="L484" s="30" t="s">
        <v>12</v>
      </c>
      <c r="M484" s="30" t="s">
        <v>3090</v>
      </c>
      <c r="N484" s="765">
        <v>44181</v>
      </c>
      <c r="O484" s="615" t="s">
        <v>5464</v>
      </c>
      <c r="P484" s="615" t="s">
        <v>112</v>
      </c>
      <c r="Q484" s="113" t="s">
        <v>3083</v>
      </c>
      <c r="R484" s="617">
        <v>44263</v>
      </c>
      <c r="S484" s="113" t="s">
        <v>5061</v>
      </c>
      <c r="T484" s="272" t="s">
        <v>5650</v>
      </c>
      <c r="U484" s="113" t="s">
        <v>5648</v>
      </c>
      <c r="V484" s="113" t="s">
        <v>5433</v>
      </c>
      <c r="W484" s="113" t="s">
        <v>5408</v>
      </c>
      <c r="X484" s="113" t="s">
        <v>112</v>
      </c>
      <c r="Y484" s="113" t="s">
        <v>3085</v>
      </c>
      <c r="Z484" s="617" t="s">
        <v>5061</v>
      </c>
      <c r="AA484" s="115">
        <v>44181</v>
      </c>
      <c r="AB484" s="115">
        <v>44226</v>
      </c>
      <c r="AC484" s="115">
        <v>44265</v>
      </c>
      <c r="AD484" s="115">
        <v>44781</v>
      </c>
      <c r="AE484" s="501">
        <v>44256</v>
      </c>
      <c r="AF484" s="113" t="s">
        <v>5441</v>
      </c>
      <c r="AG484" s="666" t="s">
        <v>5059</v>
      </c>
      <c r="AH484" s="617" t="s">
        <v>5060</v>
      </c>
      <c r="AI484" s="617" t="s">
        <v>5061</v>
      </c>
      <c r="AJ484" s="73">
        <v>44270</v>
      </c>
      <c r="AK484" s="30"/>
      <c r="AL484" s="30"/>
    </row>
    <row r="485" spans="1:38" ht="76.5" x14ac:dyDescent="0.2">
      <c r="A485" s="663" t="s">
        <v>5617</v>
      </c>
      <c r="B485" s="113" t="s">
        <v>1137</v>
      </c>
      <c r="C485" s="113" t="s">
        <v>3798</v>
      </c>
      <c r="D485" s="113" t="s">
        <v>5636</v>
      </c>
      <c r="E485" s="113" t="s">
        <v>5416</v>
      </c>
      <c r="F485" s="288" t="s">
        <v>5425</v>
      </c>
      <c r="G485" s="6" t="s">
        <v>5395</v>
      </c>
      <c r="H485" s="72" t="s">
        <v>1806</v>
      </c>
      <c r="I485" s="113" t="s">
        <v>5398</v>
      </c>
      <c r="J485" s="6" t="s">
        <v>605</v>
      </c>
      <c r="K485" s="113" t="s">
        <v>16</v>
      </c>
      <c r="L485" s="122" t="s">
        <v>12</v>
      </c>
      <c r="M485" s="122" t="s">
        <v>3090</v>
      </c>
      <c r="N485" s="765">
        <v>44181</v>
      </c>
      <c r="O485" s="615" t="s">
        <v>5461</v>
      </c>
      <c r="P485" s="615" t="s">
        <v>112</v>
      </c>
      <c r="Q485" s="113" t="s">
        <v>3083</v>
      </c>
      <c r="R485" s="617">
        <v>44260</v>
      </c>
      <c r="S485" s="113" t="s">
        <v>5061</v>
      </c>
      <c r="T485" s="272" t="s">
        <v>5683</v>
      </c>
      <c r="U485" s="113" t="s">
        <v>5648</v>
      </c>
      <c r="V485" s="113" t="s">
        <v>5433</v>
      </c>
      <c r="W485" s="113" t="s">
        <v>5396</v>
      </c>
      <c r="X485" s="113" t="s">
        <v>112</v>
      </c>
      <c r="Y485" s="113" t="s">
        <v>3085</v>
      </c>
      <c r="Z485" s="617" t="s">
        <v>5061</v>
      </c>
      <c r="AA485" s="115">
        <v>44181</v>
      </c>
      <c r="AB485" s="115">
        <v>44226</v>
      </c>
      <c r="AC485" s="115">
        <v>44265</v>
      </c>
      <c r="AD485" s="115">
        <v>44781</v>
      </c>
      <c r="AE485" s="501">
        <v>44256</v>
      </c>
      <c r="AF485" s="113" t="s">
        <v>5441</v>
      </c>
      <c r="AG485" s="666" t="s">
        <v>5059</v>
      </c>
      <c r="AH485" s="617" t="s">
        <v>5060</v>
      </c>
      <c r="AI485" s="617" t="s">
        <v>5061</v>
      </c>
      <c r="AJ485" s="73">
        <v>44270</v>
      </c>
    </row>
    <row r="486" spans="1:38" ht="63.75" x14ac:dyDescent="0.2">
      <c r="A486" s="781" t="s">
        <v>5616</v>
      </c>
      <c r="B486" s="782" t="s">
        <v>1137</v>
      </c>
      <c r="C486" s="6" t="s">
        <v>3798</v>
      </c>
      <c r="D486" s="782" t="s">
        <v>5636</v>
      </c>
      <c r="E486" s="782" t="s">
        <v>5415</v>
      </c>
      <c r="F486" s="288" t="s">
        <v>5424</v>
      </c>
      <c r="G486" s="6" t="s">
        <v>5397</v>
      </c>
      <c r="H486" s="72" t="s">
        <v>1806</v>
      </c>
      <c r="I486" s="6" t="s">
        <v>5398</v>
      </c>
      <c r="J486" s="6" t="s">
        <v>605</v>
      </c>
      <c r="K486" s="782" t="s">
        <v>16</v>
      </c>
      <c r="L486" s="72" t="s">
        <v>12</v>
      </c>
      <c r="M486" s="72" t="s">
        <v>3090</v>
      </c>
      <c r="N486" s="783">
        <v>44181</v>
      </c>
      <c r="O486" s="784" t="s">
        <v>5460</v>
      </c>
      <c r="P486" s="784" t="s">
        <v>112</v>
      </c>
      <c r="Q486" s="782" t="s">
        <v>3083</v>
      </c>
      <c r="R486" s="785">
        <v>44265</v>
      </c>
      <c r="S486" s="782" t="s">
        <v>5061</v>
      </c>
      <c r="T486" s="272" t="s">
        <v>5649</v>
      </c>
      <c r="U486" s="782" t="s">
        <v>5648</v>
      </c>
      <c r="V486" s="782" t="s">
        <v>5433</v>
      </c>
      <c r="W486" s="782" t="s">
        <v>5399</v>
      </c>
      <c r="X486" s="782" t="s">
        <v>112</v>
      </c>
      <c r="Y486" s="782" t="s">
        <v>3085</v>
      </c>
      <c r="Z486" s="612" t="s">
        <v>5061</v>
      </c>
      <c r="AA486" s="664">
        <v>44181</v>
      </c>
      <c r="AB486" s="115">
        <v>44226</v>
      </c>
      <c r="AC486" s="115">
        <v>44265</v>
      </c>
      <c r="AD486" s="115">
        <v>44781</v>
      </c>
      <c r="AE486" s="501">
        <v>44256</v>
      </c>
      <c r="AF486" s="113" t="s">
        <v>5441</v>
      </c>
      <c r="AG486" s="786" t="s">
        <v>5059</v>
      </c>
      <c r="AH486" s="787" t="s">
        <v>5060</v>
      </c>
      <c r="AI486" s="787" t="s">
        <v>5061</v>
      </c>
      <c r="AJ486" s="73">
        <v>44277</v>
      </c>
    </row>
    <row r="487" spans="1:38" ht="63.75" x14ac:dyDescent="0.2">
      <c r="A487" s="663" t="s">
        <v>5615</v>
      </c>
      <c r="B487" s="477" t="s">
        <v>1137</v>
      </c>
      <c r="C487" s="113" t="s">
        <v>3798</v>
      </c>
      <c r="D487" s="477" t="s">
        <v>5636</v>
      </c>
      <c r="E487" s="477" t="s">
        <v>5414</v>
      </c>
      <c r="F487" s="288" t="s">
        <v>5422</v>
      </c>
      <c r="G487" s="6" t="s">
        <v>5400</v>
      </c>
      <c r="H487" s="72" t="s">
        <v>1806</v>
      </c>
      <c r="I487" s="113" t="s">
        <v>5401</v>
      </c>
      <c r="J487" s="6" t="s">
        <v>40</v>
      </c>
      <c r="K487" s="477" t="s">
        <v>16</v>
      </c>
      <c r="L487" s="122" t="s">
        <v>12</v>
      </c>
      <c r="M487" s="122" t="s">
        <v>3090</v>
      </c>
      <c r="N487" s="643">
        <v>44181</v>
      </c>
      <c r="O487" s="615" t="s">
        <v>5462</v>
      </c>
      <c r="P487" s="615" t="s">
        <v>112</v>
      </c>
      <c r="Q487" s="477" t="s">
        <v>3083</v>
      </c>
      <c r="R487" s="612">
        <v>44267</v>
      </c>
      <c r="S487" s="477" t="s">
        <v>5061</v>
      </c>
      <c r="T487" s="272" t="s">
        <v>5659</v>
      </c>
      <c r="U487" s="477" t="s">
        <v>5648</v>
      </c>
      <c r="V487" s="477" t="s">
        <v>5433</v>
      </c>
      <c r="W487" s="477" t="s">
        <v>5402</v>
      </c>
      <c r="X487" s="477" t="s">
        <v>112</v>
      </c>
      <c r="Y487" s="477" t="s">
        <v>3085</v>
      </c>
      <c r="Z487" s="612" t="s">
        <v>5061</v>
      </c>
      <c r="AA487" s="664">
        <v>44181</v>
      </c>
      <c r="AB487" s="115">
        <v>44226</v>
      </c>
      <c r="AC487" s="115">
        <v>44265</v>
      </c>
      <c r="AD487" s="115">
        <v>44781</v>
      </c>
      <c r="AE487" s="501">
        <v>44256</v>
      </c>
      <c r="AF487" s="113" t="s">
        <v>5441</v>
      </c>
      <c r="AG487" s="666" t="s">
        <v>5059</v>
      </c>
      <c r="AH487" s="617" t="s">
        <v>5060</v>
      </c>
      <c r="AI487" s="617" t="s">
        <v>5061</v>
      </c>
      <c r="AJ487" s="73">
        <v>44277</v>
      </c>
    </row>
    <row r="488" spans="1:38" ht="75.75" customHeight="1" x14ac:dyDescent="0.2">
      <c r="A488" s="663" t="s">
        <v>5618</v>
      </c>
      <c r="B488" s="477" t="s">
        <v>1137</v>
      </c>
      <c r="C488" s="113" t="s">
        <v>3798</v>
      </c>
      <c r="D488" s="477" t="s">
        <v>5636</v>
      </c>
      <c r="E488" s="477" t="s">
        <v>5413</v>
      </c>
      <c r="F488" s="288" t="s">
        <v>5423</v>
      </c>
      <c r="G488" s="6" t="s">
        <v>5403</v>
      </c>
      <c r="H488" s="72" t="s">
        <v>1806</v>
      </c>
      <c r="I488" s="113" t="s">
        <v>5404</v>
      </c>
      <c r="J488" s="6" t="s">
        <v>414</v>
      </c>
      <c r="K488" s="477" t="s">
        <v>16</v>
      </c>
      <c r="L488" s="122" t="s">
        <v>12</v>
      </c>
      <c r="M488" s="122" t="s">
        <v>3090</v>
      </c>
      <c r="N488" s="643">
        <v>44181</v>
      </c>
      <c r="O488" s="615" t="s">
        <v>5463</v>
      </c>
      <c r="P488" s="615" t="s">
        <v>112</v>
      </c>
      <c r="Q488" s="477" t="s">
        <v>3083</v>
      </c>
      <c r="R488" s="612">
        <v>44266</v>
      </c>
      <c r="S488" s="477" t="s">
        <v>5061</v>
      </c>
      <c r="T488" s="272" t="s">
        <v>5660</v>
      </c>
      <c r="U488" s="477" t="s">
        <v>5648</v>
      </c>
      <c r="V488" s="477" t="s">
        <v>5433</v>
      </c>
      <c r="W488" s="477" t="s">
        <v>5405</v>
      </c>
      <c r="X488" s="477" t="s">
        <v>112</v>
      </c>
      <c r="Y488" s="477" t="s">
        <v>3085</v>
      </c>
      <c r="Z488" s="612" t="s">
        <v>5061</v>
      </c>
      <c r="AA488" s="664">
        <v>44181</v>
      </c>
      <c r="AB488" s="115">
        <v>44226</v>
      </c>
      <c r="AC488" s="115">
        <v>44265</v>
      </c>
      <c r="AD488" s="115">
        <v>44781</v>
      </c>
      <c r="AE488" s="501">
        <v>44256</v>
      </c>
      <c r="AF488" s="113" t="s">
        <v>5441</v>
      </c>
      <c r="AG488" s="666" t="s">
        <v>5059</v>
      </c>
      <c r="AH488" s="617" t="s">
        <v>5060</v>
      </c>
      <c r="AI488" s="617" t="s">
        <v>5061</v>
      </c>
      <c r="AJ488" s="73">
        <v>44277</v>
      </c>
    </row>
    <row r="489" spans="1:38" ht="251.25" customHeight="1" x14ac:dyDescent="0.2">
      <c r="A489" s="663" t="s">
        <v>5605</v>
      </c>
      <c r="B489" s="113" t="s">
        <v>584</v>
      </c>
      <c r="C489" s="113" t="s">
        <v>3797</v>
      </c>
      <c r="D489" s="113" t="s">
        <v>5231</v>
      </c>
      <c r="E489" s="113" t="s">
        <v>616</v>
      </c>
      <c r="F489" s="288" t="s">
        <v>4916</v>
      </c>
      <c r="G489" s="6" t="s">
        <v>1371</v>
      </c>
      <c r="H489" s="72" t="s">
        <v>4952</v>
      </c>
      <c r="I489" s="177" t="s">
        <v>4945</v>
      </c>
      <c r="J489" s="6" t="s">
        <v>4944</v>
      </c>
      <c r="K489" s="113" t="s">
        <v>105</v>
      </c>
      <c r="L489" s="122" t="s">
        <v>12</v>
      </c>
      <c r="M489" s="122" t="s">
        <v>3903</v>
      </c>
      <c r="N489" s="765">
        <v>43950</v>
      </c>
      <c r="O489" s="615" t="s">
        <v>4946</v>
      </c>
      <c r="P489" s="615" t="s">
        <v>112</v>
      </c>
      <c r="Q489" s="113" t="s">
        <v>3256</v>
      </c>
      <c r="R489" s="617">
        <v>44037</v>
      </c>
      <c r="S489" s="113" t="s">
        <v>5069</v>
      </c>
      <c r="T489" s="272" t="s">
        <v>5678</v>
      </c>
      <c r="U489" s="113" t="s">
        <v>5603</v>
      </c>
      <c r="V489" s="113" t="s">
        <v>112</v>
      </c>
      <c r="W489" s="113" t="s">
        <v>112</v>
      </c>
      <c r="X489" s="113" t="s">
        <v>112</v>
      </c>
      <c r="Y489" s="113" t="s">
        <v>112</v>
      </c>
      <c r="Z489" s="791" t="s">
        <v>105</v>
      </c>
      <c r="AA489" s="792">
        <v>43950</v>
      </c>
      <c r="AB489" s="792">
        <v>44100</v>
      </c>
      <c r="AC489" s="792">
        <v>44289</v>
      </c>
      <c r="AD489" s="792">
        <v>44550</v>
      </c>
      <c r="AE489" s="664">
        <v>44287</v>
      </c>
      <c r="AF489" s="664" t="s">
        <v>5698</v>
      </c>
      <c r="AG489" s="664" t="s">
        <v>5059</v>
      </c>
      <c r="AH489" s="664" t="s">
        <v>5060</v>
      </c>
      <c r="AI489" s="664" t="s">
        <v>5640</v>
      </c>
      <c r="AJ489" s="664">
        <v>44284</v>
      </c>
    </row>
    <row r="490" spans="1:38" ht="89.25" x14ac:dyDescent="0.2">
      <c r="B490" s="113" t="s">
        <v>584</v>
      </c>
      <c r="C490" s="477" t="s">
        <v>3797</v>
      </c>
      <c r="D490" s="122" t="s">
        <v>5637</v>
      </c>
      <c r="E490" s="113" t="s">
        <v>4365</v>
      </c>
      <c r="F490" s="291" t="s">
        <v>5527</v>
      </c>
      <c r="G490" s="113" t="s">
        <v>5526</v>
      </c>
      <c r="H490" s="122" t="s">
        <v>1806</v>
      </c>
      <c r="I490" s="113" t="s">
        <v>5528</v>
      </c>
      <c r="J490" s="113" t="s">
        <v>79</v>
      </c>
      <c r="K490" s="113" t="s">
        <v>1393</v>
      </c>
      <c r="L490" s="113" t="s">
        <v>5529</v>
      </c>
      <c r="M490" s="122" t="s">
        <v>2442</v>
      </c>
      <c r="N490" s="643">
        <v>44235</v>
      </c>
      <c r="O490" s="615" t="s">
        <v>5530</v>
      </c>
      <c r="P490" s="615" t="s">
        <v>112</v>
      </c>
      <c r="Q490" s="113" t="s">
        <v>3083</v>
      </c>
      <c r="R490" s="612"/>
      <c r="S490" s="477"/>
      <c r="T490" s="113" t="s">
        <v>5688</v>
      </c>
      <c r="U490" s="477" t="s">
        <v>5706</v>
      </c>
      <c r="V490" s="113" t="s">
        <v>3337</v>
      </c>
      <c r="W490" s="113" t="s">
        <v>5531</v>
      </c>
      <c r="X490" s="113" t="s">
        <v>3084</v>
      </c>
      <c r="Y490" s="113" t="s">
        <v>5429</v>
      </c>
      <c r="AA490" s="167"/>
      <c r="AB490" s="167"/>
      <c r="AC490" s="167"/>
      <c r="AD490" s="167"/>
      <c r="AE490" s="664"/>
      <c r="AF490" s="664"/>
      <c r="AG490" s="664"/>
      <c r="AH490" s="664"/>
      <c r="AI490" s="664"/>
      <c r="AJ490" s="664">
        <v>44293</v>
      </c>
    </row>
    <row r="491" spans="1:38" ht="102" x14ac:dyDescent="0.2">
      <c r="A491" s="663" t="s">
        <v>5622</v>
      </c>
      <c r="B491" s="477" t="s">
        <v>1137</v>
      </c>
      <c r="C491" s="113" t="s">
        <v>3798</v>
      </c>
      <c r="D491" s="113" t="s">
        <v>5636</v>
      </c>
      <c r="E491" s="477" t="s">
        <v>5503</v>
      </c>
      <c r="F491" s="802" t="s">
        <v>5791</v>
      </c>
      <c r="G491" s="6" t="s">
        <v>5469</v>
      </c>
      <c r="H491" s="72" t="s">
        <v>1806</v>
      </c>
      <c r="I491" s="113" t="s">
        <v>5470</v>
      </c>
      <c r="J491" s="6" t="s">
        <v>5471</v>
      </c>
      <c r="K491" s="477" t="s">
        <v>16</v>
      </c>
      <c r="L491" s="122" t="s">
        <v>1538</v>
      </c>
      <c r="M491" s="122" t="s">
        <v>3090</v>
      </c>
      <c r="N491" s="643">
        <v>44211</v>
      </c>
      <c r="O491" s="615" t="s">
        <v>5504</v>
      </c>
      <c r="P491" s="615" t="s">
        <v>112</v>
      </c>
      <c r="Q491" s="477" t="s">
        <v>3256</v>
      </c>
      <c r="R491" s="612"/>
      <c r="S491" s="477" t="s">
        <v>5061</v>
      </c>
      <c r="T491" s="272" t="s">
        <v>5761</v>
      </c>
      <c r="U491" s="477"/>
      <c r="V491" s="477" t="s">
        <v>5473</v>
      </c>
      <c r="W491" s="477" t="s">
        <v>5472</v>
      </c>
      <c r="X491" s="477" t="s">
        <v>112</v>
      </c>
      <c r="Y491" s="477" t="s">
        <v>3085</v>
      </c>
      <c r="Z491" s="115" t="s">
        <v>5061</v>
      </c>
      <c r="AA491" s="664">
        <v>44256</v>
      </c>
      <c r="AB491" s="664">
        <v>44295</v>
      </c>
      <c r="AC491" s="501">
        <v>44287</v>
      </c>
      <c r="AD491" s="167"/>
      <c r="AE491" s="664">
        <v>44287</v>
      </c>
      <c r="AF491" s="664" t="s">
        <v>5442</v>
      </c>
      <c r="AG491" s="664" t="s">
        <v>5059</v>
      </c>
      <c r="AH491" s="664" t="s">
        <v>5060</v>
      </c>
      <c r="AI491" s="664" t="s">
        <v>5061</v>
      </c>
      <c r="AJ491" s="664">
        <v>44319</v>
      </c>
    </row>
    <row r="492" spans="1:38" ht="280.5" x14ac:dyDescent="0.2">
      <c r="A492" s="663" t="s">
        <v>5623</v>
      </c>
      <c r="B492" s="477" t="s">
        <v>1137</v>
      </c>
      <c r="C492" s="113" t="s">
        <v>3798</v>
      </c>
      <c r="D492" s="113" t="s">
        <v>5636</v>
      </c>
      <c r="E492" s="477" t="s">
        <v>5505</v>
      </c>
      <c r="F492" s="802" t="s">
        <v>5476</v>
      </c>
      <c r="G492" s="6" t="s">
        <v>5475</v>
      </c>
      <c r="H492" s="72" t="s">
        <v>1806</v>
      </c>
      <c r="I492" s="113" t="s">
        <v>5477</v>
      </c>
      <c r="J492" s="6" t="s">
        <v>5478</v>
      </c>
      <c r="K492" s="477" t="s">
        <v>16</v>
      </c>
      <c r="L492" s="122" t="s">
        <v>1538</v>
      </c>
      <c r="M492" s="122" t="s">
        <v>3090</v>
      </c>
      <c r="N492" s="643">
        <v>44215</v>
      </c>
      <c r="O492" s="615" t="s">
        <v>5506</v>
      </c>
      <c r="P492" s="615" t="s">
        <v>112</v>
      </c>
      <c r="Q492" s="477" t="s">
        <v>3256</v>
      </c>
      <c r="R492" s="612"/>
      <c r="S492" s="477" t="s">
        <v>5061</v>
      </c>
      <c r="T492" s="272" t="s">
        <v>5767</v>
      </c>
      <c r="U492" s="477"/>
      <c r="V492" s="477" t="s">
        <v>5473</v>
      </c>
      <c r="W492" s="477" t="s">
        <v>5479</v>
      </c>
      <c r="X492" s="477" t="s">
        <v>112</v>
      </c>
      <c r="Y492" s="477" t="s">
        <v>3085</v>
      </c>
      <c r="Z492" s="115" t="s">
        <v>5061</v>
      </c>
      <c r="AA492" s="664">
        <v>44215</v>
      </c>
      <c r="AB492" s="664" t="e">
        <f>IF(Y492="NA","NA",Tabela4[[#This Row],[Data de protocolo para cálculo médio]]+(VLOOKUP(Tabela4[[#This Row],[Previsão com fórmula i-Helps tipo de fila]],Formulas!$H$1:$J$13,3,FALSE)*30))</f>
        <v>#VALUE!</v>
      </c>
      <c r="AC492" s="501">
        <v>44260</v>
      </c>
      <c r="AD492" s="167"/>
      <c r="AE492" s="664">
        <v>44287</v>
      </c>
      <c r="AF492" s="664" t="s">
        <v>5442</v>
      </c>
      <c r="AG492" s="664" t="s">
        <v>5059</v>
      </c>
      <c r="AH492" s="664" t="s">
        <v>5060</v>
      </c>
      <c r="AI492" s="664" t="s">
        <v>5061</v>
      </c>
      <c r="AJ492" s="664">
        <v>44319</v>
      </c>
    </row>
    <row r="493" spans="1:38" ht="204" x14ac:dyDescent="0.2">
      <c r="A493" s="663" t="s">
        <v>5624</v>
      </c>
      <c r="B493" s="477" t="s">
        <v>1137</v>
      </c>
      <c r="C493" s="113" t="s">
        <v>3798</v>
      </c>
      <c r="D493" s="113" t="s">
        <v>5636</v>
      </c>
      <c r="E493" s="477" t="s">
        <v>5507</v>
      </c>
      <c r="F493" s="288" t="s">
        <v>5481</v>
      </c>
      <c r="G493" s="6" t="s">
        <v>5480</v>
      </c>
      <c r="H493" s="72" t="s">
        <v>1806</v>
      </c>
      <c r="I493" s="113" t="s">
        <v>5482</v>
      </c>
      <c r="J493" s="6" t="s">
        <v>2048</v>
      </c>
      <c r="K493" s="477" t="s">
        <v>16</v>
      </c>
      <c r="L493" s="122" t="s">
        <v>1538</v>
      </c>
      <c r="M493" s="122" t="s">
        <v>3090</v>
      </c>
      <c r="N493" s="643">
        <v>44217</v>
      </c>
      <c r="O493" s="615" t="s">
        <v>5508</v>
      </c>
      <c r="P493" s="615" t="s">
        <v>112</v>
      </c>
      <c r="Q493" s="477" t="s">
        <v>3256</v>
      </c>
      <c r="R493" s="612"/>
      <c r="S493" s="477" t="s">
        <v>5061</v>
      </c>
      <c r="T493" s="272" t="s">
        <v>5763</v>
      </c>
      <c r="U493" s="477"/>
      <c r="V493" s="477" t="s">
        <v>5483</v>
      </c>
      <c r="W493" s="477" t="s">
        <v>5484</v>
      </c>
      <c r="X493" s="477" t="s">
        <v>112</v>
      </c>
      <c r="Y493" s="477" t="s">
        <v>3085</v>
      </c>
      <c r="Z493" s="115" t="s">
        <v>5061</v>
      </c>
      <c r="AA493" s="664">
        <v>44217</v>
      </c>
      <c r="AB493" s="664">
        <v>44262</v>
      </c>
      <c r="AC493" s="664">
        <v>44301</v>
      </c>
      <c r="AD493" s="501"/>
      <c r="AE493" s="664">
        <v>44287</v>
      </c>
      <c r="AF493" s="664" t="s">
        <v>5442</v>
      </c>
      <c r="AG493" s="664" t="s">
        <v>5059</v>
      </c>
      <c r="AH493" s="664" t="s">
        <v>5060</v>
      </c>
      <c r="AI493" s="664" t="s">
        <v>5061</v>
      </c>
      <c r="AJ493" s="664">
        <v>44319</v>
      </c>
    </row>
    <row r="494" spans="1:38" ht="140.25" x14ac:dyDescent="0.2">
      <c r="A494" s="663" t="s">
        <v>5626</v>
      </c>
      <c r="B494" s="477" t="s">
        <v>1137</v>
      </c>
      <c r="C494" s="113" t="s">
        <v>3798</v>
      </c>
      <c r="D494" s="113" t="s">
        <v>5636</v>
      </c>
      <c r="E494" s="477" t="s">
        <v>5521</v>
      </c>
      <c r="F494" s="288" t="s">
        <v>5548</v>
      </c>
      <c r="G494" s="6" t="s">
        <v>36</v>
      </c>
      <c r="H494" s="72" t="s">
        <v>1806</v>
      </c>
      <c r="I494" s="113" t="s">
        <v>5524</v>
      </c>
      <c r="J494" s="6" t="s">
        <v>5522</v>
      </c>
      <c r="K494" s="477" t="s">
        <v>16</v>
      </c>
      <c r="L494" s="122" t="s">
        <v>5523</v>
      </c>
      <c r="M494" s="122" t="s">
        <v>3090</v>
      </c>
      <c r="N494" s="643">
        <v>44211</v>
      </c>
      <c r="O494" s="615" t="s">
        <v>5549</v>
      </c>
      <c r="P494" s="615" t="s">
        <v>112</v>
      </c>
      <c r="Q494" s="477" t="s">
        <v>3256</v>
      </c>
      <c r="R494" s="612">
        <v>44281</v>
      </c>
      <c r="S494" s="477" t="s">
        <v>5061</v>
      </c>
      <c r="T494" s="272" t="s">
        <v>5762</v>
      </c>
      <c r="U494" s="477"/>
      <c r="V494" s="477" t="s">
        <v>5483</v>
      </c>
      <c r="W494" s="477" t="s">
        <v>5525</v>
      </c>
      <c r="X494" s="477" t="s">
        <v>3084</v>
      </c>
      <c r="Y494" s="477" t="s">
        <v>5429</v>
      </c>
      <c r="Z494" s="612" t="s">
        <v>5165</v>
      </c>
      <c r="AA494" s="664">
        <v>44224</v>
      </c>
      <c r="AB494" s="664">
        <v>44269</v>
      </c>
      <c r="AC494" s="664">
        <v>44308</v>
      </c>
      <c r="AE494" s="501">
        <v>44287</v>
      </c>
      <c r="AF494" s="688">
        <v>44287</v>
      </c>
      <c r="AG494" s="666" t="s">
        <v>5059</v>
      </c>
      <c r="AH494" s="617" t="s">
        <v>5060</v>
      </c>
      <c r="AI494" s="617" t="s">
        <v>5061</v>
      </c>
      <c r="AJ494" s="664">
        <v>44319</v>
      </c>
    </row>
    <row r="495" spans="1:38" ht="191.25" x14ac:dyDescent="0.2">
      <c r="A495" s="6" t="s">
        <v>5627</v>
      </c>
      <c r="B495" s="30" t="s">
        <v>1137</v>
      </c>
      <c r="C495" s="808" t="s">
        <v>3797</v>
      </c>
      <c r="D495" s="72" t="s">
        <v>5633</v>
      </c>
      <c r="E495" s="6" t="s">
        <v>5563</v>
      </c>
      <c r="F495" s="802" t="s">
        <v>5560</v>
      </c>
      <c r="G495" s="782" t="s">
        <v>939</v>
      </c>
      <c r="H495" s="72" t="s">
        <v>3218</v>
      </c>
      <c r="I495" s="6" t="s">
        <v>5537</v>
      </c>
      <c r="J495" s="30" t="s">
        <v>51</v>
      </c>
      <c r="K495" s="30" t="s">
        <v>1393</v>
      </c>
      <c r="L495" s="72" t="s">
        <v>5536</v>
      </c>
      <c r="M495" s="72" t="s">
        <v>3090</v>
      </c>
      <c r="N495" s="31">
        <v>44236</v>
      </c>
      <c r="O495" s="32" t="s">
        <v>5569</v>
      </c>
      <c r="P495" s="809" t="s">
        <v>112</v>
      </c>
      <c r="Q495" s="6" t="s">
        <v>4930</v>
      </c>
      <c r="R495" s="785"/>
      <c r="S495" s="782" t="s">
        <v>5061</v>
      </c>
      <c r="T495" s="810"/>
      <c r="U495" s="802" t="s">
        <v>5806</v>
      </c>
      <c r="V495" s="6" t="s">
        <v>5539</v>
      </c>
      <c r="W495" s="6" t="s">
        <v>5538</v>
      </c>
      <c r="X495" s="6" t="s">
        <v>3084</v>
      </c>
      <c r="Y495" s="6" t="s">
        <v>5429</v>
      </c>
      <c r="Z495" s="612" t="s">
        <v>5061</v>
      </c>
      <c r="AA495" s="637">
        <v>44236</v>
      </c>
      <c r="AB495" s="668">
        <v>44281</v>
      </c>
      <c r="AC495" s="668">
        <v>44320</v>
      </c>
      <c r="AD495" s="614" t="s">
        <v>5589</v>
      </c>
      <c r="AE495" s="617" t="s">
        <v>5589</v>
      </c>
      <c r="AF495" s="617" t="s">
        <v>5059</v>
      </c>
      <c r="AG495" s="617" t="s">
        <v>5060</v>
      </c>
      <c r="AH495" s="617" t="s">
        <v>5060</v>
      </c>
      <c r="AI495" s="617" t="s">
        <v>5061</v>
      </c>
      <c r="AJ495" s="617">
        <v>44326</v>
      </c>
    </row>
    <row r="496" spans="1:38" ht="357" x14ac:dyDescent="0.2">
      <c r="A496" s="781" t="s">
        <v>5592</v>
      </c>
      <c r="B496" s="782" t="s">
        <v>1137</v>
      </c>
      <c r="C496" s="6" t="s">
        <v>3797</v>
      </c>
      <c r="D496" s="6" t="s">
        <v>5629</v>
      </c>
      <c r="E496" s="6" t="s">
        <v>3995</v>
      </c>
      <c r="F496" s="288" t="s">
        <v>3965</v>
      </c>
      <c r="G496" s="72" t="s">
        <v>3965</v>
      </c>
      <c r="H496" s="72" t="s">
        <v>3968</v>
      </c>
      <c r="I496" s="6" t="s">
        <v>3966</v>
      </c>
      <c r="J496" s="6" t="s">
        <v>3967</v>
      </c>
      <c r="K496" s="782" t="s">
        <v>16</v>
      </c>
      <c r="L496" s="72" t="s">
        <v>3098</v>
      </c>
      <c r="M496" s="72" t="s">
        <v>2992</v>
      </c>
      <c r="N496" s="783">
        <v>43616</v>
      </c>
      <c r="O496" s="784" t="s">
        <v>4981</v>
      </c>
      <c r="P496" s="784" t="s">
        <v>112</v>
      </c>
      <c r="Q496" s="782" t="s">
        <v>2866</v>
      </c>
      <c r="R496" s="785">
        <v>43935</v>
      </c>
      <c r="S496" s="782" t="s">
        <v>1298</v>
      </c>
      <c r="T496" s="272" t="s">
        <v>5877</v>
      </c>
      <c r="U496" s="72" t="s">
        <v>5848</v>
      </c>
      <c r="V496" s="782" t="s">
        <v>112</v>
      </c>
      <c r="W496" s="782" t="s">
        <v>112</v>
      </c>
      <c r="X496" s="782" t="s">
        <v>112</v>
      </c>
      <c r="Y496" s="782" t="s">
        <v>112</v>
      </c>
      <c r="Z496" s="87" t="s">
        <v>5063</v>
      </c>
      <c r="AA496" s="818">
        <v>43616</v>
      </c>
      <c r="AB496" s="818">
        <v>43973</v>
      </c>
      <c r="AC496" s="818">
        <v>44117</v>
      </c>
      <c r="AD496" s="87"/>
      <c r="AE496" s="818">
        <v>44105</v>
      </c>
      <c r="AF496" s="89" t="s">
        <v>5261</v>
      </c>
      <c r="AG496" s="819" t="s">
        <v>5059</v>
      </c>
      <c r="AH496" s="820" t="s">
        <v>5060</v>
      </c>
      <c r="AI496" s="820" t="s">
        <v>5063</v>
      </c>
      <c r="AJ496" s="816">
        <v>44340</v>
      </c>
    </row>
    <row r="497" spans="1:149" ht="89.25" x14ac:dyDescent="0.2">
      <c r="A497" s="781" t="s">
        <v>5620</v>
      </c>
      <c r="B497" s="782" t="s">
        <v>1137</v>
      </c>
      <c r="C497" s="6" t="s">
        <v>3797</v>
      </c>
      <c r="D497" s="782" t="s">
        <v>5635</v>
      </c>
      <c r="E497" s="6" t="s">
        <v>5443</v>
      </c>
      <c r="F497" s="288" t="s">
        <v>5790</v>
      </c>
      <c r="G497" s="6" t="s">
        <v>5430</v>
      </c>
      <c r="H497" s="72" t="s">
        <v>1806</v>
      </c>
      <c r="I497" s="6" t="s">
        <v>5431</v>
      </c>
      <c r="J497" s="6" t="s">
        <v>692</v>
      </c>
      <c r="K497" s="782" t="s">
        <v>1393</v>
      </c>
      <c r="L497" s="72" t="s">
        <v>685</v>
      </c>
      <c r="M497" s="72" t="s">
        <v>3090</v>
      </c>
      <c r="N497" s="783">
        <v>44201</v>
      </c>
      <c r="O497" s="784" t="s">
        <v>5789</v>
      </c>
      <c r="P497" s="784" t="s">
        <v>112</v>
      </c>
      <c r="Q497" s="782" t="s">
        <v>2866</v>
      </c>
      <c r="R497" s="785"/>
      <c r="S497" s="782" t="s">
        <v>5061</v>
      </c>
      <c r="T497" s="815" t="s">
        <v>5751</v>
      </c>
      <c r="U497" s="782" t="s">
        <v>5752</v>
      </c>
      <c r="V497" s="782" t="s">
        <v>3337</v>
      </c>
      <c r="W497" s="782" t="s">
        <v>5432</v>
      </c>
      <c r="X497" s="782" t="s">
        <v>112</v>
      </c>
      <c r="Y497" s="782" t="s">
        <v>5429</v>
      </c>
      <c r="Z497" s="612" t="s">
        <v>5061</v>
      </c>
      <c r="AA497" s="664">
        <v>44201</v>
      </c>
      <c r="AB497" s="281">
        <v>44246</v>
      </c>
      <c r="AC497" s="281">
        <v>44285</v>
      </c>
      <c r="AD497" s="72"/>
      <c r="AE497" s="617">
        <v>44285</v>
      </c>
      <c r="AF497" s="817">
        <v>44317</v>
      </c>
      <c r="AG497" s="786" t="s">
        <v>5059</v>
      </c>
      <c r="AH497" s="787" t="s">
        <v>5060</v>
      </c>
      <c r="AI497" s="787" t="s">
        <v>5061</v>
      </c>
      <c r="AJ497" s="281">
        <v>44340</v>
      </c>
    </row>
    <row r="498" spans="1:149" ht="76.5" x14ac:dyDescent="0.2">
      <c r="A498" s="824" t="s">
        <v>5664</v>
      </c>
      <c r="B498" s="824" t="s">
        <v>584</v>
      </c>
      <c r="C498" s="6" t="s">
        <v>3797</v>
      </c>
      <c r="D498" s="824" t="s">
        <v>5568</v>
      </c>
      <c r="E498" s="280" t="s">
        <v>5726</v>
      </c>
      <c r="F498" s="825" t="s">
        <v>5667</v>
      </c>
      <c r="G498" s="826" t="s">
        <v>5666</v>
      </c>
      <c r="H498" s="89"/>
      <c r="I498" s="824" t="s">
        <v>5668</v>
      </c>
      <c r="J498" s="824" t="s">
        <v>5665</v>
      </c>
      <c r="K498" s="72" t="s">
        <v>1393</v>
      </c>
      <c r="L498" s="72" t="s">
        <v>1454</v>
      </c>
      <c r="M498" s="72" t="s">
        <v>3081</v>
      </c>
      <c r="N498" s="783">
        <v>44267</v>
      </c>
      <c r="O498" s="827" t="s">
        <v>5718</v>
      </c>
      <c r="P498" s="809" t="s">
        <v>112</v>
      </c>
      <c r="Q498" s="824" t="s">
        <v>2866</v>
      </c>
      <c r="R498" s="820"/>
      <c r="S498" s="824" t="s">
        <v>5063</v>
      </c>
      <c r="T498" s="828" t="s">
        <v>5769</v>
      </c>
      <c r="U498" s="802"/>
      <c r="V498" s="824" t="s">
        <v>112</v>
      </c>
      <c r="W498" s="824" t="s">
        <v>112</v>
      </c>
      <c r="X498" s="824" t="s">
        <v>112</v>
      </c>
      <c r="Y498" s="824" t="s">
        <v>112</v>
      </c>
      <c r="Z498" s="643">
        <v>44247</v>
      </c>
      <c r="AA498" s="776" t="str">
        <f>IF(Y498="NA","NA",Tabela4[[#This Row],[Data de protocolo para cálculo médio]]+(VLOOKUP(Tabela4[[#This Row],[Previsão com fórmula i-Helps tipo de fila]],Formulas!$H$1:$J$13,2,FALSE)*30))</f>
        <v>NA</v>
      </c>
      <c r="AB498" s="776" t="str">
        <f>IF(Y498="NA","NA",Tabela4[[#This Row],[Data de protocolo para cálculo médio]]+(VLOOKUP(Tabela4[[#This Row],[Previsão com fórmula i-Helps tipo de fila]],Formulas!$H$1:$J$13,3,FALSE)*30))</f>
        <v>NA</v>
      </c>
      <c r="AC498" s="795">
        <v>44378</v>
      </c>
      <c r="AD498" s="317"/>
      <c r="AE498" s="281">
        <v>44378</v>
      </c>
      <c r="AF498" s="281" t="s">
        <v>5707</v>
      </c>
      <c r="AG498" s="281" t="s">
        <v>5059</v>
      </c>
      <c r="AH498" s="281" t="s">
        <v>5068</v>
      </c>
      <c r="AI498" s="281" t="s">
        <v>5733</v>
      </c>
      <c r="AJ498" s="281">
        <v>44347</v>
      </c>
    </row>
    <row r="499" spans="1:149" ht="267.75" x14ac:dyDescent="0.2">
      <c r="A499" s="837" t="s">
        <v>5590</v>
      </c>
      <c r="B499" s="788" t="s">
        <v>1137</v>
      </c>
      <c r="C499" s="773" t="s">
        <v>3797</v>
      </c>
      <c r="D499" s="788" t="s">
        <v>5629</v>
      </c>
      <c r="E499" s="773" t="s">
        <v>3765</v>
      </c>
      <c r="F499" s="838" t="s">
        <v>2511</v>
      </c>
      <c r="G499" s="824" t="s">
        <v>2511</v>
      </c>
      <c r="H499" s="89" t="s">
        <v>3719</v>
      </c>
      <c r="I499" s="773" t="s">
        <v>3720</v>
      </c>
      <c r="J499" s="824" t="s">
        <v>338</v>
      </c>
      <c r="K499" s="788" t="s">
        <v>16</v>
      </c>
      <c r="L499" s="297" t="s">
        <v>3721</v>
      </c>
      <c r="M499" s="297" t="s">
        <v>2992</v>
      </c>
      <c r="N499" s="789">
        <v>43455</v>
      </c>
      <c r="O499" s="774" t="s">
        <v>5073</v>
      </c>
      <c r="P499" s="774" t="s">
        <v>112</v>
      </c>
      <c r="Q499" s="788" t="s">
        <v>2866</v>
      </c>
      <c r="R499" s="790">
        <v>43935</v>
      </c>
      <c r="S499" s="788" t="s">
        <v>1298</v>
      </c>
      <c r="T499" s="839" t="s">
        <v>5500</v>
      </c>
      <c r="U499" s="773" t="s">
        <v>5672</v>
      </c>
      <c r="V499" s="788" t="s">
        <v>112</v>
      </c>
      <c r="W499" s="788" t="s">
        <v>112</v>
      </c>
      <c r="X499" s="788" t="s">
        <v>112</v>
      </c>
      <c r="Y499" s="788" t="s">
        <v>112</v>
      </c>
      <c r="Z499" s="775" t="s">
        <v>5063</v>
      </c>
      <c r="AA499" s="840">
        <v>43455</v>
      </c>
      <c r="AB499" s="840">
        <v>43812</v>
      </c>
      <c r="AC499" s="840">
        <v>43956</v>
      </c>
      <c r="AD499" s="317"/>
      <c r="AE499" s="775">
        <v>43952</v>
      </c>
      <c r="AF499" s="89" t="s">
        <v>5654</v>
      </c>
      <c r="AG499" s="819" t="s">
        <v>5059</v>
      </c>
      <c r="AH499" s="820" t="s">
        <v>5060</v>
      </c>
      <c r="AI499" s="820" t="s">
        <v>5063</v>
      </c>
      <c r="AJ499" s="835">
        <v>44354</v>
      </c>
    </row>
    <row r="500" spans="1:149" ht="165.75" x14ac:dyDescent="0.2">
      <c r="A500" s="6" t="s">
        <v>5712</v>
      </c>
      <c r="B500" s="6" t="s">
        <v>584</v>
      </c>
      <c r="C500" s="6" t="s">
        <v>3797</v>
      </c>
      <c r="D500" s="6" t="s">
        <v>5898</v>
      </c>
      <c r="E500" s="6" t="s">
        <v>5804</v>
      </c>
      <c r="F500" s="6" t="s">
        <v>5711</v>
      </c>
      <c r="G500" s="6" t="s">
        <v>2744</v>
      </c>
      <c r="H500" s="6" t="s">
        <v>3218</v>
      </c>
      <c r="I500" s="6" t="s">
        <v>5708</v>
      </c>
      <c r="J500" s="6" t="s">
        <v>834</v>
      </c>
      <c r="K500" s="6" t="s">
        <v>1393</v>
      </c>
      <c r="L500" s="6" t="s">
        <v>66</v>
      </c>
      <c r="M500" s="6" t="s">
        <v>3090</v>
      </c>
      <c r="N500" s="783">
        <v>44285</v>
      </c>
      <c r="O500" s="6" t="s">
        <v>5832</v>
      </c>
      <c r="P500" s="6" t="s">
        <v>112</v>
      </c>
      <c r="Q500" s="6" t="s">
        <v>2866</v>
      </c>
      <c r="R500" s="785"/>
      <c r="S500" s="782" t="s">
        <v>5061</v>
      </c>
      <c r="T500" s="810"/>
      <c r="U500" s="802" t="s">
        <v>5807</v>
      </c>
      <c r="V500" s="782" t="s">
        <v>3337</v>
      </c>
      <c r="W500" s="782" t="s">
        <v>5709</v>
      </c>
      <c r="X500" s="6" t="s">
        <v>112</v>
      </c>
      <c r="Y500" s="6" t="s">
        <v>5429</v>
      </c>
      <c r="Z500" s="612" t="s">
        <v>5061</v>
      </c>
      <c r="AA500" s="643">
        <v>44285</v>
      </c>
      <c r="AB500" s="841">
        <v>44330</v>
      </c>
      <c r="AC500" s="841">
        <v>44369</v>
      </c>
      <c r="AD500" s="445"/>
      <c r="AE500" s="842">
        <v>44378</v>
      </c>
      <c r="AF500" s="667" t="s">
        <v>5710</v>
      </c>
      <c r="AG500" s="617" t="s">
        <v>5059</v>
      </c>
      <c r="AH500" s="617" t="s">
        <v>5060</v>
      </c>
      <c r="AI500" s="617" t="s">
        <v>5061</v>
      </c>
      <c r="AJ500" s="281">
        <v>44354</v>
      </c>
    </row>
    <row r="501" spans="1:149" ht="76.5" x14ac:dyDescent="0.2">
      <c r="A501" s="6" t="s">
        <v>5717</v>
      </c>
      <c r="B501" s="782" t="s">
        <v>1137</v>
      </c>
      <c r="C501" s="782" t="s">
        <v>3797</v>
      </c>
      <c r="D501" s="6" t="s">
        <v>5899</v>
      </c>
      <c r="E501" s="354" t="s">
        <v>4339</v>
      </c>
      <c r="F501" s="836" t="s">
        <v>4358</v>
      </c>
      <c r="G501" s="826" t="s">
        <v>4358</v>
      </c>
      <c r="H501" s="843"/>
      <c r="I501" s="782" t="s">
        <v>5713</v>
      </c>
      <c r="J501" s="6" t="s">
        <v>79</v>
      </c>
      <c r="K501" s="6" t="s">
        <v>16</v>
      </c>
      <c r="L501" s="6" t="s">
        <v>5529</v>
      </c>
      <c r="M501" s="782" t="s">
        <v>3081</v>
      </c>
      <c r="N501" s="783">
        <v>44286</v>
      </c>
      <c r="O501" s="784" t="s">
        <v>5833</v>
      </c>
      <c r="P501" s="809" t="s">
        <v>112</v>
      </c>
      <c r="Q501" s="782" t="s">
        <v>2866</v>
      </c>
      <c r="R501" s="785"/>
      <c r="S501" s="782" t="s">
        <v>5063</v>
      </c>
      <c r="T501" s="844" t="s">
        <v>5750</v>
      </c>
      <c r="U501" s="802" t="s">
        <v>5807</v>
      </c>
      <c r="V501" s="6" t="s">
        <v>112</v>
      </c>
      <c r="W501" s="6" t="s">
        <v>112</v>
      </c>
      <c r="X501" s="6" t="s">
        <v>112</v>
      </c>
      <c r="Y501" s="6" t="s">
        <v>112</v>
      </c>
      <c r="Z501" s="612" t="s">
        <v>112</v>
      </c>
      <c r="AA501" s="643">
        <v>44250</v>
      </c>
      <c r="AB501" s="845" t="str">
        <f>IF(Z501="NA","NA",Tabela4[[#This Row],[Data de protocolo para cálculo médio]]+(VLOOKUP(Tabela4[[#This Row],[Previsão com fórmula i-Helps tipo de fila]],Formulas!$H$1:$J$13,2,FALSE)*30))</f>
        <v>NA</v>
      </c>
      <c r="AC501" s="845" t="str">
        <f>IF(Z501="NA","NA",Tabela4[[#This Row],[Data de protocolo para cálculo médio]]+(VLOOKUP(Tabela4[[#This Row],[Previsão com fórmula i-Helps tipo de fila]],Formulas!$H$1:$J$13,3,FALSE)*30))</f>
        <v>NA</v>
      </c>
      <c r="AD501" s="445"/>
      <c r="AE501" s="115" t="s">
        <v>112</v>
      </c>
      <c r="AF501" s="113" t="s">
        <v>5707</v>
      </c>
      <c r="AG501" s="617" t="s">
        <v>5059</v>
      </c>
      <c r="AH501" s="617" t="s">
        <v>5068</v>
      </c>
      <c r="AI501" s="617" t="s">
        <v>5733</v>
      </c>
      <c r="AJ501" s="281">
        <v>44354</v>
      </c>
    </row>
    <row r="502" spans="1:149" ht="51" x14ac:dyDescent="0.2">
      <c r="A502" s="663" t="s">
        <v>5596</v>
      </c>
      <c r="B502" s="477" t="s">
        <v>1137</v>
      </c>
      <c r="C502" s="113" t="s">
        <v>3797</v>
      </c>
      <c r="D502" s="477" t="s">
        <v>5631</v>
      </c>
      <c r="E502" s="113" t="s">
        <v>4140</v>
      </c>
      <c r="F502" s="288" t="s">
        <v>4662</v>
      </c>
      <c r="G502" s="6" t="s">
        <v>3965</v>
      </c>
      <c r="H502" s="72" t="s">
        <v>1806</v>
      </c>
      <c r="I502" s="113" t="s">
        <v>3966</v>
      </c>
      <c r="J502" s="6" t="s">
        <v>3967</v>
      </c>
      <c r="K502" s="477" t="s">
        <v>11</v>
      </c>
      <c r="L502" s="122" t="s">
        <v>3098</v>
      </c>
      <c r="M502" s="122" t="s">
        <v>3090</v>
      </c>
      <c r="N502" s="643">
        <v>43662</v>
      </c>
      <c r="O502" s="615" t="s">
        <v>4141</v>
      </c>
      <c r="P502" s="615" t="s">
        <v>4981</v>
      </c>
      <c r="Q502" s="477" t="s">
        <v>2866</v>
      </c>
      <c r="R502" s="612">
        <v>44356</v>
      </c>
      <c r="S502" s="477" t="s">
        <v>1418</v>
      </c>
      <c r="T502" s="6" t="s">
        <v>5078</v>
      </c>
      <c r="U502" s="113" t="s">
        <v>5646</v>
      </c>
      <c r="V502" s="477" t="s">
        <v>3337</v>
      </c>
      <c r="W502" s="477" t="s">
        <v>3995</v>
      </c>
      <c r="X502" s="477" t="s">
        <v>112</v>
      </c>
      <c r="Y502" s="477" t="s">
        <v>3084</v>
      </c>
      <c r="Z502" s="790" t="s">
        <v>5165</v>
      </c>
      <c r="AA502" s="866">
        <v>43616</v>
      </c>
      <c r="AB502" s="866">
        <v>44018</v>
      </c>
      <c r="AC502" s="866">
        <v>44201</v>
      </c>
      <c r="AD502" s="867"/>
      <c r="AE502" s="866">
        <v>44197</v>
      </c>
      <c r="AF502" s="297" t="s">
        <v>5905</v>
      </c>
      <c r="AG502" s="872" t="s">
        <v>5059</v>
      </c>
      <c r="AH502" s="775" t="s">
        <v>5068</v>
      </c>
      <c r="AI502" s="775" t="s">
        <v>5061</v>
      </c>
      <c r="AJ502" s="866">
        <v>44368</v>
      </c>
    </row>
    <row r="503" spans="1:149" ht="165.75" x14ac:dyDescent="0.2">
      <c r="A503" s="871"/>
      <c r="B503" s="782" t="s">
        <v>584</v>
      </c>
      <c r="C503" s="6" t="s">
        <v>3797</v>
      </c>
      <c r="D503" s="782" t="s">
        <v>5230</v>
      </c>
      <c r="E503" s="6" t="s">
        <v>3785</v>
      </c>
      <c r="F503" s="288" t="s">
        <v>3825</v>
      </c>
      <c r="G503" s="6" t="s">
        <v>2511</v>
      </c>
      <c r="H503" s="72" t="s">
        <v>3719</v>
      </c>
      <c r="I503" s="6" t="s">
        <v>5972</v>
      </c>
      <c r="J503" s="6" t="s">
        <v>338</v>
      </c>
      <c r="K503" s="782" t="s">
        <v>11</v>
      </c>
      <c r="L503" s="72" t="s">
        <v>3721</v>
      </c>
      <c r="M503" s="72" t="s">
        <v>3090</v>
      </c>
      <c r="N503" s="783">
        <v>43490</v>
      </c>
      <c r="O503" s="784" t="s">
        <v>3789</v>
      </c>
      <c r="P503" s="784" t="s">
        <v>5073</v>
      </c>
      <c r="Q503" s="782" t="s">
        <v>2866</v>
      </c>
      <c r="R503" s="816">
        <v>44371</v>
      </c>
      <c r="S503" s="787" t="s">
        <v>5061</v>
      </c>
      <c r="T503" s="6" t="s">
        <v>5973</v>
      </c>
      <c r="U503" s="815" t="s">
        <v>5077</v>
      </c>
      <c r="V503" s="6" t="s">
        <v>5655</v>
      </c>
      <c r="W503" s="782" t="s">
        <v>3337</v>
      </c>
      <c r="X503" s="6" t="s">
        <v>3765</v>
      </c>
      <c r="Y503" s="782" t="s">
        <v>3084</v>
      </c>
      <c r="Z503" s="612" t="s">
        <v>5165</v>
      </c>
      <c r="AA503" s="664">
        <v>43455</v>
      </c>
      <c r="AB503" s="73">
        <v>43857</v>
      </c>
      <c r="AC503" s="73">
        <v>44040</v>
      </c>
      <c r="AD503" s="30"/>
      <c r="AE503" s="73">
        <v>44013</v>
      </c>
      <c r="AF503" s="122" t="s">
        <v>5847</v>
      </c>
      <c r="AG503" s="666" t="s">
        <v>5059</v>
      </c>
      <c r="AH503" s="617" t="s">
        <v>5060</v>
      </c>
      <c r="AI503" s="617" t="s">
        <v>5061</v>
      </c>
      <c r="AJ503" s="73">
        <v>44382</v>
      </c>
    </row>
    <row r="504" spans="1:149" s="318" customFormat="1" ht="409.5" x14ac:dyDescent="0.2">
      <c r="A504" s="781" t="s">
        <v>5591</v>
      </c>
      <c r="B504" s="782" t="s">
        <v>584</v>
      </c>
      <c r="C504" s="6" t="s">
        <v>3797</v>
      </c>
      <c r="D504" s="782" t="s">
        <v>5231</v>
      </c>
      <c r="E504" s="6" t="s">
        <v>3914</v>
      </c>
      <c r="F504" s="288" t="s">
        <v>3901</v>
      </c>
      <c r="G504" s="6" t="s">
        <v>65</v>
      </c>
      <c r="H504" s="72" t="s">
        <v>3906</v>
      </c>
      <c r="I504" s="6" t="s">
        <v>3902</v>
      </c>
      <c r="J504" s="6" t="s">
        <v>4861</v>
      </c>
      <c r="K504" s="782" t="s">
        <v>454</v>
      </c>
      <c r="L504" s="72" t="s">
        <v>3468</v>
      </c>
      <c r="M504" s="72" t="s">
        <v>3903</v>
      </c>
      <c r="N504" s="783">
        <v>43585</v>
      </c>
      <c r="O504" s="784" t="s">
        <v>5001</v>
      </c>
      <c r="P504" s="784" t="s">
        <v>112</v>
      </c>
      <c r="Q504" s="6" t="s">
        <v>2866</v>
      </c>
      <c r="R504" s="785">
        <v>44006</v>
      </c>
      <c r="S504" s="782" t="s">
        <v>3926</v>
      </c>
      <c r="T504" s="815" t="s">
        <v>6281</v>
      </c>
      <c r="U504" s="72" t="s">
        <v>5927</v>
      </c>
      <c r="V504" s="782" t="s">
        <v>112</v>
      </c>
      <c r="W504" s="782" t="s">
        <v>112</v>
      </c>
      <c r="X504" s="782" t="s">
        <v>112</v>
      </c>
      <c r="Y504" s="782" t="s">
        <v>112</v>
      </c>
      <c r="Z504" s="612" t="s">
        <v>5064</v>
      </c>
      <c r="AA504" s="664">
        <v>43585</v>
      </c>
      <c r="AB504" s="281">
        <v>43825</v>
      </c>
      <c r="AC504" s="281">
        <v>44155</v>
      </c>
      <c r="AD504" s="445"/>
      <c r="AE504" s="281">
        <v>44136</v>
      </c>
      <c r="AF504" s="122" t="s">
        <v>5837</v>
      </c>
      <c r="AG504" s="666" t="s">
        <v>5059</v>
      </c>
      <c r="AH504" s="617" t="s">
        <v>5060</v>
      </c>
      <c r="AI504" s="617" t="s">
        <v>5064</v>
      </c>
      <c r="AJ504" s="281">
        <v>44382</v>
      </c>
      <c r="AK504" s="317"/>
      <c r="AL504" s="317"/>
    </row>
    <row r="505" spans="1:149" s="318" customFormat="1" ht="153" x14ac:dyDescent="0.2">
      <c r="A505" s="663" t="s">
        <v>5628</v>
      </c>
      <c r="B505" s="477" t="s">
        <v>584</v>
      </c>
      <c r="C505" s="113" t="s">
        <v>3797</v>
      </c>
      <c r="D505" s="113" t="s">
        <v>5898</v>
      </c>
      <c r="E505" s="113" t="s">
        <v>5588</v>
      </c>
      <c r="F505" s="288" t="s">
        <v>5556</v>
      </c>
      <c r="G505" s="6" t="s">
        <v>989</v>
      </c>
      <c r="H505" s="72" t="s">
        <v>3218</v>
      </c>
      <c r="I505" s="113" t="s">
        <v>5557</v>
      </c>
      <c r="J505" s="6" t="s">
        <v>5074</v>
      </c>
      <c r="K505" s="477" t="s">
        <v>11</v>
      </c>
      <c r="L505" s="122" t="s">
        <v>5558</v>
      </c>
      <c r="M505" s="122" t="s">
        <v>3090</v>
      </c>
      <c r="N505" s="643">
        <v>44246</v>
      </c>
      <c r="O505" s="615" t="s">
        <v>5570</v>
      </c>
      <c r="P505" s="615" t="s">
        <v>112</v>
      </c>
      <c r="Q505" s="477" t="s">
        <v>2866</v>
      </c>
      <c r="R505" s="612">
        <v>44305</v>
      </c>
      <c r="S505" s="477" t="s">
        <v>5061</v>
      </c>
      <c r="T505" s="815" t="s">
        <v>5912</v>
      </c>
      <c r="U505" s="613" t="s">
        <v>5806</v>
      </c>
      <c r="V505" s="477" t="s">
        <v>5559</v>
      </c>
      <c r="W505" s="477" t="s">
        <v>5561</v>
      </c>
      <c r="X505" s="477" t="s">
        <v>3084</v>
      </c>
      <c r="Y505" s="477" t="s">
        <v>5429</v>
      </c>
      <c r="Z505" s="612" t="s">
        <v>5581</v>
      </c>
      <c r="AA505" s="477">
        <v>66</v>
      </c>
      <c r="AB505" s="617">
        <v>44407</v>
      </c>
      <c r="AC505" s="122" t="s">
        <v>6253</v>
      </c>
      <c r="AD505" s="122"/>
      <c r="AE505" s="477"/>
      <c r="AF505" s="477"/>
      <c r="AG505" s="477"/>
      <c r="AH505" s="477"/>
      <c r="AI505" s="477"/>
      <c r="AJ505" s="612">
        <v>44410</v>
      </c>
      <c r="AK505" s="477"/>
      <c r="AL505" s="477"/>
      <c r="AM505" s="477"/>
      <c r="AN505" s="477"/>
      <c r="AO505" s="477"/>
      <c r="AP505" s="477"/>
      <c r="AQ505" s="477"/>
      <c r="AR505" s="477"/>
      <c r="AS505" s="477"/>
      <c r="AT505" s="477"/>
      <c r="AU505" s="477"/>
      <c r="AV505" s="477"/>
      <c r="AW505" s="477"/>
      <c r="AX505" s="477"/>
      <c r="AY505" s="477"/>
      <c r="AZ505" s="477"/>
      <c r="BA505" s="477"/>
      <c r="BB505" s="477"/>
      <c r="BC505" s="477"/>
      <c r="BD505" s="477"/>
      <c r="BE505" s="477"/>
      <c r="BF505" s="477"/>
      <c r="BG505" s="477"/>
      <c r="BH505" s="477"/>
      <c r="BI505" s="477"/>
      <c r="BJ505" s="477"/>
      <c r="BK505" s="477"/>
      <c r="BL505" s="477"/>
      <c r="BM505" s="477"/>
      <c r="BN505" s="477"/>
      <c r="BO505" s="477"/>
      <c r="BP505" s="477"/>
      <c r="BQ505" s="477"/>
      <c r="BR505" s="477"/>
      <c r="BS505" s="477"/>
      <c r="BT505" s="477"/>
      <c r="BU505" s="477"/>
      <c r="BV505" s="477"/>
      <c r="BW505" s="477"/>
      <c r="BX505" s="477"/>
      <c r="BY505" s="477"/>
      <c r="BZ505" s="477"/>
      <c r="CA505" s="477"/>
      <c r="CB505" s="477"/>
      <c r="CC505" s="477"/>
      <c r="CD505" s="477"/>
      <c r="CE505" s="477"/>
      <c r="CF505" s="477"/>
      <c r="CG505" s="477"/>
      <c r="CH505" s="477"/>
      <c r="CI505" s="477"/>
      <c r="CJ505" s="477"/>
      <c r="CK505" s="626"/>
      <c r="CL505" s="626"/>
      <c r="CM505" s="626"/>
      <c r="CN505" s="626"/>
      <c r="CO505" s="626"/>
      <c r="CP505" s="626"/>
      <c r="CQ505" s="626"/>
      <c r="CR505" s="626"/>
      <c r="CS505" s="626"/>
      <c r="CT505" s="626"/>
      <c r="CU505" s="626"/>
      <c r="CV505" s="626"/>
      <c r="CW505" s="626"/>
      <c r="CX505" s="626"/>
      <c r="CY505" s="626"/>
      <c r="CZ505" s="626"/>
      <c r="DA505" s="626"/>
      <c r="DB505" s="626"/>
      <c r="DC505" s="626"/>
      <c r="DD505" s="626"/>
      <c r="DE505" s="626"/>
      <c r="DF505" s="626"/>
      <c r="DG505" s="626"/>
      <c r="DH505" s="626"/>
      <c r="DI505" s="626"/>
      <c r="DJ505" s="626"/>
      <c r="DK505" s="626"/>
      <c r="DL505" s="626"/>
      <c r="DM505" s="626"/>
      <c r="DN505" s="626"/>
      <c r="DO505" s="626">
        <v>66</v>
      </c>
      <c r="DP505" s="626">
        <v>66</v>
      </c>
      <c r="DQ505" s="626">
        <v>57</v>
      </c>
      <c r="DR505" s="626">
        <v>49</v>
      </c>
      <c r="DS505" s="626">
        <v>25</v>
      </c>
      <c r="DT505" s="626">
        <v>21</v>
      </c>
      <c r="DU505" s="626">
        <v>21</v>
      </c>
      <c r="DV505" s="626">
        <v>18</v>
      </c>
      <c r="DW505" s="122" t="s">
        <v>5786</v>
      </c>
      <c r="DX505" s="122" t="s">
        <v>5831</v>
      </c>
      <c r="DY505" s="122" t="s">
        <v>5831</v>
      </c>
      <c r="DZ505" s="122" t="s">
        <v>5831</v>
      </c>
      <c r="EA505" s="122" t="s">
        <v>5831</v>
      </c>
      <c r="EB505" s="122" t="s">
        <v>5831</v>
      </c>
      <c r="EC505" s="122" t="s">
        <v>5831</v>
      </c>
      <c r="ED505" s="122" t="s">
        <v>5938</v>
      </c>
      <c r="EE505" s="122" t="s">
        <v>5938</v>
      </c>
      <c r="EF505" s="122" t="s">
        <v>5938</v>
      </c>
      <c r="EG505" s="122" t="s">
        <v>5987</v>
      </c>
      <c r="EH505" s="122" t="s">
        <v>6010</v>
      </c>
      <c r="EI505" s="122" t="s">
        <v>6010</v>
      </c>
      <c r="EJ505" s="122" t="s">
        <v>6253</v>
      </c>
      <c r="EK505" s="612" t="s">
        <v>5061</v>
      </c>
      <c r="EL505" s="664">
        <v>44246</v>
      </c>
      <c r="EM505" s="664" t="e">
        <f>IF(EK505="NA","NA",Tabela4[[#This Row],[Data de protocolo para cálculo médio]]+(VLOOKUP(Tabela4[[#This Row],[Previsão com fórmula i-Helps tipo de fila]],Formulas!$H$1:$J$13,2,FALSE)*30))</f>
        <v>#VALUE!</v>
      </c>
      <c r="EN505" s="664" t="e">
        <f>IF(EK505="NA","NA",Tabela4[[#This Row],[Data de protocolo para cálculo médio]]+(VLOOKUP(Tabela4[[#This Row],[Previsão com fórmula i-Helps tipo de fila]],Formulas!$H$1:$J$13,3,FALSE)*30))</f>
        <v>#VALUE!</v>
      </c>
      <c r="EO505" s="617" t="s">
        <v>5589</v>
      </c>
      <c r="EP505" s="113" t="s">
        <v>5851</v>
      </c>
      <c r="EQ505" s="666" t="s">
        <v>5059</v>
      </c>
      <c r="ER505" s="617" t="s">
        <v>5060</v>
      </c>
      <c r="ES505" s="617" t="s">
        <v>5061</v>
      </c>
    </row>
    <row r="506" spans="1:149" ht="94.5" customHeight="1" x14ac:dyDescent="0.2">
      <c r="A506" s="477" t="s">
        <v>5771</v>
      </c>
      <c r="B506" s="113" t="s">
        <v>1137</v>
      </c>
      <c r="C506" s="477" t="s">
        <v>3797</v>
      </c>
      <c r="D506" s="477" t="s">
        <v>5714</v>
      </c>
      <c r="E506" s="113" t="s">
        <v>5844</v>
      </c>
      <c r="F506" s="613" t="s">
        <v>5788</v>
      </c>
      <c r="G506" s="113" t="s">
        <v>3936</v>
      </c>
      <c r="H506" s="72" t="s">
        <v>3218</v>
      </c>
      <c r="I506" s="113" t="s">
        <v>5772</v>
      </c>
      <c r="J506" s="113" t="s">
        <v>5773</v>
      </c>
      <c r="K506" s="477" t="s">
        <v>16</v>
      </c>
      <c r="L506" s="122" t="s">
        <v>1454</v>
      </c>
      <c r="M506" s="113" t="s">
        <v>3090</v>
      </c>
      <c r="N506" s="643">
        <v>44314</v>
      </c>
      <c r="O506" s="615" t="s">
        <v>5845</v>
      </c>
      <c r="P506" s="615" t="s">
        <v>5774</v>
      </c>
      <c r="Q506" s="477" t="s">
        <v>2866</v>
      </c>
      <c r="R506" s="612"/>
      <c r="S506" s="477" t="s">
        <v>5061</v>
      </c>
      <c r="T506" s="477"/>
      <c r="U506" s="613"/>
      <c r="V506" s="113" t="s">
        <v>5775</v>
      </c>
      <c r="W506" s="113" t="s">
        <v>5776</v>
      </c>
      <c r="X506" s="477" t="s">
        <v>112</v>
      </c>
      <c r="Y506" s="113" t="s">
        <v>5429</v>
      </c>
      <c r="Z506" s="612">
        <v>44330</v>
      </c>
      <c r="AA506" s="477">
        <v>41</v>
      </c>
      <c r="AB506" s="617">
        <v>44421</v>
      </c>
      <c r="AC506" s="122" t="s">
        <v>6468</v>
      </c>
      <c r="AD506" s="909">
        <v>44398</v>
      </c>
      <c r="AE506" s="909">
        <v>44408</v>
      </c>
      <c r="AF506" s="614" t="s">
        <v>5707</v>
      </c>
      <c r="AG506" s="617" t="s">
        <v>5059</v>
      </c>
      <c r="AH506" s="617" t="s">
        <v>5060</v>
      </c>
      <c r="AI506" s="617" t="s">
        <v>5061</v>
      </c>
      <c r="AJ506" s="612">
        <v>44424</v>
      </c>
    </row>
  </sheetData>
  <sheetProtection autoFilter="0"/>
  <autoFilter ref="B1:T505"/>
  <conditionalFormatting sqref="F82:G83 G63 N63:S63">
    <cfRule type="expression" dxfId="805" priority="8562" stopIfTrue="1">
      <formula>NA()</formula>
    </cfRule>
  </conditionalFormatting>
  <conditionalFormatting sqref="B375:G375">
    <cfRule type="expression" dxfId="804" priority="8558">
      <formula>$AM375="Ambos"</formula>
    </cfRule>
    <cfRule type="expression" dxfId="803" priority="8559">
      <formula>$AM375="Bruna"</formula>
    </cfRule>
  </conditionalFormatting>
  <conditionalFormatting sqref="H375:I375">
    <cfRule type="expression" dxfId="802" priority="8556">
      <formula>$AM375="Ambos"</formula>
    </cfRule>
    <cfRule type="expression" dxfId="801" priority="8557">
      <formula>$AM375="Bruna"</formula>
    </cfRule>
  </conditionalFormatting>
  <conditionalFormatting sqref="J375:L375">
    <cfRule type="expression" dxfId="800" priority="8554">
      <formula>$AM375="Ambos"</formula>
    </cfRule>
    <cfRule type="expression" dxfId="799" priority="8555">
      <formula>$AM375="Bruna"</formula>
    </cfRule>
  </conditionalFormatting>
  <conditionalFormatting sqref="M375:S375">
    <cfRule type="expression" dxfId="798" priority="8552">
      <formula>$AM375="Ambos"</formula>
    </cfRule>
    <cfRule type="expression" dxfId="797" priority="8553">
      <formula>$AM375="Bruna"</formula>
    </cfRule>
  </conditionalFormatting>
  <conditionalFormatting sqref="B377:G377">
    <cfRule type="expression" dxfId="796" priority="8530">
      <formula>$AM377="Ambos"</formula>
    </cfRule>
    <cfRule type="expression" dxfId="795" priority="8531">
      <formula>$AM377="Bruna"</formula>
    </cfRule>
  </conditionalFormatting>
  <conditionalFormatting sqref="B376:G376">
    <cfRule type="expression" dxfId="794" priority="8550">
      <formula>$AM376="Ambos"</formula>
    </cfRule>
    <cfRule type="expression" dxfId="793" priority="8551">
      <formula>$AM376="Bruna"</formula>
    </cfRule>
  </conditionalFormatting>
  <conditionalFormatting sqref="H376:I376">
    <cfRule type="expression" dxfId="792" priority="8548">
      <formula>$AM376="Ambos"</formula>
    </cfRule>
    <cfRule type="expression" dxfId="791" priority="8549">
      <formula>$AM376="Bruna"</formula>
    </cfRule>
  </conditionalFormatting>
  <conditionalFormatting sqref="J376">
    <cfRule type="expression" dxfId="790" priority="8542">
      <formula>$AM376="Ambos"</formula>
    </cfRule>
    <cfRule type="expression" dxfId="789" priority="8543">
      <formula>$AM376="Bruna"</formula>
    </cfRule>
  </conditionalFormatting>
  <conditionalFormatting sqref="K376:S376">
    <cfRule type="expression" dxfId="788" priority="8540">
      <formula>$AM376="Ambos"</formula>
    </cfRule>
    <cfRule type="expression" dxfId="787" priority="8541">
      <formula>$AM376="Bruna"</formula>
    </cfRule>
  </conditionalFormatting>
  <conditionalFormatting sqref="H377:I377">
    <cfRule type="expression" dxfId="786" priority="8528">
      <formula>$AM377="Ambos"</formula>
    </cfRule>
    <cfRule type="expression" dxfId="785" priority="8529">
      <formula>$AM377="Bruna"</formula>
    </cfRule>
  </conditionalFormatting>
  <conditionalFormatting sqref="J377:S377">
    <cfRule type="expression" dxfId="784" priority="8526">
      <formula>$AM377="Ambos"</formula>
    </cfRule>
    <cfRule type="expression" dxfId="783" priority="8527">
      <formula>$AM377="Bruna"</formula>
    </cfRule>
  </conditionalFormatting>
  <conditionalFormatting sqref="J378:S378">
    <cfRule type="expression" dxfId="782" priority="8512">
      <formula>$AM378="Ambos"</formula>
    </cfRule>
    <cfRule type="expression" dxfId="781" priority="8513">
      <formula>$AM378="Bruna"</formula>
    </cfRule>
  </conditionalFormatting>
  <conditionalFormatting sqref="B379:I379">
    <cfRule type="expression" dxfId="780" priority="8504">
      <formula>$AM379="Ambos"</formula>
    </cfRule>
    <cfRule type="expression" dxfId="779" priority="8505">
      <formula>$AM379="Bruna"</formula>
    </cfRule>
  </conditionalFormatting>
  <conditionalFormatting sqref="J379:S379">
    <cfRule type="expression" dxfId="778" priority="8502">
      <formula>$AM379="Ambos"</formula>
    </cfRule>
    <cfRule type="expression" dxfId="777" priority="8503">
      <formula>$AM379="Bruna"</formula>
    </cfRule>
  </conditionalFormatting>
  <conditionalFormatting sqref="B378:G378">
    <cfRule type="expression" dxfId="776" priority="8516">
      <formula>$AM378="Ambos"</formula>
    </cfRule>
    <cfRule type="expression" dxfId="775" priority="8517">
      <formula>$AM378="Bruna"</formula>
    </cfRule>
  </conditionalFormatting>
  <conditionalFormatting sqref="H378:I378">
    <cfRule type="expression" dxfId="774" priority="8514">
      <formula>$AM378="Ambos"</formula>
    </cfRule>
    <cfRule type="expression" dxfId="773" priority="8515">
      <formula>$AM378="Bruna"</formula>
    </cfRule>
  </conditionalFormatting>
  <conditionalFormatting sqref="T379:AI379">
    <cfRule type="expression" dxfId="772" priority="8500">
      <formula>$AM379="Ambos"</formula>
    </cfRule>
    <cfRule type="expression" dxfId="771" priority="8501">
      <formula>$AM379="Bruna"</formula>
    </cfRule>
  </conditionalFormatting>
  <conditionalFormatting sqref="B380:I380">
    <cfRule type="expression" dxfId="770" priority="8484">
      <formula>$AM380="Ambos"</formula>
    </cfRule>
    <cfRule type="expression" dxfId="769" priority="8485">
      <formula>$AM380="Bruna"</formula>
    </cfRule>
  </conditionalFormatting>
  <conditionalFormatting sqref="J380:S380">
    <cfRule type="expression" dxfId="768" priority="8482">
      <formula>$AM380="Ambos"</formula>
    </cfRule>
    <cfRule type="expression" dxfId="767" priority="8483">
      <formula>$AM380="Bruna"</formula>
    </cfRule>
  </conditionalFormatting>
  <conditionalFormatting sqref="T380:AI380">
    <cfRule type="expression" dxfId="766" priority="8480">
      <formula>$AM380="Ambos"</formula>
    </cfRule>
    <cfRule type="expression" dxfId="765" priority="8481">
      <formula>$AM380="Bruna"</formula>
    </cfRule>
  </conditionalFormatting>
  <conditionalFormatting sqref="B381:G381">
    <cfRule type="expression" dxfId="764" priority="8478">
      <formula>$AM381="Ambos"</formula>
    </cfRule>
    <cfRule type="expression" dxfId="763" priority="8479">
      <formula>$AM381="Bruna"</formula>
    </cfRule>
  </conditionalFormatting>
  <conditionalFormatting sqref="H381:I381">
    <cfRule type="expression" dxfId="762" priority="8476">
      <formula>$AM381="Ambos"</formula>
    </cfRule>
    <cfRule type="expression" dxfId="761" priority="8477">
      <formula>$AM381="Bruna"</formula>
    </cfRule>
  </conditionalFormatting>
  <conditionalFormatting sqref="J381:S381">
    <cfRule type="expression" dxfId="760" priority="8474">
      <formula>$AM381="Ambos"</formula>
    </cfRule>
    <cfRule type="expression" dxfId="759" priority="8475">
      <formula>$AM381="Bruna"</formula>
    </cfRule>
  </conditionalFormatting>
  <conditionalFormatting sqref="B382:I382">
    <cfRule type="expression" dxfId="758" priority="8472">
      <formula>$AM382="Ambos"</formula>
    </cfRule>
    <cfRule type="expression" dxfId="757" priority="8473">
      <formula>$AM382="Bruna"</formula>
    </cfRule>
  </conditionalFormatting>
  <conditionalFormatting sqref="J382:S382">
    <cfRule type="expression" dxfId="756" priority="8470">
      <formula>$AM382="Ambos"</formula>
    </cfRule>
    <cfRule type="expression" dxfId="755" priority="8471">
      <formula>$AM382="Bruna"</formula>
    </cfRule>
  </conditionalFormatting>
  <conditionalFormatting sqref="B383:I383">
    <cfRule type="expression" dxfId="754" priority="8465">
      <formula>$AM383="Bruna"</formula>
    </cfRule>
  </conditionalFormatting>
  <conditionalFormatting sqref="J383:S383">
    <cfRule type="expression" dxfId="753" priority="8464">
      <formula>$AM383="Bruna"</formula>
    </cfRule>
  </conditionalFormatting>
  <conditionalFormatting sqref="AJ403 N402:S402 B395:S395 B397:S397 B402:L402 AJ402:AL402 T402:AI407 AK403:AL407">
    <cfRule type="expression" dxfId="752" priority="8258">
      <formula>#REF!="em exigência"</formula>
    </cfRule>
    <cfRule type="expression" dxfId="751" priority="8259">
      <formula>#REF!="exigência cumprida"</formula>
    </cfRule>
    <cfRule type="expression" dxfId="750" priority="8260">
      <formula>#REF!="em análise"</formula>
    </cfRule>
  </conditionalFormatting>
  <conditionalFormatting sqref="AJ404">
    <cfRule type="expression" dxfId="749" priority="8243">
      <formula>#REF!="em exigência"</formula>
    </cfRule>
    <cfRule type="expression" dxfId="748" priority="8244">
      <formula>#REF!="exigência cumprida"</formula>
    </cfRule>
    <cfRule type="expression" dxfId="747" priority="8245">
      <formula>#REF!="em análise"</formula>
    </cfRule>
  </conditionalFormatting>
  <conditionalFormatting sqref="E404:G404">
    <cfRule type="expression" dxfId="746" priority="8238">
      <formula>$AN404="Ambos"</formula>
    </cfRule>
    <cfRule type="expression" dxfId="745" priority="8239">
      <formula>$AN404="Bruna"</formula>
    </cfRule>
  </conditionalFormatting>
  <conditionalFormatting sqref="B404:D404">
    <cfRule type="expression" dxfId="744" priority="8236">
      <formula>$AN404="Ambos"</formula>
    </cfRule>
    <cfRule type="expression" dxfId="743" priority="8237">
      <formula>$AN404="Bruna"</formula>
    </cfRule>
  </conditionalFormatting>
  <conditionalFormatting sqref="N404">
    <cfRule type="expression" dxfId="742" priority="8234">
      <formula>$AN404="Ambos"</formula>
    </cfRule>
    <cfRule type="expression" dxfId="741" priority="8235">
      <formula>$AN404="Bruna"</formula>
    </cfRule>
  </conditionalFormatting>
  <conditionalFormatting sqref="J404:L404">
    <cfRule type="expression" dxfId="740" priority="8232">
      <formula>$AN404="Ambos"</formula>
    </cfRule>
    <cfRule type="expression" dxfId="739" priority="8233">
      <formula>$AN404="Bruna"</formula>
    </cfRule>
  </conditionalFormatting>
  <conditionalFormatting sqref="O404:S404">
    <cfRule type="expression" dxfId="738" priority="8227">
      <formula>$AN404="Ambos"</formula>
    </cfRule>
    <cfRule type="expression" dxfId="737" priority="8228">
      <formula>$AN404="Bruna"</formula>
    </cfRule>
  </conditionalFormatting>
  <conditionalFormatting sqref="AJ405">
    <cfRule type="expression" dxfId="736" priority="8221">
      <formula>#REF!="em exigência"</formula>
    </cfRule>
    <cfRule type="expression" dxfId="735" priority="8222">
      <formula>#REF!="exigência cumprida"</formula>
    </cfRule>
    <cfRule type="expression" dxfId="734" priority="8223">
      <formula>#REF!="em análise"</formula>
    </cfRule>
  </conditionalFormatting>
  <conditionalFormatting sqref="E405:G405">
    <cfRule type="expression" dxfId="733" priority="8203">
      <formula>$AN405="Ambos"</formula>
    </cfRule>
    <cfRule type="expression" dxfId="732" priority="8204">
      <formula>$AN405="Bruna"</formula>
    </cfRule>
  </conditionalFormatting>
  <conditionalFormatting sqref="B405:D405">
    <cfRule type="expression" dxfId="731" priority="8201">
      <formula>$AN405="Ambos"</formula>
    </cfRule>
    <cfRule type="expression" dxfId="730" priority="8202">
      <formula>$AN405="Bruna"</formula>
    </cfRule>
  </conditionalFormatting>
  <conditionalFormatting sqref="N405:S405">
    <cfRule type="expression" dxfId="729" priority="8196">
      <formula>$AN405="Ambos"</formula>
    </cfRule>
    <cfRule type="expression" dxfId="728" priority="8197">
      <formula>$AN405="Bruna"</formula>
    </cfRule>
  </conditionalFormatting>
  <conditionalFormatting sqref="J405:L405">
    <cfRule type="expression" dxfId="727" priority="8194">
      <formula>$AN405="Ambos"</formula>
    </cfRule>
    <cfRule type="expression" dxfId="726" priority="8195">
      <formula>$AN405="Bruna"</formula>
    </cfRule>
  </conditionalFormatting>
  <conditionalFormatting sqref="AJ406:AJ407">
    <cfRule type="expression" dxfId="725" priority="8185">
      <formula>#REF!="em exigência"</formula>
    </cfRule>
    <cfRule type="expression" dxfId="724" priority="8186">
      <formula>#REF!="exigência cumprida"</formula>
    </cfRule>
    <cfRule type="expression" dxfId="723" priority="8187">
      <formula>#REF!="em análise"</formula>
    </cfRule>
  </conditionalFormatting>
  <conditionalFormatting sqref="B384:S386">
    <cfRule type="expression" dxfId="722" priority="8563">
      <formula>#REF!="em exigência"</formula>
    </cfRule>
    <cfRule type="expression" dxfId="721" priority="8564">
      <formula>#REF!="exigência cumprida"</formula>
    </cfRule>
    <cfRule type="expression" dxfId="720" priority="8565">
      <formula>#REF!="em análise"</formula>
    </cfRule>
  </conditionalFormatting>
  <conditionalFormatting sqref="B387:S387 B389:S389">
    <cfRule type="expression" dxfId="719" priority="8581">
      <formula>#REF!="em exigência"</formula>
    </cfRule>
    <cfRule type="expression" dxfId="718" priority="8582">
      <formula>#REF!="exigência cumprida"</formula>
    </cfRule>
    <cfRule type="expression" dxfId="717" priority="8583">
      <formula>#REF!="em análise"</formula>
    </cfRule>
  </conditionalFormatting>
  <conditionalFormatting sqref="B388:S388">
    <cfRule type="expression" dxfId="716" priority="8587">
      <formula>#REF!="em exigência"</formula>
    </cfRule>
    <cfRule type="expression" dxfId="715" priority="8588">
      <formula>#REF!="exigência cumprida"</formula>
    </cfRule>
    <cfRule type="expression" dxfId="714" priority="8589">
      <formula>#REF!="em análise"</formula>
    </cfRule>
  </conditionalFormatting>
  <conditionalFormatting sqref="B390:S390">
    <cfRule type="expression" dxfId="713" priority="8599">
      <formula>#REF!="em exigência"</formula>
    </cfRule>
    <cfRule type="expression" dxfId="712" priority="8600">
      <formula>#REF!="exigência cumprida"</formula>
    </cfRule>
    <cfRule type="expression" dxfId="711" priority="8601">
      <formula>#REF!="em análise"</formula>
    </cfRule>
  </conditionalFormatting>
  <conditionalFormatting sqref="N403:S403 B391:S391 L393:M393 B396:S396 B403:L403 H404:I404">
    <cfRule type="expression" dxfId="710" priority="8605">
      <formula>#REF!="em exigência"</formula>
    </cfRule>
    <cfRule type="expression" dxfId="709" priority="8606">
      <formula>#REF!="exigência cumprida"</formula>
    </cfRule>
    <cfRule type="expression" dxfId="708" priority="8607">
      <formula>#REF!="em análise"</formula>
    </cfRule>
  </conditionalFormatting>
  <conditionalFormatting sqref="B392:L392 B393:K393 N392:S393 B394:D394 E399:S399">
    <cfRule type="expression" dxfId="707" priority="8617">
      <formula>#REF!="em exigência"</formula>
    </cfRule>
    <cfRule type="expression" dxfId="706" priority="8618">
      <formula>#REF!="exigência cumprida"</formula>
    </cfRule>
    <cfRule type="expression" dxfId="705" priority="8619">
      <formula>#REF!="em análise"</formula>
    </cfRule>
  </conditionalFormatting>
  <conditionalFormatting sqref="M392 E394:S394 M401:M405">
    <cfRule type="expression" dxfId="704" priority="8629">
      <formula>#REF!="em exigência"</formula>
    </cfRule>
    <cfRule type="expression" dxfId="703" priority="8630">
      <formula>#REF!="exigência cumprida"</formula>
    </cfRule>
    <cfRule type="expression" dxfId="702" priority="8631">
      <formula>#REF!="em análise"</formula>
    </cfRule>
  </conditionalFormatting>
  <conditionalFormatting sqref="B398:L398 B399:D399">
    <cfRule type="expression" dxfId="701" priority="8674">
      <formula>#REF!="em exigência"</formula>
    </cfRule>
    <cfRule type="expression" dxfId="700" priority="8675">
      <formula>#REF!="exigência cumprida"</formula>
    </cfRule>
    <cfRule type="expression" dxfId="699" priority="8676">
      <formula>#REF!="em análise"</formula>
    </cfRule>
  </conditionalFormatting>
  <conditionalFormatting sqref="B400:S400">
    <cfRule type="expression" dxfId="698" priority="8689">
      <formula>#REF!="em exigência"</formula>
    </cfRule>
    <cfRule type="expression" dxfId="697" priority="8690">
      <formula>#REF!="exigência cumprida"</formula>
    </cfRule>
    <cfRule type="expression" dxfId="696" priority="8691">
      <formula>#REF!="em análise"</formula>
    </cfRule>
  </conditionalFormatting>
  <conditionalFormatting sqref="N401:S401 B401:L401">
    <cfRule type="expression" dxfId="695" priority="8695">
      <formula>#REF!="em exigência"</formula>
    </cfRule>
    <cfRule type="expression" dxfId="694" priority="8696">
      <formula>#REF!="exigência cumprida"</formula>
    </cfRule>
    <cfRule type="expression" dxfId="693" priority="8697">
      <formula>#REF!="em análise"</formula>
    </cfRule>
  </conditionalFormatting>
  <conditionalFormatting sqref="H405:I405">
    <cfRule type="expression" dxfId="692" priority="8755">
      <formula>#REF!="em exigência"</formula>
    </cfRule>
    <cfRule type="expression" dxfId="691" priority="8756">
      <formula>#REF!="exigência cumprida"</formula>
    </cfRule>
    <cfRule type="expression" dxfId="690" priority="8757">
      <formula>#REF!="em análise"</formula>
    </cfRule>
  </conditionalFormatting>
  <conditionalFormatting sqref="B406:S407">
    <cfRule type="expression" dxfId="689" priority="8767">
      <formula>#REF!="Em análise"</formula>
    </cfRule>
  </conditionalFormatting>
  <conditionalFormatting sqref="Z484:AI484 Z491:AC492 Z493:AD493 Z494:AC494 AE494:AI494 AA499:AC499 AE499">
    <cfRule type="expression" dxfId="688" priority="273">
      <formula>$R484="exigência cumprida"</formula>
    </cfRule>
    <cfRule type="expression" dxfId="687" priority="274">
      <formula>$R484="em análise"</formula>
    </cfRule>
    <cfRule type="expression" dxfId="686" priority="275">
      <formula>$R484="em exigência"</formula>
    </cfRule>
    <cfRule type="expression" dxfId="685" priority="276">
      <formula>$R484="em recurso"</formula>
    </cfRule>
  </conditionalFormatting>
  <conditionalFormatting sqref="N484:Y484">
    <cfRule type="expression" dxfId="684" priority="277">
      <formula>$R484="exigência cumprida"</formula>
    </cfRule>
    <cfRule type="expression" dxfId="683" priority="278">
      <formula>$R484="em análise"</formula>
    </cfRule>
    <cfRule type="expression" dxfId="682" priority="279">
      <formula>$R484="em exigência"</formula>
    </cfRule>
    <cfRule type="expression" dxfId="681" priority="280">
      <formula>$R484="em recurso"</formula>
    </cfRule>
  </conditionalFormatting>
  <conditionalFormatting sqref="Z485:AI485 AB486:AB487">
    <cfRule type="expression" dxfId="680" priority="265">
      <formula>$R485="exigência cumprida"</formula>
    </cfRule>
    <cfRule type="expression" dxfId="679" priority="266">
      <formula>$R485="em análise"</formula>
    </cfRule>
    <cfRule type="expression" dxfId="678" priority="267">
      <formula>$R485="em exigência"</formula>
    </cfRule>
    <cfRule type="expression" dxfId="677" priority="268">
      <formula>$R485="em recurso"</formula>
    </cfRule>
  </conditionalFormatting>
  <conditionalFormatting sqref="A485:Y485">
    <cfRule type="expression" dxfId="676" priority="269">
      <formula>$R485="exigência cumprida"</formula>
    </cfRule>
    <cfRule type="expression" dxfId="675" priority="270">
      <formula>$R485="em análise"</formula>
    </cfRule>
    <cfRule type="expression" dxfId="674" priority="271">
      <formula>$R485="em exigência"</formula>
    </cfRule>
    <cfRule type="expression" dxfId="673" priority="272">
      <formula>$R485="em recurso"</formula>
    </cfRule>
  </conditionalFormatting>
  <conditionalFormatting sqref="A486:Y486">
    <cfRule type="expression" dxfId="672" priority="261">
      <formula>$R486="exigência cumprida"</formula>
    </cfRule>
    <cfRule type="expression" dxfId="671" priority="262">
      <formula>$R486="em análise"</formula>
    </cfRule>
    <cfRule type="expression" dxfId="670" priority="263">
      <formula>$R486="em exigência"</formula>
    </cfRule>
    <cfRule type="expression" dxfId="669" priority="264">
      <formula>$R486="em recurso"</formula>
    </cfRule>
  </conditionalFormatting>
  <conditionalFormatting sqref="AG486:AI486">
    <cfRule type="expression" dxfId="668" priority="253">
      <formula>$Q931="exigência cumprida"</formula>
    </cfRule>
    <cfRule type="expression" dxfId="667" priority="254">
      <formula>$Q931="em análise"</formula>
    </cfRule>
    <cfRule type="expression" dxfId="666" priority="255">
      <formula>$Q931="em exigência"</formula>
    </cfRule>
    <cfRule type="expression" dxfId="665" priority="256">
      <formula>$Q931="em recurso"</formula>
    </cfRule>
  </conditionalFormatting>
  <conditionalFormatting sqref="Z486:AA486 AE486:AF486">
    <cfRule type="expression" dxfId="664" priority="257">
      <formula>$Q931="exigência cumprida"</formula>
    </cfRule>
    <cfRule type="expression" dxfId="663" priority="258">
      <formula>$Q931="em análise"</formula>
    </cfRule>
    <cfRule type="expression" dxfId="662" priority="259">
      <formula>$Q931="em exigência"</formula>
    </cfRule>
    <cfRule type="expression" dxfId="661" priority="260">
      <formula>$Q931="em recurso"</formula>
    </cfRule>
  </conditionalFormatting>
  <conditionalFormatting sqref="A487:Y488">
    <cfRule type="expression" dxfId="660" priority="249">
      <formula>$R487="exigência cumprida"</formula>
    </cfRule>
    <cfRule type="expression" dxfId="659" priority="250">
      <formula>$R487="em análise"</formula>
    </cfRule>
    <cfRule type="expression" dxfId="658" priority="251">
      <formula>$R487="em exigência"</formula>
    </cfRule>
    <cfRule type="expression" dxfId="657" priority="252">
      <formula>$R487="em recurso"</formula>
    </cfRule>
  </conditionalFormatting>
  <conditionalFormatting sqref="Z487:AA488 AE487:AI488">
    <cfRule type="expression" dxfId="656" priority="245">
      <formula>$R487="exigência cumprida"</formula>
    </cfRule>
    <cfRule type="expression" dxfId="655" priority="246">
      <formula>$R487="em análise"</formula>
    </cfRule>
    <cfRule type="expression" dxfId="654" priority="247">
      <formula>$R487="em exigência"</formula>
    </cfRule>
    <cfRule type="expression" dxfId="653" priority="248">
      <formula>$R487="em recurso"</formula>
    </cfRule>
  </conditionalFormatting>
  <conditionalFormatting sqref="AB488">
    <cfRule type="expression" dxfId="652" priority="241">
      <formula>$R488="exigência cumprida"</formula>
    </cfRule>
    <cfRule type="expression" dxfId="651" priority="242">
      <formula>$R488="em análise"</formula>
    </cfRule>
    <cfRule type="expression" dxfId="650" priority="243">
      <formula>$R488="em exigência"</formula>
    </cfRule>
    <cfRule type="expression" dxfId="649" priority="244">
      <formula>$R488="em recurso"</formula>
    </cfRule>
  </conditionalFormatting>
  <conditionalFormatting sqref="AC486">
    <cfRule type="expression" dxfId="648" priority="237">
      <formula>$R486="exigência cumprida"</formula>
    </cfRule>
    <cfRule type="expression" dxfId="647" priority="238">
      <formula>$R486="em análise"</formula>
    </cfRule>
    <cfRule type="expression" dxfId="646" priority="239">
      <formula>$R486="em exigência"</formula>
    </cfRule>
    <cfRule type="expression" dxfId="645" priority="240">
      <formula>$R486="em recurso"</formula>
    </cfRule>
  </conditionalFormatting>
  <conditionalFormatting sqref="AC487">
    <cfRule type="expression" dxfId="644" priority="233">
      <formula>$R487="exigência cumprida"</formula>
    </cfRule>
    <cfRule type="expression" dxfId="643" priority="234">
      <formula>$R487="em análise"</formula>
    </cfRule>
    <cfRule type="expression" dxfId="642" priority="235">
      <formula>$R487="em exigência"</formula>
    </cfRule>
    <cfRule type="expression" dxfId="641" priority="236">
      <formula>$R487="em recurso"</formula>
    </cfRule>
  </conditionalFormatting>
  <conditionalFormatting sqref="AC488">
    <cfRule type="expression" dxfId="640" priority="229">
      <formula>$R488="exigência cumprida"</formula>
    </cfRule>
    <cfRule type="expression" dxfId="639" priority="230">
      <formula>$R488="em análise"</formula>
    </cfRule>
    <cfRule type="expression" dxfId="638" priority="231">
      <formula>$R488="em exigência"</formula>
    </cfRule>
    <cfRule type="expression" dxfId="637" priority="232">
      <formula>$R488="em recurso"</formula>
    </cfRule>
  </conditionalFormatting>
  <conditionalFormatting sqref="AD486">
    <cfRule type="expression" dxfId="636" priority="225">
      <formula>$R486="exigência cumprida"</formula>
    </cfRule>
    <cfRule type="expression" dxfId="635" priority="226">
      <formula>$R486="em análise"</formula>
    </cfRule>
    <cfRule type="expression" dxfId="634" priority="227">
      <formula>$R486="em exigência"</formula>
    </cfRule>
    <cfRule type="expression" dxfId="633" priority="228">
      <formula>$R486="em recurso"</formula>
    </cfRule>
  </conditionalFormatting>
  <conditionalFormatting sqref="AD487">
    <cfRule type="expression" dxfId="632" priority="221">
      <formula>$R487="exigência cumprida"</formula>
    </cfRule>
    <cfRule type="expression" dxfId="631" priority="222">
      <formula>$R487="em análise"</formula>
    </cfRule>
    <cfRule type="expression" dxfId="630" priority="223">
      <formula>$R487="em exigência"</formula>
    </cfRule>
    <cfRule type="expression" dxfId="629" priority="224">
      <formula>$R487="em recurso"</formula>
    </cfRule>
  </conditionalFormatting>
  <conditionalFormatting sqref="AD488">
    <cfRule type="expression" dxfId="628" priority="217">
      <formula>$R488="exigência cumprida"</formula>
    </cfRule>
    <cfRule type="expression" dxfId="627" priority="218">
      <formula>$R488="em análise"</formula>
    </cfRule>
    <cfRule type="expression" dxfId="626" priority="219">
      <formula>$R488="em exigência"</formula>
    </cfRule>
    <cfRule type="expression" dxfId="625" priority="220">
      <formula>$R488="em recurso"</formula>
    </cfRule>
  </conditionalFormatting>
  <conditionalFormatting sqref="A489:G489">
    <cfRule type="expression" dxfId="624" priority="213">
      <formula>$R489="exigência cumprida"</formula>
    </cfRule>
    <cfRule type="expression" dxfId="623" priority="214">
      <formula>$R489="em análise"</formula>
    </cfRule>
    <cfRule type="expression" dxfId="622" priority="215">
      <formula>$R489="em exigência"</formula>
    </cfRule>
    <cfRule type="expression" dxfId="621" priority="216">
      <formula>$R489="em recurso"</formula>
    </cfRule>
  </conditionalFormatting>
  <conditionalFormatting sqref="H489">
    <cfRule type="expression" dxfId="620" priority="209">
      <formula>$R489="exigência cumprida"</formula>
    </cfRule>
    <cfRule type="expression" dxfId="619" priority="210">
      <formula>$R489="em análise"</formula>
    </cfRule>
    <cfRule type="expression" dxfId="618" priority="211">
      <formula>$R489="em exigência"</formula>
    </cfRule>
    <cfRule type="expression" dxfId="617" priority="212">
      <formula>$R489="em recurso"</formula>
    </cfRule>
  </conditionalFormatting>
  <conditionalFormatting sqref="J489:K489">
    <cfRule type="expression" dxfId="616" priority="205">
      <formula>$R489="exigência cumprida"</formula>
    </cfRule>
    <cfRule type="expression" dxfId="615" priority="206">
      <formula>$R489="em análise"</formula>
    </cfRule>
    <cfRule type="expression" dxfId="614" priority="207">
      <formula>$R489="em exigência"</formula>
    </cfRule>
    <cfRule type="expression" dxfId="613" priority="208">
      <formula>$R489="em recurso"</formula>
    </cfRule>
  </conditionalFormatting>
  <conditionalFormatting sqref="L489:Y489">
    <cfRule type="expression" dxfId="612" priority="201">
      <formula>$R489="exigência cumprida"</formula>
    </cfRule>
    <cfRule type="expression" dxfId="611" priority="202">
      <formula>$R489="em análise"</formula>
    </cfRule>
    <cfRule type="expression" dxfId="610" priority="203">
      <formula>$R489="em exigência"</formula>
    </cfRule>
    <cfRule type="expression" dxfId="609" priority="204">
      <formula>$R489="em recurso"</formula>
    </cfRule>
  </conditionalFormatting>
  <conditionalFormatting sqref="A491:Y492">
    <cfRule type="expression" dxfId="608" priority="193">
      <formula>$R491="exigência cumprida"</formula>
    </cfRule>
    <cfRule type="expression" dxfId="607" priority="194">
      <formula>$R491="em análise"</formula>
    </cfRule>
    <cfRule type="expression" dxfId="606" priority="195">
      <formula>$R491="em exigência"</formula>
    </cfRule>
    <cfRule type="expression" dxfId="605" priority="196">
      <formula>$R491="em recurso"</formula>
    </cfRule>
  </conditionalFormatting>
  <conditionalFormatting sqref="A493:Y493">
    <cfRule type="expression" dxfId="604" priority="185">
      <formula>$R493="exigência cumprida"</formula>
    </cfRule>
    <cfRule type="expression" dxfId="603" priority="186">
      <formula>$R493="em análise"</formula>
    </cfRule>
    <cfRule type="expression" dxfId="602" priority="187">
      <formula>$R493="em exigência"</formula>
    </cfRule>
    <cfRule type="expression" dxfId="601" priority="188">
      <formula>$R493="em recurso"</formula>
    </cfRule>
  </conditionalFormatting>
  <conditionalFormatting sqref="AE489:AJ493">
    <cfRule type="expression" dxfId="600" priority="177">
      <formula>$R489="exigência cumprida"</formula>
    </cfRule>
    <cfRule type="expression" dxfId="599" priority="178">
      <formula>$R489="em análise"</formula>
    </cfRule>
    <cfRule type="expression" dxfId="598" priority="179">
      <formula>$R489="em exigência"</formula>
    </cfRule>
    <cfRule type="expression" dxfId="597" priority="180">
      <formula>$R489="em recurso"</formula>
    </cfRule>
  </conditionalFormatting>
  <conditionalFormatting sqref="A494:Y494">
    <cfRule type="expression" dxfId="596" priority="173">
      <formula>$R494="exigência cumprida"</formula>
    </cfRule>
    <cfRule type="expression" dxfId="595" priority="174">
      <formula>$R494="em análise"</formula>
    </cfRule>
    <cfRule type="expression" dxfId="594" priority="175">
      <formula>$R494="em exigência"</formula>
    </cfRule>
    <cfRule type="expression" dxfId="593" priority="176">
      <formula>$R494="em recurso"</formula>
    </cfRule>
  </conditionalFormatting>
  <conditionalFormatting sqref="AJ494">
    <cfRule type="expression" dxfId="592" priority="165">
      <formula>$R494="exigência cumprida"</formula>
    </cfRule>
    <cfRule type="expression" dxfId="591" priority="166">
      <formula>$R494="em análise"</formula>
    </cfRule>
    <cfRule type="expression" dxfId="590" priority="167">
      <formula>$R494="em exigência"</formula>
    </cfRule>
    <cfRule type="expression" dxfId="589" priority="168">
      <formula>$R494="em recurso"</formula>
    </cfRule>
  </conditionalFormatting>
  <conditionalFormatting sqref="U495">
    <cfRule type="expression" dxfId="588" priority="161">
      <formula>$R495="exigência cumprida"</formula>
    </cfRule>
    <cfRule type="expression" dxfId="587" priority="162">
      <formula>$R495="em análise"</formula>
    </cfRule>
    <cfRule type="expression" dxfId="586" priority="163">
      <formula>$R495="em exigência"</formula>
    </cfRule>
    <cfRule type="expression" dxfId="585" priority="164">
      <formula>$R495="em recurso"</formula>
    </cfRule>
  </conditionalFormatting>
  <conditionalFormatting sqref="A496:Y496">
    <cfRule type="expression" dxfId="584" priority="157">
      <formula>$R496="exigência cumprida"</formula>
    </cfRule>
    <cfRule type="expression" dxfId="583" priority="158">
      <formula>$R496="em análise"</formula>
    </cfRule>
    <cfRule type="expression" dxfId="582" priority="159">
      <formula>$R496="em exigência"</formula>
    </cfRule>
    <cfRule type="expression" dxfId="581" priority="160">
      <formula>$R496="em recurso"</formula>
    </cfRule>
  </conditionalFormatting>
  <conditionalFormatting sqref="AF496:AI496">
    <cfRule type="expression" dxfId="580" priority="153">
      <formula>$Q977="exigência cumprida"</formula>
    </cfRule>
    <cfRule type="expression" dxfId="579" priority="154">
      <formula>$Q977="em análise"</formula>
    </cfRule>
    <cfRule type="expression" dxfId="578" priority="155">
      <formula>$Q977="em exigência"</formula>
    </cfRule>
    <cfRule type="expression" dxfId="577" priority="156">
      <formula>$Q977="em recurso"</formula>
    </cfRule>
  </conditionalFormatting>
  <conditionalFormatting sqref="A497:Y497">
    <cfRule type="expression" dxfId="576" priority="149">
      <formula>$R497="exigência cumprida"</formula>
    </cfRule>
    <cfRule type="expression" dxfId="575" priority="150">
      <formula>$R497="em análise"</formula>
    </cfRule>
    <cfRule type="expression" dxfId="574" priority="151">
      <formula>$R497="em exigência"</formula>
    </cfRule>
    <cfRule type="expression" dxfId="573" priority="152">
      <formula>$R497="em recurso"</formula>
    </cfRule>
  </conditionalFormatting>
  <conditionalFormatting sqref="AF497:AI497">
    <cfRule type="expression" dxfId="572" priority="137">
      <formula>$Q956="exigência cumprida"</formula>
    </cfRule>
    <cfRule type="expression" dxfId="571" priority="138">
      <formula>$Q956="em análise"</formula>
    </cfRule>
    <cfRule type="expression" dxfId="570" priority="139">
      <formula>$Q956="em exigência"</formula>
    </cfRule>
    <cfRule type="expression" dxfId="569" priority="140">
      <formula>$Q956="em recurso"</formula>
    </cfRule>
  </conditionalFormatting>
  <conditionalFormatting sqref="Z497:AA497">
    <cfRule type="expression" dxfId="568" priority="145">
      <formula>$Q956="exigência cumprida"</formula>
    </cfRule>
    <cfRule type="expression" dxfId="567" priority="146">
      <formula>$Q956="em análise"</formula>
    </cfRule>
    <cfRule type="expression" dxfId="566" priority="147">
      <formula>$Q956="em exigência"</formula>
    </cfRule>
    <cfRule type="expression" dxfId="565" priority="148">
      <formula>$Q956="em recurso"</formula>
    </cfRule>
  </conditionalFormatting>
  <conditionalFormatting sqref="AE497">
    <cfRule type="expression" dxfId="564" priority="141">
      <formula>$Q956="exigência cumprida"</formula>
    </cfRule>
    <cfRule type="expression" dxfId="563" priority="142">
      <formula>$Q956="em análise"</formula>
    </cfRule>
    <cfRule type="expression" dxfId="562" priority="143">
      <formula>$Q956="em exigência"</formula>
    </cfRule>
    <cfRule type="expression" dxfId="561" priority="144">
      <formula>$Q956="em recurso"</formula>
    </cfRule>
  </conditionalFormatting>
  <conditionalFormatting sqref="M498">
    <cfRule type="expression" dxfId="560" priority="133">
      <formula>$R498="exigência cumprida"</formula>
    </cfRule>
    <cfRule type="expression" dxfId="559" priority="134">
      <formula>$R498="em análise"</formula>
    </cfRule>
    <cfRule type="expression" dxfId="558" priority="135">
      <formula>$R498="em exigência"</formula>
    </cfRule>
    <cfRule type="expression" dxfId="557" priority="136">
      <formula>$R498="em recurso"</formula>
    </cfRule>
  </conditionalFormatting>
  <conditionalFormatting sqref="U498">
    <cfRule type="expression" dxfId="556" priority="129">
      <formula>$R498="exigência cumprida"</formula>
    </cfRule>
    <cfRule type="expression" dxfId="555" priority="130">
      <formula>$R498="em análise"</formula>
    </cfRule>
    <cfRule type="expression" dxfId="554" priority="131">
      <formula>$R498="em exigência"</formula>
    </cfRule>
    <cfRule type="expression" dxfId="553" priority="132">
      <formula>$R498="em recurso"</formula>
    </cfRule>
  </conditionalFormatting>
  <conditionalFormatting sqref="A499:Y499">
    <cfRule type="expression" dxfId="552" priority="121">
      <formula>$R499="exigência cumprida"</formula>
    </cfRule>
    <cfRule type="expression" dxfId="551" priority="122">
      <formula>$R499="em análise"</formula>
    </cfRule>
    <cfRule type="expression" dxfId="550" priority="123">
      <formula>$R499="em exigência"</formula>
    </cfRule>
    <cfRule type="expression" dxfId="549" priority="124">
      <formula>$R499="em recurso"</formula>
    </cfRule>
  </conditionalFormatting>
  <conditionalFormatting sqref="Z499">
    <cfRule type="expression" dxfId="548" priority="117">
      <formula>$R499="exigência cumprida"</formula>
    </cfRule>
    <cfRule type="expression" dxfId="547" priority="118">
      <formula>$R499="em análise"</formula>
    </cfRule>
    <cfRule type="expression" dxfId="546" priority="119">
      <formula>$R499="em exigência"</formula>
    </cfRule>
    <cfRule type="expression" dxfId="545" priority="120">
      <formula>$R499="em recurso"</formula>
    </cfRule>
  </conditionalFormatting>
  <conditionalFormatting sqref="AF499:AI499">
    <cfRule type="expression" dxfId="544" priority="109">
      <formula>$R499="exigência cumprida"</formula>
    </cfRule>
    <cfRule type="expression" dxfId="543" priority="110">
      <formula>$R499="em análise"</formula>
    </cfRule>
    <cfRule type="expression" dxfId="542" priority="111">
      <formula>$R499="em exigência"</formula>
    </cfRule>
    <cfRule type="expression" dxfId="541" priority="112">
      <formula>$R499="em recurso"</formula>
    </cfRule>
  </conditionalFormatting>
  <conditionalFormatting sqref="M501">
    <cfRule type="expression" dxfId="540" priority="105">
      <formula>$R501="exigência cumprida"</formula>
    </cfRule>
    <cfRule type="expression" dxfId="539" priority="106">
      <formula>$R501="em análise"</formula>
    </cfRule>
    <cfRule type="expression" dxfId="538" priority="107">
      <formula>$R501="em exigência"</formula>
    </cfRule>
    <cfRule type="expression" dxfId="537" priority="108">
      <formula>$R501="em recurso"</formula>
    </cfRule>
  </conditionalFormatting>
  <conditionalFormatting sqref="U500">
    <cfRule type="expression" dxfId="536" priority="101">
      <formula>$R500="exigência cumprida"</formula>
    </cfRule>
    <cfRule type="expression" dxfId="535" priority="102">
      <formula>$R500="em análise"</formula>
    </cfRule>
    <cfRule type="expression" dxfId="534" priority="103">
      <formula>$R500="em exigência"</formula>
    </cfRule>
    <cfRule type="expression" dxfId="533" priority="104">
      <formula>$R500="em recurso"</formula>
    </cfRule>
  </conditionalFormatting>
  <conditionalFormatting sqref="U501">
    <cfRule type="expression" dxfId="532" priority="97">
      <formula>$R501="exigência cumprida"</formula>
    </cfRule>
    <cfRule type="expression" dxfId="531" priority="98">
      <formula>$R501="em análise"</formula>
    </cfRule>
    <cfRule type="expression" dxfId="530" priority="99">
      <formula>$R501="em exigência"</formula>
    </cfRule>
    <cfRule type="expression" dxfId="529" priority="100">
      <formula>$R501="em recurso"</formula>
    </cfRule>
  </conditionalFormatting>
  <conditionalFormatting sqref="D501">
    <cfRule type="expression" dxfId="528" priority="93">
      <formula>$R501="exigência cumprida"</formula>
    </cfRule>
    <cfRule type="expression" dxfId="527" priority="94">
      <formula>$R501="em análise"</formula>
    </cfRule>
    <cfRule type="expression" dxfId="526" priority="95">
      <formula>$R501="em exigência"</formula>
    </cfRule>
    <cfRule type="expression" dxfId="525" priority="96">
      <formula>$R501="em recurso"</formula>
    </cfRule>
  </conditionalFormatting>
  <conditionalFormatting sqref="AI501">
    <cfRule type="expression" dxfId="524" priority="89">
      <formula>$Q957="exigência cumprida"</formula>
    </cfRule>
    <cfRule type="expression" dxfId="523" priority="90">
      <formula>$Q957="em análise"</formula>
    </cfRule>
    <cfRule type="expression" dxfId="522" priority="91">
      <formula>$Q957="em exigência"</formula>
    </cfRule>
    <cfRule type="expression" dxfId="521" priority="92">
      <formula>$Q957="em recurso"</formula>
    </cfRule>
  </conditionalFormatting>
  <conditionalFormatting sqref="A502:G502">
    <cfRule type="expression" dxfId="520" priority="85">
      <formula>$R502="exigência cumprida"</formula>
    </cfRule>
    <cfRule type="expression" dxfId="519" priority="86">
      <formula>$R502="em análise"</formula>
    </cfRule>
    <cfRule type="expression" dxfId="518" priority="87">
      <formula>$R502="em exigência"</formula>
    </cfRule>
    <cfRule type="expression" dxfId="517" priority="88">
      <formula>$R502="em recurso"</formula>
    </cfRule>
  </conditionalFormatting>
  <conditionalFormatting sqref="H502:Y502 T503">
    <cfRule type="expression" dxfId="516" priority="81">
      <formula>$R502="exigência cumprida"</formula>
    </cfRule>
    <cfRule type="expression" dxfId="515" priority="82">
      <formula>$R502="em análise"</formula>
    </cfRule>
    <cfRule type="expression" dxfId="514" priority="83">
      <formula>$R502="em exigência"</formula>
    </cfRule>
    <cfRule type="expression" dxfId="513" priority="84">
      <formula>$R502="em recurso"</formula>
    </cfRule>
  </conditionalFormatting>
  <conditionalFormatting sqref="Z502">
    <cfRule type="expression" dxfId="512" priority="77">
      <formula>$R502="exigência cumprida"</formula>
    </cfRule>
    <cfRule type="expression" dxfId="511" priority="78">
      <formula>$R502="em análise"</formula>
    </cfRule>
    <cfRule type="expression" dxfId="510" priority="79">
      <formula>$R502="em exigência"</formula>
    </cfRule>
    <cfRule type="expression" dxfId="509" priority="80">
      <formula>$R502="em recurso"</formula>
    </cfRule>
  </conditionalFormatting>
  <conditionalFormatting sqref="AF502:AI502">
    <cfRule type="expression" dxfId="508" priority="73">
      <formula>$R502="exigência cumprida"</formula>
    </cfRule>
    <cfRule type="expression" dxfId="507" priority="74">
      <formula>$R502="em análise"</formula>
    </cfRule>
    <cfRule type="expression" dxfId="506" priority="75">
      <formula>$R502="em exigência"</formula>
    </cfRule>
    <cfRule type="expression" dxfId="505" priority="76">
      <formula>$R502="em recurso"</formula>
    </cfRule>
  </conditionalFormatting>
  <conditionalFormatting sqref="S503 A503:Q503 U503:Y503">
    <cfRule type="expression" dxfId="504" priority="8800">
      <formula>$Q503="exigência cumprida"</formula>
    </cfRule>
    <cfRule type="expression" dxfId="503" priority="8801">
      <formula>$Q503="em análise"</formula>
    </cfRule>
    <cfRule type="expression" dxfId="502" priority="8802">
      <formula>$Q503="em exigência"</formula>
    </cfRule>
    <cfRule type="expression" dxfId="501" priority="8803">
      <formula>$Q503="em recurso"</formula>
    </cfRule>
  </conditionalFormatting>
  <conditionalFormatting sqref="Z503:AA503">
    <cfRule type="expression" dxfId="500" priority="65">
      <formula>$Q997="exigência cumprida"</formula>
    </cfRule>
    <cfRule type="expression" dxfId="499" priority="66">
      <formula>$Q997="em análise"</formula>
    </cfRule>
    <cfRule type="expression" dxfId="498" priority="67">
      <formula>$Q997="em exigência"</formula>
    </cfRule>
    <cfRule type="expression" dxfId="497" priority="68">
      <formula>$Q997="em recurso"</formula>
    </cfRule>
  </conditionalFormatting>
  <conditionalFormatting sqref="AF503:AI503">
    <cfRule type="expression" dxfId="496" priority="61">
      <formula>$Q997="exigência cumprida"</formula>
    </cfRule>
    <cfRule type="expression" dxfId="495" priority="62">
      <formula>$Q997="em análise"</formula>
    </cfRule>
    <cfRule type="expression" dxfId="494" priority="63">
      <formula>$Q997="em exigência"</formula>
    </cfRule>
    <cfRule type="expression" dxfId="493" priority="64">
      <formula>$Q997="em recurso"</formula>
    </cfRule>
  </conditionalFormatting>
  <conditionalFormatting sqref="A504:Y504">
    <cfRule type="expression" dxfId="492" priority="57">
      <formula>$R504="exigência cumprida"</formula>
    </cfRule>
    <cfRule type="expression" dxfId="491" priority="58">
      <formula>$R504="em análise"</formula>
    </cfRule>
    <cfRule type="expression" dxfId="490" priority="59">
      <formula>$R504="em exigência"</formula>
    </cfRule>
    <cfRule type="expression" dxfId="489" priority="60">
      <formula>$R504="em recurso"</formula>
    </cfRule>
  </conditionalFormatting>
  <conditionalFormatting sqref="Z504:AA504">
    <cfRule type="expression" dxfId="488" priority="53">
      <formula>$Q999="exigência cumprida"</formula>
    </cfRule>
    <cfRule type="expression" dxfId="487" priority="54">
      <formula>$Q999="em análise"</formula>
    </cfRule>
    <cfRule type="expression" dxfId="486" priority="55">
      <formula>$Q999="em exigência"</formula>
    </cfRule>
    <cfRule type="expression" dxfId="485" priority="56">
      <formula>$Q999="em recurso"</formula>
    </cfRule>
  </conditionalFormatting>
  <conditionalFormatting sqref="AF504:AI504">
    <cfRule type="expression" dxfId="484" priority="49">
      <formula>$Q999="exigência cumprida"</formula>
    </cfRule>
    <cfRule type="expression" dxfId="483" priority="50">
      <formula>$Q999="em análise"</formula>
    </cfRule>
    <cfRule type="expression" dxfId="482" priority="51">
      <formula>$Q999="em exigência"</formula>
    </cfRule>
    <cfRule type="expression" dxfId="481" priority="52">
      <formula>$Q999="em recurso"</formula>
    </cfRule>
  </conditionalFormatting>
  <conditionalFormatting sqref="EK505:ES505 AE505:EH505 A505:AC505">
    <cfRule type="expression" dxfId="480" priority="45">
      <formula>$R505="exigência cumprida"</formula>
    </cfRule>
    <cfRule type="expression" dxfId="479" priority="46">
      <formula>$R505="em análise"</formula>
    </cfRule>
    <cfRule type="expression" dxfId="478" priority="47">
      <formula>$R505="em exigência"</formula>
    </cfRule>
    <cfRule type="expression" dxfId="477" priority="48">
      <formula>$R505="em recurso"</formula>
    </cfRule>
  </conditionalFormatting>
  <conditionalFormatting sqref="AE505">
    <cfRule type="expression" dxfId="476" priority="41">
      <formula>$R505="exigência cumprida"</formula>
    </cfRule>
    <cfRule type="expression" dxfId="475" priority="42">
      <formula>$R505="em análise"</formula>
    </cfRule>
    <cfRule type="expression" dxfId="474" priority="43">
      <formula>$R505="em exigência"</formula>
    </cfRule>
    <cfRule type="expression" dxfId="473" priority="44">
      <formula>$R505="em recurso"</formula>
    </cfRule>
  </conditionalFormatting>
  <conditionalFormatting sqref="EI505">
    <cfRule type="expression" dxfId="472" priority="37">
      <formula>$R505="exigência cumprida"</formula>
    </cfRule>
    <cfRule type="expression" dxfId="471" priority="38">
      <formula>$R505="em análise"</formula>
    </cfRule>
    <cfRule type="expression" dxfId="470" priority="39">
      <formula>$R505="em exigência"</formula>
    </cfRule>
    <cfRule type="expression" dxfId="469" priority="40">
      <formula>$R505="em recurso"</formula>
    </cfRule>
  </conditionalFormatting>
  <conditionalFormatting sqref="EJ505">
    <cfRule type="expression" dxfId="468" priority="33">
      <formula>$R505="exigência cumprida"</formula>
    </cfRule>
    <cfRule type="expression" dxfId="467" priority="34">
      <formula>$R505="em análise"</formula>
    </cfRule>
    <cfRule type="expression" dxfId="466" priority="35">
      <formula>$R505="em exigência"</formula>
    </cfRule>
    <cfRule type="expression" dxfId="465" priority="36">
      <formula>$R505="em recurso"</formula>
    </cfRule>
  </conditionalFormatting>
  <conditionalFormatting sqref="AD505">
    <cfRule type="expression" dxfId="464" priority="29">
      <formula>$R505="exigência cumprida"</formula>
    </cfRule>
    <cfRule type="expression" dxfId="463" priority="30">
      <formula>$R505="em análise"</formula>
    </cfRule>
    <cfRule type="expression" dxfId="462" priority="31">
      <formula>$R505="em exigência"</formula>
    </cfRule>
    <cfRule type="expression" dxfId="461" priority="32">
      <formula>$R505="em recurso"</formula>
    </cfRule>
  </conditionalFormatting>
  <conditionalFormatting sqref="AD505">
    <cfRule type="expression" dxfId="460" priority="25">
      <formula>$R505="exigência cumprida"</formula>
    </cfRule>
    <cfRule type="expression" dxfId="459" priority="26">
      <formula>$R505="em análise"</formula>
    </cfRule>
    <cfRule type="expression" dxfId="458" priority="27">
      <formula>$R505="em exigência"</formula>
    </cfRule>
    <cfRule type="expression" dxfId="457" priority="28">
      <formula>$R505="em recurso"</formula>
    </cfRule>
  </conditionalFormatting>
  <conditionalFormatting sqref="AC505">
    <cfRule type="expression" dxfId="456" priority="21">
      <formula>$R505="exigência cumprida"</formula>
    </cfRule>
    <cfRule type="expression" dxfId="455" priority="22">
      <formula>$R505="em análise"</formula>
    </cfRule>
    <cfRule type="expression" dxfId="454" priority="23">
      <formula>$R505="em exigência"</formula>
    </cfRule>
    <cfRule type="expression" dxfId="453" priority="24">
      <formula>$R505="em recurso"</formula>
    </cfRule>
  </conditionalFormatting>
  <conditionalFormatting sqref="K506">
    <cfRule type="expression" dxfId="452" priority="17">
      <formula>$R506="exigência cumprida"</formula>
    </cfRule>
    <cfRule type="expression" dxfId="451" priority="18">
      <formula>$R506="em análise"</formula>
    </cfRule>
    <cfRule type="expression" dxfId="450" priority="19">
      <formula>$R506="em exigência"</formula>
    </cfRule>
    <cfRule type="expression" dxfId="449" priority="20">
      <formula>$R506="em recurso"</formula>
    </cfRule>
  </conditionalFormatting>
  <conditionalFormatting sqref="H506">
    <cfRule type="expression" dxfId="448" priority="13">
      <formula>$R506="exigência cumprida"</formula>
    </cfRule>
    <cfRule type="expression" dxfId="447" priority="14">
      <formula>$R506="em análise"</formula>
    </cfRule>
    <cfRule type="expression" dxfId="446" priority="15">
      <formula>$R506="em exigência"</formula>
    </cfRule>
    <cfRule type="expression" dxfId="445" priority="16">
      <formula>$R506="em recurso"</formula>
    </cfRule>
  </conditionalFormatting>
  <conditionalFormatting sqref="M506">
    <cfRule type="expression" dxfId="444" priority="9">
      <formula>$R506="exigência cumprida"</formula>
    </cfRule>
    <cfRule type="expression" dxfId="443" priority="10">
      <formula>$R506="em análise"</formula>
    </cfRule>
    <cfRule type="expression" dxfId="442" priority="11">
      <formula>$R506="em exigência"</formula>
    </cfRule>
    <cfRule type="expression" dxfId="441" priority="12">
      <formula>$R506="em recurso"</formula>
    </cfRule>
  </conditionalFormatting>
  <conditionalFormatting sqref="U506 AB506">
    <cfRule type="expression" dxfId="440" priority="5">
      <formula>$R506="exigência cumprida"</formula>
    </cfRule>
    <cfRule type="expression" dxfId="439" priority="6">
      <formula>$R506="em análise"</formula>
    </cfRule>
    <cfRule type="expression" dxfId="438" priority="7">
      <formula>$R506="em exigência"</formula>
    </cfRule>
    <cfRule type="expression" dxfId="437" priority="8">
      <formula>$R506="em recurso"</formula>
    </cfRule>
  </conditionalFormatting>
  <conditionalFormatting sqref="AJ506">
    <cfRule type="expression" dxfId="436" priority="1">
      <formula>$R506="exigência cumprida"</formula>
    </cfRule>
    <cfRule type="expression" dxfId="435" priority="2">
      <formula>$R506="em análise"</formula>
    </cfRule>
    <cfRule type="expression" dxfId="434" priority="3">
      <formula>$R506="em exigência"</formula>
    </cfRule>
    <cfRule type="expression" dxfId="433" priority="4">
      <formula>$R506="em recurso"</formula>
    </cfRule>
  </conditionalFormatting>
  <dataValidations count="12">
    <dataValidation type="list" allowBlank="1" showInputMessage="1" showErrorMessage="1" sqref="B245">
      <formula1>empresa</formula1>
    </dataValidation>
    <dataValidation type="list" allowBlank="1" showInputMessage="1" showErrorMessage="1" sqref="L399:L409 L411">
      <formula1>$F$2:$F$101</formula1>
    </dataValidation>
    <dataValidation type="list" allowBlank="1" showInputMessage="1" showErrorMessage="1" sqref="L410">
      <formula1>$F$2:$F$103</formula1>
    </dataValidation>
    <dataValidation type="list" allowBlank="1" showInputMessage="1" showErrorMessage="1" sqref="L412">
      <formula1>$F$2:$F$100</formula1>
    </dataValidation>
    <dataValidation type="list" allowBlank="1" showInputMessage="1" showErrorMessage="1" sqref="L413 L418">
      <formula1>$F$2:$F$99</formula1>
    </dataValidation>
    <dataValidation type="list" allowBlank="1" showInputMessage="1" showErrorMessage="1" sqref="L414">
      <formula1>$F$2:$F$98</formula1>
    </dataValidation>
    <dataValidation type="list" allowBlank="1" showInputMessage="1" showErrorMessage="1" sqref="L415">
      <formula1>$F$2:$F$102</formula1>
    </dataValidation>
    <dataValidation type="list" allowBlank="1" showInputMessage="1" showErrorMessage="1" sqref="K399:K405">
      <formula1>$F$2:$F$6</formula1>
    </dataValidation>
    <dataValidation type="list" allowBlank="1" showInputMessage="1" showErrorMessage="1" sqref="M399:M406 M415:M418 M408:M410">
      <formula1>$H$2:$H$5</formula1>
    </dataValidation>
    <dataValidation type="list" allowBlank="1" showInputMessage="1" showErrorMessage="1" sqref="M419:M422">
      <formula1>$G$2:$G$5</formula1>
    </dataValidation>
    <dataValidation type="list" allowBlank="1" showInputMessage="1" showErrorMessage="1" sqref="L423:L436">
      <formula1>$F$2:$F$79</formula1>
    </dataValidation>
    <dataValidation type="list" allowBlank="1" showInputMessage="1" showErrorMessage="1" sqref="L452:L454 L502 L499 L496:L497 L491:L493 L484:L489 L477:L482 L474:L475 L472 L462:L470 L456:L458 L447:L448">
      <formula1>$D$2:$D$102</formula1>
    </dataValidation>
  </dataValidations>
  <pageMargins left="0.511811024" right="0.511811024" top="0.78740157499999996" bottom="0.78740157499999996" header="0.31496062000000002" footer="0.31496062000000002"/>
  <pageSetup paperSize="9" scale="33" orientation="portrait" r:id="rId1"/>
  <colBreaks count="1" manualBreakCount="1">
    <brk id="13" max="511" man="1"/>
  </colBreaks>
  <extLst>
    <ext xmlns:x14="http://schemas.microsoft.com/office/spreadsheetml/2009/9/main" uri="{CCE6A557-97BC-4b89-ADB6-D9C93CAAB3DF}">
      <x14:dataValidations xmlns:xm="http://schemas.microsoft.com/office/excel/2006/main" count="17">
        <x14:dataValidation type="list" allowBlank="1" showInputMessage="1" showErrorMessage="1">
          <x14:formula1>
            <xm:f>Formulas!$A$2:$A$3</xm:f>
          </x14:formula1>
          <xm:sqref>B397 B400:B436 B452:B458 B462:B472 B474:B477 B479:B506</xm:sqref>
        </x14:dataValidation>
        <x14:dataValidation type="list" allowBlank="1" showInputMessage="1" showErrorMessage="1">
          <x14:formula1>
            <xm:f>Formulas!$C$2:$C$6</xm:f>
          </x14:formula1>
          <xm:sqref>K397</xm:sqref>
        </x14:dataValidation>
        <x14:dataValidation type="list" allowBlank="1" showInputMessage="1" showErrorMessage="1">
          <x14:formula1>
            <xm:f>Formulas!$E$2:$E$5</xm:f>
          </x14:formula1>
          <xm:sqref>M397 M423:M427</xm:sqref>
        </x14:dataValidation>
        <x14:dataValidation type="list" allowBlank="1" showInputMessage="1" showErrorMessage="1">
          <x14:formula1>
            <xm:f>Formulas!$C$2:$C$7</xm:f>
          </x14:formula1>
          <xm:sqref>K406:K436 K447:K448 K452:K454 K456:K458 K462:K470 K472 K474:K475 K477:K482 K484:K489 K491:K493 K496:K497 K499 K502:K506</xm:sqref>
        </x14:dataValidation>
        <x14:dataValidation type="list" allowBlank="1" showInputMessage="1" showErrorMessage="1">
          <x14:formula1>
            <xm:f>Formulas!$H$2:$H$8</xm:f>
          </x14:formula1>
          <xm:sqref>AK430:AL436</xm:sqref>
        </x14:dataValidation>
        <x14:dataValidation type="list" allowBlank="1" showInputMessage="1" showErrorMessage="1">
          <x14:formula1>
            <xm:f>Formulas!$G$2:$G$4</xm:f>
          </x14:formula1>
          <xm:sqref>AO466:AP466 AM454:AN454 AM430:AM433</xm:sqref>
        </x14:dataValidation>
        <x14:dataValidation type="list" allowBlank="1" showInputMessage="1" showErrorMessage="1">
          <x14:formula1>
            <xm:f>Formulas!$B$2:$B$4</xm:f>
          </x14:formula1>
          <xm:sqref>C2:D445 C447:D460 C462:D472 C477:D477 C479:D479 C507:D1048576</xm:sqref>
        </x14:dataValidation>
        <x14:dataValidation type="list" allowBlank="1" showInputMessage="1" showErrorMessage="1">
          <x14:formula1>
            <xm:f>Formulas!$E$2:$E$7</xm:f>
          </x14:formula1>
          <xm:sqref>M428:M436 M452:M454 M456:M458 M462:M470 M472</xm:sqref>
        </x14:dataValidation>
        <x14:dataValidation type="list" allowBlank="1" showInputMessage="1" showErrorMessage="1">
          <x14:formula1>
            <xm:f>Formulas!$D$2:$D$102</xm:f>
          </x14:formula1>
          <xm:sqref>L397 L503:L506</xm:sqref>
        </x14:dataValidation>
        <x14:dataValidation type="list" allowBlank="1" showInputMessage="1" showErrorMessage="1">
          <x14:formula1>
            <xm:f>Formulas!#REF!</xm:f>
          </x14:formula1>
          <xm:sqref>B461:D461 K461:M461 K473</xm:sqref>
        </x14:dataValidation>
        <x14:dataValidation type="list" allowBlank="1" showInputMessage="1" showErrorMessage="1">
          <x14:formula1>
            <xm:f>Formulas!$H$2:$H$13</xm:f>
          </x14:formula1>
          <xm:sqref>B473:D473 L473:M473 E474 C475:D475 G480 C482:D483 Z1 S484:S502 Z484:Z488 C489 Z494:Z495 C496 X496 Z497 X499 C499 Z499:Z504 X502 S504:S506 C502:C504 Y503 X504 EK505</xm:sqref>
        </x14:dataValidation>
        <x14:dataValidation type="list" allowBlank="1" showInputMessage="1" showErrorMessage="1">
          <x14:formula1>
            <xm:f>Formulas!$E$2:$E$8</xm:f>
          </x14:formula1>
          <xm:sqref>M474:M475 M477 M479:M480 M482 M484:M489 M491:M494 M496:M499 M501:M504</xm:sqref>
        </x14:dataValidation>
        <x14:dataValidation type="list" allowBlank="1" showInputMessage="1" showErrorMessage="1">
          <x14:formula1>
            <xm:f>'G:\Assuntos Regulatórios Medicamentos\PLANILHAS DE CONTROLE REGULATÓRIO\[Cópia de Protocolados - Grupo Hypera Pharma____.xlsx]Formulas'!#REF!</xm:f>
          </x14:formula1>
          <xm:sqref>M500</xm:sqref>
        </x14:dataValidation>
        <x14:dataValidation type="list" allowBlank="1" showInputMessage="1" showErrorMessage="1">
          <x14:formula1>
            <xm:f>Formulas!$F$2:$F$15</xm:f>
          </x14:formula1>
          <xm:sqref>AK464:AL467 Q505:Q506</xm:sqref>
        </x14:dataValidation>
        <x14:dataValidation type="list" allowBlank="1" showInputMessage="1" showErrorMessage="1">
          <x14:formula1>
            <xm:f>Formulas!$F$2:$F$15</xm:f>
          </x14:formula1>
          <xm:sqref>Q484:Q495</xm:sqref>
        </x14:dataValidation>
        <x14:dataValidation type="list" allowBlank="1" showInputMessage="1" showErrorMessage="1">
          <x14:formula1>
            <xm:f>Formulas!$F$2:$F$15</xm:f>
          </x14:formula1>
          <xm:sqref>Q496:Q504</xm:sqref>
        </x14:dataValidation>
        <x14:dataValidation type="list" allowBlank="1" showInputMessage="1" showErrorMessage="1">
          <x14:formula1>
            <xm:f>Formulas!$E$2:$E$14</xm:f>
          </x14:formula1>
          <xm:sqref>M505:M506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tabColor theme="5" tint="0.59999389629810485"/>
  </sheetPr>
  <dimension ref="A1:HM305"/>
  <sheetViews>
    <sheetView showGridLines="0" zoomScale="60" zoomScaleNormal="60" zoomScaleSheetLayoutView="70" workbookViewId="0">
      <pane xSplit="1" ySplit="1" topLeftCell="F305" activePane="bottomRight" state="frozen"/>
      <selection activeCell="I3" sqref="I3"/>
      <selection pane="topRight" activeCell="I3" sqref="I3"/>
      <selection pane="bottomLeft" activeCell="I3" sqref="I3"/>
      <selection pane="bottomRight" activeCell="O305" sqref="O305"/>
    </sheetView>
  </sheetViews>
  <sheetFormatPr defaultColWidth="9.140625" defaultRowHeight="12.75" x14ac:dyDescent="0.2"/>
  <cols>
    <col min="1" max="2" width="13.28515625" style="67" customWidth="1"/>
    <col min="3" max="3" width="21.28515625" style="67" customWidth="1"/>
    <col min="4" max="4" width="24.7109375" style="67" customWidth="1"/>
    <col min="5" max="5" width="27.7109375" style="67" bestFit="1" customWidth="1"/>
    <col min="6" max="6" width="18.28515625" style="67" customWidth="1"/>
    <col min="7" max="7" width="44" style="67" customWidth="1"/>
    <col min="8" max="8" width="16.5703125" style="67" customWidth="1"/>
    <col min="9" max="9" width="11.28515625" style="67" customWidth="1"/>
    <col min="10" max="10" width="19.28515625" style="67" customWidth="1"/>
    <col min="11" max="11" width="23" style="67" customWidth="1"/>
    <col min="12" max="12" width="12.42578125" style="67" customWidth="1"/>
    <col min="13" max="13" width="16.140625" style="95" customWidth="1"/>
    <col min="14" max="14" width="69.28515625" style="95" customWidth="1"/>
    <col min="15" max="15" width="35.85546875" style="177" customWidth="1"/>
    <col min="16" max="16384" width="9.140625" style="52"/>
  </cols>
  <sheetData>
    <row r="1" spans="1:15" ht="25.5" x14ac:dyDescent="0.2">
      <c r="A1" s="239" t="s">
        <v>583</v>
      </c>
      <c r="B1" s="345" t="s">
        <v>3834</v>
      </c>
      <c r="C1" s="239" t="s">
        <v>0</v>
      </c>
      <c r="D1" s="239" t="s">
        <v>1</v>
      </c>
      <c r="E1" s="239" t="s">
        <v>2</v>
      </c>
      <c r="F1" s="239" t="s">
        <v>649</v>
      </c>
      <c r="G1" s="345" t="s">
        <v>3057</v>
      </c>
      <c r="H1" s="240" t="s">
        <v>8</v>
      </c>
      <c r="I1" s="239" t="s">
        <v>3</v>
      </c>
      <c r="J1" s="239" t="s">
        <v>4</v>
      </c>
      <c r="K1" s="239" t="s">
        <v>5</v>
      </c>
      <c r="L1" s="239" t="s">
        <v>6</v>
      </c>
      <c r="M1" s="240" t="s">
        <v>7</v>
      </c>
      <c r="N1" s="239" t="s">
        <v>2573</v>
      </c>
      <c r="O1" s="239" t="s">
        <v>634</v>
      </c>
    </row>
    <row r="2" spans="1:15" ht="38.25" x14ac:dyDescent="0.2">
      <c r="A2" s="41" t="s">
        <v>1137</v>
      </c>
      <c r="B2" s="41"/>
      <c r="C2" s="187" t="s">
        <v>1105</v>
      </c>
      <c r="D2" s="186" t="s">
        <v>1106</v>
      </c>
      <c r="E2" s="182" t="s">
        <v>1106</v>
      </c>
      <c r="F2" s="182" t="s">
        <v>1107</v>
      </c>
      <c r="G2" s="151"/>
      <c r="H2" s="241" t="s">
        <v>1108</v>
      </c>
      <c r="I2" s="29" t="s">
        <v>1394</v>
      </c>
      <c r="J2" s="182" t="s">
        <v>45</v>
      </c>
      <c r="K2" s="182" t="s">
        <v>13</v>
      </c>
      <c r="L2" s="187">
        <v>40028</v>
      </c>
      <c r="M2" s="187" t="s">
        <v>1109</v>
      </c>
      <c r="N2" s="182" t="s">
        <v>1110</v>
      </c>
      <c r="O2" s="178" t="s">
        <v>2904</v>
      </c>
    </row>
    <row r="3" spans="1:15" ht="102" x14ac:dyDescent="0.2">
      <c r="A3" s="41" t="s">
        <v>1137</v>
      </c>
      <c r="B3" s="41"/>
      <c r="C3" s="182" t="s">
        <v>1111</v>
      </c>
      <c r="D3" s="186" t="s">
        <v>809</v>
      </c>
      <c r="E3" s="182" t="s">
        <v>809</v>
      </c>
      <c r="F3" s="242" t="s">
        <v>1112</v>
      </c>
      <c r="G3" s="346"/>
      <c r="H3" s="241" t="s">
        <v>811</v>
      </c>
      <c r="I3" s="29" t="s">
        <v>1394</v>
      </c>
      <c r="J3" s="182" t="s">
        <v>45</v>
      </c>
      <c r="K3" s="182" t="s">
        <v>13</v>
      </c>
      <c r="L3" s="187">
        <v>40226</v>
      </c>
      <c r="M3" s="182">
        <v>124076105</v>
      </c>
      <c r="N3" s="182" t="s">
        <v>2630</v>
      </c>
      <c r="O3" s="178" t="s">
        <v>2905</v>
      </c>
    </row>
    <row r="4" spans="1:15" ht="63.75" x14ac:dyDescent="0.2">
      <c r="A4" s="41" t="s">
        <v>1137</v>
      </c>
      <c r="B4" s="41"/>
      <c r="C4" s="241" t="s">
        <v>1113</v>
      </c>
      <c r="D4" s="186" t="s">
        <v>1114</v>
      </c>
      <c r="E4" s="182" t="s">
        <v>1114</v>
      </c>
      <c r="F4" s="182" t="s">
        <v>1115</v>
      </c>
      <c r="G4" s="151"/>
      <c r="H4" s="182" t="s">
        <v>1116</v>
      </c>
      <c r="I4" s="29" t="s">
        <v>1394</v>
      </c>
      <c r="J4" s="182" t="s">
        <v>18</v>
      </c>
      <c r="K4" s="182" t="s">
        <v>13</v>
      </c>
      <c r="L4" s="187">
        <v>40543</v>
      </c>
      <c r="M4" s="241" t="s">
        <v>1117</v>
      </c>
      <c r="N4" s="182" t="s">
        <v>1118</v>
      </c>
      <c r="O4" s="178" t="s">
        <v>2906</v>
      </c>
    </row>
    <row r="5" spans="1:15" ht="63.75" x14ac:dyDescent="0.2">
      <c r="A5" s="41" t="s">
        <v>1137</v>
      </c>
      <c r="B5" s="41"/>
      <c r="C5" s="241" t="s">
        <v>1119</v>
      </c>
      <c r="D5" s="186" t="s">
        <v>1120</v>
      </c>
      <c r="E5" s="182" t="s">
        <v>1114</v>
      </c>
      <c r="F5" s="182" t="s">
        <v>1115</v>
      </c>
      <c r="G5" s="151"/>
      <c r="H5" s="182" t="s">
        <v>1116</v>
      </c>
      <c r="I5" s="69" t="s">
        <v>1393</v>
      </c>
      <c r="J5" s="182" t="s">
        <v>18</v>
      </c>
      <c r="K5" s="182" t="s">
        <v>13</v>
      </c>
      <c r="L5" s="187">
        <v>40543</v>
      </c>
      <c r="M5" s="241" t="s">
        <v>1121</v>
      </c>
      <c r="N5" s="182" t="s">
        <v>1118</v>
      </c>
      <c r="O5" s="178" t="s">
        <v>2906</v>
      </c>
    </row>
    <row r="6" spans="1:15" ht="51" x14ac:dyDescent="0.2">
      <c r="A6" s="41" t="s">
        <v>1174</v>
      </c>
      <c r="B6" s="41"/>
      <c r="C6" s="182" t="s">
        <v>1122</v>
      </c>
      <c r="D6" s="186" t="s">
        <v>153</v>
      </c>
      <c r="E6" s="182" t="s">
        <v>152</v>
      </c>
      <c r="F6" s="182" t="s">
        <v>328</v>
      </c>
      <c r="G6" s="151"/>
      <c r="H6" s="182" t="s">
        <v>194</v>
      </c>
      <c r="I6" s="69" t="s">
        <v>1393</v>
      </c>
      <c r="J6" s="182" t="s">
        <v>685</v>
      </c>
      <c r="K6" s="30" t="s">
        <v>2445</v>
      </c>
      <c r="L6" s="187">
        <v>40543</v>
      </c>
      <c r="M6" s="182">
        <v>24490112</v>
      </c>
      <c r="N6" s="182" t="s">
        <v>1123</v>
      </c>
      <c r="O6" s="28" t="s">
        <v>2907</v>
      </c>
    </row>
    <row r="7" spans="1:15" ht="38.25" x14ac:dyDescent="0.2">
      <c r="A7" s="41" t="s">
        <v>2191</v>
      </c>
      <c r="B7" s="41"/>
      <c r="C7" s="182" t="s">
        <v>1124</v>
      </c>
      <c r="D7" s="186" t="s">
        <v>1125</v>
      </c>
      <c r="E7" s="182" t="s">
        <v>10</v>
      </c>
      <c r="F7" s="182" t="s">
        <v>89</v>
      </c>
      <c r="G7" s="151"/>
      <c r="H7" s="241" t="s">
        <v>14</v>
      </c>
      <c r="I7" s="182" t="s">
        <v>1393</v>
      </c>
      <c r="J7" s="182" t="s">
        <v>12</v>
      </c>
      <c r="K7" s="182" t="s">
        <v>13</v>
      </c>
      <c r="L7" s="187">
        <v>40058</v>
      </c>
      <c r="M7" s="243" t="s">
        <v>1126</v>
      </c>
      <c r="N7" s="182" t="s">
        <v>1127</v>
      </c>
      <c r="O7" s="178" t="s">
        <v>2906</v>
      </c>
    </row>
    <row r="8" spans="1:15" ht="63.75" x14ac:dyDescent="0.2">
      <c r="A8" s="41" t="s">
        <v>1137</v>
      </c>
      <c r="B8" s="41"/>
      <c r="C8" s="182" t="s">
        <v>1128</v>
      </c>
      <c r="D8" s="186" t="s">
        <v>1129</v>
      </c>
      <c r="E8" s="182" t="s">
        <v>1129</v>
      </c>
      <c r="F8" s="244" t="s">
        <v>1130</v>
      </c>
      <c r="G8" s="347"/>
      <c r="H8" s="182" t="s">
        <v>1131</v>
      </c>
      <c r="I8" s="29" t="s">
        <v>1394</v>
      </c>
      <c r="J8" s="244" t="s">
        <v>45</v>
      </c>
      <c r="K8" s="182" t="s">
        <v>13</v>
      </c>
      <c r="L8" s="187">
        <v>40627</v>
      </c>
      <c r="M8" s="241" t="s">
        <v>1132</v>
      </c>
      <c r="N8" s="182"/>
      <c r="O8" s="28" t="s">
        <v>2908</v>
      </c>
    </row>
    <row r="9" spans="1:15" x14ac:dyDescent="0.2">
      <c r="A9" s="41" t="s">
        <v>584</v>
      </c>
      <c r="B9" s="41"/>
      <c r="C9" s="181" t="s">
        <v>491</v>
      </c>
      <c r="D9" s="180" t="s">
        <v>492</v>
      </c>
      <c r="E9" s="181" t="s">
        <v>493</v>
      </c>
      <c r="F9" s="188"/>
      <c r="G9" s="188"/>
      <c r="H9" s="181" t="s">
        <v>494</v>
      </c>
      <c r="I9" s="41" t="s">
        <v>1392</v>
      </c>
      <c r="J9" s="188" t="s">
        <v>1369</v>
      </c>
      <c r="K9" s="181" t="s">
        <v>13</v>
      </c>
      <c r="L9" s="90">
        <v>40771</v>
      </c>
      <c r="M9" s="34" t="s">
        <v>2999</v>
      </c>
      <c r="N9" s="181" t="s">
        <v>1147</v>
      </c>
      <c r="O9" s="178" t="s">
        <v>3000</v>
      </c>
    </row>
    <row r="10" spans="1:15" ht="38.25" x14ac:dyDescent="0.2">
      <c r="A10" s="44" t="s">
        <v>584</v>
      </c>
      <c r="B10" s="68"/>
      <c r="C10" s="181" t="s">
        <v>463</v>
      </c>
      <c r="D10" s="180" t="s">
        <v>531</v>
      </c>
      <c r="E10" s="181" t="s">
        <v>464</v>
      </c>
      <c r="F10" s="83"/>
      <c r="G10" s="83"/>
      <c r="H10" s="181" t="s">
        <v>1964</v>
      </c>
      <c r="I10" s="41" t="s">
        <v>1392</v>
      </c>
      <c r="J10" s="181" t="s">
        <v>879</v>
      </c>
      <c r="K10" s="181" t="s">
        <v>465</v>
      </c>
      <c r="L10" s="90">
        <v>40315</v>
      </c>
      <c r="M10" s="34" t="s">
        <v>2909</v>
      </c>
      <c r="N10" s="45" t="s">
        <v>1250</v>
      </c>
      <c r="O10" s="28" t="s">
        <v>1682</v>
      </c>
    </row>
    <row r="11" spans="1:15" ht="38.25" x14ac:dyDescent="0.2">
      <c r="A11" s="44" t="s">
        <v>585</v>
      </c>
      <c r="B11" s="68"/>
      <c r="C11" s="80" t="s">
        <v>74</v>
      </c>
      <c r="D11" s="161" t="s">
        <v>43</v>
      </c>
      <c r="E11" s="45" t="s">
        <v>44</v>
      </c>
      <c r="F11" s="83"/>
      <c r="G11" s="83"/>
      <c r="H11" s="162" t="s">
        <v>46</v>
      </c>
      <c r="I11" s="69" t="s">
        <v>1393</v>
      </c>
      <c r="J11" s="45" t="s">
        <v>45</v>
      </c>
      <c r="K11" s="45" t="s">
        <v>13</v>
      </c>
      <c r="L11" s="80">
        <v>40165</v>
      </c>
      <c r="M11" s="162" t="s">
        <v>3001</v>
      </c>
      <c r="N11" s="162" t="s">
        <v>1253</v>
      </c>
      <c r="O11" s="28" t="s">
        <v>3002</v>
      </c>
    </row>
    <row r="12" spans="1:15" ht="38.25" x14ac:dyDescent="0.2">
      <c r="A12" s="44" t="s">
        <v>585</v>
      </c>
      <c r="B12" s="68"/>
      <c r="C12" s="80" t="s">
        <v>75</v>
      </c>
      <c r="D12" s="161" t="s">
        <v>47</v>
      </c>
      <c r="E12" s="45" t="s">
        <v>44</v>
      </c>
      <c r="F12" s="83"/>
      <c r="G12" s="83"/>
      <c r="H12" s="162" t="s">
        <v>46</v>
      </c>
      <c r="I12" s="29" t="s">
        <v>1394</v>
      </c>
      <c r="J12" s="45" t="s">
        <v>45</v>
      </c>
      <c r="K12" s="45" t="s">
        <v>13</v>
      </c>
      <c r="L12" s="80">
        <v>40169</v>
      </c>
      <c r="M12" s="162" t="s">
        <v>3003</v>
      </c>
      <c r="N12" s="162" t="s">
        <v>1252</v>
      </c>
      <c r="O12" s="28" t="s">
        <v>3002</v>
      </c>
    </row>
    <row r="13" spans="1:15" s="98" customFormat="1" ht="51" x14ac:dyDescent="0.2">
      <c r="A13" s="231" t="s">
        <v>3004</v>
      </c>
      <c r="B13" s="194"/>
      <c r="C13" s="68" t="s">
        <v>450</v>
      </c>
      <c r="D13" s="245" t="s">
        <v>2385</v>
      </c>
      <c r="E13" s="68" t="s">
        <v>65</v>
      </c>
      <c r="F13" s="188"/>
      <c r="G13" s="188"/>
      <c r="H13" s="188" t="s">
        <v>42</v>
      </c>
      <c r="I13" s="188" t="s">
        <v>1162</v>
      </c>
      <c r="J13" s="188" t="s">
        <v>12</v>
      </c>
      <c r="K13" s="188" t="s">
        <v>455</v>
      </c>
      <c r="L13" s="73">
        <v>39650</v>
      </c>
      <c r="M13" s="32" t="s">
        <v>577</v>
      </c>
      <c r="N13" s="32" t="s">
        <v>1366</v>
      </c>
      <c r="O13" s="28" t="s">
        <v>3002</v>
      </c>
    </row>
    <row r="14" spans="1:15" s="99" customFormat="1" ht="63.75" x14ac:dyDescent="0.2">
      <c r="A14" s="30" t="s">
        <v>3005</v>
      </c>
      <c r="B14" s="30"/>
      <c r="C14" s="38" t="s">
        <v>539</v>
      </c>
      <c r="D14" s="201" t="s">
        <v>540</v>
      </c>
      <c r="E14" s="38" t="s">
        <v>541</v>
      </c>
      <c r="F14" s="38"/>
      <c r="G14" s="38"/>
      <c r="H14" s="38" t="s">
        <v>542</v>
      </c>
      <c r="I14" s="69" t="s">
        <v>1393</v>
      </c>
      <c r="J14" s="38" t="s">
        <v>1133</v>
      </c>
      <c r="K14" s="38" t="s">
        <v>13</v>
      </c>
      <c r="L14" s="74">
        <v>40462</v>
      </c>
      <c r="M14" s="69" t="s">
        <v>570</v>
      </c>
      <c r="N14" s="32" t="s">
        <v>2993</v>
      </c>
      <c r="O14" s="45" t="s">
        <v>3006</v>
      </c>
    </row>
    <row r="15" spans="1:15" ht="38.25" x14ac:dyDescent="0.2">
      <c r="A15" s="41" t="s">
        <v>1174</v>
      </c>
      <c r="B15" s="41"/>
      <c r="C15" s="188" t="s">
        <v>547</v>
      </c>
      <c r="D15" s="201" t="s">
        <v>1372</v>
      </c>
      <c r="E15" s="188" t="s">
        <v>548</v>
      </c>
      <c r="F15" s="30"/>
      <c r="G15" s="30"/>
      <c r="H15" s="188" t="s">
        <v>549</v>
      </c>
      <c r="I15" s="188" t="s">
        <v>1162</v>
      </c>
      <c r="J15" s="188" t="s">
        <v>1962</v>
      </c>
      <c r="K15" s="30" t="s">
        <v>2445</v>
      </c>
      <c r="L15" s="73">
        <v>41628</v>
      </c>
      <c r="M15" s="69" t="s">
        <v>3007</v>
      </c>
      <c r="N15" s="30" t="s">
        <v>1374</v>
      </c>
      <c r="O15" s="28" t="s">
        <v>2910</v>
      </c>
    </row>
    <row r="16" spans="1:15" s="98" customFormat="1" ht="38.25" x14ac:dyDescent="0.2">
      <c r="A16" s="231" t="s">
        <v>584</v>
      </c>
      <c r="B16" s="194"/>
      <c r="C16" s="68" t="s">
        <v>457</v>
      </c>
      <c r="D16" s="245" t="s">
        <v>2403</v>
      </c>
      <c r="E16" s="68" t="s">
        <v>458</v>
      </c>
      <c r="F16" s="188"/>
      <c r="G16" s="188"/>
      <c r="H16" s="188" t="s">
        <v>1963</v>
      </c>
      <c r="I16" s="41" t="s">
        <v>1392</v>
      </c>
      <c r="J16" s="188" t="s">
        <v>879</v>
      </c>
      <c r="K16" s="188" t="s">
        <v>459</v>
      </c>
      <c r="L16" s="73">
        <v>40091</v>
      </c>
      <c r="M16" s="32" t="s">
        <v>1254</v>
      </c>
      <c r="N16" s="32" t="s">
        <v>1411</v>
      </c>
      <c r="O16" s="28" t="s">
        <v>1682</v>
      </c>
    </row>
    <row r="17" spans="1:15" s="98" customFormat="1" ht="51" x14ac:dyDescent="0.2">
      <c r="A17" s="246" t="s">
        <v>584</v>
      </c>
      <c r="B17" s="163"/>
      <c r="C17" s="68" t="s">
        <v>457</v>
      </c>
      <c r="D17" s="247" t="s">
        <v>2403</v>
      </c>
      <c r="E17" s="68" t="s">
        <v>458</v>
      </c>
      <c r="F17" s="69" t="s">
        <v>1193</v>
      </c>
      <c r="G17" s="69"/>
      <c r="H17" s="188" t="s">
        <v>1963</v>
      </c>
      <c r="I17" s="41" t="s">
        <v>1392</v>
      </c>
      <c r="J17" s="69" t="s">
        <v>879</v>
      </c>
      <c r="K17" s="188" t="s">
        <v>1198</v>
      </c>
      <c r="L17" s="74">
        <v>41529</v>
      </c>
      <c r="M17" s="248" t="s">
        <v>1367</v>
      </c>
      <c r="N17" s="32" t="s">
        <v>1411</v>
      </c>
      <c r="O17" s="28" t="s">
        <v>3008</v>
      </c>
    </row>
    <row r="18" spans="1:15" ht="25.5" x14ac:dyDescent="0.2">
      <c r="A18" s="41" t="s">
        <v>1174</v>
      </c>
      <c r="B18" s="41"/>
      <c r="C18" s="151" t="s">
        <v>1099</v>
      </c>
      <c r="D18" s="249" t="s">
        <v>1100</v>
      </c>
      <c r="E18" s="151" t="s">
        <v>1101</v>
      </c>
      <c r="F18" s="151" t="s">
        <v>1102</v>
      </c>
      <c r="G18" s="151"/>
      <c r="H18" s="151" t="s">
        <v>1103</v>
      </c>
      <c r="I18" s="29" t="s">
        <v>1394</v>
      </c>
      <c r="J18" s="151" t="s">
        <v>54</v>
      </c>
      <c r="K18" s="151" t="s">
        <v>13</v>
      </c>
      <c r="L18" s="250">
        <v>39983</v>
      </c>
      <c r="M18" s="151">
        <v>455491094</v>
      </c>
      <c r="N18" s="30" t="s">
        <v>1374</v>
      </c>
      <c r="O18" s="178" t="s">
        <v>2911</v>
      </c>
    </row>
    <row r="19" spans="1:15" ht="25.5" x14ac:dyDescent="0.2">
      <c r="A19" s="41" t="s">
        <v>1174</v>
      </c>
      <c r="B19" s="41"/>
      <c r="C19" s="188" t="s">
        <v>537</v>
      </c>
      <c r="D19" s="189" t="s">
        <v>1916</v>
      </c>
      <c r="E19" s="188" t="s">
        <v>65</v>
      </c>
      <c r="F19" s="301"/>
      <c r="G19" s="301"/>
      <c r="H19" s="188" t="s">
        <v>366</v>
      </c>
      <c r="I19" s="69" t="s">
        <v>1393</v>
      </c>
      <c r="J19" s="188" t="s">
        <v>1369</v>
      </c>
      <c r="K19" s="188" t="s">
        <v>13</v>
      </c>
      <c r="L19" s="73">
        <v>41155</v>
      </c>
      <c r="M19" s="69" t="s">
        <v>569</v>
      </c>
      <c r="N19" s="32" t="s">
        <v>1448</v>
      </c>
      <c r="O19" s="28" t="s">
        <v>3006</v>
      </c>
    </row>
    <row r="20" spans="1:15" ht="38.25" x14ac:dyDescent="0.2">
      <c r="A20" s="231" t="s">
        <v>585</v>
      </c>
      <c r="B20" s="194"/>
      <c r="C20" s="29" t="s">
        <v>213</v>
      </c>
      <c r="D20" s="104" t="s">
        <v>202</v>
      </c>
      <c r="E20" s="29" t="s">
        <v>204</v>
      </c>
      <c r="F20" s="29" t="s">
        <v>206</v>
      </c>
      <c r="G20" s="29"/>
      <c r="H20" s="29" t="s">
        <v>1920</v>
      </c>
      <c r="I20" s="29" t="s">
        <v>1394</v>
      </c>
      <c r="J20" s="29" t="s">
        <v>685</v>
      </c>
      <c r="K20" s="29" t="s">
        <v>13</v>
      </c>
      <c r="L20" s="74">
        <v>40634</v>
      </c>
      <c r="M20" s="69" t="s">
        <v>237</v>
      </c>
      <c r="N20" s="29" t="s">
        <v>1429</v>
      </c>
      <c r="O20" s="28" t="s">
        <v>3009</v>
      </c>
    </row>
    <row r="21" spans="1:15" ht="25.5" x14ac:dyDescent="0.2">
      <c r="A21" s="231" t="s">
        <v>585</v>
      </c>
      <c r="B21" s="194"/>
      <c r="C21" s="69" t="s">
        <v>407</v>
      </c>
      <c r="D21" s="198" t="s">
        <v>408</v>
      </c>
      <c r="E21" s="74" t="s">
        <v>409</v>
      </c>
      <c r="F21" s="29" t="s">
        <v>410</v>
      </c>
      <c r="G21" s="29"/>
      <c r="H21" s="74" t="s">
        <v>411</v>
      </c>
      <c r="I21" s="29" t="s">
        <v>1394</v>
      </c>
      <c r="J21" s="29" t="s">
        <v>12</v>
      </c>
      <c r="K21" s="29" t="s">
        <v>13</v>
      </c>
      <c r="L21" s="74">
        <v>41109</v>
      </c>
      <c r="M21" s="69" t="s">
        <v>412</v>
      </c>
      <c r="N21" s="30" t="s">
        <v>1430</v>
      </c>
      <c r="O21" s="28" t="s">
        <v>3006</v>
      </c>
    </row>
    <row r="22" spans="1:15" ht="51" x14ac:dyDescent="0.2">
      <c r="A22" s="231" t="s">
        <v>585</v>
      </c>
      <c r="B22" s="194"/>
      <c r="C22" s="29" t="s">
        <v>128</v>
      </c>
      <c r="D22" s="104" t="s">
        <v>126</v>
      </c>
      <c r="E22" s="29" t="s">
        <v>126</v>
      </c>
      <c r="F22" s="29" t="s">
        <v>127</v>
      </c>
      <c r="G22" s="29"/>
      <c r="H22" s="29" t="s">
        <v>981</v>
      </c>
      <c r="I22" s="29" t="s">
        <v>1394</v>
      </c>
      <c r="J22" s="29" t="s">
        <v>685</v>
      </c>
      <c r="K22" s="29" t="s">
        <v>13</v>
      </c>
      <c r="L22" s="74">
        <v>40478</v>
      </c>
      <c r="M22" s="69" t="s">
        <v>199</v>
      </c>
      <c r="N22" s="29" t="s">
        <v>1449</v>
      </c>
      <c r="O22" s="28" t="s">
        <v>2912</v>
      </c>
    </row>
    <row r="23" spans="1:15" s="98" customFormat="1" ht="25.5" x14ac:dyDescent="0.2">
      <c r="A23" s="251" t="s">
        <v>584</v>
      </c>
      <c r="B23" s="82"/>
      <c r="C23" s="30" t="s">
        <v>1290</v>
      </c>
      <c r="D23" s="196" t="s">
        <v>629</v>
      </c>
      <c r="E23" s="30" t="s">
        <v>630</v>
      </c>
      <c r="F23" s="30" t="s">
        <v>1193</v>
      </c>
      <c r="G23" s="30"/>
      <c r="H23" s="30" t="s">
        <v>1292</v>
      </c>
      <c r="I23" s="41" t="s">
        <v>1392</v>
      </c>
      <c r="J23" s="30" t="s">
        <v>12</v>
      </c>
      <c r="K23" s="30" t="s">
        <v>2992</v>
      </c>
      <c r="L23" s="70">
        <v>41628</v>
      </c>
      <c r="M23" s="30" t="s">
        <v>1319</v>
      </c>
      <c r="N23" s="30" t="s">
        <v>1458</v>
      </c>
      <c r="O23" s="178" t="s">
        <v>2913</v>
      </c>
    </row>
    <row r="24" spans="1:15" s="98" customFormat="1" ht="25.5" x14ac:dyDescent="0.2">
      <c r="A24" s="231" t="s">
        <v>585</v>
      </c>
      <c r="B24" s="194"/>
      <c r="C24" s="29" t="s">
        <v>367</v>
      </c>
      <c r="D24" s="104" t="s">
        <v>368</v>
      </c>
      <c r="E24" s="29" t="s">
        <v>357</v>
      </c>
      <c r="F24" s="29" t="s">
        <v>363</v>
      </c>
      <c r="G24" s="29"/>
      <c r="H24" s="29" t="s">
        <v>360</v>
      </c>
      <c r="I24" s="69" t="s">
        <v>1393</v>
      </c>
      <c r="J24" s="29" t="s">
        <v>12</v>
      </c>
      <c r="K24" s="29" t="s">
        <v>13</v>
      </c>
      <c r="L24" s="70">
        <v>40962</v>
      </c>
      <c r="M24" s="69" t="s">
        <v>369</v>
      </c>
      <c r="N24" s="32" t="s">
        <v>3010</v>
      </c>
      <c r="O24" s="28" t="s">
        <v>3006</v>
      </c>
    </row>
    <row r="25" spans="1:15" s="64" customFormat="1" ht="25.5" x14ac:dyDescent="0.2">
      <c r="A25" s="194" t="s">
        <v>585</v>
      </c>
      <c r="B25" s="194"/>
      <c r="C25" s="69" t="s">
        <v>362</v>
      </c>
      <c r="D25" s="104" t="s">
        <v>359</v>
      </c>
      <c r="E25" s="29" t="s">
        <v>357</v>
      </c>
      <c r="F25" s="29" t="s">
        <v>363</v>
      </c>
      <c r="G25" s="29"/>
      <c r="H25" s="29" t="s">
        <v>360</v>
      </c>
      <c r="I25" s="29" t="s">
        <v>1394</v>
      </c>
      <c r="J25" s="29" t="s">
        <v>12</v>
      </c>
      <c r="K25" s="29" t="s">
        <v>1528</v>
      </c>
      <c r="L25" s="70">
        <v>40945</v>
      </c>
      <c r="M25" s="69" t="s">
        <v>361</v>
      </c>
      <c r="N25" s="32"/>
      <c r="O25" s="28" t="s">
        <v>2908</v>
      </c>
    </row>
    <row r="26" spans="1:15" s="98" customFormat="1" ht="38.25" x14ac:dyDescent="0.2">
      <c r="A26" s="41" t="s">
        <v>1174</v>
      </c>
      <c r="B26" s="41"/>
      <c r="C26" s="38" t="s">
        <v>543</v>
      </c>
      <c r="D26" s="201" t="s">
        <v>544</v>
      </c>
      <c r="E26" s="38" t="s">
        <v>545</v>
      </c>
      <c r="F26" s="38"/>
      <c r="G26" s="38"/>
      <c r="H26" s="38" t="s">
        <v>546</v>
      </c>
      <c r="I26" s="69" t="s">
        <v>1393</v>
      </c>
      <c r="J26" s="38" t="s">
        <v>879</v>
      </c>
      <c r="K26" s="38" t="s">
        <v>13</v>
      </c>
      <c r="L26" s="70">
        <v>39865</v>
      </c>
      <c r="M26" s="69" t="s">
        <v>3148</v>
      </c>
      <c r="N26" s="32" t="s">
        <v>1464</v>
      </c>
      <c r="O26" s="28" t="s">
        <v>2914</v>
      </c>
    </row>
    <row r="27" spans="1:15" ht="51" x14ac:dyDescent="0.2">
      <c r="A27" s="68" t="s">
        <v>585</v>
      </c>
      <c r="B27" s="68"/>
      <c r="C27" s="69" t="s">
        <v>427</v>
      </c>
      <c r="D27" s="104" t="s">
        <v>416</v>
      </c>
      <c r="E27" s="29" t="s">
        <v>415</v>
      </c>
      <c r="F27" s="69" t="s">
        <v>417</v>
      </c>
      <c r="G27" s="69"/>
      <c r="H27" s="69" t="s">
        <v>417</v>
      </c>
      <c r="I27" s="29" t="s">
        <v>1394</v>
      </c>
      <c r="J27" s="29" t="s">
        <v>12</v>
      </c>
      <c r="K27" s="29" t="s">
        <v>13</v>
      </c>
      <c r="L27" s="70">
        <v>41127</v>
      </c>
      <c r="M27" s="69" t="s">
        <v>430</v>
      </c>
      <c r="N27" s="32" t="s">
        <v>1490</v>
      </c>
      <c r="O27" s="28" t="s">
        <v>3006</v>
      </c>
    </row>
    <row r="28" spans="1:15" ht="38.25" x14ac:dyDescent="0.2">
      <c r="A28" s="231" t="s">
        <v>585</v>
      </c>
      <c r="B28" s="194"/>
      <c r="C28" s="29" t="s">
        <v>446</v>
      </c>
      <c r="D28" s="198" t="s">
        <v>443</v>
      </c>
      <c r="E28" s="74" t="s">
        <v>444</v>
      </c>
      <c r="F28" s="165" t="s">
        <v>445</v>
      </c>
      <c r="G28" s="165"/>
      <c r="H28" s="74" t="s">
        <v>51</v>
      </c>
      <c r="I28" s="69" t="s">
        <v>1393</v>
      </c>
      <c r="J28" s="29" t="s">
        <v>1285</v>
      </c>
      <c r="K28" s="29" t="s">
        <v>1592</v>
      </c>
      <c r="L28" s="70">
        <v>41200</v>
      </c>
      <c r="M28" s="69" t="s">
        <v>572</v>
      </c>
      <c r="N28" s="81"/>
      <c r="O28" s="28" t="s">
        <v>1682</v>
      </c>
    </row>
    <row r="29" spans="1:15" ht="25.5" x14ac:dyDescent="0.2">
      <c r="A29" s="81" t="s">
        <v>584</v>
      </c>
      <c r="B29" s="81"/>
      <c r="C29" s="81" t="s">
        <v>1872</v>
      </c>
      <c r="D29" s="252" t="s">
        <v>1876</v>
      </c>
      <c r="E29" s="81" t="s">
        <v>1852</v>
      </c>
      <c r="F29" s="81"/>
      <c r="G29" s="81"/>
      <c r="H29" s="81" t="s">
        <v>1853</v>
      </c>
      <c r="I29" s="41" t="s">
        <v>1392</v>
      </c>
      <c r="J29" s="81" t="s">
        <v>12</v>
      </c>
      <c r="K29" s="81" t="s">
        <v>1615</v>
      </c>
      <c r="L29" s="70">
        <v>41831</v>
      </c>
      <c r="M29" s="81" t="s">
        <v>1873</v>
      </c>
      <c r="N29" s="81" t="s">
        <v>2117</v>
      </c>
      <c r="O29" s="28" t="s">
        <v>2915</v>
      </c>
    </row>
    <row r="30" spans="1:15" ht="38.25" x14ac:dyDescent="0.2">
      <c r="A30" s="194" t="s">
        <v>1137</v>
      </c>
      <c r="B30" s="194"/>
      <c r="C30" s="69" t="s">
        <v>1578</v>
      </c>
      <c r="D30" s="198" t="s">
        <v>1579</v>
      </c>
      <c r="E30" s="69" t="s">
        <v>420</v>
      </c>
      <c r="F30" s="29" t="s">
        <v>422</v>
      </c>
      <c r="G30" s="29"/>
      <c r="H30" s="69" t="s">
        <v>504</v>
      </c>
      <c r="I30" s="69" t="s">
        <v>1393</v>
      </c>
      <c r="J30" s="69" t="s">
        <v>879</v>
      </c>
      <c r="K30" s="69" t="s">
        <v>1528</v>
      </c>
      <c r="L30" s="70">
        <v>41355</v>
      </c>
      <c r="M30" s="69" t="s">
        <v>646</v>
      </c>
      <c r="N30" s="81" t="s">
        <v>1947</v>
      </c>
      <c r="O30" s="28" t="s">
        <v>2912</v>
      </c>
    </row>
    <row r="31" spans="1:15" s="64" customFormat="1" ht="51" x14ac:dyDescent="0.2">
      <c r="A31" s="107" t="s">
        <v>584</v>
      </c>
      <c r="B31" s="107"/>
      <c r="C31" s="30" t="s">
        <v>1821</v>
      </c>
      <c r="D31" s="196" t="s">
        <v>1823</v>
      </c>
      <c r="E31" s="30" t="s">
        <v>1822</v>
      </c>
      <c r="F31" s="30" t="s">
        <v>1806</v>
      </c>
      <c r="G31" s="30"/>
      <c r="H31" s="30" t="s">
        <v>1824</v>
      </c>
      <c r="I31" s="41" t="s">
        <v>1392</v>
      </c>
      <c r="J31" s="30" t="s">
        <v>12</v>
      </c>
      <c r="K31" s="29" t="s">
        <v>1615</v>
      </c>
      <c r="L31" s="70">
        <v>41824</v>
      </c>
      <c r="M31" s="106" t="s">
        <v>1825</v>
      </c>
      <c r="N31" s="32" t="s">
        <v>2192</v>
      </c>
      <c r="O31" s="28" t="s">
        <v>2916</v>
      </c>
    </row>
    <row r="32" spans="1:15" ht="38.25" x14ac:dyDescent="0.2">
      <c r="A32" s="42" t="s">
        <v>584</v>
      </c>
      <c r="B32" s="71"/>
      <c r="C32" s="213" t="s">
        <v>1848</v>
      </c>
      <c r="D32" s="203" t="s">
        <v>1889</v>
      </c>
      <c r="E32" s="29" t="s">
        <v>1812</v>
      </c>
      <c r="F32" s="45" t="s">
        <v>1806</v>
      </c>
      <c r="G32" s="29"/>
      <c r="H32" s="69" t="s">
        <v>1814</v>
      </c>
      <c r="I32" s="69" t="s">
        <v>1393</v>
      </c>
      <c r="J32" s="29" t="s">
        <v>685</v>
      </c>
      <c r="K32" s="29" t="s">
        <v>1615</v>
      </c>
      <c r="L32" s="214">
        <v>41901</v>
      </c>
      <c r="M32" s="69" t="s">
        <v>1849</v>
      </c>
      <c r="N32" s="32" t="s">
        <v>1969</v>
      </c>
      <c r="O32" s="28" t="s">
        <v>2917</v>
      </c>
    </row>
    <row r="33" spans="1:15" ht="127.5" x14ac:dyDescent="0.2">
      <c r="A33" s="194" t="s">
        <v>1137</v>
      </c>
      <c r="B33" s="194"/>
      <c r="C33" s="69" t="s">
        <v>226</v>
      </c>
      <c r="D33" s="104" t="s">
        <v>144</v>
      </c>
      <c r="E33" s="29" t="s">
        <v>144</v>
      </c>
      <c r="F33" s="29" t="s">
        <v>145</v>
      </c>
      <c r="G33" s="29"/>
      <c r="H33" s="29" t="s">
        <v>834</v>
      </c>
      <c r="I33" s="29" t="s">
        <v>1394</v>
      </c>
      <c r="J33" s="29" t="s">
        <v>685</v>
      </c>
      <c r="K33" s="29" t="s">
        <v>1528</v>
      </c>
      <c r="L33" s="204">
        <v>40681</v>
      </c>
      <c r="M33" s="69" t="s">
        <v>225</v>
      </c>
      <c r="N33" s="32" t="s">
        <v>1965</v>
      </c>
      <c r="O33" s="28" t="s">
        <v>2918</v>
      </c>
    </row>
    <row r="34" spans="1:15" ht="63.75" x14ac:dyDescent="0.2">
      <c r="A34" s="41" t="s">
        <v>1174</v>
      </c>
      <c r="B34" s="41"/>
      <c r="C34" s="38" t="s">
        <v>1854</v>
      </c>
      <c r="D34" s="201" t="s">
        <v>3149</v>
      </c>
      <c r="E34" s="38" t="s">
        <v>1852</v>
      </c>
      <c r="F34" s="38" t="s">
        <v>1806</v>
      </c>
      <c r="G34" s="38"/>
      <c r="H34" s="38" t="s">
        <v>1853</v>
      </c>
      <c r="I34" s="38" t="s">
        <v>1392</v>
      </c>
      <c r="J34" s="38" t="s">
        <v>12</v>
      </c>
      <c r="K34" s="29" t="s">
        <v>1615</v>
      </c>
      <c r="L34" s="204">
        <v>41845</v>
      </c>
      <c r="M34" s="69" t="s">
        <v>1855</v>
      </c>
      <c r="N34" s="32" t="s">
        <v>2118</v>
      </c>
      <c r="O34" s="28" t="s">
        <v>3002</v>
      </c>
    </row>
    <row r="35" spans="1:15" ht="38.25" x14ac:dyDescent="0.2">
      <c r="A35" s="107" t="s">
        <v>584</v>
      </c>
      <c r="B35" s="107"/>
      <c r="C35" s="30" t="s">
        <v>1802</v>
      </c>
      <c r="D35" s="196" t="s">
        <v>1803</v>
      </c>
      <c r="E35" s="30" t="s">
        <v>1804</v>
      </c>
      <c r="F35" s="30" t="s">
        <v>1806</v>
      </c>
      <c r="G35" s="30"/>
      <c r="H35" s="30" t="s">
        <v>1808</v>
      </c>
      <c r="I35" s="30" t="s">
        <v>1393</v>
      </c>
      <c r="J35" s="30" t="s">
        <v>879</v>
      </c>
      <c r="K35" s="29" t="s">
        <v>1615</v>
      </c>
      <c r="L35" s="105">
        <v>41803</v>
      </c>
      <c r="M35" s="106" t="s">
        <v>1805</v>
      </c>
      <c r="N35" s="30" t="s">
        <v>2184</v>
      </c>
      <c r="O35" s="28" t="s">
        <v>2915</v>
      </c>
    </row>
    <row r="36" spans="1:15" ht="38.25" x14ac:dyDescent="0.2">
      <c r="A36" s="107" t="s">
        <v>584</v>
      </c>
      <c r="B36" s="107"/>
      <c r="C36" s="30" t="s">
        <v>1802</v>
      </c>
      <c r="D36" s="196" t="s">
        <v>1803</v>
      </c>
      <c r="E36" s="30" t="s">
        <v>1804</v>
      </c>
      <c r="F36" s="30" t="s">
        <v>1806</v>
      </c>
      <c r="G36" s="30"/>
      <c r="H36" s="30" t="s">
        <v>1961</v>
      </c>
      <c r="I36" s="30" t="s">
        <v>1393</v>
      </c>
      <c r="J36" s="30" t="s">
        <v>1286</v>
      </c>
      <c r="K36" s="29" t="s">
        <v>1615</v>
      </c>
      <c r="L36" s="105">
        <v>41803</v>
      </c>
      <c r="M36" s="106" t="s">
        <v>1805</v>
      </c>
      <c r="N36" s="30" t="s">
        <v>2184</v>
      </c>
      <c r="O36" s="28" t="s">
        <v>2915</v>
      </c>
    </row>
    <row r="37" spans="1:15" x14ac:dyDescent="0.2">
      <c r="A37" s="194" t="s">
        <v>1137</v>
      </c>
      <c r="B37" s="194"/>
      <c r="C37" s="163" t="s">
        <v>276</v>
      </c>
      <c r="D37" s="161" t="s">
        <v>425</v>
      </c>
      <c r="E37" s="45" t="s">
        <v>426</v>
      </c>
      <c r="F37" s="45" t="s">
        <v>275</v>
      </c>
      <c r="G37" s="29"/>
      <c r="H37" s="45" t="s">
        <v>763</v>
      </c>
      <c r="I37" s="45" t="s">
        <v>16</v>
      </c>
      <c r="J37" s="45" t="s">
        <v>12</v>
      </c>
      <c r="K37" s="45" t="s">
        <v>13</v>
      </c>
      <c r="L37" s="70">
        <v>40801</v>
      </c>
      <c r="M37" s="162" t="s">
        <v>277</v>
      </c>
      <c r="N37" s="69" t="s">
        <v>1991</v>
      </c>
      <c r="O37" s="28" t="s">
        <v>2587</v>
      </c>
    </row>
    <row r="38" spans="1:15" ht="38.25" x14ac:dyDescent="0.2">
      <c r="A38" s="194" t="s">
        <v>1137</v>
      </c>
      <c r="B38" s="194"/>
      <c r="C38" s="69" t="s">
        <v>362</v>
      </c>
      <c r="D38" s="104" t="s">
        <v>357</v>
      </c>
      <c r="E38" s="29" t="s">
        <v>357</v>
      </c>
      <c r="F38" s="29" t="s">
        <v>364</v>
      </c>
      <c r="G38" s="29"/>
      <c r="H38" s="29" t="s">
        <v>1987</v>
      </c>
      <c r="I38" s="29" t="s">
        <v>1394</v>
      </c>
      <c r="J38" s="45" t="s">
        <v>12</v>
      </c>
      <c r="K38" s="29" t="s">
        <v>1528</v>
      </c>
      <c r="L38" s="204">
        <v>40942</v>
      </c>
      <c r="M38" s="69" t="s">
        <v>1988</v>
      </c>
      <c r="N38" s="32" t="s">
        <v>1992</v>
      </c>
      <c r="O38" s="28" t="s">
        <v>2587</v>
      </c>
    </row>
    <row r="39" spans="1:15" ht="140.25" x14ac:dyDescent="0.2">
      <c r="A39" s="41" t="s">
        <v>1174</v>
      </c>
      <c r="B39" s="41"/>
      <c r="C39" s="30" t="s">
        <v>1185</v>
      </c>
      <c r="D39" s="104" t="s">
        <v>1761</v>
      </c>
      <c r="E39" s="29" t="s">
        <v>475</v>
      </c>
      <c r="F39" s="253" t="s">
        <v>990</v>
      </c>
      <c r="G39" s="253"/>
      <c r="H39" s="253" t="s">
        <v>1184</v>
      </c>
      <c r="I39" s="29" t="s">
        <v>1393</v>
      </c>
      <c r="J39" s="29" t="s">
        <v>1542</v>
      </c>
      <c r="K39" s="188" t="s">
        <v>1970</v>
      </c>
      <c r="L39" s="204">
        <v>41494</v>
      </c>
      <c r="M39" s="248" t="s">
        <v>1230</v>
      </c>
      <c r="N39" s="32" t="s">
        <v>1986</v>
      </c>
      <c r="O39" s="28" t="s">
        <v>2712</v>
      </c>
    </row>
    <row r="40" spans="1:15" s="100" customFormat="1" ht="38.25" x14ac:dyDescent="0.2">
      <c r="A40" s="107" t="s">
        <v>584</v>
      </c>
      <c r="B40" s="107"/>
      <c r="C40" s="29" t="s">
        <v>2193</v>
      </c>
      <c r="D40" s="104" t="s">
        <v>1793</v>
      </c>
      <c r="E40" s="29" t="s">
        <v>1460</v>
      </c>
      <c r="F40" s="107" t="s">
        <v>1668</v>
      </c>
      <c r="G40" s="107"/>
      <c r="H40" s="29" t="s">
        <v>1438</v>
      </c>
      <c r="I40" s="38" t="s">
        <v>1393</v>
      </c>
      <c r="J40" s="38" t="s">
        <v>1286</v>
      </c>
      <c r="K40" s="29" t="s">
        <v>1615</v>
      </c>
      <c r="L40" s="214">
        <v>41970</v>
      </c>
      <c r="M40" s="69" t="s">
        <v>2194</v>
      </c>
      <c r="N40" s="162" t="s">
        <v>3150</v>
      </c>
      <c r="O40" s="28" t="s">
        <v>2919</v>
      </c>
    </row>
    <row r="41" spans="1:15" ht="127.5" x14ac:dyDescent="0.2">
      <c r="A41" s="194" t="s">
        <v>1137</v>
      </c>
      <c r="B41" s="194"/>
      <c r="C41" s="29" t="s">
        <v>1128</v>
      </c>
      <c r="D41" s="104" t="s">
        <v>1664</v>
      </c>
      <c r="E41" s="29" t="s">
        <v>1664</v>
      </c>
      <c r="F41" s="29" t="s">
        <v>1672</v>
      </c>
      <c r="G41" s="29"/>
      <c r="H41" s="30" t="s">
        <v>1146</v>
      </c>
      <c r="I41" s="29" t="s">
        <v>1394</v>
      </c>
      <c r="J41" s="29" t="s">
        <v>742</v>
      </c>
      <c r="K41" s="29" t="s">
        <v>1528</v>
      </c>
      <c r="L41" s="204">
        <v>40630</v>
      </c>
      <c r="M41" s="69" t="s">
        <v>1132</v>
      </c>
      <c r="N41" s="32" t="s">
        <v>1993</v>
      </c>
      <c r="O41" s="28" t="s">
        <v>2587</v>
      </c>
    </row>
    <row r="42" spans="1:15" s="100" customFormat="1" ht="140.25" x14ac:dyDescent="0.2">
      <c r="A42" s="205" t="s">
        <v>584</v>
      </c>
      <c r="B42" s="150"/>
      <c r="C42" s="29" t="s">
        <v>1245</v>
      </c>
      <c r="D42" s="104" t="s">
        <v>1762</v>
      </c>
      <c r="E42" s="29" t="s">
        <v>420</v>
      </c>
      <c r="F42" s="29" t="s">
        <v>1552</v>
      </c>
      <c r="G42" s="29"/>
      <c r="H42" s="29" t="s">
        <v>504</v>
      </c>
      <c r="I42" s="29" t="s">
        <v>1393</v>
      </c>
      <c r="J42" s="29" t="s">
        <v>1555</v>
      </c>
      <c r="K42" s="38" t="s">
        <v>1970</v>
      </c>
      <c r="L42" s="204">
        <v>41589</v>
      </c>
      <c r="M42" s="164" t="s">
        <v>1259</v>
      </c>
      <c r="N42" s="69" t="s">
        <v>1989</v>
      </c>
      <c r="O42" s="45" t="s">
        <v>3011</v>
      </c>
    </row>
    <row r="43" spans="1:15" ht="25.5" x14ac:dyDescent="0.2">
      <c r="A43" s="107" t="s">
        <v>584</v>
      </c>
      <c r="B43" s="107"/>
      <c r="C43" s="30" t="s">
        <v>1832</v>
      </c>
      <c r="D43" s="196" t="s">
        <v>1831</v>
      </c>
      <c r="E43" s="30" t="s">
        <v>1830</v>
      </c>
      <c r="F43" s="30" t="s">
        <v>1806</v>
      </c>
      <c r="G43" s="30"/>
      <c r="H43" s="41" t="s">
        <v>3012</v>
      </c>
      <c r="I43" s="41" t="s">
        <v>1392</v>
      </c>
      <c r="J43" s="41" t="s">
        <v>2121</v>
      </c>
      <c r="K43" s="29" t="s">
        <v>1615</v>
      </c>
      <c r="L43" s="204">
        <v>41831</v>
      </c>
      <c r="M43" s="106" t="s">
        <v>1833</v>
      </c>
      <c r="N43" s="30" t="s">
        <v>2065</v>
      </c>
      <c r="O43" s="28" t="s">
        <v>3009</v>
      </c>
    </row>
    <row r="44" spans="1:15" ht="38.25" x14ac:dyDescent="0.2">
      <c r="A44" s="107" t="s">
        <v>584</v>
      </c>
      <c r="B44" s="107"/>
      <c r="C44" s="30" t="s">
        <v>1835</v>
      </c>
      <c r="D44" s="196" t="s">
        <v>1836</v>
      </c>
      <c r="E44" s="30" t="s">
        <v>1837</v>
      </c>
      <c r="F44" s="30" t="s">
        <v>1806</v>
      </c>
      <c r="G44" s="30"/>
      <c r="H44" s="41" t="s">
        <v>1838</v>
      </c>
      <c r="I44" s="41" t="s">
        <v>1393</v>
      </c>
      <c r="J44" s="41" t="s">
        <v>12</v>
      </c>
      <c r="K44" s="29" t="s">
        <v>1615</v>
      </c>
      <c r="L44" s="204">
        <v>41831</v>
      </c>
      <c r="M44" s="106" t="s">
        <v>1840</v>
      </c>
      <c r="N44" s="30" t="s">
        <v>2066</v>
      </c>
      <c r="O44" s="28" t="s">
        <v>3006</v>
      </c>
    </row>
    <row r="45" spans="1:15" ht="25.5" x14ac:dyDescent="0.2">
      <c r="A45" s="41" t="s">
        <v>1174</v>
      </c>
      <c r="B45" s="41"/>
      <c r="C45" s="38" t="s">
        <v>1864</v>
      </c>
      <c r="D45" s="201" t="s">
        <v>1877</v>
      </c>
      <c r="E45" s="38" t="s">
        <v>1862</v>
      </c>
      <c r="F45" s="38" t="s">
        <v>1806</v>
      </c>
      <c r="G45" s="38"/>
      <c r="H45" s="38" t="s">
        <v>1863</v>
      </c>
      <c r="I45" s="29" t="s">
        <v>1393</v>
      </c>
      <c r="J45" s="38" t="s">
        <v>1617</v>
      </c>
      <c r="K45" s="29" t="s">
        <v>1615</v>
      </c>
      <c r="L45" s="204">
        <v>41850</v>
      </c>
      <c r="M45" s="69" t="s">
        <v>1865</v>
      </c>
      <c r="N45" s="30" t="s">
        <v>2068</v>
      </c>
      <c r="O45" s="28" t="s">
        <v>3006</v>
      </c>
    </row>
    <row r="46" spans="1:15" ht="63.75" x14ac:dyDescent="0.2">
      <c r="A46" s="41" t="s">
        <v>1174</v>
      </c>
      <c r="B46" s="41"/>
      <c r="C46" s="30" t="s">
        <v>1713</v>
      </c>
      <c r="D46" s="104" t="s">
        <v>1789</v>
      </c>
      <c r="E46" s="41" t="s">
        <v>545</v>
      </c>
      <c r="F46" s="29" t="s">
        <v>1717</v>
      </c>
      <c r="G46" s="29"/>
      <c r="H46" s="30" t="s">
        <v>1715</v>
      </c>
      <c r="I46" s="107" t="s">
        <v>1540</v>
      </c>
      <c r="J46" s="41" t="s">
        <v>641</v>
      </c>
      <c r="K46" s="29" t="s">
        <v>1615</v>
      </c>
      <c r="L46" s="105">
        <v>42073</v>
      </c>
      <c r="M46" s="32" t="s">
        <v>1714</v>
      </c>
      <c r="N46" s="30" t="s">
        <v>2067</v>
      </c>
      <c r="O46" s="28" t="s">
        <v>3006</v>
      </c>
    </row>
    <row r="47" spans="1:15" ht="25.5" x14ac:dyDescent="0.2">
      <c r="A47" s="194" t="s">
        <v>1137</v>
      </c>
      <c r="B47" s="194"/>
      <c r="C47" s="29" t="s">
        <v>214</v>
      </c>
      <c r="D47" s="104" t="s">
        <v>203</v>
      </c>
      <c r="E47" s="29" t="s">
        <v>205</v>
      </c>
      <c r="F47" s="29" t="s">
        <v>207</v>
      </c>
      <c r="G47" s="29"/>
      <c r="H47" s="29" t="s">
        <v>114</v>
      </c>
      <c r="I47" s="29" t="s">
        <v>1394</v>
      </c>
      <c r="J47" s="29" t="s">
        <v>685</v>
      </c>
      <c r="K47" s="29" t="s">
        <v>1528</v>
      </c>
      <c r="L47" s="204">
        <v>40634</v>
      </c>
      <c r="M47" s="69" t="s">
        <v>238</v>
      </c>
      <c r="N47" s="81" t="s">
        <v>2023</v>
      </c>
      <c r="O47" s="28" t="s">
        <v>2587</v>
      </c>
    </row>
    <row r="48" spans="1:15" ht="89.25" x14ac:dyDescent="0.2">
      <c r="A48" s="194" t="s">
        <v>1137</v>
      </c>
      <c r="B48" s="194"/>
      <c r="C48" s="69" t="s">
        <v>1544</v>
      </c>
      <c r="D48" s="198" t="s">
        <v>1545</v>
      </c>
      <c r="E48" s="74" t="s">
        <v>1545</v>
      </c>
      <c r="F48" s="29" t="s">
        <v>1293</v>
      </c>
      <c r="G48" s="29"/>
      <c r="H48" s="29" t="s">
        <v>1139</v>
      </c>
      <c r="I48" s="29" t="s">
        <v>1394</v>
      </c>
      <c r="J48" s="29" t="s">
        <v>685</v>
      </c>
      <c r="K48" s="29" t="s">
        <v>1528</v>
      </c>
      <c r="L48" s="204">
        <v>41361</v>
      </c>
      <c r="M48" s="69" t="s">
        <v>1260</v>
      </c>
      <c r="N48" s="36" t="s">
        <v>2285</v>
      </c>
      <c r="O48" s="28" t="s">
        <v>2587</v>
      </c>
    </row>
    <row r="49" spans="1:15" ht="51" x14ac:dyDescent="0.2">
      <c r="A49" s="194" t="s">
        <v>1137</v>
      </c>
      <c r="B49" s="194"/>
      <c r="C49" s="29" t="s">
        <v>1205</v>
      </c>
      <c r="D49" s="104" t="s">
        <v>1158</v>
      </c>
      <c r="E49" s="107" t="s">
        <v>1157</v>
      </c>
      <c r="F49" s="29" t="s">
        <v>1207</v>
      </c>
      <c r="G49" s="29"/>
      <c r="H49" s="107" t="s">
        <v>1605</v>
      </c>
      <c r="I49" s="29" t="s">
        <v>1394</v>
      </c>
      <c r="J49" s="107" t="s">
        <v>1538</v>
      </c>
      <c r="K49" s="107" t="s">
        <v>1528</v>
      </c>
      <c r="L49" s="204">
        <v>40632</v>
      </c>
      <c r="M49" s="69" t="s">
        <v>1206</v>
      </c>
      <c r="N49" s="32" t="s">
        <v>2177</v>
      </c>
      <c r="O49" s="28" t="s">
        <v>2587</v>
      </c>
    </row>
    <row r="50" spans="1:15" ht="38.25" x14ac:dyDescent="0.2">
      <c r="A50" s="44" t="s">
        <v>1137</v>
      </c>
      <c r="B50" s="68"/>
      <c r="C50" s="69" t="s">
        <v>356</v>
      </c>
      <c r="D50" s="104" t="s">
        <v>2116</v>
      </c>
      <c r="E50" s="29" t="s">
        <v>2116</v>
      </c>
      <c r="F50" s="29" t="s">
        <v>364</v>
      </c>
      <c r="G50" s="29"/>
      <c r="H50" s="29" t="s">
        <v>318</v>
      </c>
      <c r="I50" s="29" t="s">
        <v>1394</v>
      </c>
      <c r="J50" s="107" t="s">
        <v>1538</v>
      </c>
      <c r="K50" s="29" t="s">
        <v>1528</v>
      </c>
      <c r="L50" s="204">
        <v>40942</v>
      </c>
      <c r="M50" s="69" t="s">
        <v>358</v>
      </c>
      <c r="N50" s="32" t="s">
        <v>2178</v>
      </c>
      <c r="O50" s="28" t="s">
        <v>2587</v>
      </c>
    </row>
    <row r="51" spans="1:15" ht="38.25" x14ac:dyDescent="0.2">
      <c r="A51" s="194" t="s">
        <v>1137</v>
      </c>
      <c r="B51" s="194"/>
      <c r="C51" s="29" t="s">
        <v>179</v>
      </c>
      <c r="D51" s="104" t="s">
        <v>158</v>
      </c>
      <c r="E51" s="29" t="s">
        <v>158</v>
      </c>
      <c r="F51" s="29" t="s">
        <v>191</v>
      </c>
      <c r="G51" s="29"/>
      <c r="H51" s="29" t="s">
        <v>192</v>
      </c>
      <c r="I51" s="29" t="s">
        <v>1394</v>
      </c>
      <c r="J51" s="29" t="s">
        <v>1538</v>
      </c>
      <c r="K51" s="29" t="s">
        <v>1528</v>
      </c>
      <c r="L51" s="204">
        <v>40543</v>
      </c>
      <c r="M51" s="69" t="s">
        <v>178</v>
      </c>
      <c r="N51" s="32" t="s">
        <v>2179</v>
      </c>
      <c r="O51" s="28" t="s">
        <v>2587</v>
      </c>
    </row>
    <row r="52" spans="1:15" ht="38.25" x14ac:dyDescent="0.2">
      <c r="A52" s="194" t="s">
        <v>1137</v>
      </c>
      <c r="B52" s="194"/>
      <c r="C52" s="29" t="s">
        <v>81</v>
      </c>
      <c r="D52" s="104" t="s">
        <v>80</v>
      </c>
      <c r="E52" s="29" t="s">
        <v>80</v>
      </c>
      <c r="F52" s="29" t="s">
        <v>94</v>
      </c>
      <c r="G52" s="29"/>
      <c r="H52" s="29" t="s">
        <v>1292</v>
      </c>
      <c r="I52" s="29" t="s">
        <v>1394</v>
      </c>
      <c r="J52" s="29" t="s">
        <v>1538</v>
      </c>
      <c r="K52" s="29" t="s">
        <v>1528</v>
      </c>
      <c r="L52" s="204">
        <v>40378</v>
      </c>
      <c r="M52" s="69" t="s">
        <v>171</v>
      </c>
      <c r="N52" s="32" t="s">
        <v>2180</v>
      </c>
      <c r="O52" s="28" t="s">
        <v>2587</v>
      </c>
    </row>
    <row r="53" spans="1:15" ht="51" x14ac:dyDescent="0.2">
      <c r="A53" s="194" t="s">
        <v>1137</v>
      </c>
      <c r="B53" s="194"/>
      <c r="C53" s="29" t="s">
        <v>183</v>
      </c>
      <c r="D53" s="104" t="s">
        <v>150</v>
      </c>
      <c r="E53" s="29" t="s">
        <v>150</v>
      </c>
      <c r="F53" s="29" t="s">
        <v>1599</v>
      </c>
      <c r="G53" s="29"/>
      <c r="H53" s="29" t="s">
        <v>189</v>
      </c>
      <c r="I53" s="29" t="s">
        <v>1394</v>
      </c>
      <c r="J53" s="29" t="s">
        <v>1538</v>
      </c>
      <c r="K53" s="29" t="s">
        <v>1528</v>
      </c>
      <c r="L53" s="204">
        <v>40542</v>
      </c>
      <c r="M53" s="69" t="s">
        <v>182</v>
      </c>
      <c r="N53" s="32" t="s">
        <v>2181</v>
      </c>
      <c r="O53" s="28" t="s">
        <v>2587</v>
      </c>
    </row>
    <row r="54" spans="1:15" ht="51" x14ac:dyDescent="0.2">
      <c r="A54" s="194" t="s">
        <v>1137</v>
      </c>
      <c r="B54" s="194"/>
      <c r="C54" s="69" t="s">
        <v>321</v>
      </c>
      <c r="D54" s="104" t="s">
        <v>113</v>
      </c>
      <c r="E54" s="29" t="s">
        <v>113</v>
      </c>
      <c r="F54" s="29" t="s">
        <v>319</v>
      </c>
      <c r="G54" s="29"/>
      <c r="H54" s="29" t="s">
        <v>318</v>
      </c>
      <c r="I54" s="29" t="s">
        <v>1394</v>
      </c>
      <c r="J54" s="107" t="s">
        <v>1538</v>
      </c>
      <c r="K54" s="29" t="s">
        <v>1528</v>
      </c>
      <c r="L54" s="204">
        <v>40875</v>
      </c>
      <c r="M54" s="69" t="s">
        <v>322</v>
      </c>
      <c r="N54" s="32" t="s">
        <v>2182</v>
      </c>
      <c r="O54" s="28" t="s">
        <v>2587</v>
      </c>
    </row>
    <row r="55" spans="1:15" ht="102" x14ac:dyDescent="0.2">
      <c r="A55" s="194" t="s">
        <v>1137</v>
      </c>
      <c r="B55" s="194"/>
      <c r="C55" s="69" t="s">
        <v>245</v>
      </c>
      <c r="D55" s="104" t="s">
        <v>244</v>
      </c>
      <c r="E55" s="45" t="s">
        <v>244</v>
      </c>
      <c r="F55" s="45" t="s">
        <v>1537</v>
      </c>
      <c r="G55" s="29"/>
      <c r="H55" s="45" t="s">
        <v>834</v>
      </c>
      <c r="I55" s="45" t="s">
        <v>1394</v>
      </c>
      <c r="J55" s="45" t="s">
        <v>1538</v>
      </c>
      <c r="K55" s="69" t="s">
        <v>1528</v>
      </c>
      <c r="L55" s="204">
        <v>40724</v>
      </c>
      <c r="M55" s="69" t="s">
        <v>246</v>
      </c>
      <c r="N55" s="32" t="s">
        <v>2183</v>
      </c>
      <c r="O55" s="28" t="s">
        <v>2587</v>
      </c>
    </row>
    <row r="56" spans="1:15" ht="102" x14ac:dyDescent="0.2">
      <c r="A56" s="194" t="s">
        <v>1137</v>
      </c>
      <c r="B56" s="194"/>
      <c r="C56" s="29" t="s">
        <v>125</v>
      </c>
      <c r="D56" s="104" t="s">
        <v>1573</v>
      </c>
      <c r="E56" s="29" t="s">
        <v>1573</v>
      </c>
      <c r="F56" s="29" t="s">
        <v>1574</v>
      </c>
      <c r="G56" s="29"/>
      <c r="H56" s="29" t="s">
        <v>1575</v>
      </c>
      <c r="I56" s="29" t="s">
        <v>1394</v>
      </c>
      <c r="J56" s="29" t="s">
        <v>1538</v>
      </c>
      <c r="K56" s="29" t="s">
        <v>1528</v>
      </c>
      <c r="L56" s="204">
        <v>40466</v>
      </c>
      <c r="M56" s="69" t="s">
        <v>198</v>
      </c>
      <c r="N56" s="32" t="s">
        <v>2156</v>
      </c>
      <c r="O56" s="28" t="s">
        <v>2587</v>
      </c>
    </row>
    <row r="57" spans="1:15" ht="38.25" x14ac:dyDescent="0.2">
      <c r="A57" s="194" t="s">
        <v>1137</v>
      </c>
      <c r="B57" s="194"/>
      <c r="C57" s="29" t="s">
        <v>164</v>
      </c>
      <c r="D57" s="104" t="s">
        <v>152</v>
      </c>
      <c r="E57" s="29" t="s">
        <v>152</v>
      </c>
      <c r="F57" s="29" t="s">
        <v>1600</v>
      </c>
      <c r="G57" s="29"/>
      <c r="H57" s="29" t="s">
        <v>194</v>
      </c>
      <c r="I57" s="29" t="s">
        <v>1394</v>
      </c>
      <c r="J57" s="29" t="s">
        <v>685</v>
      </c>
      <c r="K57" s="29" t="s">
        <v>1528</v>
      </c>
      <c r="L57" s="204">
        <v>40543</v>
      </c>
      <c r="M57" s="69" t="s">
        <v>163</v>
      </c>
      <c r="N57" s="36" t="s">
        <v>3151</v>
      </c>
      <c r="O57" s="28" t="s">
        <v>2588</v>
      </c>
    </row>
    <row r="58" spans="1:15" ht="51" x14ac:dyDescent="0.2">
      <c r="A58" s="194" t="s">
        <v>1137</v>
      </c>
      <c r="B58" s="194"/>
      <c r="C58" s="29" t="s">
        <v>1541</v>
      </c>
      <c r="D58" s="104" t="s">
        <v>98</v>
      </c>
      <c r="E58" s="29" t="s">
        <v>98</v>
      </c>
      <c r="F58" s="29" t="s">
        <v>1529</v>
      </c>
      <c r="G58" s="29"/>
      <c r="H58" s="29" t="s">
        <v>25</v>
      </c>
      <c r="I58" s="29" t="s">
        <v>1394</v>
      </c>
      <c r="J58" s="29" t="s">
        <v>12</v>
      </c>
      <c r="K58" s="29" t="s">
        <v>1528</v>
      </c>
      <c r="L58" s="204">
        <v>40419</v>
      </c>
      <c r="M58" s="69" t="s">
        <v>172</v>
      </c>
      <c r="N58" s="36" t="s">
        <v>3152</v>
      </c>
      <c r="O58" s="28" t="s">
        <v>2588</v>
      </c>
    </row>
    <row r="59" spans="1:15" ht="51" x14ac:dyDescent="0.2">
      <c r="A59" s="194" t="s">
        <v>1137</v>
      </c>
      <c r="B59" s="194"/>
      <c r="C59" s="29" t="s">
        <v>118</v>
      </c>
      <c r="D59" s="104" t="s">
        <v>111</v>
      </c>
      <c r="E59" s="29" t="s">
        <v>98</v>
      </c>
      <c r="F59" s="29" t="s">
        <v>1587</v>
      </c>
      <c r="G59" s="29"/>
      <c r="H59" s="29" t="s">
        <v>25</v>
      </c>
      <c r="I59" s="29" t="s">
        <v>1393</v>
      </c>
      <c r="J59" s="29" t="s">
        <v>12</v>
      </c>
      <c r="K59" s="29" t="s">
        <v>1528</v>
      </c>
      <c r="L59" s="204">
        <v>40436</v>
      </c>
      <c r="M59" s="69" t="s">
        <v>173</v>
      </c>
      <c r="N59" s="36" t="s">
        <v>3153</v>
      </c>
      <c r="O59" s="28" t="s">
        <v>2588</v>
      </c>
    </row>
    <row r="60" spans="1:15" ht="38.25" x14ac:dyDescent="0.2">
      <c r="A60" s="40" t="s">
        <v>1137</v>
      </c>
      <c r="B60" s="41"/>
      <c r="C60" s="28" t="s">
        <v>2161</v>
      </c>
      <c r="D60" s="168" t="s">
        <v>2093</v>
      </c>
      <c r="E60" s="28" t="s">
        <v>2091</v>
      </c>
      <c r="F60" s="40" t="s">
        <v>1806</v>
      </c>
      <c r="G60" s="41"/>
      <c r="H60" s="28" t="s">
        <v>2092</v>
      </c>
      <c r="I60" s="40" t="s">
        <v>1540</v>
      </c>
      <c r="J60" s="28" t="s">
        <v>12</v>
      </c>
      <c r="K60" s="28" t="s">
        <v>1615</v>
      </c>
      <c r="L60" s="109">
        <v>42247</v>
      </c>
      <c r="M60" s="28" t="s">
        <v>2161</v>
      </c>
      <c r="N60" s="28" t="s">
        <v>3154</v>
      </c>
      <c r="O60" s="28" t="s">
        <v>3013</v>
      </c>
    </row>
    <row r="61" spans="1:15" ht="102" x14ac:dyDescent="0.2">
      <c r="A61" s="194" t="s">
        <v>1137</v>
      </c>
      <c r="B61" s="194"/>
      <c r="C61" s="29" t="s">
        <v>247</v>
      </c>
      <c r="D61" s="104" t="s">
        <v>440</v>
      </c>
      <c r="E61" s="29" t="s">
        <v>248</v>
      </c>
      <c r="F61" s="29" t="s">
        <v>260</v>
      </c>
      <c r="G61" s="29"/>
      <c r="H61" s="29" t="s">
        <v>1066</v>
      </c>
      <c r="I61" s="29" t="s">
        <v>1394</v>
      </c>
      <c r="J61" s="29" t="s">
        <v>12</v>
      </c>
      <c r="K61" s="29" t="s">
        <v>1528</v>
      </c>
      <c r="L61" s="204">
        <v>40732</v>
      </c>
      <c r="M61" s="69" t="s">
        <v>258</v>
      </c>
      <c r="N61" s="299" t="s">
        <v>2695</v>
      </c>
      <c r="O61" s="28" t="s">
        <v>3014</v>
      </c>
    </row>
    <row r="62" spans="1:15" ht="51" x14ac:dyDescent="0.2">
      <c r="A62" s="194" t="s">
        <v>1137</v>
      </c>
      <c r="B62" s="194"/>
      <c r="C62" s="29" t="s">
        <v>252</v>
      </c>
      <c r="D62" s="104" t="s">
        <v>439</v>
      </c>
      <c r="E62" s="29" t="s">
        <v>253</v>
      </c>
      <c r="F62" s="29" t="s">
        <v>260</v>
      </c>
      <c r="G62" s="29"/>
      <c r="H62" s="29" t="s">
        <v>28</v>
      </c>
      <c r="I62" s="29" t="s">
        <v>1394</v>
      </c>
      <c r="J62" s="29" t="s">
        <v>12</v>
      </c>
      <c r="K62" s="29" t="s">
        <v>1528</v>
      </c>
      <c r="L62" s="204">
        <v>40736</v>
      </c>
      <c r="M62" s="69" t="s">
        <v>259</v>
      </c>
      <c r="N62" s="28" t="s">
        <v>2169</v>
      </c>
      <c r="O62" s="28" t="s">
        <v>3014</v>
      </c>
    </row>
    <row r="63" spans="1:15" ht="51" x14ac:dyDescent="0.2">
      <c r="A63" s="30" t="s">
        <v>584</v>
      </c>
      <c r="B63" s="30"/>
      <c r="C63" s="30" t="s">
        <v>1275</v>
      </c>
      <c r="D63" s="196" t="s">
        <v>1706</v>
      </c>
      <c r="E63" s="30" t="s">
        <v>1603</v>
      </c>
      <c r="F63" s="30" t="s">
        <v>1602</v>
      </c>
      <c r="G63" s="30"/>
      <c r="H63" s="30" t="s">
        <v>1483</v>
      </c>
      <c r="I63" s="30" t="s">
        <v>1530</v>
      </c>
      <c r="J63" s="30" t="s">
        <v>1482</v>
      </c>
      <c r="K63" s="30" t="s">
        <v>1528</v>
      </c>
      <c r="L63" s="105">
        <v>41621</v>
      </c>
      <c r="M63" s="69">
        <v>1055172137</v>
      </c>
      <c r="N63" s="28" t="s">
        <v>2175</v>
      </c>
      <c r="O63" s="28" t="s">
        <v>3002</v>
      </c>
    </row>
    <row r="64" spans="1:15" ht="76.5" x14ac:dyDescent="0.2">
      <c r="A64" s="194" t="s">
        <v>1137</v>
      </c>
      <c r="B64" s="194"/>
      <c r="C64" s="29" t="s">
        <v>110</v>
      </c>
      <c r="D64" s="104" t="s">
        <v>99</v>
      </c>
      <c r="E64" s="29" t="s">
        <v>99</v>
      </c>
      <c r="F64" s="29" t="s">
        <v>1582</v>
      </c>
      <c r="G64" s="29"/>
      <c r="H64" s="29" t="s">
        <v>100</v>
      </c>
      <c r="I64" s="29" t="s">
        <v>1394</v>
      </c>
      <c r="J64" s="29" t="s">
        <v>12</v>
      </c>
      <c r="K64" s="29" t="s">
        <v>1528</v>
      </c>
      <c r="L64" s="204">
        <v>40422</v>
      </c>
      <c r="M64" s="69" t="s">
        <v>196</v>
      </c>
      <c r="N64" s="28" t="s">
        <v>2176</v>
      </c>
      <c r="O64" s="28" t="s">
        <v>3006</v>
      </c>
    </row>
    <row r="65" spans="1:15" ht="51" x14ac:dyDescent="0.2">
      <c r="A65" s="194" t="s">
        <v>1137</v>
      </c>
      <c r="B65" s="194"/>
      <c r="C65" s="69" t="s">
        <v>303</v>
      </c>
      <c r="D65" s="104" t="s">
        <v>291</v>
      </c>
      <c r="E65" s="29" t="s">
        <v>291</v>
      </c>
      <c r="F65" s="29" t="s">
        <v>293</v>
      </c>
      <c r="G65" s="29"/>
      <c r="H65" s="29" t="s">
        <v>292</v>
      </c>
      <c r="I65" s="29" t="s">
        <v>1394</v>
      </c>
      <c r="J65" s="29" t="s">
        <v>18</v>
      </c>
      <c r="K65" s="29" t="s">
        <v>1528</v>
      </c>
      <c r="L65" s="204">
        <v>40847</v>
      </c>
      <c r="M65" s="69" t="s">
        <v>302</v>
      </c>
      <c r="N65" s="36" t="s">
        <v>2286</v>
      </c>
      <c r="O65" s="28" t="s">
        <v>2587</v>
      </c>
    </row>
    <row r="66" spans="1:15" ht="63.75" x14ac:dyDescent="0.2">
      <c r="A66" s="194" t="s">
        <v>1137</v>
      </c>
      <c r="B66" s="194"/>
      <c r="C66" s="69" t="s">
        <v>334</v>
      </c>
      <c r="D66" s="104" t="s">
        <v>329</v>
      </c>
      <c r="E66" s="29" t="s">
        <v>324</v>
      </c>
      <c r="F66" s="29" t="s">
        <v>327</v>
      </c>
      <c r="G66" s="29"/>
      <c r="H66" s="29" t="s">
        <v>326</v>
      </c>
      <c r="I66" s="29" t="s">
        <v>1393</v>
      </c>
      <c r="J66" s="29" t="s">
        <v>18</v>
      </c>
      <c r="K66" s="29" t="s">
        <v>1528</v>
      </c>
      <c r="L66" s="204">
        <v>40893</v>
      </c>
      <c r="M66" s="69" t="s">
        <v>333</v>
      </c>
      <c r="N66" s="36" t="s">
        <v>3390</v>
      </c>
      <c r="O66" s="28" t="s">
        <v>2588</v>
      </c>
    </row>
    <row r="67" spans="1:15" ht="63.75" x14ac:dyDescent="0.2">
      <c r="A67" s="194" t="s">
        <v>1137</v>
      </c>
      <c r="B67" s="194"/>
      <c r="C67" s="69" t="s">
        <v>345</v>
      </c>
      <c r="D67" s="104" t="s">
        <v>1215</v>
      </c>
      <c r="E67" s="29" t="s">
        <v>335</v>
      </c>
      <c r="F67" s="29" t="s">
        <v>336</v>
      </c>
      <c r="G67" s="29"/>
      <c r="H67" s="29" t="s">
        <v>343</v>
      </c>
      <c r="I67" s="29" t="s">
        <v>1393</v>
      </c>
      <c r="J67" s="29" t="s">
        <v>12</v>
      </c>
      <c r="K67" s="29" t="s">
        <v>1528</v>
      </c>
      <c r="L67" s="204">
        <v>40907</v>
      </c>
      <c r="M67" s="69" t="s">
        <v>353</v>
      </c>
      <c r="N67" s="36" t="s">
        <v>2283</v>
      </c>
      <c r="O67" s="28" t="s">
        <v>2588</v>
      </c>
    </row>
    <row r="68" spans="1:15" ht="38.25" x14ac:dyDescent="0.2">
      <c r="A68" s="194" t="s">
        <v>1137</v>
      </c>
      <c r="B68" s="194"/>
      <c r="C68" s="30" t="s">
        <v>1208</v>
      </c>
      <c r="D68" s="104" t="s">
        <v>71</v>
      </c>
      <c r="E68" s="29" t="s">
        <v>41</v>
      </c>
      <c r="F68" s="29" t="s">
        <v>305</v>
      </c>
      <c r="G68" s="29"/>
      <c r="H68" s="29" t="s">
        <v>42</v>
      </c>
      <c r="I68" s="29" t="s">
        <v>1393</v>
      </c>
      <c r="J68" s="29" t="s">
        <v>685</v>
      </c>
      <c r="K68" s="29" t="s">
        <v>1528</v>
      </c>
      <c r="L68" s="204">
        <v>40858</v>
      </c>
      <c r="M68" s="69" t="s">
        <v>377</v>
      </c>
      <c r="N68" s="36" t="s">
        <v>2284</v>
      </c>
      <c r="O68" s="28" t="s">
        <v>2588</v>
      </c>
    </row>
    <row r="69" spans="1:15" ht="63.75" x14ac:dyDescent="0.2">
      <c r="A69" s="194" t="s">
        <v>584</v>
      </c>
      <c r="B69" s="194"/>
      <c r="C69" s="38" t="s">
        <v>480</v>
      </c>
      <c r="D69" s="201" t="s">
        <v>482</v>
      </c>
      <c r="E69" s="38" t="s">
        <v>481</v>
      </c>
      <c r="F69" s="29" t="s">
        <v>112</v>
      </c>
      <c r="G69" s="29"/>
      <c r="H69" s="38" t="s">
        <v>1702</v>
      </c>
      <c r="I69" s="38" t="s">
        <v>1393</v>
      </c>
      <c r="J69" s="38" t="s">
        <v>1571</v>
      </c>
      <c r="K69" s="38" t="s">
        <v>1971</v>
      </c>
      <c r="L69" s="204">
        <v>40401</v>
      </c>
      <c r="M69" s="69" t="s">
        <v>573</v>
      </c>
      <c r="N69" s="36" t="s">
        <v>3155</v>
      </c>
      <c r="O69" s="28" t="s">
        <v>2588</v>
      </c>
    </row>
    <row r="70" spans="1:15" ht="51" x14ac:dyDescent="0.2">
      <c r="A70" s="40" t="s">
        <v>1137</v>
      </c>
      <c r="B70" s="41"/>
      <c r="C70" s="28" t="s">
        <v>2144</v>
      </c>
      <c r="D70" s="168" t="s">
        <v>2077</v>
      </c>
      <c r="E70" s="40" t="s">
        <v>1064</v>
      </c>
      <c r="F70" s="41" t="s">
        <v>1806</v>
      </c>
      <c r="G70" s="41"/>
      <c r="H70" s="28" t="s">
        <v>1066</v>
      </c>
      <c r="I70" s="41" t="s">
        <v>1540</v>
      </c>
      <c r="J70" s="40" t="s">
        <v>685</v>
      </c>
      <c r="K70" s="29" t="s">
        <v>2094</v>
      </c>
      <c r="L70" s="109">
        <v>42240</v>
      </c>
      <c r="M70" s="32" t="s">
        <v>2145</v>
      </c>
      <c r="N70" s="28" t="s">
        <v>3156</v>
      </c>
      <c r="O70" s="178" t="s">
        <v>3015</v>
      </c>
    </row>
    <row r="71" spans="1:15" ht="76.5" x14ac:dyDescent="0.2">
      <c r="A71" s="41" t="s">
        <v>584</v>
      </c>
      <c r="B71" s="41"/>
      <c r="C71" s="28" t="s">
        <v>2138</v>
      </c>
      <c r="D71" s="168" t="s">
        <v>2076</v>
      </c>
      <c r="E71" s="40" t="s">
        <v>907</v>
      </c>
      <c r="F71" s="41" t="s">
        <v>1806</v>
      </c>
      <c r="G71" s="41"/>
      <c r="H71" s="28" t="s">
        <v>25</v>
      </c>
      <c r="I71" s="41" t="s">
        <v>1540</v>
      </c>
      <c r="J71" s="40" t="s">
        <v>685</v>
      </c>
      <c r="K71" s="29" t="s">
        <v>2094</v>
      </c>
      <c r="L71" s="109">
        <v>42240</v>
      </c>
      <c r="M71" s="32" t="s">
        <v>2139</v>
      </c>
      <c r="N71" s="28" t="s">
        <v>3157</v>
      </c>
      <c r="O71" s="28" t="s">
        <v>2712</v>
      </c>
    </row>
    <row r="72" spans="1:15" ht="38.25" x14ac:dyDescent="0.2">
      <c r="A72" s="41" t="s">
        <v>584</v>
      </c>
      <c r="B72" s="41"/>
      <c r="C72" s="30" t="s">
        <v>2049</v>
      </c>
      <c r="D72" s="196" t="s">
        <v>2044</v>
      </c>
      <c r="E72" s="30" t="s">
        <v>2019</v>
      </c>
      <c r="F72" s="41" t="s">
        <v>1806</v>
      </c>
      <c r="G72" s="41"/>
      <c r="H72" s="30" t="s">
        <v>934</v>
      </c>
      <c r="I72" s="41" t="s">
        <v>1540</v>
      </c>
      <c r="J72" s="41" t="s">
        <v>879</v>
      </c>
      <c r="K72" s="29" t="s">
        <v>2094</v>
      </c>
      <c r="L72" s="105">
        <v>42201</v>
      </c>
      <c r="M72" s="106" t="s">
        <v>2050</v>
      </c>
      <c r="N72" s="36" t="s">
        <v>2195</v>
      </c>
      <c r="O72" s="178" t="s">
        <v>3015</v>
      </c>
    </row>
    <row r="73" spans="1:15" ht="51" x14ac:dyDescent="0.2">
      <c r="A73" s="41" t="s">
        <v>1137</v>
      </c>
      <c r="B73" s="41"/>
      <c r="C73" s="30" t="s">
        <v>2069</v>
      </c>
      <c r="D73" s="196" t="s">
        <v>2071</v>
      </c>
      <c r="E73" s="41" t="s">
        <v>2047</v>
      </c>
      <c r="F73" s="41" t="s">
        <v>1806</v>
      </c>
      <c r="G73" s="41"/>
      <c r="H73" s="30" t="s">
        <v>2048</v>
      </c>
      <c r="I73" s="41" t="s">
        <v>1540</v>
      </c>
      <c r="J73" s="41" t="s">
        <v>685</v>
      </c>
      <c r="K73" s="29" t="s">
        <v>2094</v>
      </c>
      <c r="L73" s="105">
        <v>42226</v>
      </c>
      <c r="M73" s="32" t="s">
        <v>2070</v>
      </c>
      <c r="N73" s="28" t="s">
        <v>2199</v>
      </c>
      <c r="O73" s="28" t="s">
        <v>2712</v>
      </c>
    </row>
    <row r="74" spans="1:15" ht="51" x14ac:dyDescent="0.2">
      <c r="A74" s="40" t="s">
        <v>1137</v>
      </c>
      <c r="B74" s="41"/>
      <c r="C74" s="28" t="s">
        <v>2149</v>
      </c>
      <c r="D74" s="168" t="s">
        <v>2089</v>
      </c>
      <c r="E74" s="40" t="s">
        <v>2086</v>
      </c>
      <c r="F74" s="41" t="s">
        <v>1806</v>
      </c>
      <c r="G74" s="41"/>
      <c r="H74" s="28" t="s">
        <v>697</v>
      </c>
      <c r="I74" s="40" t="s">
        <v>1540</v>
      </c>
      <c r="J74" s="40" t="s">
        <v>742</v>
      </c>
      <c r="K74" s="29" t="s">
        <v>2094</v>
      </c>
      <c r="L74" s="109">
        <v>42242</v>
      </c>
      <c r="M74" s="32" t="s">
        <v>2150</v>
      </c>
      <c r="N74" s="28" t="s">
        <v>2452</v>
      </c>
      <c r="O74" s="28" t="s">
        <v>2712</v>
      </c>
    </row>
    <row r="75" spans="1:15" ht="51" x14ac:dyDescent="0.2">
      <c r="A75" s="40" t="s">
        <v>1137</v>
      </c>
      <c r="B75" s="41"/>
      <c r="C75" s="28" t="s">
        <v>2151</v>
      </c>
      <c r="D75" s="168" t="s">
        <v>2090</v>
      </c>
      <c r="E75" s="40" t="s">
        <v>2086</v>
      </c>
      <c r="F75" s="41" t="s">
        <v>1806</v>
      </c>
      <c r="G75" s="41"/>
      <c r="H75" s="28" t="s">
        <v>504</v>
      </c>
      <c r="I75" s="40" t="s">
        <v>1540</v>
      </c>
      <c r="J75" s="188" t="s">
        <v>1962</v>
      </c>
      <c r="K75" s="29" t="s">
        <v>2094</v>
      </c>
      <c r="L75" s="109">
        <v>42242</v>
      </c>
      <c r="M75" s="32" t="s">
        <v>2152</v>
      </c>
      <c r="N75" s="28" t="s">
        <v>2200</v>
      </c>
      <c r="O75" s="28" t="s">
        <v>2712</v>
      </c>
    </row>
    <row r="76" spans="1:15" ht="51" x14ac:dyDescent="0.2">
      <c r="A76" s="40" t="s">
        <v>1137</v>
      </c>
      <c r="B76" s="41"/>
      <c r="C76" s="28" t="s">
        <v>2146</v>
      </c>
      <c r="D76" s="168" t="s">
        <v>2079</v>
      </c>
      <c r="E76" s="28" t="s">
        <v>2078</v>
      </c>
      <c r="F76" s="41" t="s">
        <v>1806</v>
      </c>
      <c r="G76" s="41"/>
      <c r="H76" s="28" t="s">
        <v>2080</v>
      </c>
      <c r="I76" s="41" t="s">
        <v>1540</v>
      </c>
      <c r="J76" s="40" t="s">
        <v>2147</v>
      </c>
      <c r="K76" s="29" t="s">
        <v>2094</v>
      </c>
      <c r="L76" s="109">
        <v>42240</v>
      </c>
      <c r="M76" s="32" t="s">
        <v>2148</v>
      </c>
      <c r="N76" s="28" t="s">
        <v>2211</v>
      </c>
      <c r="O76" s="178" t="s">
        <v>3015</v>
      </c>
    </row>
    <row r="77" spans="1:15" ht="63.75" x14ac:dyDescent="0.2">
      <c r="A77" s="71" t="s">
        <v>584</v>
      </c>
      <c r="B77" s="71"/>
      <c r="C77" s="43" t="s">
        <v>1486</v>
      </c>
      <c r="D77" s="104" t="s">
        <v>1778</v>
      </c>
      <c r="E77" s="29" t="s">
        <v>1461</v>
      </c>
      <c r="F77" s="29" t="s">
        <v>298</v>
      </c>
      <c r="G77" s="29"/>
      <c r="H77" s="30" t="s">
        <v>1459</v>
      </c>
      <c r="I77" s="38" t="s">
        <v>1393</v>
      </c>
      <c r="J77" s="38" t="s">
        <v>18</v>
      </c>
      <c r="K77" s="29" t="s">
        <v>1615</v>
      </c>
      <c r="L77" s="214">
        <v>41971</v>
      </c>
      <c r="M77" s="106">
        <v>1128393149</v>
      </c>
      <c r="N77" s="28" t="s">
        <v>2215</v>
      </c>
      <c r="O77" s="28" t="s">
        <v>2712</v>
      </c>
    </row>
    <row r="78" spans="1:15" ht="51" x14ac:dyDescent="0.2">
      <c r="A78" s="194" t="s">
        <v>1137</v>
      </c>
      <c r="B78" s="194"/>
      <c r="C78" s="69" t="s">
        <v>311</v>
      </c>
      <c r="D78" s="104" t="s">
        <v>301</v>
      </c>
      <c r="E78" s="29" t="s">
        <v>297</v>
      </c>
      <c r="F78" s="29" t="s">
        <v>298</v>
      </c>
      <c r="G78" s="29"/>
      <c r="H78" s="29" t="s">
        <v>1576</v>
      </c>
      <c r="I78" s="29" t="s">
        <v>1393</v>
      </c>
      <c r="J78" s="29" t="s">
        <v>18</v>
      </c>
      <c r="K78" s="29" t="s">
        <v>1528</v>
      </c>
      <c r="L78" s="204">
        <v>40854</v>
      </c>
      <c r="M78" s="69" t="s">
        <v>309</v>
      </c>
      <c r="N78" s="28" t="s">
        <v>2212</v>
      </c>
      <c r="O78" s="28" t="s">
        <v>2588</v>
      </c>
    </row>
    <row r="79" spans="1:15" ht="38.25" x14ac:dyDescent="0.2">
      <c r="A79" s="41" t="s">
        <v>1137</v>
      </c>
      <c r="B79" s="41"/>
      <c r="C79" s="30" t="s">
        <v>2084</v>
      </c>
      <c r="D79" s="196" t="s">
        <v>2220</v>
      </c>
      <c r="E79" s="41" t="s">
        <v>2042</v>
      </c>
      <c r="F79" s="41" t="s">
        <v>1806</v>
      </c>
      <c r="G79" s="41"/>
      <c r="H79" s="30" t="s">
        <v>2134</v>
      </c>
      <c r="I79" s="41" t="s">
        <v>1394</v>
      </c>
      <c r="J79" s="41" t="s">
        <v>2135</v>
      </c>
      <c r="K79" s="29" t="s">
        <v>2094</v>
      </c>
      <c r="L79" s="105">
        <v>42223</v>
      </c>
      <c r="M79" s="32" t="s">
        <v>2085</v>
      </c>
      <c r="N79" s="28" t="s">
        <v>2338</v>
      </c>
      <c r="O79" s="28" t="s">
        <v>2712</v>
      </c>
    </row>
    <row r="80" spans="1:15" ht="140.25" x14ac:dyDescent="0.2">
      <c r="A80" s="194" t="s">
        <v>1137</v>
      </c>
      <c r="B80" s="194"/>
      <c r="C80" s="69" t="s">
        <v>284</v>
      </c>
      <c r="D80" s="104" t="s">
        <v>288</v>
      </c>
      <c r="E80" s="29" t="s">
        <v>288</v>
      </c>
      <c r="F80" s="29" t="s">
        <v>229</v>
      </c>
      <c r="G80" s="29"/>
      <c r="H80" s="29" t="s">
        <v>40</v>
      </c>
      <c r="I80" s="29" t="s">
        <v>1394</v>
      </c>
      <c r="J80" s="29" t="s">
        <v>12</v>
      </c>
      <c r="K80" s="29" t="s">
        <v>1528</v>
      </c>
      <c r="L80" s="204">
        <v>40833</v>
      </c>
      <c r="M80" s="69" t="s">
        <v>285</v>
      </c>
      <c r="N80" s="36" t="s">
        <v>2279</v>
      </c>
      <c r="O80" s="28" t="s">
        <v>2590</v>
      </c>
    </row>
    <row r="81" spans="1:15" ht="216.75" x14ac:dyDescent="0.2">
      <c r="A81" s="194" t="s">
        <v>1137</v>
      </c>
      <c r="B81" s="194"/>
      <c r="C81" s="30" t="s">
        <v>1306</v>
      </c>
      <c r="D81" s="196" t="s">
        <v>1301</v>
      </c>
      <c r="E81" s="30" t="s">
        <v>1302</v>
      </c>
      <c r="F81" s="30" t="s">
        <v>1564</v>
      </c>
      <c r="G81" s="30"/>
      <c r="H81" s="30" t="s">
        <v>1303</v>
      </c>
      <c r="I81" s="30" t="s">
        <v>1393</v>
      </c>
      <c r="J81" s="30" t="s">
        <v>12</v>
      </c>
      <c r="K81" s="30" t="s">
        <v>1592</v>
      </c>
      <c r="L81" s="105">
        <v>41628</v>
      </c>
      <c r="M81" s="32" t="s">
        <v>1320</v>
      </c>
      <c r="N81" s="28" t="s">
        <v>2329</v>
      </c>
      <c r="O81" s="28" t="s">
        <v>2590</v>
      </c>
    </row>
    <row r="82" spans="1:15" ht="204" x14ac:dyDescent="0.2">
      <c r="A82" s="194" t="s">
        <v>1137</v>
      </c>
      <c r="B82" s="194"/>
      <c r="C82" s="69" t="s">
        <v>267</v>
      </c>
      <c r="D82" s="104" t="s">
        <v>268</v>
      </c>
      <c r="E82" s="29" t="s">
        <v>268</v>
      </c>
      <c r="F82" s="29" t="s">
        <v>274</v>
      </c>
      <c r="G82" s="29"/>
      <c r="H82" s="29" t="s">
        <v>269</v>
      </c>
      <c r="I82" s="29" t="s">
        <v>1394</v>
      </c>
      <c r="J82" s="29" t="s">
        <v>1286</v>
      </c>
      <c r="K82" s="29" t="s">
        <v>1528</v>
      </c>
      <c r="L82" s="204">
        <v>40792</v>
      </c>
      <c r="M82" s="69" t="s">
        <v>266</v>
      </c>
      <c r="N82" s="28" t="s">
        <v>3158</v>
      </c>
      <c r="O82" s="28" t="s">
        <v>2590</v>
      </c>
    </row>
    <row r="83" spans="1:15" ht="89.25" x14ac:dyDescent="0.2">
      <c r="A83" s="41" t="s">
        <v>1137</v>
      </c>
      <c r="B83" s="41"/>
      <c r="C83" s="30" t="s">
        <v>1469</v>
      </c>
      <c r="D83" s="196" t="s">
        <v>1440</v>
      </c>
      <c r="E83" s="30" t="s">
        <v>1440</v>
      </c>
      <c r="F83" s="30" t="s">
        <v>1669</v>
      </c>
      <c r="G83" s="30"/>
      <c r="H83" s="30" t="s">
        <v>1441</v>
      </c>
      <c r="I83" s="107" t="s">
        <v>1394</v>
      </c>
      <c r="J83" s="107" t="s">
        <v>1632</v>
      </c>
      <c r="K83" s="41" t="s">
        <v>1528</v>
      </c>
      <c r="L83" s="105">
        <v>42003</v>
      </c>
      <c r="M83" s="106" t="s">
        <v>2060</v>
      </c>
      <c r="N83" s="36" t="s">
        <v>3391</v>
      </c>
      <c r="O83" s="28" t="s">
        <v>2590</v>
      </c>
    </row>
    <row r="84" spans="1:15" ht="76.5" x14ac:dyDescent="0.2">
      <c r="A84" s="194" t="s">
        <v>1137</v>
      </c>
      <c r="B84" s="194"/>
      <c r="C84" s="29" t="s">
        <v>141</v>
      </c>
      <c r="D84" s="104" t="s">
        <v>53</v>
      </c>
      <c r="E84" s="29" t="s">
        <v>53</v>
      </c>
      <c r="F84" s="29" t="s">
        <v>134</v>
      </c>
      <c r="G84" s="29"/>
      <c r="H84" s="29" t="s">
        <v>55</v>
      </c>
      <c r="I84" s="29" t="s">
        <v>1394</v>
      </c>
      <c r="J84" s="29" t="s">
        <v>685</v>
      </c>
      <c r="K84" s="29" t="s">
        <v>1528</v>
      </c>
      <c r="L84" s="204">
        <v>40515</v>
      </c>
      <c r="M84" s="69" t="s">
        <v>175</v>
      </c>
      <c r="N84" s="36" t="s">
        <v>3159</v>
      </c>
      <c r="O84" s="28" t="s">
        <v>2589</v>
      </c>
    </row>
    <row r="85" spans="1:15" ht="63.75" x14ac:dyDescent="0.2">
      <c r="A85" s="39" t="s">
        <v>584</v>
      </c>
      <c r="B85" s="38"/>
      <c r="C85" s="45" t="s">
        <v>2230</v>
      </c>
      <c r="D85" s="168" t="s">
        <v>1820</v>
      </c>
      <c r="E85" s="28" t="s">
        <v>855</v>
      </c>
      <c r="F85" s="28" t="s">
        <v>1806</v>
      </c>
      <c r="G85" s="30"/>
      <c r="H85" s="28" t="s">
        <v>857</v>
      </c>
      <c r="I85" s="40" t="s">
        <v>1393</v>
      </c>
      <c r="J85" s="28" t="s">
        <v>2196</v>
      </c>
      <c r="K85" s="45" t="s">
        <v>1615</v>
      </c>
      <c r="L85" s="254">
        <v>42325</v>
      </c>
      <c r="M85" s="34" t="s">
        <v>2231</v>
      </c>
      <c r="N85" s="36" t="s">
        <v>2451</v>
      </c>
      <c r="O85" s="28" t="s">
        <v>2712</v>
      </c>
    </row>
    <row r="86" spans="1:15" ht="38.25" x14ac:dyDescent="0.2">
      <c r="A86" s="194" t="s">
        <v>1137</v>
      </c>
      <c r="B86" s="194"/>
      <c r="C86" s="29" t="s">
        <v>1261</v>
      </c>
      <c r="D86" s="104" t="s">
        <v>67</v>
      </c>
      <c r="E86" s="29" t="s">
        <v>68</v>
      </c>
      <c r="F86" s="255" t="s">
        <v>1581</v>
      </c>
      <c r="G86" s="255"/>
      <c r="H86" s="69" t="s">
        <v>31</v>
      </c>
      <c r="I86" s="29" t="s">
        <v>1393</v>
      </c>
      <c r="J86" s="29" t="s">
        <v>12</v>
      </c>
      <c r="K86" s="30" t="s">
        <v>1592</v>
      </c>
      <c r="L86" s="204">
        <v>40221</v>
      </c>
      <c r="M86" s="69" t="s">
        <v>376</v>
      </c>
      <c r="N86" s="28" t="s">
        <v>2463</v>
      </c>
      <c r="O86" s="28" t="s">
        <v>2590</v>
      </c>
    </row>
    <row r="87" spans="1:15" ht="76.5" x14ac:dyDescent="0.2">
      <c r="A87" s="194" t="s">
        <v>1137</v>
      </c>
      <c r="B87" s="194"/>
      <c r="C87" s="69" t="s">
        <v>2549</v>
      </c>
      <c r="D87" s="198" t="s">
        <v>254</v>
      </c>
      <c r="E87" s="74" t="s">
        <v>254</v>
      </c>
      <c r="F87" s="29" t="s">
        <v>1569</v>
      </c>
      <c r="G87" s="29"/>
      <c r="H87" s="29" t="s">
        <v>378</v>
      </c>
      <c r="I87" s="29" t="s">
        <v>1394</v>
      </c>
      <c r="J87" s="29" t="s">
        <v>12</v>
      </c>
      <c r="K87" s="188" t="s">
        <v>2119</v>
      </c>
      <c r="L87" s="204">
        <v>41054</v>
      </c>
      <c r="M87" s="69" t="s">
        <v>379</v>
      </c>
      <c r="N87" s="28" t="s">
        <v>2464</v>
      </c>
      <c r="O87" s="28" t="s">
        <v>2590</v>
      </c>
    </row>
    <row r="88" spans="1:15" ht="76.5" x14ac:dyDescent="0.2">
      <c r="A88" s="194" t="s">
        <v>1137</v>
      </c>
      <c r="B88" s="194"/>
      <c r="C88" s="69" t="s">
        <v>399</v>
      </c>
      <c r="D88" s="198" t="s">
        <v>99</v>
      </c>
      <c r="E88" s="74" t="s">
        <v>99</v>
      </c>
      <c r="F88" s="29" t="s">
        <v>1582</v>
      </c>
      <c r="G88" s="29"/>
      <c r="H88" s="74" t="s">
        <v>386</v>
      </c>
      <c r="I88" s="29" t="s">
        <v>1394</v>
      </c>
      <c r="J88" s="29" t="s">
        <v>12</v>
      </c>
      <c r="K88" s="29" t="s">
        <v>1528</v>
      </c>
      <c r="L88" s="204">
        <v>41086</v>
      </c>
      <c r="M88" s="69" t="s">
        <v>400</v>
      </c>
      <c r="N88" s="28" t="s">
        <v>2487</v>
      </c>
      <c r="O88" s="28" t="s">
        <v>2590</v>
      </c>
    </row>
    <row r="89" spans="1:15" ht="38.25" x14ac:dyDescent="0.2">
      <c r="A89" s="194" t="s">
        <v>1137</v>
      </c>
      <c r="B89" s="194"/>
      <c r="C89" s="69" t="s">
        <v>403</v>
      </c>
      <c r="D89" s="198" t="s">
        <v>101</v>
      </c>
      <c r="E89" s="74" t="s">
        <v>101</v>
      </c>
      <c r="F89" s="29" t="s">
        <v>395</v>
      </c>
      <c r="G89" s="29"/>
      <c r="H89" s="74" t="s">
        <v>396</v>
      </c>
      <c r="I89" s="29" t="s">
        <v>1394</v>
      </c>
      <c r="J89" s="29" t="s">
        <v>54</v>
      </c>
      <c r="K89" s="29" t="s">
        <v>1528</v>
      </c>
      <c r="L89" s="204">
        <v>41093</v>
      </c>
      <c r="M89" s="69" t="s">
        <v>402</v>
      </c>
      <c r="N89" s="28" t="s">
        <v>2459</v>
      </c>
      <c r="O89" s="28" t="s">
        <v>2590</v>
      </c>
    </row>
    <row r="90" spans="1:15" ht="51" x14ac:dyDescent="0.2">
      <c r="A90" s="194" t="s">
        <v>1137</v>
      </c>
      <c r="B90" s="194"/>
      <c r="C90" s="69" t="s">
        <v>233</v>
      </c>
      <c r="D90" s="104" t="s">
        <v>232</v>
      </c>
      <c r="E90" s="29" t="s">
        <v>232</v>
      </c>
      <c r="F90" s="29" t="s">
        <v>1549</v>
      </c>
      <c r="G90" s="29"/>
      <c r="H90" s="29" t="s">
        <v>1550</v>
      </c>
      <c r="I90" s="29" t="s">
        <v>1394</v>
      </c>
      <c r="J90" s="29" t="s">
        <v>12</v>
      </c>
      <c r="K90" s="29" t="s">
        <v>1528</v>
      </c>
      <c r="L90" s="204">
        <v>40700</v>
      </c>
      <c r="M90" s="69" t="s">
        <v>236</v>
      </c>
      <c r="N90" s="28" t="s">
        <v>3160</v>
      </c>
      <c r="O90" s="28" t="s">
        <v>2589</v>
      </c>
    </row>
    <row r="91" spans="1:15" ht="51" x14ac:dyDescent="0.2">
      <c r="A91" s="194" t="s">
        <v>1137</v>
      </c>
      <c r="B91" s="194"/>
      <c r="C91" s="69" t="s">
        <v>234</v>
      </c>
      <c r="D91" s="104" t="s">
        <v>152</v>
      </c>
      <c r="E91" s="29" t="s">
        <v>152</v>
      </c>
      <c r="F91" s="29" t="s">
        <v>1601</v>
      </c>
      <c r="G91" s="29"/>
      <c r="H91" s="29" t="s">
        <v>273</v>
      </c>
      <c r="I91" s="29" t="s">
        <v>1394</v>
      </c>
      <c r="J91" s="29" t="s">
        <v>685</v>
      </c>
      <c r="K91" s="29" t="s">
        <v>1528</v>
      </c>
      <c r="L91" s="204">
        <v>40697</v>
      </c>
      <c r="M91" s="69" t="s">
        <v>235</v>
      </c>
      <c r="N91" s="28" t="s">
        <v>3161</v>
      </c>
      <c r="O91" s="28" t="s">
        <v>2589</v>
      </c>
    </row>
    <row r="92" spans="1:15" ht="89.25" x14ac:dyDescent="0.2">
      <c r="A92" s="41" t="s">
        <v>1137</v>
      </c>
      <c r="B92" s="41"/>
      <c r="C92" s="28" t="s">
        <v>580</v>
      </c>
      <c r="D92" s="256" t="s">
        <v>1500</v>
      </c>
      <c r="E92" s="30" t="s">
        <v>152</v>
      </c>
      <c r="F92" s="30" t="s">
        <v>1677</v>
      </c>
      <c r="G92" s="30"/>
      <c r="H92" s="30" t="s">
        <v>194</v>
      </c>
      <c r="I92" s="107" t="s">
        <v>1540</v>
      </c>
      <c r="J92" s="41" t="s">
        <v>1095</v>
      </c>
      <c r="K92" s="29" t="s">
        <v>1589</v>
      </c>
      <c r="L92" s="105">
        <v>42013</v>
      </c>
      <c r="M92" s="106" t="s">
        <v>1628</v>
      </c>
      <c r="N92" s="28" t="s">
        <v>3478</v>
      </c>
      <c r="O92" s="28" t="s">
        <v>2589</v>
      </c>
    </row>
    <row r="93" spans="1:15" ht="63.75" x14ac:dyDescent="0.2">
      <c r="A93" s="38" t="s">
        <v>1137</v>
      </c>
      <c r="B93" s="38"/>
      <c r="C93" s="30" t="s">
        <v>1467</v>
      </c>
      <c r="D93" s="104" t="s">
        <v>1456</v>
      </c>
      <c r="E93" s="108" t="s">
        <v>1446</v>
      </c>
      <c r="F93" s="41" t="s">
        <v>209</v>
      </c>
      <c r="G93" s="41"/>
      <c r="H93" s="30" t="s">
        <v>2063</v>
      </c>
      <c r="I93" s="107" t="s">
        <v>1393</v>
      </c>
      <c r="J93" s="29" t="s">
        <v>12</v>
      </c>
      <c r="K93" s="29" t="s">
        <v>1589</v>
      </c>
      <c r="L93" s="204">
        <v>41991</v>
      </c>
      <c r="M93" s="106" t="s">
        <v>1705</v>
      </c>
      <c r="N93" s="28" t="s">
        <v>3162</v>
      </c>
      <c r="O93" s="28" t="s">
        <v>2589</v>
      </c>
    </row>
    <row r="94" spans="1:15" ht="63.75" x14ac:dyDescent="0.2">
      <c r="A94" s="185" t="s">
        <v>584</v>
      </c>
      <c r="B94" s="185"/>
      <c r="C94" s="151" t="s">
        <v>1163</v>
      </c>
      <c r="D94" s="249" t="s">
        <v>1557</v>
      </c>
      <c r="E94" s="151" t="s">
        <v>1558</v>
      </c>
      <c r="F94" s="29" t="s">
        <v>1681</v>
      </c>
      <c r="G94" s="29"/>
      <c r="H94" s="151" t="s">
        <v>1559</v>
      </c>
      <c r="I94" s="151" t="s">
        <v>1393</v>
      </c>
      <c r="J94" s="151" t="s">
        <v>879</v>
      </c>
      <c r="K94" s="151" t="s">
        <v>1211</v>
      </c>
      <c r="L94" s="257">
        <v>41368</v>
      </c>
      <c r="M94" s="69" t="s">
        <v>1225</v>
      </c>
      <c r="N94" s="28" t="s">
        <v>3163</v>
      </c>
      <c r="O94" s="28" t="s">
        <v>2589</v>
      </c>
    </row>
    <row r="95" spans="1:15" ht="38.25" x14ac:dyDescent="0.2">
      <c r="A95" s="194" t="s">
        <v>584</v>
      </c>
      <c r="B95" s="194"/>
      <c r="C95" s="29" t="s">
        <v>474</v>
      </c>
      <c r="D95" s="104" t="s">
        <v>1703</v>
      </c>
      <c r="E95" s="29" t="s">
        <v>475</v>
      </c>
      <c r="F95" s="188" t="s">
        <v>1274</v>
      </c>
      <c r="G95" s="188"/>
      <c r="H95" s="188" t="s">
        <v>1184</v>
      </c>
      <c r="I95" s="188" t="s">
        <v>1393</v>
      </c>
      <c r="J95" s="188" t="s">
        <v>2040</v>
      </c>
      <c r="K95" s="188" t="s">
        <v>1528</v>
      </c>
      <c r="L95" s="31">
        <v>40938</v>
      </c>
      <c r="M95" s="69" t="s">
        <v>558</v>
      </c>
      <c r="N95" s="28" t="s">
        <v>3164</v>
      </c>
      <c r="O95" s="28" t="s">
        <v>2611</v>
      </c>
    </row>
    <row r="96" spans="1:15" ht="38.25" x14ac:dyDescent="0.2">
      <c r="A96" s="194" t="s">
        <v>584</v>
      </c>
      <c r="B96" s="194"/>
      <c r="C96" s="188" t="s">
        <v>476</v>
      </c>
      <c r="D96" s="189" t="s">
        <v>1703</v>
      </c>
      <c r="E96" s="188" t="s">
        <v>475</v>
      </c>
      <c r="F96" s="188" t="s">
        <v>1274</v>
      </c>
      <c r="G96" s="188"/>
      <c r="H96" s="188" t="s">
        <v>1184</v>
      </c>
      <c r="I96" s="188" t="s">
        <v>1393</v>
      </c>
      <c r="J96" s="188" t="s">
        <v>63</v>
      </c>
      <c r="K96" s="188" t="s">
        <v>1528</v>
      </c>
      <c r="L96" s="31">
        <v>40938</v>
      </c>
      <c r="M96" s="69" t="s">
        <v>559</v>
      </c>
      <c r="N96" s="28" t="s">
        <v>3165</v>
      </c>
      <c r="O96" s="28" t="s">
        <v>2611</v>
      </c>
    </row>
    <row r="97" spans="1:15" ht="51" x14ac:dyDescent="0.2">
      <c r="A97" s="205" t="s">
        <v>584</v>
      </c>
      <c r="B97" s="150"/>
      <c r="C97" s="30" t="s">
        <v>1185</v>
      </c>
      <c r="D97" s="104" t="s">
        <v>1761</v>
      </c>
      <c r="E97" s="29" t="s">
        <v>475</v>
      </c>
      <c r="F97" s="253" t="s">
        <v>990</v>
      </c>
      <c r="G97" s="253"/>
      <c r="H97" s="253" t="s">
        <v>1184</v>
      </c>
      <c r="I97" s="29" t="s">
        <v>1393</v>
      </c>
      <c r="J97" s="29" t="s">
        <v>63</v>
      </c>
      <c r="K97" s="188" t="s">
        <v>1970</v>
      </c>
      <c r="L97" s="204">
        <v>41494</v>
      </c>
      <c r="M97" s="248" t="s">
        <v>1230</v>
      </c>
      <c r="N97" s="28" t="s">
        <v>3166</v>
      </c>
      <c r="O97" s="28" t="s">
        <v>2712</v>
      </c>
    </row>
    <row r="98" spans="1:15" ht="38.25" x14ac:dyDescent="0.2">
      <c r="A98" s="41" t="s">
        <v>584</v>
      </c>
      <c r="B98" s="41"/>
      <c r="C98" s="30" t="s">
        <v>2051</v>
      </c>
      <c r="D98" s="196" t="s">
        <v>2043</v>
      </c>
      <c r="E98" s="41" t="s">
        <v>475</v>
      </c>
      <c r="F98" s="30" t="s">
        <v>1806</v>
      </c>
      <c r="G98" s="30"/>
      <c r="H98" s="30" t="s">
        <v>2039</v>
      </c>
      <c r="I98" s="41" t="s">
        <v>1540</v>
      </c>
      <c r="J98" s="41" t="s">
        <v>2040</v>
      </c>
      <c r="K98" s="30" t="s">
        <v>1615</v>
      </c>
      <c r="L98" s="105">
        <v>42212</v>
      </c>
      <c r="M98" s="32" t="s">
        <v>2052</v>
      </c>
      <c r="N98" s="28" t="s">
        <v>3167</v>
      </c>
      <c r="O98" s="28" t="s">
        <v>2712</v>
      </c>
    </row>
    <row r="99" spans="1:15" ht="63.75" x14ac:dyDescent="0.2">
      <c r="A99" s="194" t="s">
        <v>1137</v>
      </c>
      <c r="B99" s="194"/>
      <c r="C99" s="69" t="s">
        <v>582</v>
      </c>
      <c r="D99" s="198" t="s">
        <v>1704</v>
      </c>
      <c r="E99" s="74" t="s">
        <v>65</v>
      </c>
      <c r="F99" s="29" t="s">
        <v>534</v>
      </c>
      <c r="G99" s="29"/>
      <c r="H99" s="74" t="s">
        <v>51</v>
      </c>
      <c r="I99" s="29" t="s">
        <v>1394</v>
      </c>
      <c r="J99" s="29" t="s">
        <v>1369</v>
      </c>
      <c r="K99" s="29" t="s">
        <v>1528</v>
      </c>
      <c r="L99" s="204">
        <v>41232</v>
      </c>
      <c r="M99" s="69" t="s">
        <v>581</v>
      </c>
      <c r="N99" s="28" t="s">
        <v>3168</v>
      </c>
      <c r="O99" s="28" t="s">
        <v>2611</v>
      </c>
    </row>
    <row r="100" spans="1:15" ht="89.25" x14ac:dyDescent="0.2">
      <c r="A100" s="40" t="s">
        <v>1137</v>
      </c>
      <c r="B100" s="41"/>
      <c r="C100" s="28" t="s">
        <v>2507</v>
      </c>
      <c r="D100" s="168" t="s">
        <v>2476</v>
      </c>
      <c r="E100" s="40" t="s">
        <v>2475</v>
      </c>
      <c r="F100" s="40" t="s">
        <v>1806</v>
      </c>
      <c r="G100" s="41"/>
      <c r="H100" s="28" t="s">
        <v>2477</v>
      </c>
      <c r="I100" s="40" t="s">
        <v>1393</v>
      </c>
      <c r="J100" s="40" t="s">
        <v>12</v>
      </c>
      <c r="K100" s="45" t="s">
        <v>1615</v>
      </c>
      <c r="L100" s="109">
        <v>42451</v>
      </c>
      <c r="M100" s="208" t="s">
        <v>2508</v>
      </c>
      <c r="N100" s="28" t="s">
        <v>3169</v>
      </c>
      <c r="O100" s="28" t="s">
        <v>2712</v>
      </c>
    </row>
    <row r="101" spans="1:15" ht="51" x14ac:dyDescent="0.2">
      <c r="A101" s="194" t="s">
        <v>584</v>
      </c>
      <c r="B101" s="194"/>
      <c r="C101" s="68" t="s">
        <v>612</v>
      </c>
      <c r="D101" s="198" t="s">
        <v>1759</v>
      </c>
      <c r="E101" s="74" t="s">
        <v>65</v>
      </c>
      <c r="F101" s="29" t="s">
        <v>534</v>
      </c>
      <c r="G101" s="29"/>
      <c r="H101" s="74" t="s">
        <v>51</v>
      </c>
      <c r="I101" s="29" t="s">
        <v>1393</v>
      </c>
      <c r="J101" s="29" t="s">
        <v>1369</v>
      </c>
      <c r="K101" s="188" t="s">
        <v>1970</v>
      </c>
      <c r="L101" s="204">
        <v>41248</v>
      </c>
      <c r="M101" s="69" t="s">
        <v>609</v>
      </c>
      <c r="N101" s="28" t="s">
        <v>3170</v>
      </c>
      <c r="O101" s="28" t="s">
        <v>2712</v>
      </c>
    </row>
    <row r="102" spans="1:15" ht="63.75" x14ac:dyDescent="0.2">
      <c r="A102" s="44" t="s">
        <v>585</v>
      </c>
      <c r="B102" s="194"/>
      <c r="C102" s="163" t="s">
        <v>348</v>
      </c>
      <c r="D102" s="104" t="s">
        <v>1799</v>
      </c>
      <c r="E102" s="29" t="s">
        <v>1799</v>
      </c>
      <c r="F102" s="29" t="s">
        <v>340</v>
      </c>
      <c r="G102" s="29"/>
      <c r="H102" s="29" t="s">
        <v>341</v>
      </c>
      <c r="I102" s="29" t="s">
        <v>1394</v>
      </c>
      <c r="J102" s="29" t="s">
        <v>685</v>
      </c>
      <c r="K102" s="29" t="s">
        <v>1528</v>
      </c>
      <c r="L102" s="204">
        <v>40907</v>
      </c>
      <c r="M102" s="69" t="s">
        <v>352</v>
      </c>
      <c r="N102" s="28" t="s">
        <v>3171</v>
      </c>
      <c r="O102" s="258" t="s">
        <v>3006</v>
      </c>
    </row>
    <row r="103" spans="1:15" ht="51" x14ac:dyDescent="0.2">
      <c r="A103" s="194" t="s">
        <v>1137</v>
      </c>
      <c r="B103" s="194"/>
      <c r="C103" s="29" t="s">
        <v>159</v>
      </c>
      <c r="D103" s="104" t="s">
        <v>121</v>
      </c>
      <c r="E103" s="29" t="s">
        <v>121</v>
      </c>
      <c r="F103" s="29" t="s">
        <v>143</v>
      </c>
      <c r="G103" s="29"/>
      <c r="H103" s="29" t="s">
        <v>504</v>
      </c>
      <c r="I103" s="29" t="s">
        <v>1394</v>
      </c>
      <c r="J103" s="29" t="s">
        <v>641</v>
      </c>
      <c r="K103" s="29" t="s">
        <v>1528</v>
      </c>
      <c r="L103" s="204">
        <v>40534</v>
      </c>
      <c r="M103" s="69" t="s">
        <v>177</v>
      </c>
      <c r="N103" s="218" t="s">
        <v>2655</v>
      </c>
      <c r="O103" s="28" t="s">
        <v>2681</v>
      </c>
    </row>
    <row r="104" spans="1:15" ht="63.75" x14ac:dyDescent="0.2">
      <c r="A104" s="44" t="s">
        <v>585</v>
      </c>
      <c r="B104" s="194"/>
      <c r="C104" s="163" t="s">
        <v>348</v>
      </c>
      <c r="D104" s="104" t="s">
        <v>1799</v>
      </c>
      <c r="E104" s="29" t="s">
        <v>1799</v>
      </c>
      <c r="F104" s="29" t="s">
        <v>341</v>
      </c>
      <c r="G104" s="29"/>
      <c r="H104" s="29" t="s">
        <v>2486</v>
      </c>
      <c r="I104" s="29" t="s">
        <v>1394</v>
      </c>
      <c r="J104" s="29" t="s">
        <v>685</v>
      </c>
      <c r="K104" s="29" t="s">
        <v>1528</v>
      </c>
      <c r="L104" s="204">
        <v>40907</v>
      </c>
      <c r="M104" s="69" t="s">
        <v>352</v>
      </c>
      <c r="N104" s="28" t="s">
        <v>3172</v>
      </c>
      <c r="O104" s="28" t="s">
        <v>2681</v>
      </c>
    </row>
    <row r="105" spans="1:15" ht="51" x14ac:dyDescent="0.2">
      <c r="A105" s="41" t="s">
        <v>584</v>
      </c>
      <c r="B105" s="41"/>
      <c r="C105" s="30" t="s">
        <v>1247</v>
      </c>
      <c r="D105" s="104" t="s">
        <v>1276</v>
      </c>
      <c r="E105" s="259" t="s">
        <v>600</v>
      </c>
      <c r="F105" s="30" t="s">
        <v>1583</v>
      </c>
      <c r="G105" s="30"/>
      <c r="H105" s="30" t="s">
        <v>2122</v>
      </c>
      <c r="I105" s="41" t="s">
        <v>1530</v>
      </c>
      <c r="J105" s="30" t="s">
        <v>2123</v>
      </c>
      <c r="K105" s="30" t="s">
        <v>1528</v>
      </c>
      <c r="L105" s="105">
        <v>41597</v>
      </c>
      <c r="M105" s="260">
        <v>969519132</v>
      </c>
      <c r="N105" s="28" t="s">
        <v>2754</v>
      </c>
      <c r="O105" s="28" t="s">
        <v>2771</v>
      </c>
    </row>
    <row r="106" spans="1:15" ht="51" x14ac:dyDescent="0.2">
      <c r="A106" s="251" t="s">
        <v>1255</v>
      </c>
      <c r="B106" s="82"/>
      <c r="C106" s="30" t="s">
        <v>1266</v>
      </c>
      <c r="D106" s="104" t="s">
        <v>1256</v>
      </c>
      <c r="E106" s="259" t="s">
        <v>600</v>
      </c>
      <c r="F106" s="30" t="s">
        <v>1543</v>
      </c>
      <c r="G106" s="30"/>
      <c r="H106" s="30" t="s">
        <v>2122</v>
      </c>
      <c r="I106" s="41" t="s">
        <v>1530</v>
      </c>
      <c r="J106" s="30" t="s">
        <v>2123</v>
      </c>
      <c r="K106" s="30" t="s">
        <v>1528</v>
      </c>
      <c r="L106" s="105">
        <v>41605</v>
      </c>
      <c r="M106" s="260">
        <v>1008387131</v>
      </c>
      <c r="N106" s="28" t="s">
        <v>2755</v>
      </c>
      <c r="O106" s="28" t="s">
        <v>2771</v>
      </c>
    </row>
    <row r="107" spans="1:15" ht="51" x14ac:dyDescent="0.2">
      <c r="A107" s="194" t="s">
        <v>1137</v>
      </c>
      <c r="B107" s="194"/>
      <c r="C107" s="69" t="s">
        <v>1154</v>
      </c>
      <c r="D107" s="198" t="s">
        <v>2600</v>
      </c>
      <c r="E107" s="259" t="s">
        <v>600</v>
      </c>
      <c r="F107" s="30" t="s">
        <v>1583</v>
      </c>
      <c r="G107" s="30"/>
      <c r="H107" s="43" t="s">
        <v>2120</v>
      </c>
      <c r="I107" s="29" t="s">
        <v>1530</v>
      </c>
      <c r="J107" s="29" t="s">
        <v>2121</v>
      </c>
      <c r="K107" s="29" t="s">
        <v>1528</v>
      </c>
      <c r="L107" s="204">
        <v>41458</v>
      </c>
      <c r="M107" s="261" t="s">
        <v>1514</v>
      </c>
      <c r="N107" s="28" t="s">
        <v>2756</v>
      </c>
      <c r="O107" s="28" t="s">
        <v>2771</v>
      </c>
    </row>
    <row r="108" spans="1:15" ht="51" x14ac:dyDescent="0.2">
      <c r="A108" s="40" t="s">
        <v>1137</v>
      </c>
      <c r="B108" s="41"/>
      <c r="C108" s="28" t="s">
        <v>1480</v>
      </c>
      <c r="D108" s="161" t="s">
        <v>1660</v>
      </c>
      <c r="E108" s="45" t="s">
        <v>1481</v>
      </c>
      <c r="F108" s="262"/>
      <c r="G108" s="83"/>
      <c r="H108" s="28" t="s">
        <v>414</v>
      </c>
      <c r="I108" s="206" t="s">
        <v>1394</v>
      </c>
      <c r="J108" s="206" t="s">
        <v>685</v>
      </c>
      <c r="K108" s="45" t="s">
        <v>1528</v>
      </c>
      <c r="L108" s="109">
        <v>42011</v>
      </c>
      <c r="M108" s="208" t="s">
        <v>1491</v>
      </c>
      <c r="N108" s="28" t="s">
        <v>2844</v>
      </c>
      <c r="O108" s="45" t="s">
        <v>2875</v>
      </c>
    </row>
    <row r="109" spans="1:15" ht="38.25" x14ac:dyDescent="0.2">
      <c r="A109" s="263" t="s">
        <v>1137</v>
      </c>
      <c r="B109" s="263"/>
      <c r="C109" s="28" t="s">
        <v>2790</v>
      </c>
      <c r="D109" s="168" t="s">
        <v>2792</v>
      </c>
      <c r="E109" s="40" t="s">
        <v>1481</v>
      </c>
      <c r="F109" s="262"/>
      <c r="G109" s="83"/>
      <c r="H109" s="28" t="s">
        <v>414</v>
      </c>
      <c r="I109" s="206" t="s">
        <v>1394</v>
      </c>
      <c r="J109" s="206" t="s">
        <v>685</v>
      </c>
      <c r="K109" s="45" t="s">
        <v>2566</v>
      </c>
      <c r="L109" s="109">
        <v>42732</v>
      </c>
      <c r="M109" s="28" t="s">
        <v>2790</v>
      </c>
      <c r="N109" s="28" t="s">
        <v>2798</v>
      </c>
      <c r="O109" s="28" t="s">
        <v>3013</v>
      </c>
    </row>
    <row r="110" spans="1:15" ht="51" x14ac:dyDescent="0.2">
      <c r="A110" s="44" t="s">
        <v>1137</v>
      </c>
      <c r="B110" s="68"/>
      <c r="C110" s="28" t="s">
        <v>2561</v>
      </c>
      <c r="D110" s="168" t="s">
        <v>2556</v>
      </c>
      <c r="E110" s="28" t="s">
        <v>2556</v>
      </c>
      <c r="F110" s="262"/>
      <c r="G110" s="83"/>
      <c r="H110" s="28" t="s">
        <v>2557</v>
      </c>
      <c r="I110" s="45" t="s">
        <v>1394</v>
      </c>
      <c r="J110" s="40" t="s">
        <v>12</v>
      </c>
      <c r="K110" s="39" t="s">
        <v>1528</v>
      </c>
      <c r="L110" s="109">
        <v>42531</v>
      </c>
      <c r="M110" s="28">
        <v>1927229164</v>
      </c>
      <c r="N110" s="28" t="s">
        <v>2809</v>
      </c>
      <c r="O110" s="28" t="s">
        <v>2875</v>
      </c>
    </row>
    <row r="111" spans="1:15" ht="51" x14ac:dyDescent="0.2">
      <c r="A111" s="41" t="s">
        <v>1137</v>
      </c>
      <c r="B111" s="41"/>
      <c r="C111" s="30" t="s">
        <v>1645</v>
      </c>
      <c r="D111" s="196" t="s">
        <v>1782</v>
      </c>
      <c r="E111" s="41" t="s">
        <v>1481</v>
      </c>
      <c r="F111" s="301"/>
      <c r="G111" s="301"/>
      <c r="H111" s="30" t="s">
        <v>1646</v>
      </c>
      <c r="I111" s="107" t="s">
        <v>1540</v>
      </c>
      <c r="J111" s="107" t="s">
        <v>685</v>
      </c>
      <c r="K111" s="29" t="s">
        <v>1615</v>
      </c>
      <c r="L111" s="105">
        <v>42038</v>
      </c>
      <c r="M111" s="106" t="s">
        <v>1685</v>
      </c>
      <c r="N111" s="28" t="s">
        <v>3173</v>
      </c>
      <c r="O111" s="45" t="s">
        <v>2860</v>
      </c>
    </row>
    <row r="112" spans="1:15" ht="51" x14ac:dyDescent="0.2">
      <c r="A112" s="86" t="s">
        <v>584</v>
      </c>
      <c r="B112" s="86"/>
      <c r="C112" s="87" t="s">
        <v>1656</v>
      </c>
      <c r="D112" s="199" t="s">
        <v>1784</v>
      </c>
      <c r="E112" s="86" t="s">
        <v>1481</v>
      </c>
      <c r="F112" s="301"/>
      <c r="G112" s="301"/>
      <c r="H112" s="87" t="s">
        <v>414</v>
      </c>
      <c r="I112" s="215" t="s">
        <v>1540</v>
      </c>
      <c r="J112" s="215" t="s">
        <v>685</v>
      </c>
      <c r="K112" s="200" t="s">
        <v>1615</v>
      </c>
      <c r="L112" s="216">
        <v>42044</v>
      </c>
      <c r="M112" s="217" t="s">
        <v>1692</v>
      </c>
      <c r="N112" s="87" t="s">
        <v>3174</v>
      </c>
      <c r="O112" s="45" t="s">
        <v>2860</v>
      </c>
    </row>
    <row r="113" spans="1:15" ht="76.5" x14ac:dyDescent="0.2">
      <c r="A113" s="40" t="s">
        <v>1137</v>
      </c>
      <c r="B113" s="41"/>
      <c r="C113" s="28" t="s">
        <v>2731</v>
      </c>
      <c r="D113" s="168" t="s">
        <v>2700</v>
      </c>
      <c r="E113" s="28" t="s">
        <v>2701</v>
      </c>
      <c r="F113" s="262"/>
      <c r="G113" s="83"/>
      <c r="H113" s="28" t="s">
        <v>2557</v>
      </c>
      <c r="I113" s="28" t="s">
        <v>1393</v>
      </c>
      <c r="J113" s="28" t="s">
        <v>1454</v>
      </c>
      <c r="K113" s="45" t="s">
        <v>2567</v>
      </c>
      <c r="L113" s="109">
        <v>42653</v>
      </c>
      <c r="M113" s="28">
        <v>2450471168</v>
      </c>
      <c r="N113" s="28" t="s">
        <v>3175</v>
      </c>
      <c r="O113" s="45" t="s">
        <v>2860</v>
      </c>
    </row>
    <row r="114" spans="1:15" ht="89.25" x14ac:dyDescent="0.2">
      <c r="A114" s="40" t="s">
        <v>584</v>
      </c>
      <c r="B114" s="41"/>
      <c r="C114" s="28" t="s">
        <v>2692</v>
      </c>
      <c r="D114" s="168" t="s">
        <v>2675</v>
      </c>
      <c r="E114" s="28" t="s">
        <v>2556</v>
      </c>
      <c r="F114" s="301"/>
      <c r="G114" s="301"/>
      <c r="H114" s="28" t="s">
        <v>2557</v>
      </c>
      <c r="I114" s="28" t="s">
        <v>1393</v>
      </c>
      <c r="J114" s="28" t="s">
        <v>1454</v>
      </c>
      <c r="K114" s="45" t="s">
        <v>2567</v>
      </c>
      <c r="L114" s="109">
        <v>42633</v>
      </c>
      <c r="M114" s="28">
        <v>2355707169</v>
      </c>
      <c r="N114" s="28" t="s">
        <v>3176</v>
      </c>
      <c r="O114" s="45" t="s">
        <v>2860</v>
      </c>
    </row>
    <row r="115" spans="1:15" ht="38.25" x14ac:dyDescent="0.2">
      <c r="A115" s="40" t="s">
        <v>1137</v>
      </c>
      <c r="B115" s="41"/>
      <c r="C115" s="28" t="s">
        <v>2736</v>
      </c>
      <c r="D115" s="168" t="s">
        <v>2738</v>
      </c>
      <c r="E115" s="40" t="s">
        <v>2735</v>
      </c>
      <c r="F115" s="28" t="s">
        <v>1806</v>
      </c>
      <c r="G115" s="30"/>
      <c r="H115" s="28" t="s">
        <v>2737</v>
      </c>
      <c r="I115" s="40" t="s">
        <v>1394</v>
      </c>
      <c r="J115" s="40" t="s">
        <v>1454</v>
      </c>
      <c r="K115" s="28" t="s">
        <v>2094</v>
      </c>
      <c r="L115" s="109">
        <v>42678</v>
      </c>
      <c r="M115" s="208" t="s">
        <v>2739</v>
      </c>
      <c r="N115" s="28" t="s">
        <v>2820</v>
      </c>
      <c r="O115" s="45" t="s">
        <v>2860</v>
      </c>
    </row>
    <row r="116" spans="1:15" ht="38.25" x14ac:dyDescent="0.2">
      <c r="A116" s="45" t="s">
        <v>1137</v>
      </c>
      <c r="B116" s="29"/>
      <c r="C116" s="28" t="s">
        <v>2643</v>
      </c>
      <c r="D116" s="168" t="s">
        <v>2640</v>
      </c>
      <c r="E116" s="40" t="s">
        <v>1830</v>
      </c>
      <c r="F116" s="40" t="s">
        <v>2642</v>
      </c>
      <c r="G116" s="41"/>
      <c r="H116" s="28" t="s">
        <v>834</v>
      </c>
      <c r="I116" s="40" t="s">
        <v>1392</v>
      </c>
      <c r="J116" s="40" t="s">
        <v>2641</v>
      </c>
      <c r="K116" s="28" t="s">
        <v>2445</v>
      </c>
      <c r="L116" s="109">
        <v>42590</v>
      </c>
      <c r="M116" s="192">
        <v>2169283161</v>
      </c>
      <c r="N116" s="28" t="s">
        <v>2855</v>
      </c>
      <c r="O116" s="45" t="s">
        <v>2879</v>
      </c>
    </row>
    <row r="117" spans="1:15" ht="63.75" x14ac:dyDescent="0.2">
      <c r="A117" s="39" t="s">
        <v>584</v>
      </c>
      <c r="B117" s="38"/>
      <c r="C117" s="45" t="s">
        <v>2248</v>
      </c>
      <c r="D117" s="104" t="s">
        <v>2229</v>
      </c>
      <c r="E117" s="29" t="s">
        <v>1461</v>
      </c>
      <c r="F117" s="29" t="s">
        <v>298</v>
      </c>
      <c r="G117" s="29"/>
      <c r="H117" s="30" t="s">
        <v>2330</v>
      </c>
      <c r="I117" s="38" t="s">
        <v>1393</v>
      </c>
      <c r="J117" s="38" t="s">
        <v>18</v>
      </c>
      <c r="K117" s="29" t="s">
        <v>1615</v>
      </c>
      <c r="L117" s="109">
        <v>42341</v>
      </c>
      <c r="M117" s="34" t="s">
        <v>2249</v>
      </c>
      <c r="N117" s="220" t="s">
        <v>2870</v>
      </c>
      <c r="O117" s="28" t="s">
        <v>3006</v>
      </c>
    </row>
    <row r="118" spans="1:15" s="101" customFormat="1" ht="76.5" x14ac:dyDescent="0.2">
      <c r="A118" s="40" t="s">
        <v>2191</v>
      </c>
      <c r="B118" s="41"/>
      <c r="C118" s="36" t="s">
        <v>2876</v>
      </c>
      <c r="D118" s="264" t="s">
        <v>2254</v>
      </c>
      <c r="E118" s="36" t="s">
        <v>2254</v>
      </c>
      <c r="F118" s="40"/>
      <c r="G118" s="41"/>
      <c r="H118" s="40" t="s">
        <v>2878</v>
      </c>
      <c r="I118" s="40" t="s">
        <v>1394</v>
      </c>
      <c r="J118" s="40" t="s">
        <v>2878</v>
      </c>
      <c r="K118" s="28" t="s">
        <v>1211</v>
      </c>
      <c r="L118" s="109">
        <v>39007</v>
      </c>
      <c r="M118" s="40" t="s">
        <v>2877</v>
      </c>
      <c r="N118" s="28" t="s">
        <v>3177</v>
      </c>
      <c r="O118" s="28" t="s">
        <v>2953</v>
      </c>
    </row>
    <row r="119" spans="1:15" ht="63.75" x14ac:dyDescent="0.2">
      <c r="A119" s="41" t="s">
        <v>1137</v>
      </c>
      <c r="B119" s="41"/>
      <c r="C119" s="28" t="s">
        <v>1414</v>
      </c>
      <c r="D119" s="161" t="s">
        <v>1412</v>
      </c>
      <c r="E119" s="28" t="s">
        <v>1413</v>
      </c>
      <c r="F119" s="40" t="s">
        <v>1665</v>
      </c>
      <c r="G119" s="41"/>
      <c r="H119" s="28" t="s">
        <v>1611</v>
      </c>
      <c r="I119" s="29" t="s">
        <v>1393</v>
      </c>
      <c r="J119" s="40" t="s">
        <v>12</v>
      </c>
      <c r="K119" s="29" t="s">
        <v>1528</v>
      </c>
      <c r="L119" s="109">
        <v>41864</v>
      </c>
      <c r="M119" s="208" t="s">
        <v>1966</v>
      </c>
      <c r="N119" s="28" t="s">
        <v>2888</v>
      </c>
      <c r="O119" s="28" t="s">
        <v>2953</v>
      </c>
    </row>
    <row r="120" spans="1:15" ht="76.5" x14ac:dyDescent="0.2">
      <c r="A120" s="40" t="s">
        <v>1137</v>
      </c>
      <c r="B120" s="41"/>
      <c r="C120" s="28" t="s">
        <v>1416</v>
      </c>
      <c r="D120" s="161" t="s">
        <v>1415</v>
      </c>
      <c r="E120" s="28" t="s">
        <v>1415</v>
      </c>
      <c r="F120" s="28" t="s">
        <v>1666</v>
      </c>
      <c r="G120" s="30"/>
      <c r="H120" s="28" t="s">
        <v>1417</v>
      </c>
      <c r="I120" s="41" t="s">
        <v>1394</v>
      </c>
      <c r="J120" s="40" t="s">
        <v>12</v>
      </c>
      <c r="K120" s="29" t="s">
        <v>1528</v>
      </c>
      <c r="L120" s="109">
        <v>41865</v>
      </c>
      <c r="M120" s="208" t="s">
        <v>1967</v>
      </c>
      <c r="N120" s="28" t="s">
        <v>2893</v>
      </c>
      <c r="O120" s="32" t="s">
        <v>2953</v>
      </c>
    </row>
    <row r="121" spans="1:15" s="100" customFormat="1" ht="63.75" x14ac:dyDescent="0.2">
      <c r="A121" s="194" t="s">
        <v>1137</v>
      </c>
      <c r="B121" s="194"/>
      <c r="C121" s="29" t="s">
        <v>1242</v>
      </c>
      <c r="D121" s="104" t="s">
        <v>2848</v>
      </c>
      <c r="E121" s="29" t="s">
        <v>1235</v>
      </c>
      <c r="F121" s="29" t="s">
        <v>1590</v>
      </c>
      <c r="G121" s="29"/>
      <c r="H121" s="29" t="s">
        <v>1238</v>
      </c>
      <c r="I121" s="29" t="s">
        <v>1393</v>
      </c>
      <c r="J121" s="29" t="s">
        <v>12</v>
      </c>
      <c r="K121" s="29" t="s">
        <v>1528</v>
      </c>
      <c r="L121" s="204">
        <v>41582</v>
      </c>
      <c r="M121" s="69" t="s">
        <v>1257</v>
      </c>
      <c r="N121" s="28" t="s">
        <v>2892</v>
      </c>
      <c r="O121" s="69" t="s">
        <v>2953</v>
      </c>
    </row>
    <row r="122" spans="1:15" ht="25.5" x14ac:dyDescent="0.2">
      <c r="A122" s="206" t="s">
        <v>1137</v>
      </c>
      <c r="B122" s="107"/>
      <c r="C122" s="45" t="s">
        <v>1423</v>
      </c>
      <c r="D122" s="161" t="s">
        <v>1775</v>
      </c>
      <c r="E122" s="45" t="s">
        <v>1413</v>
      </c>
      <c r="F122" s="29" t="s">
        <v>1806</v>
      </c>
      <c r="G122" s="29"/>
      <c r="H122" s="45" t="s">
        <v>1611</v>
      </c>
      <c r="I122" s="107" t="s">
        <v>1394</v>
      </c>
      <c r="J122" s="206" t="s">
        <v>12</v>
      </c>
      <c r="K122" s="29" t="s">
        <v>1615</v>
      </c>
      <c r="L122" s="254">
        <v>41873</v>
      </c>
      <c r="M122" s="207" t="s">
        <v>1883</v>
      </c>
      <c r="N122" s="45" t="s">
        <v>2894</v>
      </c>
      <c r="O122" s="28" t="s">
        <v>3016</v>
      </c>
    </row>
    <row r="123" spans="1:15" ht="25.5" x14ac:dyDescent="0.2">
      <c r="A123" s="206" t="s">
        <v>584</v>
      </c>
      <c r="B123" s="107"/>
      <c r="C123" s="45" t="s">
        <v>1427</v>
      </c>
      <c r="D123" s="104" t="s">
        <v>1776</v>
      </c>
      <c r="E123" s="45" t="s">
        <v>1413</v>
      </c>
      <c r="F123" s="29" t="s">
        <v>1806</v>
      </c>
      <c r="G123" s="29"/>
      <c r="H123" s="45" t="s">
        <v>1611</v>
      </c>
      <c r="I123" s="107" t="s">
        <v>1393</v>
      </c>
      <c r="J123" s="206" t="s">
        <v>12</v>
      </c>
      <c r="K123" s="29" t="s">
        <v>1615</v>
      </c>
      <c r="L123" s="226">
        <v>41878</v>
      </c>
      <c r="M123" s="207" t="s">
        <v>1884</v>
      </c>
      <c r="N123" s="45" t="s">
        <v>2895</v>
      </c>
      <c r="O123" s="28" t="s">
        <v>3006</v>
      </c>
    </row>
    <row r="124" spans="1:15" s="100" customFormat="1" ht="38.25" x14ac:dyDescent="0.2">
      <c r="A124" s="206" t="s">
        <v>1137</v>
      </c>
      <c r="B124" s="107"/>
      <c r="C124" s="45" t="s">
        <v>1421</v>
      </c>
      <c r="D124" s="161" t="s">
        <v>1772</v>
      </c>
      <c r="E124" s="29" t="s">
        <v>1415</v>
      </c>
      <c r="F124" s="29" t="s">
        <v>1806</v>
      </c>
      <c r="G124" s="29"/>
      <c r="H124" s="29" t="s">
        <v>1417</v>
      </c>
      <c r="I124" s="29" t="s">
        <v>1393</v>
      </c>
      <c r="J124" s="107" t="s">
        <v>12</v>
      </c>
      <c r="K124" s="29" t="s">
        <v>1615</v>
      </c>
      <c r="L124" s="254">
        <v>41866</v>
      </c>
      <c r="M124" s="69" t="s">
        <v>1878</v>
      </c>
      <c r="N124" s="45" t="s">
        <v>2897</v>
      </c>
      <c r="O124" s="45" t="s">
        <v>3006</v>
      </c>
    </row>
    <row r="125" spans="1:15" s="100" customFormat="1" ht="38.25" x14ac:dyDescent="0.2">
      <c r="A125" s="206" t="s">
        <v>584</v>
      </c>
      <c r="B125" s="107"/>
      <c r="C125" s="29" t="s">
        <v>1428</v>
      </c>
      <c r="D125" s="104" t="s">
        <v>1777</v>
      </c>
      <c r="E125" s="107" t="s">
        <v>1415</v>
      </c>
      <c r="F125" s="29" t="s">
        <v>1806</v>
      </c>
      <c r="G125" s="29"/>
      <c r="H125" s="29" t="s">
        <v>1417</v>
      </c>
      <c r="I125" s="107" t="s">
        <v>1393</v>
      </c>
      <c r="J125" s="107" t="s">
        <v>12</v>
      </c>
      <c r="K125" s="29" t="s">
        <v>1615</v>
      </c>
      <c r="L125" s="226">
        <v>41919</v>
      </c>
      <c r="M125" s="228" t="s">
        <v>1885</v>
      </c>
      <c r="N125" s="45" t="s">
        <v>2896</v>
      </c>
      <c r="O125" s="45" t="s">
        <v>3009</v>
      </c>
    </row>
    <row r="126" spans="1:15" s="100" customFormat="1" ht="63.75" x14ac:dyDescent="0.2">
      <c r="A126" s="194" t="s">
        <v>1137</v>
      </c>
      <c r="B126" s="194"/>
      <c r="C126" s="29" t="s">
        <v>1239</v>
      </c>
      <c r="D126" s="104" t="s">
        <v>2849</v>
      </c>
      <c r="E126" s="29" t="s">
        <v>1609</v>
      </c>
      <c r="F126" s="29" t="s">
        <v>1608</v>
      </c>
      <c r="G126" s="29"/>
      <c r="H126" s="29" t="s">
        <v>1238</v>
      </c>
      <c r="I126" s="107" t="s">
        <v>1394</v>
      </c>
      <c r="J126" s="107" t="s">
        <v>12</v>
      </c>
      <c r="K126" s="38" t="s">
        <v>1970</v>
      </c>
      <c r="L126" s="226">
        <v>41590</v>
      </c>
      <c r="M126" s="265" t="s">
        <v>1296</v>
      </c>
      <c r="N126" s="45" t="s">
        <v>3178</v>
      </c>
      <c r="O126" s="45" t="s">
        <v>3006</v>
      </c>
    </row>
    <row r="127" spans="1:15" ht="76.5" x14ac:dyDescent="0.2">
      <c r="A127" s="44" t="s">
        <v>1137</v>
      </c>
      <c r="B127" s="68"/>
      <c r="C127" s="45" t="s">
        <v>618</v>
      </c>
      <c r="D127" s="184" t="s">
        <v>598</v>
      </c>
      <c r="E127" s="80" t="s">
        <v>598</v>
      </c>
      <c r="F127" s="45" t="s">
        <v>627</v>
      </c>
      <c r="G127" s="29"/>
      <c r="H127" s="45" t="s">
        <v>603</v>
      </c>
      <c r="I127" s="45" t="s">
        <v>1394</v>
      </c>
      <c r="J127" s="206" t="s">
        <v>12</v>
      </c>
      <c r="K127" s="45" t="s">
        <v>1528</v>
      </c>
      <c r="L127" s="266">
        <v>41271</v>
      </c>
      <c r="M127" s="162" t="s">
        <v>619</v>
      </c>
      <c r="N127" s="300" t="s">
        <v>2920</v>
      </c>
      <c r="O127" s="28" t="s">
        <v>2953</v>
      </c>
    </row>
    <row r="128" spans="1:15" ht="25.5" x14ac:dyDescent="0.2">
      <c r="A128" s="40" t="s">
        <v>1137</v>
      </c>
      <c r="B128" s="41"/>
      <c r="C128" s="28" t="s">
        <v>2173</v>
      </c>
      <c r="D128" s="168" t="s">
        <v>2222</v>
      </c>
      <c r="E128" s="40" t="s">
        <v>2114</v>
      </c>
      <c r="F128" s="28" t="s">
        <v>1806</v>
      </c>
      <c r="G128" s="30"/>
      <c r="H128" s="28" t="s">
        <v>603</v>
      </c>
      <c r="I128" s="40" t="s">
        <v>1540</v>
      </c>
      <c r="J128" s="40" t="s">
        <v>12</v>
      </c>
      <c r="K128" s="28" t="s">
        <v>1615</v>
      </c>
      <c r="L128" s="109">
        <v>42261</v>
      </c>
      <c r="M128" s="45" t="s">
        <v>2174</v>
      </c>
      <c r="N128" s="300" t="s">
        <v>2898</v>
      </c>
      <c r="O128" s="45" t="s">
        <v>3006</v>
      </c>
    </row>
    <row r="129" spans="1:15" ht="76.5" x14ac:dyDescent="0.2">
      <c r="A129" s="194" t="s">
        <v>1137</v>
      </c>
      <c r="B129" s="194"/>
      <c r="C129" s="29" t="s">
        <v>620</v>
      </c>
      <c r="D129" s="198" t="s">
        <v>599</v>
      </c>
      <c r="E129" s="74" t="s">
        <v>599</v>
      </c>
      <c r="F129" s="29" t="s">
        <v>626</v>
      </c>
      <c r="G129" s="29"/>
      <c r="H129" s="29" t="s">
        <v>604</v>
      </c>
      <c r="I129" s="29" t="s">
        <v>1394</v>
      </c>
      <c r="J129" s="29" t="s">
        <v>685</v>
      </c>
      <c r="K129" s="29" t="s">
        <v>1528</v>
      </c>
      <c r="L129" s="204">
        <v>41271</v>
      </c>
      <c r="M129" s="69" t="s">
        <v>621</v>
      </c>
      <c r="N129" s="28" t="s">
        <v>3179</v>
      </c>
      <c r="O129" s="28" t="s">
        <v>2972</v>
      </c>
    </row>
    <row r="130" spans="1:15" ht="63.75" x14ac:dyDescent="0.2">
      <c r="A130" s="41" t="s">
        <v>1137</v>
      </c>
      <c r="B130" s="41"/>
      <c r="C130" s="30" t="s">
        <v>1468</v>
      </c>
      <c r="D130" s="267" t="s">
        <v>1670</v>
      </c>
      <c r="E130" s="108" t="s">
        <v>1670</v>
      </c>
      <c r="F130" s="108" t="s">
        <v>2772</v>
      </c>
      <c r="G130" s="108"/>
      <c r="H130" s="108" t="s">
        <v>51</v>
      </c>
      <c r="I130" s="41" t="s">
        <v>1394</v>
      </c>
      <c r="J130" s="209" t="s">
        <v>1454</v>
      </c>
      <c r="K130" s="38" t="s">
        <v>1528</v>
      </c>
      <c r="L130" s="105">
        <v>41995</v>
      </c>
      <c r="M130" s="106" t="s">
        <v>1982</v>
      </c>
      <c r="N130" s="28" t="s">
        <v>2973</v>
      </c>
      <c r="O130" s="28" t="s">
        <v>2972</v>
      </c>
    </row>
    <row r="131" spans="1:15" ht="38.25" x14ac:dyDescent="0.2">
      <c r="A131" s="40" t="s">
        <v>1137</v>
      </c>
      <c r="B131" s="41"/>
      <c r="C131" s="30" t="s">
        <v>1445</v>
      </c>
      <c r="D131" s="104" t="s">
        <v>1446</v>
      </c>
      <c r="E131" s="30" t="s">
        <v>1446</v>
      </c>
      <c r="F131" s="41" t="s">
        <v>209</v>
      </c>
      <c r="G131" s="41"/>
      <c r="H131" s="30" t="s">
        <v>1447</v>
      </c>
      <c r="I131" s="107" t="s">
        <v>1394</v>
      </c>
      <c r="J131" s="40" t="s">
        <v>12</v>
      </c>
      <c r="K131" s="30" t="s">
        <v>1528</v>
      </c>
      <c r="L131" s="105">
        <v>41978</v>
      </c>
      <c r="M131" s="106" t="s">
        <v>1981</v>
      </c>
      <c r="N131" s="220" t="s">
        <v>2974</v>
      </c>
      <c r="O131" s="28" t="s">
        <v>2972</v>
      </c>
    </row>
    <row r="132" spans="1:15" s="102" customFormat="1" ht="38.25" x14ac:dyDescent="0.2">
      <c r="A132" s="28" t="s">
        <v>1137</v>
      </c>
      <c r="B132" s="30"/>
      <c r="C132" s="45" t="s">
        <v>2539</v>
      </c>
      <c r="D132" s="168" t="s">
        <v>2534</v>
      </c>
      <c r="E132" s="28" t="s">
        <v>599</v>
      </c>
      <c r="F132" s="28" t="s">
        <v>1806</v>
      </c>
      <c r="G132" s="30"/>
      <c r="H132" s="28" t="s">
        <v>604</v>
      </c>
      <c r="I132" s="28" t="s">
        <v>1393</v>
      </c>
      <c r="J132" s="28" t="s">
        <v>685</v>
      </c>
      <c r="K132" s="28" t="s">
        <v>2566</v>
      </c>
      <c r="L132" s="31">
        <v>42508</v>
      </c>
      <c r="M132" s="32" t="s">
        <v>2546</v>
      </c>
      <c r="N132" s="220" t="s">
        <v>2980</v>
      </c>
      <c r="O132" s="28" t="s">
        <v>2970</v>
      </c>
    </row>
    <row r="133" spans="1:15" s="102" customFormat="1" ht="38.25" x14ac:dyDescent="0.2">
      <c r="A133" s="28" t="s">
        <v>584</v>
      </c>
      <c r="B133" s="30"/>
      <c r="C133" s="45" t="s">
        <v>2562</v>
      </c>
      <c r="D133" s="168" t="s">
        <v>2558</v>
      </c>
      <c r="E133" s="28" t="s">
        <v>599</v>
      </c>
      <c r="F133" s="28" t="s">
        <v>1806</v>
      </c>
      <c r="G133" s="30"/>
      <c r="H133" s="28" t="s">
        <v>604</v>
      </c>
      <c r="I133" s="28" t="s">
        <v>1393</v>
      </c>
      <c r="J133" s="28" t="s">
        <v>685</v>
      </c>
      <c r="K133" s="28" t="s">
        <v>2566</v>
      </c>
      <c r="L133" s="31">
        <v>42527</v>
      </c>
      <c r="M133" s="32" t="s">
        <v>2769</v>
      </c>
      <c r="N133" s="220" t="s">
        <v>2979</v>
      </c>
      <c r="O133" s="28" t="s">
        <v>2970</v>
      </c>
    </row>
    <row r="134" spans="1:15" s="102" customFormat="1" ht="38.25" x14ac:dyDescent="0.2">
      <c r="A134" s="28" t="s">
        <v>1137</v>
      </c>
      <c r="B134" s="30"/>
      <c r="C134" s="45" t="s">
        <v>1700</v>
      </c>
      <c r="D134" s="168" t="s">
        <v>1786</v>
      </c>
      <c r="E134" s="28" t="s">
        <v>1670</v>
      </c>
      <c r="F134" s="28" t="s">
        <v>1806</v>
      </c>
      <c r="G134" s="30"/>
      <c r="H134" s="28" t="s">
        <v>1659</v>
      </c>
      <c r="I134" s="28" t="s">
        <v>1540</v>
      </c>
      <c r="J134" s="28" t="s">
        <v>12</v>
      </c>
      <c r="K134" s="28" t="s">
        <v>1615</v>
      </c>
      <c r="L134" s="31">
        <v>42051</v>
      </c>
      <c r="M134" s="32" t="s">
        <v>1978</v>
      </c>
      <c r="N134" s="220" t="s">
        <v>2978</v>
      </c>
      <c r="O134" s="28" t="s">
        <v>2970</v>
      </c>
    </row>
    <row r="135" spans="1:15" s="102" customFormat="1" ht="38.25" x14ac:dyDescent="0.2">
      <c r="A135" s="28" t="s">
        <v>584</v>
      </c>
      <c r="B135" s="30"/>
      <c r="C135" s="45" t="s">
        <v>1662</v>
      </c>
      <c r="D135" s="168" t="s">
        <v>1785</v>
      </c>
      <c r="E135" s="28" t="s">
        <v>1670</v>
      </c>
      <c r="F135" s="28" t="s">
        <v>1806</v>
      </c>
      <c r="G135" s="30"/>
      <c r="H135" s="28" t="s">
        <v>1659</v>
      </c>
      <c r="I135" s="28" t="s">
        <v>1540</v>
      </c>
      <c r="J135" s="28" t="s">
        <v>12</v>
      </c>
      <c r="K135" s="28" t="s">
        <v>1615</v>
      </c>
      <c r="L135" s="31">
        <v>42051</v>
      </c>
      <c r="M135" s="32" t="s">
        <v>1698</v>
      </c>
      <c r="N135" s="220" t="s">
        <v>2977</v>
      </c>
      <c r="O135" s="28" t="s">
        <v>2970</v>
      </c>
    </row>
    <row r="136" spans="1:15" s="102" customFormat="1" ht="38.25" x14ac:dyDescent="0.2">
      <c r="A136" s="28" t="s">
        <v>1137</v>
      </c>
      <c r="B136" s="30"/>
      <c r="C136" s="45" t="s">
        <v>2559</v>
      </c>
      <c r="D136" s="168" t="s">
        <v>2542</v>
      </c>
      <c r="E136" s="28" t="s">
        <v>2543</v>
      </c>
      <c r="F136" s="28" t="s">
        <v>1806</v>
      </c>
      <c r="G136" s="30"/>
      <c r="H136" s="28" t="s">
        <v>2544</v>
      </c>
      <c r="I136" s="28" t="s">
        <v>1393</v>
      </c>
      <c r="J136" s="28" t="s">
        <v>1454</v>
      </c>
      <c r="K136" s="28" t="s">
        <v>2566</v>
      </c>
      <c r="L136" s="31">
        <v>42523</v>
      </c>
      <c r="M136" s="32" t="s">
        <v>2560</v>
      </c>
      <c r="N136" s="220" t="s">
        <v>2976</v>
      </c>
      <c r="O136" s="28" t="s">
        <v>2970</v>
      </c>
    </row>
    <row r="137" spans="1:15" s="102" customFormat="1" ht="38.25" x14ac:dyDescent="0.2">
      <c r="A137" s="28" t="s">
        <v>584</v>
      </c>
      <c r="B137" s="30"/>
      <c r="C137" s="45" t="s">
        <v>1622</v>
      </c>
      <c r="D137" s="168" t="s">
        <v>1890</v>
      </c>
      <c r="E137" s="28" t="s">
        <v>1453</v>
      </c>
      <c r="F137" s="28" t="s">
        <v>209</v>
      </c>
      <c r="G137" s="30"/>
      <c r="H137" s="28" t="s">
        <v>1457</v>
      </c>
      <c r="I137" s="28" t="s">
        <v>1393</v>
      </c>
      <c r="J137" s="28" t="s">
        <v>12</v>
      </c>
      <c r="K137" s="28" t="s">
        <v>1615</v>
      </c>
      <c r="L137" s="31">
        <v>41991</v>
      </c>
      <c r="M137" s="32" t="s">
        <v>1630</v>
      </c>
      <c r="N137" s="220" t="s">
        <v>2975</v>
      </c>
      <c r="O137" s="28" t="s">
        <v>2970</v>
      </c>
    </row>
    <row r="138" spans="1:15" s="102" customFormat="1" ht="114.75" x14ac:dyDescent="0.2">
      <c r="A138" s="28" t="s">
        <v>584</v>
      </c>
      <c r="B138" s="30"/>
      <c r="C138" s="45" t="s">
        <v>1495</v>
      </c>
      <c r="D138" s="168" t="s">
        <v>492</v>
      </c>
      <c r="E138" s="28" t="s">
        <v>3039</v>
      </c>
      <c r="F138" s="28" t="s">
        <v>1583</v>
      </c>
      <c r="G138" s="30"/>
      <c r="H138" s="28" t="s">
        <v>490</v>
      </c>
      <c r="I138" s="28" t="s">
        <v>1530</v>
      </c>
      <c r="J138" s="28" t="s">
        <v>12</v>
      </c>
      <c r="K138" s="28" t="s">
        <v>1528</v>
      </c>
      <c r="L138" s="33">
        <v>42003</v>
      </c>
      <c r="M138" s="34" t="s">
        <v>1629</v>
      </c>
      <c r="N138" s="28" t="s">
        <v>3040</v>
      </c>
      <c r="O138" s="28" t="s">
        <v>3135</v>
      </c>
    </row>
    <row r="139" spans="1:15" s="102" customFormat="1" ht="25.5" x14ac:dyDescent="0.2">
      <c r="A139" s="28" t="s">
        <v>1137</v>
      </c>
      <c r="B139" s="30"/>
      <c r="C139" s="45" t="s">
        <v>2170</v>
      </c>
      <c r="D139" s="168" t="s">
        <v>2300</v>
      </c>
      <c r="E139" s="28" t="s">
        <v>2874</v>
      </c>
      <c r="F139" s="28" t="s">
        <v>1806</v>
      </c>
      <c r="G139" s="30"/>
      <c r="H139" s="28" t="s">
        <v>490</v>
      </c>
      <c r="I139" s="28" t="s">
        <v>1219</v>
      </c>
      <c r="J139" s="28" t="s">
        <v>12</v>
      </c>
      <c r="K139" s="28" t="s">
        <v>1615</v>
      </c>
      <c r="L139" s="33">
        <v>42255</v>
      </c>
      <c r="M139" s="34" t="s">
        <v>2171</v>
      </c>
      <c r="N139" s="28" t="s">
        <v>3062</v>
      </c>
      <c r="O139" s="28"/>
    </row>
    <row r="140" spans="1:15" s="102" customFormat="1" ht="89.25" x14ac:dyDescent="0.2">
      <c r="A140" s="28" t="s">
        <v>584</v>
      </c>
      <c r="B140" s="30"/>
      <c r="C140" s="30" t="s">
        <v>1431</v>
      </c>
      <c r="D140" s="104" t="s">
        <v>1618</v>
      </c>
      <c r="E140" s="30" t="s">
        <v>1432</v>
      </c>
      <c r="F140" s="30" t="s">
        <v>1667</v>
      </c>
      <c r="G140" s="30"/>
      <c r="H140" s="30" t="s">
        <v>1433</v>
      </c>
      <c r="I140" s="41" t="s">
        <v>1393</v>
      </c>
      <c r="J140" s="41" t="s">
        <v>1616</v>
      </c>
      <c r="K140" s="30" t="s">
        <v>1528</v>
      </c>
      <c r="L140" s="105">
        <v>41941</v>
      </c>
      <c r="M140" s="106" t="s">
        <v>1968</v>
      </c>
      <c r="N140" s="30" t="s">
        <v>3067</v>
      </c>
      <c r="O140" s="28"/>
    </row>
    <row r="141" spans="1:15" ht="63.75" x14ac:dyDescent="0.2">
      <c r="A141" s="30" t="s">
        <v>1137</v>
      </c>
      <c r="B141" s="30"/>
      <c r="C141" s="30" t="s">
        <v>1631</v>
      </c>
      <c r="D141" s="196" t="s">
        <v>1781</v>
      </c>
      <c r="E141" s="30" t="s">
        <v>1477</v>
      </c>
      <c r="F141" s="30" t="s">
        <v>1806</v>
      </c>
      <c r="G141" s="30"/>
      <c r="H141" s="30" t="s">
        <v>1479</v>
      </c>
      <c r="I141" s="30" t="s">
        <v>1394</v>
      </c>
      <c r="J141" s="30" t="s">
        <v>2147</v>
      </c>
      <c r="K141" s="28" t="s">
        <v>1615</v>
      </c>
      <c r="L141" s="73">
        <v>42019</v>
      </c>
      <c r="M141" s="30">
        <v>84491158</v>
      </c>
      <c r="N141" s="30" t="s">
        <v>3127</v>
      </c>
      <c r="O141" s="30" t="s">
        <v>3202</v>
      </c>
    </row>
    <row r="142" spans="1:15" ht="140.25" x14ac:dyDescent="0.2">
      <c r="A142" s="30" t="s">
        <v>584</v>
      </c>
      <c r="B142" s="30"/>
      <c r="C142" s="30" t="s">
        <v>1699</v>
      </c>
      <c r="D142" s="196" t="s">
        <v>1787</v>
      </c>
      <c r="E142" s="30" t="s">
        <v>1499</v>
      </c>
      <c r="F142" s="30" t="s">
        <v>1806</v>
      </c>
      <c r="G142" s="30"/>
      <c r="H142" s="30" t="s">
        <v>494</v>
      </c>
      <c r="I142" s="30" t="s">
        <v>1393</v>
      </c>
      <c r="J142" s="30" t="s">
        <v>12</v>
      </c>
      <c r="K142" s="28" t="s">
        <v>1615</v>
      </c>
      <c r="L142" s="73">
        <v>42054</v>
      </c>
      <c r="M142" s="30">
        <v>171584154</v>
      </c>
      <c r="N142" s="30" t="s">
        <v>3128</v>
      </c>
      <c r="O142" s="30" t="s">
        <v>3202</v>
      </c>
    </row>
    <row r="143" spans="1:15" ht="140.25" x14ac:dyDescent="0.2">
      <c r="A143" s="30" t="s">
        <v>1137</v>
      </c>
      <c r="B143" s="30"/>
      <c r="C143" s="30" t="s">
        <v>1709</v>
      </c>
      <c r="D143" s="196" t="s">
        <v>1788</v>
      </c>
      <c r="E143" s="30" t="s">
        <v>1499</v>
      </c>
      <c r="F143" s="30" t="s">
        <v>1806</v>
      </c>
      <c r="G143" s="30"/>
      <c r="H143" s="30" t="s">
        <v>494</v>
      </c>
      <c r="I143" s="30" t="s">
        <v>1394</v>
      </c>
      <c r="J143" s="30" t="s">
        <v>12</v>
      </c>
      <c r="K143" s="28" t="s">
        <v>1615</v>
      </c>
      <c r="L143" s="73">
        <v>42054</v>
      </c>
      <c r="M143" s="30">
        <v>231673151</v>
      </c>
      <c r="N143" s="30" t="s">
        <v>3129</v>
      </c>
      <c r="O143" s="30" t="s">
        <v>3202</v>
      </c>
    </row>
    <row r="144" spans="1:15" ht="76.5" x14ac:dyDescent="0.2">
      <c r="A144" s="87" t="s">
        <v>584</v>
      </c>
      <c r="B144" s="87"/>
      <c r="C144" s="87" t="s">
        <v>519</v>
      </c>
      <c r="D144" s="199" t="s">
        <v>1756</v>
      </c>
      <c r="E144" s="87" t="s">
        <v>83</v>
      </c>
      <c r="F144" s="87" t="s">
        <v>1610</v>
      </c>
      <c r="G144" s="87"/>
      <c r="H144" s="273" t="s">
        <v>2276</v>
      </c>
      <c r="I144" s="273" t="s">
        <v>11</v>
      </c>
      <c r="J144" s="273" t="s">
        <v>3049</v>
      </c>
      <c r="K144" s="273" t="s">
        <v>3092</v>
      </c>
      <c r="L144" s="274">
        <v>41099</v>
      </c>
      <c r="M144" s="136" t="s">
        <v>566</v>
      </c>
      <c r="N144" s="87" t="s">
        <v>3134</v>
      </c>
      <c r="O144" s="87" t="s">
        <v>3203</v>
      </c>
    </row>
    <row r="145" spans="1:15" s="98" customFormat="1" ht="242.25" x14ac:dyDescent="0.2">
      <c r="A145" s="41"/>
      <c r="B145" s="41"/>
      <c r="C145" s="41" t="s">
        <v>166</v>
      </c>
      <c r="D145" s="256" t="s">
        <v>155</v>
      </c>
      <c r="E145" s="41"/>
      <c r="F145" s="41"/>
      <c r="G145" s="41"/>
      <c r="H145" s="41"/>
      <c r="I145" s="41" t="s">
        <v>11</v>
      </c>
      <c r="J145" s="41"/>
      <c r="K145" s="30" t="s">
        <v>3225</v>
      </c>
      <c r="L145" s="41"/>
      <c r="M145" s="41"/>
      <c r="N145" s="30" t="s">
        <v>3206</v>
      </c>
      <c r="O145" s="30" t="s">
        <v>3207</v>
      </c>
    </row>
    <row r="146" spans="1:15" ht="102" x14ac:dyDescent="0.2">
      <c r="A146" s="41" t="s">
        <v>584</v>
      </c>
      <c r="B146" s="41"/>
      <c r="C146" s="41" t="s">
        <v>613</v>
      </c>
      <c r="D146" s="256" t="s">
        <v>1276</v>
      </c>
      <c r="E146" s="41"/>
      <c r="F146" s="41"/>
      <c r="G146" s="41"/>
      <c r="H146" s="41"/>
      <c r="I146" s="41" t="s">
        <v>3055</v>
      </c>
      <c r="J146" s="41"/>
      <c r="K146" s="30" t="s">
        <v>3226</v>
      </c>
      <c r="L146" s="41"/>
      <c r="M146" s="41" t="s">
        <v>2007</v>
      </c>
      <c r="N146" s="30" t="s">
        <v>3209</v>
      </c>
      <c r="O146" s="30" t="s">
        <v>3208</v>
      </c>
    </row>
    <row r="147" spans="1:15" ht="25.5" x14ac:dyDescent="0.2">
      <c r="A147" s="30" t="s">
        <v>1137</v>
      </c>
      <c r="B147" s="30"/>
      <c r="C147" s="30" t="s">
        <v>317</v>
      </c>
      <c r="D147" s="196" t="s">
        <v>106</v>
      </c>
      <c r="E147" s="72" t="s">
        <v>315</v>
      </c>
      <c r="F147" s="72"/>
      <c r="G147" s="72"/>
      <c r="H147" s="72" t="s">
        <v>1824</v>
      </c>
      <c r="I147" s="72" t="s">
        <v>11</v>
      </c>
      <c r="J147" s="72" t="s">
        <v>12</v>
      </c>
      <c r="K147" s="72" t="s">
        <v>1528</v>
      </c>
      <c r="L147" s="30"/>
      <c r="M147" s="30"/>
      <c r="N147" s="30"/>
      <c r="O147" s="30" t="s">
        <v>3224</v>
      </c>
    </row>
    <row r="148" spans="1:15" ht="25.5" x14ac:dyDescent="0.2">
      <c r="A148" s="30" t="s">
        <v>1174</v>
      </c>
      <c r="B148" s="30"/>
      <c r="C148" s="30" t="s">
        <v>2331</v>
      </c>
      <c r="D148" s="196" t="s">
        <v>254</v>
      </c>
      <c r="E148" s="72" t="s">
        <v>254</v>
      </c>
      <c r="F148" s="72"/>
      <c r="G148" s="72"/>
      <c r="H148" s="72" t="s">
        <v>2332</v>
      </c>
      <c r="I148" s="72" t="s">
        <v>16</v>
      </c>
      <c r="J148" s="280" t="s">
        <v>12</v>
      </c>
      <c r="K148" s="72" t="s">
        <v>1528</v>
      </c>
      <c r="L148" s="30"/>
      <c r="M148" s="30"/>
      <c r="N148" s="30"/>
      <c r="O148" s="30" t="s">
        <v>3224</v>
      </c>
    </row>
    <row r="149" spans="1:15" ht="25.5" x14ac:dyDescent="0.2">
      <c r="A149" s="30" t="s">
        <v>1137</v>
      </c>
      <c r="B149" s="30"/>
      <c r="C149" s="30" t="s">
        <v>139</v>
      </c>
      <c r="D149" s="196" t="s">
        <v>132</v>
      </c>
      <c r="E149" s="72" t="s">
        <v>131</v>
      </c>
      <c r="F149" s="72"/>
      <c r="G149" s="72"/>
      <c r="H149" s="72" t="s">
        <v>133</v>
      </c>
      <c r="I149" s="72" t="s">
        <v>11</v>
      </c>
      <c r="J149" s="72" t="s">
        <v>2005</v>
      </c>
      <c r="K149" s="72" t="s">
        <v>1528</v>
      </c>
      <c r="L149" s="30"/>
      <c r="M149" s="30"/>
      <c r="N149" s="30"/>
      <c r="O149" s="30" t="s">
        <v>3224</v>
      </c>
    </row>
    <row r="150" spans="1:15" ht="25.5" x14ac:dyDescent="0.2">
      <c r="A150" s="30" t="s">
        <v>1137</v>
      </c>
      <c r="B150" s="30"/>
      <c r="C150" s="30" t="s">
        <v>1209</v>
      </c>
      <c r="D150" s="196" t="s">
        <v>65</v>
      </c>
      <c r="E150" s="72" t="s">
        <v>65</v>
      </c>
      <c r="F150" s="72"/>
      <c r="G150" s="72"/>
      <c r="H150" s="72" t="s">
        <v>79</v>
      </c>
      <c r="I150" s="72" t="s">
        <v>16</v>
      </c>
      <c r="J150" s="72" t="s">
        <v>54</v>
      </c>
      <c r="K150" s="72" t="s">
        <v>1528</v>
      </c>
      <c r="L150" s="30"/>
      <c r="M150" s="30"/>
      <c r="N150" s="30"/>
      <c r="O150" s="30" t="s">
        <v>3224</v>
      </c>
    </row>
    <row r="151" spans="1:15" ht="38.25" x14ac:dyDescent="0.2">
      <c r="A151" s="30" t="s">
        <v>584</v>
      </c>
      <c r="B151" s="30"/>
      <c r="C151" s="30" t="s">
        <v>451</v>
      </c>
      <c r="D151" s="196" t="s">
        <v>449</v>
      </c>
      <c r="E151" s="280" t="s">
        <v>452</v>
      </c>
      <c r="F151" s="280"/>
      <c r="G151" s="280"/>
      <c r="H151" s="280" t="s">
        <v>453</v>
      </c>
      <c r="I151" s="72" t="s">
        <v>11</v>
      </c>
      <c r="J151" s="280" t="s">
        <v>2006</v>
      </c>
      <c r="K151" s="72" t="s">
        <v>1528</v>
      </c>
      <c r="L151" s="30"/>
      <c r="M151" s="30"/>
      <c r="N151" s="30"/>
      <c r="O151" s="30" t="s">
        <v>3224</v>
      </c>
    </row>
    <row r="152" spans="1:15" ht="25.5" x14ac:dyDescent="0.2">
      <c r="A152" s="30" t="s">
        <v>1137</v>
      </c>
      <c r="B152" s="30"/>
      <c r="C152" s="30" t="s">
        <v>140</v>
      </c>
      <c r="D152" s="196" t="s">
        <v>131</v>
      </c>
      <c r="E152" s="72" t="s">
        <v>131</v>
      </c>
      <c r="F152" s="72"/>
      <c r="G152" s="72"/>
      <c r="H152" s="72" t="s">
        <v>133</v>
      </c>
      <c r="I152" s="72" t="s">
        <v>16</v>
      </c>
      <c r="J152" s="72" t="s">
        <v>2005</v>
      </c>
      <c r="K152" s="72" t="s">
        <v>1528</v>
      </c>
      <c r="L152" s="30"/>
      <c r="M152" s="30"/>
      <c r="N152" s="30"/>
      <c r="O152" s="30" t="s">
        <v>3224</v>
      </c>
    </row>
    <row r="153" spans="1:15" ht="25.5" x14ac:dyDescent="0.2">
      <c r="A153" s="30" t="s">
        <v>584</v>
      </c>
      <c r="B153" s="30"/>
      <c r="C153" s="30" t="s">
        <v>628</v>
      </c>
      <c r="D153" s="196" t="s">
        <v>629</v>
      </c>
      <c r="E153" s="281" t="s">
        <v>630</v>
      </c>
      <c r="F153" s="281"/>
      <c r="G153" s="281"/>
      <c r="H153" s="72" t="s">
        <v>31</v>
      </c>
      <c r="I153" s="72" t="s">
        <v>11</v>
      </c>
      <c r="J153" s="72" t="s">
        <v>685</v>
      </c>
      <c r="K153" s="72" t="s">
        <v>1528</v>
      </c>
      <c r="L153" s="30"/>
      <c r="M153" s="30"/>
      <c r="N153" s="30"/>
      <c r="O153" s="30" t="s">
        <v>3224</v>
      </c>
    </row>
    <row r="154" spans="1:15" ht="25.5" x14ac:dyDescent="0.2">
      <c r="A154" s="30" t="s">
        <v>584</v>
      </c>
      <c r="B154" s="30"/>
      <c r="C154" s="30" t="s">
        <v>1277</v>
      </c>
      <c r="D154" s="196" t="s">
        <v>1278</v>
      </c>
      <c r="E154" s="72" t="s">
        <v>1279</v>
      </c>
      <c r="F154" s="72"/>
      <c r="G154" s="72"/>
      <c r="H154" s="72" t="s">
        <v>2190</v>
      </c>
      <c r="I154" s="72" t="s">
        <v>3221</v>
      </c>
      <c r="J154" s="72" t="s">
        <v>641</v>
      </c>
      <c r="K154" s="72" t="s">
        <v>1528</v>
      </c>
      <c r="L154" s="30"/>
      <c r="M154" s="30"/>
      <c r="N154" s="30"/>
      <c r="O154" s="30" t="s">
        <v>3224</v>
      </c>
    </row>
    <row r="155" spans="1:15" ht="25.5" x14ac:dyDescent="0.2">
      <c r="A155" s="30" t="s">
        <v>1137</v>
      </c>
      <c r="B155" s="30"/>
      <c r="C155" s="30" t="s">
        <v>1361</v>
      </c>
      <c r="D155" s="196" t="s">
        <v>1138</v>
      </c>
      <c r="E155" s="72" t="s">
        <v>1311</v>
      </c>
      <c r="F155" s="72"/>
      <c r="G155" s="72"/>
      <c r="H155" s="72" t="s">
        <v>1312</v>
      </c>
      <c r="I155" s="72" t="s">
        <v>11</v>
      </c>
      <c r="J155" s="72" t="s">
        <v>685</v>
      </c>
      <c r="K155" s="72" t="s">
        <v>3227</v>
      </c>
      <c r="L155" s="30"/>
      <c r="M155" s="30"/>
      <c r="N155" s="30"/>
      <c r="O155" s="30" t="s">
        <v>3224</v>
      </c>
    </row>
    <row r="156" spans="1:15" ht="38.25" x14ac:dyDescent="0.2">
      <c r="A156" s="30" t="s">
        <v>1174</v>
      </c>
      <c r="B156" s="30"/>
      <c r="C156" s="30" t="s">
        <v>3232</v>
      </c>
      <c r="D156" s="196" t="s">
        <v>2003</v>
      </c>
      <c r="E156" s="281" t="s">
        <v>65</v>
      </c>
      <c r="F156" s="281"/>
      <c r="G156" s="281"/>
      <c r="H156" s="281" t="s">
        <v>366</v>
      </c>
      <c r="I156" s="281" t="s">
        <v>454</v>
      </c>
      <c r="J156" s="72" t="s">
        <v>1091</v>
      </c>
      <c r="K156" s="72" t="s">
        <v>1592</v>
      </c>
      <c r="L156" s="30"/>
      <c r="M156" s="30"/>
      <c r="N156" s="30"/>
      <c r="O156" s="30" t="s">
        <v>3224</v>
      </c>
    </row>
    <row r="157" spans="1:15" ht="25.5" x14ac:dyDescent="0.2">
      <c r="A157" s="30" t="s">
        <v>1137</v>
      </c>
      <c r="B157" s="30"/>
      <c r="C157" s="30" t="s">
        <v>1104</v>
      </c>
      <c r="D157" s="196" t="s">
        <v>1142</v>
      </c>
      <c r="E157" s="122" t="s">
        <v>254</v>
      </c>
      <c r="F157" s="122"/>
      <c r="G157" s="122"/>
      <c r="H157" s="122" t="s">
        <v>378</v>
      </c>
      <c r="I157" s="72" t="s">
        <v>11</v>
      </c>
      <c r="J157" s="122" t="s">
        <v>12</v>
      </c>
      <c r="K157" s="72" t="s">
        <v>1528</v>
      </c>
      <c r="L157" s="30"/>
      <c r="M157" s="30"/>
      <c r="N157" s="30"/>
      <c r="O157" s="30" t="s">
        <v>3224</v>
      </c>
    </row>
    <row r="158" spans="1:15" ht="25.5" x14ac:dyDescent="0.2">
      <c r="A158" s="30" t="s">
        <v>1137</v>
      </c>
      <c r="B158" s="30"/>
      <c r="C158" s="30" t="s">
        <v>1213</v>
      </c>
      <c r="D158" s="196" t="s">
        <v>1196</v>
      </c>
      <c r="E158" s="280" t="s">
        <v>458</v>
      </c>
      <c r="F158" s="280"/>
      <c r="G158" s="280"/>
      <c r="H158" s="280" t="s">
        <v>1197</v>
      </c>
      <c r="I158" s="280" t="s">
        <v>105</v>
      </c>
      <c r="J158" s="280" t="s">
        <v>879</v>
      </c>
      <c r="K158" s="72" t="s">
        <v>1528</v>
      </c>
      <c r="L158" s="30"/>
      <c r="M158" s="30"/>
      <c r="N158" s="30"/>
      <c r="O158" s="30" t="s">
        <v>3224</v>
      </c>
    </row>
    <row r="159" spans="1:15" ht="89.25" x14ac:dyDescent="0.2">
      <c r="A159" s="30" t="s">
        <v>584</v>
      </c>
      <c r="B159" s="30"/>
      <c r="C159" s="30" t="s">
        <v>1153</v>
      </c>
      <c r="D159" s="196" t="s">
        <v>1151</v>
      </c>
      <c r="E159" s="281" t="s">
        <v>1170</v>
      </c>
      <c r="F159" s="72" t="s">
        <v>1172</v>
      </c>
      <c r="G159" s="72"/>
      <c r="H159" s="72" t="s">
        <v>1171</v>
      </c>
      <c r="I159" s="72" t="s">
        <v>454</v>
      </c>
      <c r="J159" s="72" t="s">
        <v>1983</v>
      </c>
      <c r="K159" s="72" t="s">
        <v>1592</v>
      </c>
      <c r="L159" s="30"/>
      <c r="M159" s="30"/>
      <c r="N159" s="30"/>
      <c r="O159" s="30" t="s">
        <v>3224</v>
      </c>
    </row>
    <row r="160" spans="1:15" ht="38.25" x14ac:dyDescent="0.2">
      <c r="A160" s="30" t="s">
        <v>1137</v>
      </c>
      <c r="B160" s="30"/>
      <c r="C160" s="30" t="s">
        <v>1155</v>
      </c>
      <c r="D160" s="196" t="s">
        <v>3222</v>
      </c>
      <c r="E160" s="81" t="s">
        <v>2031</v>
      </c>
      <c r="F160" s="81" t="s">
        <v>112</v>
      </c>
      <c r="G160" s="81"/>
      <c r="H160" s="81" t="s">
        <v>602</v>
      </c>
      <c r="I160" s="280" t="s">
        <v>105</v>
      </c>
      <c r="J160" s="81" t="s">
        <v>685</v>
      </c>
      <c r="K160" s="72" t="s">
        <v>1528</v>
      </c>
      <c r="L160" s="30"/>
      <c r="M160" s="30"/>
      <c r="N160" s="30"/>
      <c r="O160" s="30" t="s">
        <v>3224</v>
      </c>
    </row>
    <row r="161" spans="1:15" ht="25.5" x14ac:dyDescent="0.2">
      <c r="A161" s="30" t="s">
        <v>1137</v>
      </c>
      <c r="B161" s="30"/>
      <c r="C161" s="30" t="s">
        <v>108</v>
      </c>
      <c r="D161" s="196" t="s">
        <v>101</v>
      </c>
      <c r="E161" s="72" t="s">
        <v>101</v>
      </c>
      <c r="F161" s="72" t="s">
        <v>107</v>
      </c>
      <c r="G161" s="72"/>
      <c r="H161" s="72" t="s">
        <v>102</v>
      </c>
      <c r="I161" s="72" t="s">
        <v>16</v>
      </c>
      <c r="J161" s="72" t="s">
        <v>54</v>
      </c>
      <c r="K161" s="72" t="s">
        <v>1528</v>
      </c>
      <c r="L161" s="30"/>
      <c r="M161" s="30"/>
      <c r="N161" s="30"/>
      <c r="O161" s="30" t="s">
        <v>3224</v>
      </c>
    </row>
    <row r="162" spans="1:15" ht="25.5" x14ac:dyDescent="0.2">
      <c r="A162" s="30" t="s">
        <v>1137</v>
      </c>
      <c r="B162" s="30"/>
      <c r="C162" s="30" t="s">
        <v>117</v>
      </c>
      <c r="D162" s="196" t="s">
        <v>103</v>
      </c>
      <c r="E162" s="72" t="s">
        <v>103</v>
      </c>
      <c r="F162" s="72" t="s">
        <v>109</v>
      </c>
      <c r="G162" s="72"/>
      <c r="H162" s="72" t="s">
        <v>104</v>
      </c>
      <c r="I162" s="72" t="s">
        <v>16</v>
      </c>
      <c r="J162" s="72" t="s">
        <v>1984</v>
      </c>
      <c r="K162" s="72" t="s">
        <v>1528</v>
      </c>
      <c r="L162" s="30"/>
      <c r="M162" s="30"/>
      <c r="N162" s="30"/>
      <c r="O162" s="30" t="s">
        <v>3224</v>
      </c>
    </row>
    <row r="163" spans="1:15" ht="25.5" x14ac:dyDescent="0.2">
      <c r="A163" s="30" t="s">
        <v>584</v>
      </c>
      <c r="B163" s="30"/>
      <c r="C163" s="30" t="s">
        <v>525</v>
      </c>
      <c r="D163" s="196" t="s">
        <v>526</v>
      </c>
      <c r="E163" s="280" t="s">
        <v>527</v>
      </c>
      <c r="F163" s="280"/>
      <c r="G163" s="280"/>
      <c r="H163" s="280" t="s">
        <v>504</v>
      </c>
      <c r="I163" s="72" t="s">
        <v>11</v>
      </c>
      <c r="J163" s="280" t="s">
        <v>18</v>
      </c>
      <c r="K163" s="72" t="s">
        <v>1528</v>
      </c>
      <c r="L163" s="30"/>
      <c r="M163" s="30"/>
      <c r="N163" s="30"/>
      <c r="O163" s="30" t="s">
        <v>3224</v>
      </c>
    </row>
    <row r="164" spans="1:15" ht="25.5" x14ac:dyDescent="0.2">
      <c r="A164" s="30" t="s">
        <v>1137</v>
      </c>
      <c r="B164" s="30"/>
      <c r="C164" s="30" t="s">
        <v>1210</v>
      </c>
      <c r="D164" s="196" t="s">
        <v>774</v>
      </c>
      <c r="E164" s="81" t="s">
        <v>774</v>
      </c>
      <c r="F164" s="81" t="s">
        <v>1562</v>
      </c>
      <c r="G164" s="81"/>
      <c r="H164" s="81" t="s">
        <v>775</v>
      </c>
      <c r="I164" s="72" t="s">
        <v>16</v>
      </c>
      <c r="J164" s="81" t="s">
        <v>685</v>
      </c>
      <c r="K164" s="72" t="s">
        <v>1528</v>
      </c>
      <c r="L164" s="30"/>
      <c r="M164" s="30"/>
      <c r="N164" s="30"/>
      <c r="O164" s="30" t="s">
        <v>3224</v>
      </c>
    </row>
    <row r="165" spans="1:15" ht="38.25" x14ac:dyDescent="0.2">
      <c r="A165" s="30" t="s">
        <v>1137</v>
      </c>
      <c r="B165" s="30"/>
      <c r="C165" s="30" t="s">
        <v>419</v>
      </c>
      <c r="D165" s="196" t="s">
        <v>69</v>
      </c>
      <c r="E165" s="72" t="s">
        <v>76</v>
      </c>
      <c r="F165" s="72"/>
      <c r="G165" s="72"/>
      <c r="H165" s="81" t="s">
        <v>413</v>
      </c>
      <c r="I165" s="72" t="s">
        <v>11</v>
      </c>
      <c r="J165" s="72" t="s">
        <v>70</v>
      </c>
      <c r="K165" s="280" t="s">
        <v>1663</v>
      </c>
      <c r="L165" s="30"/>
      <c r="M165" s="30"/>
      <c r="N165" s="30"/>
      <c r="O165" s="30" t="s">
        <v>3224</v>
      </c>
    </row>
    <row r="166" spans="1:15" ht="25.5" x14ac:dyDescent="0.2">
      <c r="A166" s="30" t="s">
        <v>1137</v>
      </c>
      <c r="B166" s="30"/>
      <c r="C166" s="30" t="s">
        <v>2198</v>
      </c>
      <c r="D166" s="196" t="s">
        <v>103</v>
      </c>
      <c r="E166" s="280" t="s">
        <v>103</v>
      </c>
      <c r="F166" s="81"/>
      <c r="G166" s="81"/>
      <c r="H166" s="72" t="s">
        <v>603</v>
      </c>
      <c r="I166" s="72" t="s">
        <v>16</v>
      </c>
      <c r="J166" s="81" t="s">
        <v>685</v>
      </c>
      <c r="K166" s="72" t="s">
        <v>1615</v>
      </c>
      <c r="L166" s="30"/>
      <c r="M166" s="30"/>
      <c r="N166" s="30"/>
      <c r="O166" s="30" t="s">
        <v>3224</v>
      </c>
    </row>
    <row r="167" spans="1:15" ht="25.5" x14ac:dyDescent="0.2">
      <c r="A167" s="30" t="s">
        <v>1137</v>
      </c>
      <c r="B167" s="30"/>
      <c r="C167" s="30" t="s">
        <v>1143</v>
      </c>
      <c r="D167" s="196" t="s">
        <v>1144</v>
      </c>
      <c r="E167" s="72" t="s">
        <v>1144</v>
      </c>
      <c r="F167" s="72" t="s">
        <v>1701</v>
      </c>
      <c r="G167" s="72"/>
      <c r="H167" s="72" t="s">
        <v>1145</v>
      </c>
      <c r="I167" s="72" t="s">
        <v>16</v>
      </c>
      <c r="J167" s="72" t="s">
        <v>879</v>
      </c>
      <c r="K167" s="72" t="s">
        <v>1528</v>
      </c>
      <c r="L167" s="30"/>
      <c r="M167" s="30"/>
      <c r="N167" s="30"/>
      <c r="O167" s="30" t="s">
        <v>3224</v>
      </c>
    </row>
    <row r="168" spans="1:15" ht="38.25" x14ac:dyDescent="0.2">
      <c r="A168" s="30" t="s">
        <v>1137</v>
      </c>
      <c r="B168" s="30"/>
      <c r="C168" s="30" t="s">
        <v>1234</v>
      </c>
      <c r="D168" s="196" t="s">
        <v>1201</v>
      </c>
      <c r="E168" s="280" t="s">
        <v>1200</v>
      </c>
      <c r="F168" s="81" t="s">
        <v>1539</v>
      </c>
      <c r="G168" s="81"/>
      <c r="H168" s="280" t="s">
        <v>360</v>
      </c>
      <c r="I168" s="72" t="s">
        <v>16</v>
      </c>
      <c r="J168" s="280" t="s">
        <v>685</v>
      </c>
      <c r="K168" s="280" t="s">
        <v>1663</v>
      </c>
      <c r="L168" s="30"/>
      <c r="M168" s="30"/>
      <c r="N168" s="30"/>
      <c r="O168" s="30" t="s">
        <v>3224</v>
      </c>
    </row>
    <row r="169" spans="1:15" ht="38.25" x14ac:dyDescent="0.2">
      <c r="A169" s="30" t="s">
        <v>1137</v>
      </c>
      <c r="B169" s="30"/>
      <c r="C169" s="30" t="s">
        <v>1251</v>
      </c>
      <c r="D169" s="196" t="s">
        <v>339</v>
      </c>
      <c r="E169" s="280" t="s">
        <v>1200</v>
      </c>
      <c r="F169" s="81" t="s">
        <v>1539</v>
      </c>
      <c r="G169" s="81"/>
      <c r="H169" s="280" t="s">
        <v>360</v>
      </c>
      <c r="I169" s="72" t="s">
        <v>11</v>
      </c>
      <c r="J169" s="81" t="s">
        <v>685</v>
      </c>
      <c r="K169" s="280" t="s">
        <v>1663</v>
      </c>
      <c r="L169" s="30"/>
      <c r="M169" s="30"/>
      <c r="N169" s="30"/>
      <c r="O169" s="30" t="s">
        <v>3224</v>
      </c>
    </row>
    <row r="170" spans="1:15" ht="38.25" x14ac:dyDescent="0.2">
      <c r="A170" s="30" t="s">
        <v>1137</v>
      </c>
      <c r="B170" s="30"/>
      <c r="C170" s="30" t="s">
        <v>1289</v>
      </c>
      <c r="D170" s="196" t="s">
        <v>589</v>
      </c>
      <c r="E170" s="281" t="s">
        <v>589</v>
      </c>
      <c r="F170" s="72" t="s">
        <v>590</v>
      </c>
      <c r="G170" s="72"/>
      <c r="H170" s="281" t="s">
        <v>591</v>
      </c>
      <c r="I170" s="72" t="s">
        <v>16</v>
      </c>
      <c r="J170" s="72" t="s">
        <v>12</v>
      </c>
      <c r="K170" s="280" t="s">
        <v>1663</v>
      </c>
      <c r="L170" s="30"/>
      <c r="M170" s="30"/>
      <c r="N170" s="30"/>
      <c r="O170" s="30" t="s">
        <v>3224</v>
      </c>
    </row>
    <row r="171" spans="1:15" ht="38.25" x14ac:dyDescent="0.2">
      <c r="A171" s="68" t="s">
        <v>585</v>
      </c>
      <c r="B171" s="68"/>
      <c r="C171" s="282" t="s">
        <v>607</v>
      </c>
      <c r="D171" s="286" t="s">
        <v>592</v>
      </c>
      <c r="E171" s="281" t="s">
        <v>589</v>
      </c>
      <c r="F171" s="72" t="s">
        <v>590</v>
      </c>
      <c r="G171" s="72"/>
      <c r="H171" s="281" t="s">
        <v>591</v>
      </c>
      <c r="I171" s="72" t="s">
        <v>11</v>
      </c>
      <c r="J171" s="72" t="s">
        <v>12</v>
      </c>
      <c r="K171" s="280" t="s">
        <v>1663</v>
      </c>
      <c r="L171" s="30"/>
      <c r="M171" s="30"/>
      <c r="N171" s="30"/>
      <c r="O171" s="30" t="s">
        <v>3224</v>
      </c>
    </row>
    <row r="172" spans="1:15" ht="25.5" x14ac:dyDescent="0.2">
      <c r="A172" s="68" t="s">
        <v>1137</v>
      </c>
      <c r="B172" s="68"/>
      <c r="C172" s="30" t="s">
        <v>1179</v>
      </c>
      <c r="D172" s="286" t="s">
        <v>1164</v>
      </c>
      <c r="E172" s="281" t="s">
        <v>1164</v>
      </c>
      <c r="F172" s="72" t="s">
        <v>1577</v>
      </c>
      <c r="G172" s="72"/>
      <c r="H172" s="72" t="s">
        <v>1243</v>
      </c>
      <c r="I172" s="72" t="s">
        <v>16</v>
      </c>
      <c r="J172" s="72" t="s">
        <v>12</v>
      </c>
      <c r="K172" s="72" t="s">
        <v>1528</v>
      </c>
      <c r="L172" s="30"/>
      <c r="M172" s="30"/>
      <c r="N172" s="30"/>
      <c r="O172" s="30" t="s">
        <v>3224</v>
      </c>
    </row>
    <row r="173" spans="1:15" ht="51" x14ac:dyDescent="0.2">
      <c r="A173" s="68" t="s">
        <v>1137</v>
      </c>
      <c r="B173" s="68"/>
      <c r="C173" s="29" t="s">
        <v>623</v>
      </c>
      <c r="D173" s="286" t="s">
        <v>2168</v>
      </c>
      <c r="E173" s="281" t="s">
        <v>507</v>
      </c>
      <c r="F173" s="72" t="s">
        <v>624</v>
      </c>
      <c r="G173" s="72"/>
      <c r="H173" s="72" t="s">
        <v>605</v>
      </c>
      <c r="I173" s="72" t="s">
        <v>11</v>
      </c>
      <c r="J173" s="72" t="s">
        <v>12</v>
      </c>
      <c r="K173" s="280" t="s">
        <v>1970</v>
      </c>
      <c r="L173" s="30"/>
      <c r="M173" s="30"/>
      <c r="N173" s="30"/>
      <c r="O173" s="30" t="s">
        <v>3224</v>
      </c>
    </row>
    <row r="174" spans="1:15" ht="38.25" x14ac:dyDescent="0.2">
      <c r="A174" s="68" t="s">
        <v>584</v>
      </c>
      <c r="B174" s="68"/>
      <c r="C174" s="188" t="s">
        <v>488</v>
      </c>
      <c r="D174" s="287" t="s">
        <v>489</v>
      </c>
      <c r="E174" s="280" t="s">
        <v>22</v>
      </c>
      <c r="F174" s="280" t="s">
        <v>1584</v>
      </c>
      <c r="G174" s="280"/>
      <c r="H174" s="280" t="s">
        <v>490</v>
      </c>
      <c r="I174" s="72" t="s">
        <v>11</v>
      </c>
      <c r="J174" s="280" t="s">
        <v>1585</v>
      </c>
      <c r="K174" s="280" t="s">
        <v>1528</v>
      </c>
      <c r="L174" s="30"/>
      <c r="M174" s="30"/>
      <c r="N174" s="30"/>
      <c r="O174" s="30" t="s">
        <v>3224</v>
      </c>
    </row>
    <row r="175" spans="1:15" ht="25.5" x14ac:dyDescent="0.2">
      <c r="A175" s="68" t="s">
        <v>1137</v>
      </c>
      <c r="B175" s="68"/>
      <c r="C175" s="29" t="s">
        <v>160</v>
      </c>
      <c r="D175" s="288" t="s">
        <v>146</v>
      </c>
      <c r="E175" s="72" t="s">
        <v>146</v>
      </c>
      <c r="F175" s="72" t="s">
        <v>147</v>
      </c>
      <c r="G175" s="72"/>
      <c r="H175" s="72" t="s">
        <v>79</v>
      </c>
      <c r="I175" s="72" t="s">
        <v>16</v>
      </c>
      <c r="J175" s="72" t="s">
        <v>879</v>
      </c>
      <c r="K175" s="72" t="s">
        <v>1528</v>
      </c>
      <c r="L175" s="30"/>
      <c r="M175" s="30"/>
      <c r="N175" s="30"/>
      <c r="O175" s="30" t="s">
        <v>3224</v>
      </c>
    </row>
    <row r="176" spans="1:15" ht="38.25" x14ac:dyDescent="0.2">
      <c r="A176" s="68" t="s">
        <v>1137</v>
      </c>
      <c r="B176" s="68"/>
      <c r="C176" s="29" t="s">
        <v>142</v>
      </c>
      <c r="D176" s="288" t="s">
        <v>135</v>
      </c>
      <c r="E176" s="72" t="s">
        <v>135</v>
      </c>
      <c r="F176" s="72" t="s">
        <v>136</v>
      </c>
      <c r="G176" s="72"/>
      <c r="H176" s="72" t="s">
        <v>1563</v>
      </c>
      <c r="I176" s="72" t="s">
        <v>16</v>
      </c>
      <c r="J176" s="72" t="s">
        <v>879</v>
      </c>
      <c r="K176" s="72" t="s">
        <v>1528</v>
      </c>
      <c r="L176" s="30"/>
      <c r="M176" s="30"/>
      <c r="N176" s="30"/>
      <c r="O176" s="30" t="s">
        <v>3224</v>
      </c>
    </row>
    <row r="177" spans="1:15" ht="63.75" x14ac:dyDescent="0.2">
      <c r="A177" s="68" t="s">
        <v>1137</v>
      </c>
      <c r="B177" s="68"/>
      <c r="C177" s="29" t="s">
        <v>1533</v>
      </c>
      <c r="D177" s="288" t="s">
        <v>151</v>
      </c>
      <c r="E177" s="72" t="s">
        <v>151</v>
      </c>
      <c r="F177" s="72" t="s">
        <v>193</v>
      </c>
      <c r="G177" s="72"/>
      <c r="H177" s="72" t="s">
        <v>190</v>
      </c>
      <c r="I177" s="72" t="s">
        <v>16</v>
      </c>
      <c r="J177" s="72" t="s">
        <v>685</v>
      </c>
      <c r="K177" s="72" t="s">
        <v>1528</v>
      </c>
      <c r="L177" s="30"/>
      <c r="M177" s="30"/>
      <c r="N177" s="30"/>
      <c r="O177" s="30" t="s">
        <v>3224</v>
      </c>
    </row>
    <row r="178" spans="1:15" ht="25.5" x14ac:dyDescent="0.2">
      <c r="A178" s="68" t="s">
        <v>1137</v>
      </c>
      <c r="B178" s="68"/>
      <c r="C178" s="69" t="s">
        <v>632</v>
      </c>
      <c r="D178" s="252" t="s">
        <v>633</v>
      </c>
      <c r="E178" s="281" t="s">
        <v>598</v>
      </c>
      <c r="F178" s="72" t="s">
        <v>627</v>
      </c>
      <c r="G178" s="72"/>
      <c r="H178" s="72" t="s">
        <v>603</v>
      </c>
      <c r="I178" s="72" t="s">
        <v>11</v>
      </c>
      <c r="J178" s="72" t="s">
        <v>685</v>
      </c>
      <c r="K178" s="72" t="s">
        <v>1528</v>
      </c>
      <c r="L178" s="30"/>
      <c r="M178" s="30"/>
      <c r="N178" s="30"/>
      <c r="O178" s="30" t="s">
        <v>3224</v>
      </c>
    </row>
    <row r="179" spans="1:15" ht="25.5" x14ac:dyDescent="0.2">
      <c r="A179" s="30" t="s">
        <v>584</v>
      </c>
      <c r="B179" s="30"/>
      <c r="C179" s="30" t="s">
        <v>1860</v>
      </c>
      <c r="D179" s="288" t="s">
        <v>2074</v>
      </c>
      <c r="E179" s="72" t="s">
        <v>1859</v>
      </c>
      <c r="F179" s="72" t="s">
        <v>1806</v>
      </c>
      <c r="G179" s="72"/>
      <c r="H179" s="72" t="s">
        <v>2162</v>
      </c>
      <c r="I179" s="72" t="s">
        <v>11</v>
      </c>
      <c r="J179" s="72" t="s">
        <v>2163</v>
      </c>
      <c r="K179" s="72" t="s">
        <v>1615</v>
      </c>
      <c r="L179" s="30"/>
      <c r="M179" s="30"/>
      <c r="N179" s="30"/>
      <c r="O179" s="30" t="s">
        <v>3224</v>
      </c>
    </row>
    <row r="180" spans="1:15" ht="38.25" x14ac:dyDescent="0.2">
      <c r="A180" s="71" t="s">
        <v>584</v>
      </c>
      <c r="B180" s="71"/>
      <c r="C180" s="29" t="s">
        <v>1867</v>
      </c>
      <c r="D180" s="288" t="s">
        <v>2166</v>
      </c>
      <c r="E180" s="72" t="s">
        <v>1804</v>
      </c>
      <c r="F180" s="72" t="s">
        <v>1806</v>
      </c>
      <c r="G180" s="72"/>
      <c r="H180" s="72" t="s">
        <v>1866</v>
      </c>
      <c r="I180" s="72" t="s">
        <v>11</v>
      </c>
      <c r="J180" s="72" t="s">
        <v>879</v>
      </c>
      <c r="K180" s="72" t="s">
        <v>1615</v>
      </c>
      <c r="L180" s="30"/>
      <c r="M180" s="30"/>
      <c r="N180" s="30"/>
      <c r="O180" s="30" t="s">
        <v>3224</v>
      </c>
    </row>
    <row r="181" spans="1:15" ht="51" x14ac:dyDescent="0.2">
      <c r="A181" s="41" t="s">
        <v>1137</v>
      </c>
      <c r="B181" s="41"/>
      <c r="C181" s="38" t="s">
        <v>1871</v>
      </c>
      <c r="D181" s="287" t="s">
        <v>3223</v>
      </c>
      <c r="E181" s="280" t="s">
        <v>1371</v>
      </c>
      <c r="F181" s="280" t="s">
        <v>1806</v>
      </c>
      <c r="G181" s="280"/>
      <c r="H181" s="280" t="s">
        <v>2165</v>
      </c>
      <c r="I181" s="280" t="s">
        <v>105</v>
      </c>
      <c r="J181" s="280" t="s">
        <v>2164</v>
      </c>
      <c r="K181" s="72" t="s">
        <v>1615</v>
      </c>
      <c r="L181" s="30"/>
      <c r="M181" s="30"/>
      <c r="N181" s="30"/>
      <c r="O181" s="30" t="s">
        <v>3224</v>
      </c>
    </row>
    <row r="182" spans="1:15" ht="38.25" x14ac:dyDescent="0.2">
      <c r="A182" s="68" t="s">
        <v>1137</v>
      </c>
      <c r="B182" s="68"/>
      <c r="C182" s="29" t="s">
        <v>397</v>
      </c>
      <c r="D182" s="286" t="s">
        <v>406</v>
      </c>
      <c r="E182" s="281" t="s">
        <v>101</v>
      </c>
      <c r="F182" s="72" t="s">
        <v>395</v>
      </c>
      <c r="G182" s="72"/>
      <c r="H182" s="281" t="s">
        <v>396</v>
      </c>
      <c r="I182" s="72" t="s">
        <v>11</v>
      </c>
      <c r="J182" s="72" t="s">
        <v>54</v>
      </c>
      <c r="K182" s="72" t="s">
        <v>1592</v>
      </c>
      <c r="L182" s="30"/>
      <c r="M182" s="30"/>
      <c r="N182" s="30"/>
      <c r="O182" s="30" t="s">
        <v>3224</v>
      </c>
    </row>
    <row r="183" spans="1:15" ht="38.25" x14ac:dyDescent="0.2">
      <c r="A183" s="41" t="s">
        <v>1137</v>
      </c>
      <c r="B183" s="41"/>
      <c r="C183" s="30" t="s">
        <v>2172</v>
      </c>
      <c r="D183" s="288" t="s">
        <v>2115</v>
      </c>
      <c r="E183" s="72" t="s">
        <v>144</v>
      </c>
      <c r="F183" s="72" t="s">
        <v>1806</v>
      </c>
      <c r="G183" s="72"/>
      <c r="H183" s="72" t="s">
        <v>2160</v>
      </c>
      <c r="I183" s="72" t="s">
        <v>16</v>
      </c>
      <c r="J183" s="72" t="s">
        <v>685</v>
      </c>
      <c r="K183" s="72" t="s">
        <v>1615</v>
      </c>
      <c r="L183" s="30"/>
      <c r="M183" s="30"/>
      <c r="N183" s="30"/>
      <c r="O183" s="30" t="s">
        <v>3224</v>
      </c>
    </row>
    <row r="184" spans="1:15" ht="25.5" x14ac:dyDescent="0.2">
      <c r="A184" s="68" t="s">
        <v>1137</v>
      </c>
      <c r="B184" s="68"/>
      <c r="C184" s="29" t="s">
        <v>26</v>
      </c>
      <c r="D184" s="288" t="s">
        <v>1098</v>
      </c>
      <c r="E184" s="72" t="s">
        <v>27</v>
      </c>
      <c r="F184" s="72" t="s">
        <v>87</v>
      </c>
      <c r="G184" s="72"/>
      <c r="H184" s="72" t="s">
        <v>28</v>
      </c>
      <c r="I184" s="72" t="s">
        <v>16</v>
      </c>
      <c r="J184" s="72" t="s">
        <v>12</v>
      </c>
      <c r="K184" s="72" t="s">
        <v>1528</v>
      </c>
      <c r="L184" s="30"/>
      <c r="M184" s="30"/>
      <c r="N184" s="30"/>
      <c r="O184" s="30" t="s">
        <v>3224</v>
      </c>
    </row>
    <row r="185" spans="1:15" ht="25.5" x14ac:dyDescent="0.2">
      <c r="A185" s="30" t="s">
        <v>1174</v>
      </c>
      <c r="B185" s="30"/>
      <c r="C185" s="30" t="s">
        <v>2233</v>
      </c>
      <c r="D185" s="288" t="s">
        <v>2234</v>
      </c>
      <c r="E185" s="72" t="s">
        <v>2235</v>
      </c>
      <c r="F185" s="72"/>
      <c r="G185" s="72"/>
      <c r="H185" s="72" t="s">
        <v>1810</v>
      </c>
      <c r="I185" s="72" t="s">
        <v>11</v>
      </c>
      <c r="J185" s="72" t="s">
        <v>2236</v>
      </c>
      <c r="K185" s="72" t="s">
        <v>1528</v>
      </c>
      <c r="L185" s="30"/>
      <c r="M185" s="30"/>
      <c r="N185" s="30"/>
      <c r="O185" s="30" t="s">
        <v>3224</v>
      </c>
    </row>
    <row r="186" spans="1:15" ht="25.5" x14ac:dyDescent="0.2">
      <c r="A186" s="68" t="s">
        <v>1137</v>
      </c>
      <c r="B186" s="68"/>
      <c r="C186" s="69" t="s">
        <v>312</v>
      </c>
      <c r="D186" s="288" t="s">
        <v>300</v>
      </c>
      <c r="E186" s="72" t="s">
        <v>291</v>
      </c>
      <c r="F186" s="72" t="s">
        <v>293</v>
      </c>
      <c r="G186" s="72"/>
      <c r="H186" s="72" t="s">
        <v>292</v>
      </c>
      <c r="I186" s="72" t="s">
        <v>11</v>
      </c>
      <c r="J186" s="72" t="s">
        <v>18</v>
      </c>
      <c r="K186" s="72" t="s">
        <v>1528</v>
      </c>
      <c r="L186" s="30"/>
      <c r="M186" s="30"/>
      <c r="N186" s="30"/>
      <c r="O186" s="30" t="s">
        <v>3224</v>
      </c>
    </row>
    <row r="187" spans="1:15" ht="25.5" x14ac:dyDescent="0.2">
      <c r="A187" s="107" t="s">
        <v>584</v>
      </c>
      <c r="B187" s="107"/>
      <c r="C187" s="283" t="s">
        <v>1842</v>
      </c>
      <c r="D187" s="288" t="s">
        <v>1843</v>
      </c>
      <c r="E187" s="72" t="s">
        <v>1830</v>
      </c>
      <c r="F187" s="72" t="s">
        <v>1806</v>
      </c>
      <c r="G187" s="72"/>
      <c r="H187" s="72" t="s">
        <v>603</v>
      </c>
      <c r="I187" s="72" t="s">
        <v>105</v>
      </c>
      <c r="J187" s="72" t="s">
        <v>685</v>
      </c>
      <c r="K187" s="72" t="s">
        <v>1615</v>
      </c>
      <c r="L187" s="30"/>
      <c r="M187" s="30"/>
      <c r="N187" s="30"/>
      <c r="O187" s="30" t="s">
        <v>3224</v>
      </c>
    </row>
    <row r="188" spans="1:15" ht="51" x14ac:dyDescent="0.2">
      <c r="A188" s="68" t="s">
        <v>1137</v>
      </c>
      <c r="B188" s="68"/>
      <c r="C188" s="29" t="s">
        <v>165</v>
      </c>
      <c r="D188" s="288" t="s">
        <v>1954</v>
      </c>
      <c r="E188" s="72" t="s">
        <v>154</v>
      </c>
      <c r="F188" s="72" t="s">
        <v>3228</v>
      </c>
      <c r="G188" s="72"/>
      <c r="H188" s="72" t="s">
        <v>195</v>
      </c>
      <c r="I188" s="72" t="s">
        <v>16</v>
      </c>
      <c r="J188" s="72" t="s">
        <v>685</v>
      </c>
      <c r="K188" s="280" t="s">
        <v>1970</v>
      </c>
      <c r="L188" s="30"/>
      <c r="M188" s="30"/>
      <c r="N188" s="30"/>
      <c r="O188" s="30" t="s">
        <v>3224</v>
      </c>
    </row>
    <row r="189" spans="1:15" ht="38.25" x14ac:dyDescent="0.2">
      <c r="A189" s="68" t="s">
        <v>1137</v>
      </c>
      <c r="B189" s="68"/>
      <c r="C189" s="29" t="s">
        <v>180</v>
      </c>
      <c r="D189" s="288" t="s">
        <v>1606</v>
      </c>
      <c r="E189" s="72" t="s">
        <v>154</v>
      </c>
      <c r="F189" s="72" t="s">
        <v>1607</v>
      </c>
      <c r="G189" s="72"/>
      <c r="H189" s="72" t="s">
        <v>195</v>
      </c>
      <c r="I189" s="72" t="s">
        <v>11</v>
      </c>
      <c r="J189" s="72" t="s">
        <v>685</v>
      </c>
      <c r="K189" s="72" t="s">
        <v>1528</v>
      </c>
      <c r="L189" s="30"/>
      <c r="M189" s="30"/>
      <c r="N189" s="30"/>
      <c r="O189" s="30" t="s">
        <v>3224</v>
      </c>
    </row>
    <row r="190" spans="1:15" ht="38.25" x14ac:dyDescent="0.2">
      <c r="A190" s="41" t="s">
        <v>1137</v>
      </c>
      <c r="B190" s="41"/>
      <c r="C190" s="30" t="s">
        <v>1473</v>
      </c>
      <c r="D190" s="288" t="s">
        <v>1471</v>
      </c>
      <c r="E190" s="72" t="s">
        <v>1474</v>
      </c>
      <c r="F190" s="72" t="s">
        <v>145</v>
      </c>
      <c r="G190" s="72"/>
      <c r="H190" s="72" t="s">
        <v>1472</v>
      </c>
      <c r="I190" s="72" t="s">
        <v>11</v>
      </c>
      <c r="J190" s="72" t="s">
        <v>1475</v>
      </c>
      <c r="K190" s="72" t="s">
        <v>1592</v>
      </c>
      <c r="L190" s="30"/>
      <c r="M190" s="30"/>
      <c r="N190" s="30"/>
      <c r="O190" s="30" t="s">
        <v>3224</v>
      </c>
    </row>
    <row r="191" spans="1:15" x14ac:dyDescent="0.2">
      <c r="A191" s="30" t="s">
        <v>1137</v>
      </c>
      <c r="B191" s="30"/>
      <c r="C191" s="72" t="s">
        <v>622</v>
      </c>
      <c r="D191" s="286" t="s">
        <v>507</v>
      </c>
      <c r="E191" s="281" t="s">
        <v>507</v>
      </c>
      <c r="F191" s="72" t="s">
        <v>624</v>
      </c>
      <c r="G191" s="72"/>
      <c r="H191" s="72" t="s">
        <v>605</v>
      </c>
      <c r="I191" s="72" t="s">
        <v>16</v>
      </c>
      <c r="J191" s="72" t="s">
        <v>12</v>
      </c>
      <c r="K191" s="72" t="s">
        <v>1528</v>
      </c>
      <c r="L191" s="28"/>
      <c r="M191" s="28"/>
      <c r="N191" s="28"/>
      <c r="O191" s="28" t="s">
        <v>3230</v>
      </c>
    </row>
    <row r="192" spans="1:15" ht="38.25" x14ac:dyDescent="0.2">
      <c r="A192" s="282" t="s">
        <v>585</v>
      </c>
      <c r="B192" s="282"/>
      <c r="C192" s="72" t="s">
        <v>251</v>
      </c>
      <c r="D192" s="288" t="s">
        <v>1404</v>
      </c>
      <c r="E192" s="72" t="s">
        <v>254</v>
      </c>
      <c r="F192" s="72" t="s">
        <v>261</v>
      </c>
      <c r="G192" s="72"/>
      <c r="H192" s="72" t="s">
        <v>1985</v>
      </c>
      <c r="I192" s="72" t="s">
        <v>11</v>
      </c>
      <c r="J192" s="72" t="s">
        <v>12</v>
      </c>
      <c r="K192" s="72" t="s">
        <v>1528</v>
      </c>
      <c r="L192" s="28"/>
      <c r="M192" s="28"/>
      <c r="N192" s="28"/>
      <c r="O192" s="28" t="s">
        <v>3230</v>
      </c>
    </row>
    <row r="193" spans="1:15" ht="38.25" x14ac:dyDescent="0.2">
      <c r="A193" s="282" t="s">
        <v>585</v>
      </c>
      <c r="B193" s="282"/>
      <c r="C193" s="72" t="s">
        <v>249</v>
      </c>
      <c r="D193" s="288" t="s">
        <v>254</v>
      </c>
      <c r="E193" s="72" t="s">
        <v>254</v>
      </c>
      <c r="F193" s="72" t="s">
        <v>261</v>
      </c>
      <c r="G193" s="72"/>
      <c r="H193" s="72" t="s">
        <v>1985</v>
      </c>
      <c r="I193" s="72" t="s">
        <v>16</v>
      </c>
      <c r="J193" s="122" t="s">
        <v>12</v>
      </c>
      <c r="K193" s="72" t="s">
        <v>1528</v>
      </c>
      <c r="L193" s="28"/>
      <c r="M193" s="28"/>
      <c r="N193" s="28"/>
      <c r="O193" s="28" t="s">
        <v>3230</v>
      </c>
    </row>
    <row r="194" spans="1:15" x14ac:dyDescent="0.2">
      <c r="A194" s="282" t="s">
        <v>585</v>
      </c>
      <c r="B194" s="282"/>
      <c r="C194" s="72" t="s">
        <v>250</v>
      </c>
      <c r="D194" s="288" t="s">
        <v>254</v>
      </c>
      <c r="E194" s="72" t="s">
        <v>254</v>
      </c>
      <c r="F194" s="72"/>
      <c r="G194" s="72"/>
      <c r="H194" s="72" t="s">
        <v>2004</v>
      </c>
      <c r="I194" s="72" t="s">
        <v>16</v>
      </c>
      <c r="J194" s="122" t="s">
        <v>12</v>
      </c>
      <c r="K194" s="72" t="s">
        <v>1528</v>
      </c>
      <c r="L194" s="28"/>
      <c r="M194" s="28"/>
      <c r="N194" s="28"/>
      <c r="O194" s="28" t="s">
        <v>3230</v>
      </c>
    </row>
    <row r="195" spans="1:15" ht="25.5" x14ac:dyDescent="0.2">
      <c r="A195" s="282" t="s">
        <v>1137</v>
      </c>
      <c r="B195" s="282"/>
      <c r="C195" s="282" t="s">
        <v>606</v>
      </c>
      <c r="D195" s="288" t="s">
        <v>586</v>
      </c>
      <c r="E195" s="72" t="s">
        <v>587</v>
      </c>
      <c r="F195" s="72"/>
      <c r="G195" s="72"/>
      <c r="H195" s="72" t="s">
        <v>2032</v>
      </c>
      <c r="I195" s="72" t="s">
        <v>3231</v>
      </c>
      <c r="J195" s="72" t="s">
        <v>2994</v>
      </c>
      <c r="K195" s="72" t="s">
        <v>1528</v>
      </c>
      <c r="L195" s="28"/>
      <c r="M195" s="28"/>
      <c r="N195" s="28"/>
      <c r="O195" s="28" t="s">
        <v>3230</v>
      </c>
    </row>
    <row r="196" spans="1:15" ht="25.5" x14ac:dyDescent="0.2">
      <c r="A196" s="282" t="s">
        <v>585</v>
      </c>
      <c r="B196" s="282"/>
      <c r="C196" s="281" t="s">
        <v>15</v>
      </c>
      <c r="D196" s="289" t="s">
        <v>10</v>
      </c>
      <c r="E196" s="72" t="s">
        <v>10</v>
      </c>
      <c r="F196" s="72"/>
      <c r="G196" s="72"/>
      <c r="H196" s="81" t="s">
        <v>14</v>
      </c>
      <c r="I196" s="72" t="s">
        <v>16</v>
      </c>
      <c r="J196" s="72" t="s">
        <v>12</v>
      </c>
      <c r="K196" s="72" t="s">
        <v>1528</v>
      </c>
      <c r="L196" s="28"/>
      <c r="M196" s="28"/>
      <c r="N196" s="28"/>
      <c r="O196" s="28" t="s">
        <v>3230</v>
      </c>
    </row>
    <row r="197" spans="1:15" x14ac:dyDescent="0.2">
      <c r="A197" s="282" t="s">
        <v>585</v>
      </c>
      <c r="B197" s="282"/>
      <c r="C197" s="281" t="s">
        <v>9</v>
      </c>
      <c r="D197" s="288" t="s">
        <v>380</v>
      </c>
      <c r="E197" s="72" t="s">
        <v>10</v>
      </c>
      <c r="F197" s="72"/>
      <c r="G197" s="72"/>
      <c r="H197" s="81" t="s">
        <v>14</v>
      </c>
      <c r="I197" s="72" t="s">
        <v>11</v>
      </c>
      <c r="J197" s="72" t="s">
        <v>12</v>
      </c>
      <c r="K197" s="72" t="s">
        <v>1528</v>
      </c>
      <c r="L197" s="28"/>
      <c r="M197" s="28"/>
      <c r="N197" s="28"/>
      <c r="O197" s="28" t="s">
        <v>3230</v>
      </c>
    </row>
    <row r="198" spans="1:15" x14ac:dyDescent="0.2">
      <c r="A198" s="282" t="s">
        <v>585</v>
      </c>
      <c r="B198" s="282"/>
      <c r="C198" s="81" t="s">
        <v>346</v>
      </c>
      <c r="D198" s="288" t="s">
        <v>337</v>
      </c>
      <c r="E198" s="72" t="s">
        <v>337</v>
      </c>
      <c r="F198" s="197"/>
      <c r="G198" s="197"/>
      <c r="H198" s="72" t="s">
        <v>338</v>
      </c>
      <c r="I198" s="72" t="s">
        <v>16</v>
      </c>
      <c r="J198" s="72" t="s">
        <v>12</v>
      </c>
      <c r="K198" s="72" t="s">
        <v>1528</v>
      </c>
      <c r="L198" s="28"/>
      <c r="M198" s="28"/>
      <c r="N198" s="28"/>
      <c r="O198" s="28" t="s">
        <v>3230</v>
      </c>
    </row>
    <row r="199" spans="1:15" x14ac:dyDescent="0.2">
      <c r="A199" s="282" t="s">
        <v>585</v>
      </c>
      <c r="B199" s="282"/>
      <c r="C199" s="81" t="s">
        <v>347</v>
      </c>
      <c r="D199" s="288" t="s">
        <v>339</v>
      </c>
      <c r="E199" s="72" t="s">
        <v>337</v>
      </c>
      <c r="F199" s="197"/>
      <c r="G199" s="197"/>
      <c r="H199" s="72" t="s">
        <v>338</v>
      </c>
      <c r="I199" s="72" t="s">
        <v>11</v>
      </c>
      <c r="J199" s="72" t="s">
        <v>12</v>
      </c>
      <c r="K199" s="72" t="s">
        <v>1528</v>
      </c>
      <c r="L199" s="28"/>
      <c r="M199" s="28"/>
      <c r="N199" s="28"/>
      <c r="O199" s="28" t="s">
        <v>3230</v>
      </c>
    </row>
    <row r="200" spans="1:15" ht="25.5" x14ac:dyDescent="0.2">
      <c r="A200" s="282" t="s">
        <v>585</v>
      </c>
      <c r="B200" s="282"/>
      <c r="C200" s="81" t="s">
        <v>404</v>
      </c>
      <c r="D200" s="288" t="s">
        <v>388</v>
      </c>
      <c r="E200" s="281" t="s">
        <v>388</v>
      </c>
      <c r="F200" s="281"/>
      <c r="G200" s="281"/>
      <c r="H200" s="281" t="s">
        <v>389</v>
      </c>
      <c r="I200" s="72" t="s">
        <v>16</v>
      </c>
      <c r="J200" s="72" t="s">
        <v>12</v>
      </c>
      <c r="K200" s="72" t="s">
        <v>1528</v>
      </c>
      <c r="L200" s="28"/>
      <c r="M200" s="28"/>
      <c r="N200" s="28"/>
      <c r="O200" s="28" t="s">
        <v>3230</v>
      </c>
    </row>
    <row r="201" spans="1:15" ht="25.5" x14ac:dyDescent="0.2">
      <c r="A201" s="282" t="s">
        <v>585</v>
      </c>
      <c r="B201" s="282"/>
      <c r="C201" s="72" t="s">
        <v>1093</v>
      </c>
      <c r="D201" s="288" t="s">
        <v>548</v>
      </c>
      <c r="E201" s="72" t="s">
        <v>639</v>
      </c>
      <c r="F201" s="72"/>
      <c r="G201" s="72"/>
      <c r="H201" s="72" t="s">
        <v>998</v>
      </c>
      <c r="I201" s="72" t="s">
        <v>16</v>
      </c>
      <c r="J201" s="72" t="s">
        <v>1094</v>
      </c>
      <c r="K201" s="72" t="s">
        <v>1528</v>
      </c>
      <c r="L201" s="28"/>
      <c r="M201" s="28"/>
      <c r="N201" s="28"/>
      <c r="O201" s="28" t="s">
        <v>3230</v>
      </c>
    </row>
    <row r="202" spans="1:15" ht="255" x14ac:dyDescent="0.2">
      <c r="A202" s="69" t="s">
        <v>1137</v>
      </c>
      <c r="B202" s="163"/>
      <c r="C202" s="147" t="s">
        <v>48</v>
      </c>
      <c r="D202" s="161" t="s">
        <v>49</v>
      </c>
      <c r="E202" s="45" t="s">
        <v>30</v>
      </c>
      <c r="F202" s="45" t="s">
        <v>91</v>
      </c>
      <c r="G202" s="29"/>
      <c r="H202" s="162" t="s">
        <v>31</v>
      </c>
      <c r="I202" s="29" t="s">
        <v>1393</v>
      </c>
      <c r="J202" s="45" t="s">
        <v>12</v>
      </c>
      <c r="K202" s="29" t="s">
        <v>1528</v>
      </c>
      <c r="L202" s="80">
        <v>40060</v>
      </c>
      <c r="M202" s="28" t="s">
        <v>3024</v>
      </c>
      <c r="N202" s="30" t="s">
        <v>3236</v>
      </c>
      <c r="O202" s="28" t="s">
        <v>3237</v>
      </c>
    </row>
    <row r="203" spans="1:15" ht="102" x14ac:dyDescent="0.2">
      <c r="A203" s="118" t="s">
        <v>1137</v>
      </c>
      <c r="B203" s="118"/>
      <c r="C203" s="114" t="s">
        <v>2696</v>
      </c>
      <c r="D203" s="123" t="s">
        <v>2690</v>
      </c>
      <c r="E203" s="114" t="s">
        <v>2690</v>
      </c>
      <c r="F203" s="114" t="s">
        <v>2691</v>
      </c>
      <c r="G203" s="114"/>
      <c r="H203" s="114" t="s">
        <v>2689</v>
      </c>
      <c r="I203" s="129" t="s">
        <v>16</v>
      </c>
      <c r="J203" s="128" t="s">
        <v>3098</v>
      </c>
      <c r="K203" s="114" t="s">
        <v>2992</v>
      </c>
      <c r="L203" s="121">
        <v>42648</v>
      </c>
      <c r="M203" s="114">
        <v>2362016163</v>
      </c>
      <c r="N203" s="28" t="s">
        <v>3243</v>
      </c>
      <c r="O203" s="28" t="s">
        <v>3291</v>
      </c>
    </row>
    <row r="204" spans="1:15" ht="318.75" x14ac:dyDescent="0.2">
      <c r="A204" s="128" t="s">
        <v>1137</v>
      </c>
      <c r="B204" s="128"/>
      <c r="C204" s="125" t="s">
        <v>2522</v>
      </c>
      <c r="D204" s="132" t="s">
        <v>2513</v>
      </c>
      <c r="E204" s="125" t="s">
        <v>1721</v>
      </c>
      <c r="F204" s="138" t="s">
        <v>2515</v>
      </c>
      <c r="G204" s="138"/>
      <c r="H204" s="125" t="s">
        <v>2514</v>
      </c>
      <c r="I204" s="128" t="s">
        <v>11</v>
      </c>
      <c r="J204" s="128" t="s">
        <v>3094</v>
      </c>
      <c r="K204" s="125" t="s">
        <v>2992</v>
      </c>
      <c r="L204" s="131">
        <v>42489</v>
      </c>
      <c r="M204" s="137" t="s">
        <v>2531</v>
      </c>
      <c r="N204" s="28" t="s">
        <v>3244</v>
      </c>
      <c r="O204" s="28" t="s">
        <v>3291</v>
      </c>
    </row>
    <row r="205" spans="1:15" s="294" customFormat="1" ht="76.5" x14ac:dyDescent="0.2">
      <c r="A205" s="129" t="s">
        <v>584</v>
      </c>
      <c r="B205" s="129"/>
      <c r="C205" s="290" t="s">
        <v>2801</v>
      </c>
      <c r="D205" s="291" t="s">
        <v>2781</v>
      </c>
      <c r="E205" s="122" t="s">
        <v>2690</v>
      </c>
      <c r="F205" s="129" t="s">
        <v>1806</v>
      </c>
      <c r="G205" s="129"/>
      <c r="H205" s="122" t="s">
        <v>2689</v>
      </c>
      <c r="I205" s="129" t="s">
        <v>11</v>
      </c>
      <c r="J205" s="292" t="s">
        <v>3098</v>
      </c>
      <c r="K205" s="122" t="s">
        <v>3091</v>
      </c>
      <c r="L205" s="293">
        <v>42719</v>
      </c>
      <c r="M205" s="122">
        <v>29141882016</v>
      </c>
      <c r="N205" s="36" t="s">
        <v>3245</v>
      </c>
      <c r="O205" s="28" t="s">
        <v>3321</v>
      </c>
    </row>
    <row r="206" spans="1:15" s="294" customFormat="1" ht="63.75" x14ac:dyDescent="0.2">
      <c r="A206" s="129" t="s">
        <v>584</v>
      </c>
      <c r="B206" s="129"/>
      <c r="C206" s="290" t="s">
        <v>2803</v>
      </c>
      <c r="D206" s="291" t="s">
        <v>2791</v>
      </c>
      <c r="E206" s="122" t="s">
        <v>2690</v>
      </c>
      <c r="F206" s="129" t="s">
        <v>1806</v>
      </c>
      <c r="G206" s="129"/>
      <c r="H206" s="122" t="s">
        <v>2689</v>
      </c>
      <c r="I206" s="129" t="s">
        <v>11</v>
      </c>
      <c r="J206" s="292" t="s">
        <v>3098</v>
      </c>
      <c r="K206" s="122" t="s">
        <v>3091</v>
      </c>
      <c r="L206" s="293">
        <v>42727</v>
      </c>
      <c r="M206" s="112" t="s">
        <v>2802</v>
      </c>
      <c r="N206" s="36" t="s">
        <v>3408</v>
      </c>
      <c r="O206" s="28" t="s">
        <v>3321</v>
      </c>
    </row>
    <row r="207" spans="1:15" s="294" customFormat="1" ht="280.5" x14ac:dyDescent="0.2">
      <c r="A207" s="122" t="s">
        <v>584</v>
      </c>
      <c r="B207" s="122"/>
      <c r="C207" s="295" t="s">
        <v>2658</v>
      </c>
      <c r="D207" s="291" t="s">
        <v>1803</v>
      </c>
      <c r="E207" s="122" t="s">
        <v>1721</v>
      </c>
      <c r="F207" s="122" t="s">
        <v>1806</v>
      </c>
      <c r="G207" s="122"/>
      <c r="H207" s="122" t="s">
        <v>2514</v>
      </c>
      <c r="I207" s="129" t="s">
        <v>11</v>
      </c>
      <c r="J207" s="122" t="s">
        <v>3095</v>
      </c>
      <c r="K207" s="122" t="s">
        <v>3091</v>
      </c>
      <c r="L207" s="296">
        <v>42587</v>
      </c>
      <c r="M207" s="295">
        <v>2195091161</v>
      </c>
      <c r="N207" s="36" t="s">
        <v>3407</v>
      </c>
      <c r="O207" s="28" t="s">
        <v>3321</v>
      </c>
    </row>
    <row r="208" spans="1:15" ht="102" x14ac:dyDescent="0.2">
      <c r="A208" s="127" t="s">
        <v>1137</v>
      </c>
      <c r="B208" s="127"/>
      <c r="C208" s="114" t="s">
        <v>2297</v>
      </c>
      <c r="D208" s="123" t="s">
        <v>2280</v>
      </c>
      <c r="E208" s="114" t="s">
        <v>799</v>
      </c>
      <c r="F208" s="114" t="s">
        <v>2282</v>
      </c>
      <c r="G208" s="114"/>
      <c r="H208" s="114" t="s">
        <v>2281</v>
      </c>
      <c r="I208" s="118" t="s">
        <v>105</v>
      </c>
      <c r="J208" s="118" t="s">
        <v>3102</v>
      </c>
      <c r="K208" s="114" t="s">
        <v>2992</v>
      </c>
      <c r="L208" s="121">
        <v>42355</v>
      </c>
      <c r="M208" s="114">
        <v>1111491156</v>
      </c>
      <c r="N208" s="28" t="s">
        <v>3284</v>
      </c>
      <c r="O208" s="36" t="s">
        <v>3242</v>
      </c>
    </row>
    <row r="209" spans="1:15" ht="153" x14ac:dyDescent="0.2">
      <c r="A209" s="275" t="s">
        <v>1174</v>
      </c>
      <c r="B209" s="118"/>
      <c r="C209" s="276" t="s">
        <v>1096</v>
      </c>
      <c r="D209" s="284" t="s">
        <v>1097</v>
      </c>
      <c r="E209" s="276" t="s">
        <v>1098</v>
      </c>
      <c r="F209" s="285"/>
      <c r="G209" s="122"/>
      <c r="H209" s="276" t="s">
        <v>28</v>
      </c>
      <c r="I209" s="275" t="s">
        <v>11</v>
      </c>
      <c r="J209" s="118" t="s">
        <v>66</v>
      </c>
      <c r="K209" s="276" t="s">
        <v>2992</v>
      </c>
      <c r="L209" s="277" t="s">
        <v>3288</v>
      </c>
      <c r="M209" s="277" t="s">
        <v>3212</v>
      </c>
      <c r="N209" s="28" t="s">
        <v>3313</v>
      </c>
      <c r="O209" s="28" t="s">
        <v>3302</v>
      </c>
    </row>
    <row r="210" spans="1:15" ht="178.5" x14ac:dyDescent="0.2">
      <c r="A210" s="127" t="s">
        <v>1137</v>
      </c>
      <c r="B210" s="127"/>
      <c r="C210" s="114" t="s">
        <v>2291</v>
      </c>
      <c r="D210" s="135" t="s">
        <v>2288</v>
      </c>
      <c r="E210" s="114" t="s">
        <v>2287</v>
      </c>
      <c r="F210" s="118" t="s">
        <v>1806</v>
      </c>
      <c r="G210" s="118"/>
      <c r="H210" s="114" t="s">
        <v>3111</v>
      </c>
      <c r="I210" s="129" t="s">
        <v>16</v>
      </c>
      <c r="J210" s="118" t="s">
        <v>66</v>
      </c>
      <c r="K210" s="114" t="s">
        <v>3090</v>
      </c>
      <c r="L210" s="121">
        <v>42369</v>
      </c>
      <c r="M210" s="124" t="s">
        <v>2298</v>
      </c>
      <c r="N210" s="28" t="s">
        <v>3405</v>
      </c>
      <c r="O210" s="36" t="s">
        <v>3410</v>
      </c>
    </row>
    <row r="211" spans="1:15" ht="178.5" x14ac:dyDescent="0.2">
      <c r="A211" s="273" t="s">
        <v>1137</v>
      </c>
      <c r="B211" s="273"/>
      <c r="C211" s="125" t="s">
        <v>1818</v>
      </c>
      <c r="D211" s="132" t="s">
        <v>3114</v>
      </c>
      <c r="E211" s="125" t="s">
        <v>33</v>
      </c>
      <c r="F211" s="125" t="s">
        <v>1806</v>
      </c>
      <c r="G211" s="125"/>
      <c r="H211" s="125" t="s">
        <v>34</v>
      </c>
      <c r="I211" s="128" t="s">
        <v>16</v>
      </c>
      <c r="J211" s="128" t="s">
        <v>3049</v>
      </c>
      <c r="K211" s="130" t="s">
        <v>3090</v>
      </c>
      <c r="L211" s="131">
        <v>41824</v>
      </c>
      <c r="M211" s="137" t="s">
        <v>1819</v>
      </c>
      <c r="N211" s="87" t="s">
        <v>3406</v>
      </c>
      <c r="O211" s="87" t="s">
        <v>3410</v>
      </c>
    </row>
    <row r="212" spans="1:15" s="302" customFormat="1" ht="409.5" x14ac:dyDescent="0.2">
      <c r="A212" s="118" t="s">
        <v>1137</v>
      </c>
      <c r="B212" s="118"/>
      <c r="C212" s="114" t="s">
        <v>2743</v>
      </c>
      <c r="D212" s="123" t="s">
        <v>2744</v>
      </c>
      <c r="E212" s="114" t="s">
        <v>2744</v>
      </c>
      <c r="F212" s="118" t="s">
        <v>112</v>
      </c>
      <c r="G212" s="118"/>
      <c r="H212" s="114" t="s">
        <v>1292</v>
      </c>
      <c r="I212" s="118" t="s">
        <v>16</v>
      </c>
      <c r="J212" s="118" t="s">
        <v>3097</v>
      </c>
      <c r="K212" s="114" t="s">
        <v>3081</v>
      </c>
      <c r="L212" s="121">
        <v>42674</v>
      </c>
      <c r="M212" s="120" t="s">
        <v>2745</v>
      </c>
      <c r="N212" s="30" t="s">
        <v>3329</v>
      </c>
      <c r="O212" s="30" t="s">
        <v>3365</v>
      </c>
    </row>
    <row r="213" spans="1:15" s="302" customFormat="1" ht="409.5" x14ac:dyDescent="0.2">
      <c r="A213" s="118" t="s">
        <v>1137</v>
      </c>
      <c r="B213" s="118"/>
      <c r="C213" s="114" t="s">
        <v>2743</v>
      </c>
      <c r="D213" s="123" t="s">
        <v>2744</v>
      </c>
      <c r="E213" s="114" t="s">
        <v>2744</v>
      </c>
      <c r="F213" s="118" t="s">
        <v>112</v>
      </c>
      <c r="G213" s="118"/>
      <c r="H213" s="114" t="s">
        <v>1292</v>
      </c>
      <c r="I213" s="118" t="s">
        <v>16</v>
      </c>
      <c r="J213" s="118" t="s">
        <v>3097</v>
      </c>
      <c r="K213" s="114" t="s">
        <v>3089</v>
      </c>
      <c r="L213" s="121">
        <v>42674</v>
      </c>
      <c r="M213" s="120" t="s">
        <v>3070</v>
      </c>
      <c r="N213" s="30" t="s">
        <v>3330</v>
      </c>
      <c r="O213" s="30" t="s">
        <v>3366</v>
      </c>
    </row>
    <row r="214" spans="1:15" s="302" customFormat="1" ht="89.25" x14ac:dyDescent="0.2">
      <c r="A214" s="127" t="s">
        <v>1137</v>
      </c>
      <c r="B214" s="127"/>
      <c r="C214" s="119" t="s">
        <v>1443</v>
      </c>
      <c r="D214" s="135" t="s">
        <v>1444</v>
      </c>
      <c r="E214" s="119" t="s">
        <v>1619</v>
      </c>
      <c r="F214" s="119" t="s">
        <v>1669</v>
      </c>
      <c r="G214" s="119"/>
      <c r="H214" s="119" t="s">
        <v>1441</v>
      </c>
      <c r="I214" s="127" t="s">
        <v>11</v>
      </c>
      <c r="J214" s="127" t="s">
        <v>3098</v>
      </c>
      <c r="K214" s="119" t="s">
        <v>3088</v>
      </c>
      <c r="L214" s="140">
        <v>41964</v>
      </c>
      <c r="M214" s="139" t="s">
        <v>1634</v>
      </c>
      <c r="N214" s="30" t="s">
        <v>3401</v>
      </c>
      <c r="O214" s="30" t="s">
        <v>3402</v>
      </c>
    </row>
    <row r="215" spans="1:15" s="302" customFormat="1" ht="102" x14ac:dyDescent="0.2">
      <c r="A215" s="128" t="s">
        <v>1137</v>
      </c>
      <c r="B215" s="128"/>
      <c r="C215" s="125" t="s">
        <v>1501</v>
      </c>
      <c r="D215" s="141" t="s">
        <v>1502</v>
      </c>
      <c r="E215" s="128" t="s">
        <v>1502</v>
      </c>
      <c r="F215" s="125" t="s">
        <v>1678</v>
      </c>
      <c r="G215" s="125"/>
      <c r="H215" s="125" t="s">
        <v>383</v>
      </c>
      <c r="I215" s="129" t="s">
        <v>16</v>
      </c>
      <c r="J215" s="130" t="s">
        <v>12</v>
      </c>
      <c r="K215" s="119" t="s">
        <v>2992</v>
      </c>
      <c r="L215" s="131">
        <v>42013</v>
      </c>
      <c r="M215" s="137" t="s">
        <v>1627</v>
      </c>
      <c r="N215" s="30" t="s">
        <v>3479</v>
      </c>
      <c r="O215" s="30" t="s">
        <v>3504</v>
      </c>
    </row>
    <row r="216" spans="1:15" s="302" customFormat="1" ht="89.25" x14ac:dyDescent="0.2">
      <c r="A216" s="118" t="s">
        <v>584</v>
      </c>
      <c r="B216" s="118"/>
      <c r="C216" s="114" t="s">
        <v>1749</v>
      </c>
      <c r="D216" s="123" t="s">
        <v>1790</v>
      </c>
      <c r="E216" s="114" t="s">
        <v>1502</v>
      </c>
      <c r="F216" s="114" t="s">
        <v>1806</v>
      </c>
      <c r="G216" s="114"/>
      <c r="H216" s="114" t="s">
        <v>383</v>
      </c>
      <c r="I216" s="127" t="s">
        <v>11</v>
      </c>
      <c r="J216" s="114" t="s">
        <v>12</v>
      </c>
      <c r="K216" s="119" t="s">
        <v>3090</v>
      </c>
      <c r="L216" s="121">
        <v>42075</v>
      </c>
      <c r="M216" s="117" t="s">
        <v>1750</v>
      </c>
      <c r="N216" s="30" t="s">
        <v>3480</v>
      </c>
      <c r="O216" s="30" t="s">
        <v>3505</v>
      </c>
    </row>
    <row r="217" spans="1:15" s="302" customFormat="1" ht="178.5" x14ac:dyDescent="0.2">
      <c r="A217" s="118" t="s">
        <v>1137</v>
      </c>
      <c r="B217" s="118"/>
      <c r="C217" s="118" t="s">
        <v>1057</v>
      </c>
      <c r="D217" s="123" t="s">
        <v>1058</v>
      </c>
      <c r="E217" s="41" t="s">
        <v>1058</v>
      </c>
      <c r="F217" s="30" t="s">
        <v>3079</v>
      </c>
      <c r="G217" s="30"/>
      <c r="H217" s="30" t="s">
        <v>3508</v>
      </c>
      <c r="I217" s="41" t="s">
        <v>16</v>
      </c>
      <c r="J217" s="41" t="s">
        <v>66</v>
      </c>
      <c r="K217" s="30" t="s">
        <v>3521</v>
      </c>
      <c r="L217" s="70">
        <v>43269</v>
      </c>
      <c r="M217" s="41">
        <v>487568181</v>
      </c>
      <c r="N217" s="30" t="s">
        <v>3509</v>
      </c>
      <c r="O217" s="30" t="s">
        <v>3510</v>
      </c>
    </row>
    <row r="218" spans="1:15" s="98" customFormat="1" ht="51" x14ac:dyDescent="0.2">
      <c r="A218" s="128" t="s">
        <v>584</v>
      </c>
      <c r="B218" s="128"/>
      <c r="C218" s="128" t="s">
        <v>485</v>
      </c>
      <c r="D218" s="132" t="s">
        <v>486</v>
      </c>
      <c r="E218" s="86" t="s">
        <v>148</v>
      </c>
      <c r="F218" s="87" t="s">
        <v>3079</v>
      </c>
      <c r="G218" s="87"/>
      <c r="H218" s="87" t="s">
        <v>487</v>
      </c>
      <c r="I218" s="86" t="s">
        <v>11</v>
      </c>
      <c r="J218" s="86" t="s">
        <v>3098</v>
      </c>
      <c r="K218" s="87" t="s">
        <v>3521</v>
      </c>
      <c r="L218" s="88">
        <v>43293</v>
      </c>
      <c r="M218" s="217" t="s">
        <v>3519</v>
      </c>
      <c r="N218" s="87" t="s">
        <v>3520</v>
      </c>
      <c r="O218" s="87" t="s">
        <v>3242</v>
      </c>
    </row>
    <row r="219" spans="1:15" s="302" customFormat="1" ht="178.5" x14ac:dyDescent="0.2">
      <c r="A219" s="118" t="s">
        <v>1137</v>
      </c>
      <c r="B219" s="118"/>
      <c r="C219" s="114" t="s">
        <v>2347</v>
      </c>
      <c r="D219" s="123" t="s">
        <v>2334</v>
      </c>
      <c r="E219" s="114" t="s">
        <v>548</v>
      </c>
      <c r="F219" s="118" t="s">
        <v>1806</v>
      </c>
      <c r="G219" s="118"/>
      <c r="H219" s="114" t="s">
        <v>981</v>
      </c>
      <c r="I219" s="118" t="s">
        <v>11</v>
      </c>
      <c r="J219" s="118" t="s">
        <v>685</v>
      </c>
      <c r="K219" s="114" t="s">
        <v>3090</v>
      </c>
      <c r="L219" s="121">
        <v>42395</v>
      </c>
      <c r="M219" s="114">
        <v>1207962166</v>
      </c>
      <c r="N219" s="30" t="s">
        <v>3537</v>
      </c>
      <c r="O219" s="30" t="s">
        <v>3242</v>
      </c>
    </row>
    <row r="220" spans="1:15" s="302" customFormat="1" ht="127.5" x14ac:dyDescent="0.2">
      <c r="A220" s="118" t="s">
        <v>1137</v>
      </c>
      <c r="B220" s="118"/>
      <c r="C220" s="114" t="s">
        <v>2348</v>
      </c>
      <c r="D220" s="123" t="s">
        <v>2335</v>
      </c>
      <c r="E220" s="114" t="s">
        <v>548</v>
      </c>
      <c r="F220" s="118" t="s">
        <v>1806</v>
      </c>
      <c r="G220" s="118"/>
      <c r="H220" s="114" t="s">
        <v>50</v>
      </c>
      <c r="I220" s="118" t="s">
        <v>11</v>
      </c>
      <c r="J220" s="118" t="s">
        <v>742</v>
      </c>
      <c r="K220" s="114" t="s">
        <v>3090</v>
      </c>
      <c r="L220" s="121">
        <v>42395</v>
      </c>
      <c r="M220" s="114">
        <v>1207970167</v>
      </c>
      <c r="N220" s="114" t="s">
        <v>3538</v>
      </c>
      <c r="O220" s="30" t="s">
        <v>3242</v>
      </c>
    </row>
    <row r="221" spans="1:15" s="302" customFormat="1" ht="114.75" x14ac:dyDescent="0.2">
      <c r="A221" s="118" t="s">
        <v>1137</v>
      </c>
      <c r="B221" s="118"/>
      <c r="C221" s="114" t="s">
        <v>2349</v>
      </c>
      <c r="D221" s="123" t="s">
        <v>2336</v>
      </c>
      <c r="E221" s="114" t="s">
        <v>548</v>
      </c>
      <c r="F221" s="118" t="s">
        <v>1806</v>
      </c>
      <c r="G221" s="118"/>
      <c r="H221" s="114" t="s">
        <v>2337</v>
      </c>
      <c r="I221" s="118" t="s">
        <v>11</v>
      </c>
      <c r="J221" s="118" t="s">
        <v>3454</v>
      </c>
      <c r="K221" s="114" t="s">
        <v>3090</v>
      </c>
      <c r="L221" s="121">
        <v>42395</v>
      </c>
      <c r="M221" s="114">
        <v>1207972163</v>
      </c>
      <c r="N221" s="114" t="s">
        <v>3539</v>
      </c>
      <c r="O221" s="30" t="s">
        <v>3242</v>
      </c>
    </row>
    <row r="222" spans="1:15" s="302" customFormat="1" ht="369.75" x14ac:dyDescent="0.2">
      <c r="A222" s="292" t="s">
        <v>1137</v>
      </c>
      <c r="B222" s="292"/>
      <c r="C222" s="297" t="s">
        <v>3736</v>
      </c>
      <c r="D222" s="314" t="s">
        <v>1200</v>
      </c>
      <c r="E222" s="297" t="s">
        <v>1201</v>
      </c>
      <c r="F222" s="297" t="s">
        <v>1137</v>
      </c>
      <c r="G222" s="297"/>
      <c r="H222" s="122" t="s">
        <v>1987</v>
      </c>
      <c r="I222" s="129" t="s">
        <v>16</v>
      </c>
      <c r="J222" s="122" t="s">
        <v>12</v>
      </c>
      <c r="K222" s="122" t="s">
        <v>2992</v>
      </c>
      <c r="L222" s="293">
        <v>42531</v>
      </c>
      <c r="M222" s="122">
        <v>1937486161</v>
      </c>
      <c r="N222" s="114" t="s">
        <v>3580</v>
      </c>
      <c r="O222" s="30" t="s">
        <v>3737</v>
      </c>
    </row>
    <row r="223" spans="1:15" s="302" customFormat="1" ht="331.5" x14ac:dyDescent="0.2">
      <c r="A223" s="292" t="s">
        <v>1137</v>
      </c>
      <c r="B223" s="292"/>
      <c r="C223" s="297" t="s">
        <v>2670</v>
      </c>
      <c r="D223" s="314" t="s">
        <v>2710</v>
      </c>
      <c r="E223" s="297" t="s">
        <v>1201</v>
      </c>
      <c r="F223" s="297" t="s">
        <v>1806</v>
      </c>
      <c r="G223" s="297"/>
      <c r="H223" s="297" t="s">
        <v>1987</v>
      </c>
      <c r="I223" s="129" t="s">
        <v>11</v>
      </c>
      <c r="J223" s="297" t="s">
        <v>12</v>
      </c>
      <c r="K223" s="122" t="s">
        <v>3091</v>
      </c>
      <c r="L223" s="315">
        <v>42612</v>
      </c>
      <c r="M223" s="297">
        <v>2272393165</v>
      </c>
      <c r="N223" s="114" t="s">
        <v>3579</v>
      </c>
      <c r="O223" s="30" t="s">
        <v>3735</v>
      </c>
    </row>
    <row r="224" spans="1:15" s="302" customFormat="1" ht="382.5" x14ac:dyDescent="0.2">
      <c r="A224" s="129" t="s">
        <v>584</v>
      </c>
      <c r="B224" s="129"/>
      <c r="C224" s="122" t="s">
        <v>2734</v>
      </c>
      <c r="D224" s="291" t="s">
        <v>2716</v>
      </c>
      <c r="E224" s="129" t="s">
        <v>1200</v>
      </c>
      <c r="F224" s="122" t="s">
        <v>1806</v>
      </c>
      <c r="G224" s="122"/>
      <c r="H224" s="122" t="s">
        <v>1987</v>
      </c>
      <c r="I224" s="129" t="s">
        <v>11</v>
      </c>
      <c r="J224" s="122" t="s">
        <v>12</v>
      </c>
      <c r="K224" s="122" t="s">
        <v>3091</v>
      </c>
      <c r="L224" s="293">
        <v>42667</v>
      </c>
      <c r="M224" s="122">
        <v>2463881161</v>
      </c>
      <c r="N224" s="114" t="s">
        <v>3581</v>
      </c>
      <c r="O224" s="30" t="s">
        <v>3734</v>
      </c>
    </row>
    <row r="225" spans="1:15" s="302" customFormat="1" ht="63.75" x14ac:dyDescent="0.2">
      <c r="A225" s="129" t="s">
        <v>1137</v>
      </c>
      <c r="B225" s="129"/>
      <c r="C225" s="122" t="s">
        <v>1800</v>
      </c>
      <c r="D225" s="291" t="s">
        <v>1791</v>
      </c>
      <c r="E225" s="122" t="s">
        <v>1502</v>
      </c>
      <c r="F225" s="122" t="s">
        <v>1806</v>
      </c>
      <c r="G225" s="122"/>
      <c r="H225" s="122" t="s">
        <v>383</v>
      </c>
      <c r="I225" s="129" t="s">
        <v>11</v>
      </c>
      <c r="J225" s="122" t="s">
        <v>12</v>
      </c>
      <c r="K225" s="122" t="s">
        <v>3090</v>
      </c>
      <c r="L225" s="293">
        <v>42075</v>
      </c>
      <c r="M225" s="112" t="s">
        <v>1801</v>
      </c>
      <c r="N225" s="114" t="s">
        <v>3582</v>
      </c>
      <c r="O225" s="30" t="s">
        <v>3595</v>
      </c>
    </row>
    <row r="226" spans="1:15" s="302" customFormat="1" ht="127.5" x14ac:dyDescent="0.2">
      <c r="A226" s="129" t="s">
        <v>1137</v>
      </c>
      <c r="B226" s="129"/>
      <c r="C226" s="122" t="s">
        <v>1496</v>
      </c>
      <c r="D226" s="291" t="s">
        <v>3611</v>
      </c>
      <c r="E226" s="295" t="s">
        <v>1484</v>
      </c>
      <c r="F226" s="122" t="s">
        <v>2533</v>
      </c>
      <c r="G226" s="122"/>
      <c r="H226" s="122" t="s">
        <v>2128</v>
      </c>
      <c r="I226" s="129" t="s">
        <v>11</v>
      </c>
      <c r="J226" s="122" t="s">
        <v>3474</v>
      </c>
      <c r="K226" s="122" t="s">
        <v>2992</v>
      </c>
      <c r="L226" s="293">
        <v>42012</v>
      </c>
      <c r="M226" s="308" t="s">
        <v>1626</v>
      </c>
      <c r="N226" s="114" t="s">
        <v>3642</v>
      </c>
      <c r="O226" s="30" t="s">
        <v>3641</v>
      </c>
    </row>
    <row r="227" spans="1:15" s="302" customFormat="1" ht="89.25" x14ac:dyDescent="0.2">
      <c r="A227" s="129" t="s">
        <v>1137</v>
      </c>
      <c r="B227" s="129"/>
      <c r="C227" s="122" t="s">
        <v>1650</v>
      </c>
      <c r="D227" s="291" t="s">
        <v>3632</v>
      </c>
      <c r="E227" s="129" t="s">
        <v>1484</v>
      </c>
      <c r="F227" s="122" t="s">
        <v>1806</v>
      </c>
      <c r="G227" s="122"/>
      <c r="H227" s="122" t="s">
        <v>2131</v>
      </c>
      <c r="I227" s="129" t="s">
        <v>11</v>
      </c>
      <c r="J227" s="122" t="s">
        <v>3474</v>
      </c>
      <c r="K227" s="122" t="s">
        <v>3090</v>
      </c>
      <c r="L227" s="293">
        <v>42040</v>
      </c>
      <c r="M227" s="308" t="s">
        <v>1688</v>
      </c>
      <c r="N227" s="114" t="s">
        <v>3643</v>
      </c>
      <c r="O227" s="30" t="s">
        <v>3641</v>
      </c>
    </row>
    <row r="228" spans="1:15" s="302" customFormat="1" ht="89.25" x14ac:dyDescent="0.2">
      <c r="A228" s="129" t="s">
        <v>584</v>
      </c>
      <c r="B228" s="129"/>
      <c r="C228" s="122" t="s">
        <v>1651</v>
      </c>
      <c r="D228" s="291" t="s">
        <v>3612</v>
      </c>
      <c r="E228" s="129" t="s">
        <v>1484</v>
      </c>
      <c r="F228" s="122" t="s">
        <v>1806</v>
      </c>
      <c r="G228" s="122"/>
      <c r="H228" s="122" t="s">
        <v>2131</v>
      </c>
      <c r="I228" s="129" t="s">
        <v>11</v>
      </c>
      <c r="J228" s="122" t="s">
        <v>3474</v>
      </c>
      <c r="K228" s="122" t="s">
        <v>3090</v>
      </c>
      <c r="L228" s="293">
        <v>42041</v>
      </c>
      <c r="M228" s="308" t="s">
        <v>1689</v>
      </c>
      <c r="N228" s="114" t="s">
        <v>3643</v>
      </c>
      <c r="O228" s="30" t="s">
        <v>3641</v>
      </c>
    </row>
    <row r="229" spans="1:15" ht="96" x14ac:dyDescent="0.2">
      <c r="A229" s="49" t="s">
        <v>584</v>
      </c>
      <c r="B229" s="49"/>
      <c r="C229" s="49" t="s">
        <v>471</v>
      </c>
      <c r="D229" s="232" t="s">
        <v>472</v>
      </c>
      <c r="E229" s="65" t="s">
        <v>473</v>
      </c>
      <c r="F229" s="50" t="s">
        <v>1566</v>
      </c>
      <c r="G229" s="50"/>
      <c r="H229" s="50" t="s">
        <v>1567</v>
      </c>
      <c r="I229" s="50" t="s">
        <v>1393</v>
      </c>
      <c r="J229" s="50" t="s">
        <v>1568</v>
      </c>
      <c r="K229" s="50" t="s">
        <v>1528</v>
      </c>
      <c r="L229" s="56">
        <v>40455</v>
      </c>
      <c r="M229" s="47" t="s">
        <v>556</v>
      </c>
      <c r="N229" s="47" t="s">
        <v>3668</v>
      </c>
      <c r="O229" s="48" t="s">
        <v>3695</v>
      </c>
    </row>
    <row r="230" spans="1:15" ht="96" x14ac:dyDescent="0.2">
      <c r="A230" s="49" t="s">
        <v>1137</v>
      </c>
      <c r="B230" s="49"/>
      <c r="C230" s="47" t="s">
        <v>228</v>
      </c>
      <c r="D230" s="233" t="s">
        <v>230</v>
      </c>
      <c r="E230" s="46" t="s">
        <v>230</v>
      </c>
      <c r="F230" s="46" t="s">
        <v>229</v>
      </c>
      <c r="G230" s="46"/>
      <c r="H230" s="46" t="s">
        <v>55</v>
      </c>
      <c r="I230" s="46" t="s">
        <v>1394</v>
      </c>
      <c r="J230" s="46" t="s">
        <v>12</v>
      </c>
      <c r="K230" s="46" t="s">
        <v>1528</v>
      </c>
      <c r="L230" s="56">
        <v>40694</v>
      </c>
      <c r="M230" s="47" t="s">
        <v>231</v>
      </c>
      <c r="N230" s="47" t="s">
        <v>3669</v>
      </c>
      <c r="O230" s="48" t="s">
        <v>3695</v>
      </c>
    </row>
    <row r="231" spans="1:15" ht="96" x14ac:dyDescent="0.2">
      <c r="A231" s="49" t="s">
        <v>1137</v>
      </c>
      <c r="B231" s="49"/>
      <c r="C231" s="47" t="s">
        <v>280</v>
      </c>
      <c r="D231" s="233" t="s">
        <v>270</v>
      </c>
      <c r="E231" s="46" t="s">
        <v>270</v>
      </c>
      <c r="F231" s="46" t="s">
        <v>271</v>
      </c>
      <c r="G231" s="46"/>
      <c r="H231" s="46" t="s">
        <v>1551</v>
      </c>
      <c r="I231" s="46" t="s">
        <v>1394</v>
      </c>
      <c r="J231" s="46" t="s">
        <v>1286</v>
      </c>
      <c r="K231" s="46" t="s">
        <v>1528</v>
      </c>
      <c r="L231" s="56">
        <v>40795</v>
      </c>
      <c r="M231" s="47" t="s">
        <v>281</v>
      </c>
      <c r="N231" s="47" t="s">
        <v>3668</v>
      </c>
      <c r="O231" s="48" t="s">
        <v>3695</v>
      </c>
    </row>
    <row r="232" spans="1:15" ht="96" x14ac:dyDescent="0.2">
      <c r="A232" s="49" t="s">
        <v>1137</v>
      </c>
      <c r="B232" s="49"/>
      <c r="C232" s="47" t="s">
        <v>278</v>
      </c>
      <c r="D232" s="233" t="s">
        <v>65</v>
      </c>
      <c r="E232" s="46" t="s">
        <v>65</v>
      </c>
      <c r="F232" s="46" t="s">
        <v>88</v>
      </c>
      <c r="G232" s="46"/>
      <c r="H232" s="46" t="s">
        <v>366</v>
      </c>
      <c r="I232" s="46" t="s">
        <v>1394</v>
      </c>
      <c r="J232" s="46" t="s">
        <v>685</v>
      </c>
      <c r="K232" s="46" t="s">
        <v>1528</v>
      </c>
      <c r="L232" s="56">
        <v>40802</v>
      </c>
      <c r="M232" s="47" t="s">
        <v>279</v>
      </c>
      <c r="N232" s="47" t="s">
        <v>3670</v>
      </c>
      <c r="O232" s="48" t="s">
        <v>3695</v>
      </c>
    </row>
    <row r="233" spans="1:15" ht="96" x14ac:dyDescent="0.2">
      <c r="A233" s="49" t="s">
        <v>1137</v>
      </c>
      <c r="B233" s="49"/>
      <c r="C233" s="47" t="s">
        <v>320</v>
      </c>
      <c r="D233" s="233" t="s">
        <v>41</v>
      </c>
      <c r="E233" s="46" t="s">
        <v>41</v>
      </c>
      <c r="F233" s="46" t="s">
        <v>2529</v>
      </c>
      <c r="G233" s="46"/>
      <c r="H233" s="46" t="s">
        <v>42</v>
      </c>
      <c r="I233" s="46" t="s">
        <v>1394</v>
      </c>
      <c r="J233" s="46" t="s">
        <v>685</v>
      </c>
      <c r="K233" s="46" t="s">
        <v>1528</v>
      </c>
      <c r="L233" s="56">
        <v>40858</v>
      </c>
      <c r="M233" s="47" t="s">
        <v>332</v>
      </c>
      <c r="N233" s="47" t="s">
        <v>3671</v>
      </c>
      <c r="O233" s="48" t="s">
        <v>3695</v>
      </c>
    </row>
    <row r="234" spans="1:15" ht="96" x14ac:dyDescent="0.2">
      <c r="A234" s="49" t="s">
        <v>1137</v>
      </c>
      <c r="B234" s="49"/>
      <c r="C234" s="47" t="s">
        <v>323</v>
      </c>
      <c r="D234" s="233" t="s">
        <v>324</v>
      </c>
      <c r="E234" s="46" t="s">
        <v>324</v>
      </c>
      <c r="F234" s="46" t="s">
        <v>327</v>
      </c>
      <c r="G234" s="46"/>
      <c r="H234" s="46" t="s">
        <v>326</v>
      </c>
      <c r="I234" s="46" t="s">
        <v>1394</v>
      </c>
      <c r="J234" s="46" t="s">
        <v>18</v>
      </c>
      <c r="K234" s="46" t="s">
        <v>1528</v>
      </c>
      <c r="L234" s="56">
        <v>40878</v>
      </c>
      <c r="M234" s="47" t="s">
        <v>325</v>
      </c>
      <c r="N234" s="47" t="s">
        <v>3672</v>
      </c>
      <c r="O234" s="48" t="s">
        <v>3695</v>
      </c>
    </row>
    <row r="235" spans="1:15" ht="96" x14ac:dyDescent="0.2">
      <c r="A235" s="49" t="s">
        <v>1137</v>
      </c>
      <c r="B235" s="49"/>
      <c r="C235" s="47" t="s">
        <v>344</v>
      </c>
      <c r="D235" s="233" t="s">
        <v>335</v>
      </c>
      <c r="E235" s="46" t="s">
        <v>335</v>
      </c>
      <c r="F235" s="46" t="s">
        <v>336</v>
      </c>
      <c r="G235" s="46"/>
      <c r="H235" s="46" t="s">
        <v>343</v>
      </c>
      <c r="I235" s="53" t="s">
        <v>1394</v>
      </c>
      <c r="J235" s="46" t="s">
        <v>12</v>
      </c>
      <c r="K235" s="46" t="s">
        <v>1528</v>
      </c>
      <c r="L235" s="56">
        <v>40907</v>
      </c>
      <c r="M235" s="47" t="s">
        <v>351</v>
      </c>
      <c r="N235" s="47" t="s">
        <v>3673</v>
      </c>
      <c r="O235" s="48" t="s">
        <v>3695</v>
      </c>
    </row>
    <row r="236" spans="1:15" ht="96" x14ac:dyDescent="0.2">
      <c r="A236" s="49" t="s">
        <v>1137</v>
      </c>
      <c r="B236" s="49"/>
      <c r="C236" s="47" t="s">
        <v>374</v>
      </c>
      <c r="D236" s="233" t="s">
        <v>371</v>
      </c>
      <c r="E236" s="46" t="s">
        <v>371</v>
      </c>
      <c r="F236" s="46" t="s">
        <v>86</v>
      </c>
      <c r="G236" s="46"/>
      <c r="H236" s="46" t="s">
        <v>372</v>
      </c>
      <c r="I236" s="46" t="s">
        <v>1394</v>
      </c>
      <c r="J236" s="46" t="s">
        <v>685</v>
      </c>
      <c r="K236" s="46" t="s">
        <v>1528</v>
      </c>
      <c r="L236" s="56">
        <v>40998</v>
      </c>
      <c r="M236" s="47" t="s">
        <v>373</v>
      </c>
      <c r="N236" s="47" t="s">
        <v>3668</v>
      </c>
      <c r="O236" s="48" t="s">
        <v>3695</v>
      </c>
    </row>
    <row r="237" spans="1:15" ht="96" x14ac:dyDescent="0.2">
      <c r="A237" s="49" t="s">
        <v>1137</v>
      </c>
      <c r="B237" s="49"/>
      <c r="C237" s="47" t="s">
        <v>392</v>
      </c>
      <c r="D237" s="234" t="s">
        <v>381</v>
      </c>
      <c r="E237" s="51" t="s">
        <v>381</v>
      </c>
      <c r="F237" s="46" t="s">
        <v>382</v>
      </c>
      <c r="G237" s="46"/>
      <c r="H237" s="46" t="s">
        <v>383</v>
      </c>
      <c r="I237" s="46" t="s">
        <v>1394</v>
      </c>
      <c r="J237" s="46" t="s">
        <v>12</v>
      </c>
      <c r="K237" s="46" t="s">
        <v>1528</v>
      </c>
      <c r="L237" s="56">
        <v>41073</v>
      </c>
      <c r="M237" s="47" t="s">
        <v>393</v>
      </c>
      <c r="N237" s="47" t="s">
        <v>3668</v>
      </c>
      <c r="O237" s="48" t="s">
        <v>3695</v>
      </c>
    </row>
    <row r="238" spans="1:15" ht="96" x14ac:dyDescent="0.2">
      <c r="A238" s="49" t="s">
        <v>1137</v>
      </c>
      <c r="B238" s="49"/>
      <c r="C238" s="49" t="s">
        <v>611</v>
      </c>
      <c r="D238" s="235" t="s">
        <v>593</v>
      </c>
      <c r="E238" s="47" t="s">
        <v>593</v>
      </c>
      <c r="F238" s="47" t="s">
        <v>594</v>
      </c>
      <c r="G238" s="47"/>
      <c r="H238" s="47" t="s">
        <v>595</v>
      </c>
      <c r="I238" s="47" t="s">
        <v>1394</v>
      </c>
      <c r="J238" s="46" t="s">
        <v>12</v>
      </c>
      <c r="K238" s="46" t="s">
        <v>1528</v>
      </c>
      <c r="L238" s="56">
        <v>41246</v>
      </c>
      <c r="M238" s="47" t="s">
        <v>608</v>
      </c>
      <c r="N238" s="47" t="s">
        <v>3668</v>
      </c>
      <c r="O238" s="48" t="s">
        <v>3695</v>
      </c>
    </row>
    <row r="239" spans="1:15" ht="96" x14ac:dyDescent="0.2">
      <c r="A239" s="49" t="s">
        <v>1137</v>
      </c>
      <c r="B239" s="49"/>
      <c r="C239" s="46" t="s">
        <v>614</v>
      </c>
      <c r="D239" s="234" t="s">
        <v>596</v>
      </c>
      <c r="E239" s="51" t="s">
        <v>596</v>
      </c>
      <c r="F239" s="46" t="s">
        <v>625</v>
      </c>
      <c r="G239" s="46"/>
      <c r="H239" s="46" t="s">
        <v>601</v>
      </c>
      <c r="I239" s="46" t="s">
        <v>1394</v>
      </c>
      <c r="J239" s="46" t="s">
        <v>685</v>
      </c>
      <c r="K239" s="46" t="s">
        <v>1528</v>
      </c>
      <c r="L239" s="56">
        <v>41271</v>
      </c>
      <c r="M239" s="47" t="s">
        <v>615</v>
      </c>
      <c r="N239" s="47" t="s">
        <v>3668</v>
      </c>
      <c r="O239" s="48" t="s">
        <v>3695</v>
      </c>
    </row>
    <row r="240" spans="1:15" ht="132" x14ac:dyDescent="0.2">
      <c r="A240" s="49" t="s">
        <v>1137</v>
      </c>
      <c r="B240" s="49"/>
      <c r="C240" s="47" t="s">
        <v>631</v>
      </c>
      <c r="D240" s="234" t="s">
        <v>1760</v>
      </c>
      <c r="E240" s="51" t="s">
        <v>596</v>
      </c>
      <c r="F240" s="46" t="s">
        <v>625</v>
      </c>
      <c r="G240" s="46"/>
      <c r="H240" s="46" t="s">
        <v>601</v>
      </c>
      <c r="I240" s="46" t="s">
        <v>1393</v>
      </c>
      <c r="J240" s="46" t="s">
        <v>685</v>
      </c>
      <c r="K240" s="50" t="s">
        <v>1970</v>
      </c>
      <c r="L240" s="56">
        <v>41320</v>
      </c>
      <c r="M240" s="47" t="s">
        <v>1226</v>
      </c>
      <c r="N240" s="46" t="s">
        <v>3674</v>
      </c>
      <c r="O240" s="48" t="s">
        <v>3696</v>
      </c>
    </row>
    <row r="241" spans="1:15" ht="96" x14ac:dyDescent="0.2">
      <c r="A241" s="49" t="s">
        <v>1137</v>
      </c>
      <c r="B241" s="49"/>
      <c r="C241" s="47" t="s">
        <v>647</v>
      </c>
      <c r="D241" s="234" t="s">
        <v>420</v>
      </c>
      <c r="E241" s="47" t="s">
        <v>420</v>
      </c>
      <c r="F241" s="46" t="s">
        <v>422</v>
      </c>
      <c r="G241" s="46"/>
      <c r="H241" s="47" t="s">
        <v>504</v>
      </c>
      <c r="I241" s="47" t="s">
        <v>1394</v>
      </c>
      <c r="J241" s="47" t="s">
        <v>879</v>
      </c>
      <c r="K241" s="47" t="s">
        <v>1528</v>
      </c>
      <c r="L241" s="56">
        <v>41355</v>
      </c>
      <c r="M241" s="47" t="s">
        <v>648</v>
      </c>
      <c r="N241" s="47" t="s">
        <v>3668</v>
      </c>
      <c r="O241" s="48" t="s">
        <v>3695</v>
      </c>
    </row>
    <row r="242" spans="1:15" ht="96" x14ac:dyDescent="0.2">
      <c r="A242" s="49" t="s">
        <v>1137</v>
      </c>
      <c r="B242" s="49"/>
      <c r="C242" s="46" t="s">
        <v>1166</v>
      </c>
      <c r="D242" s="234" t="s">
        <v>1165</v>
      </c>
      <c r="E242" s="51" t="s">
        <v>1165</v>
      </c>
      <c r="F242" s="53" t="s">
        <v>1167</v>
      </c>
      <c r="G242" s="53"/>
      <c r="H242" s="46" t="s">
        <v>1169</v>
      </c>
      <c r="I242" s="46" t="s">
        <v>1394</v>
      </c>
      <c r="J242" s="46" t="s">
        <v>685</v>
      </c>
      <c r="K242" s="46" t="s">
        <v>1528</v>
      </c>
      <c r="L242" s="58">
        <v>41486</v>
      </c>
      <c r="M242" s="334" t="s">
        <v>1228</v>
      </c>
      <c r="N242" s="47" t="s">
        <v>3668</v>
      </c>
      <c r="O242" s="48" t="s">
        <v>3695</v>
      </c>
    </row>
    <row r="243" spans="1:15" ht="96" x14ac:dyDescent="0.2">
      <c r="A243" s="49" t="s">
        <v>1137</v>
      </c>
      <c r="B243" s="49"/>
      <c r="C243" s="50" t="s">
        <v>1534</v>
      </c>
      <c r="D243" s="233" t="s">
        <v>1190</v>
      </c>
      <c r="E243" s="46" t="s">
        <v>1190</v>
      </c>
      <c r="F243" s="46" t="s">
        <v>1535</v>
      </c>
      <c r="G243" s="46"/>
      <c r="H243" s="50" t="s">
        <v>1536</v>
      </c>
      <c r="I243" s="47" t="s">
        <v>1394</v>
      </c>
      <c r="J243" s="54" t="s">
        <v>685</v>
      </c>
      <c r="K243" s="47" t="s">
        <v>1528</v>
      </c>
      <c r="L243" s="56">
        <v>41509</v>
      </c>
      <c r="M243" s="334" t="s">
        <v>1233</v>
      </c>
      <c r="N243" s="47" t="s">
        <v>3668</v>
      </c>
      <c r="O243" s="48" t="s">
        <v>3695</v>
      </c>
    </row>
    <row r="244" spans="1:15" ht="96" x14ac:dyDescent="0.2">
      <c r="A244" s="49" t="s">
        <v>1137</v>
      </c>
      <c r="B244" s="49"/>
      <c r="C244" s="47" t="s">
        <v>1188</v>
      </c>
      <c r="D244" s="235" t="s">
        <v>1189</v>
      </c>
      <c r="E244" s="47" t="s">
        <v>1189</v>
      </c>
      <c r="F244" s="46" t="s">
        <v>1580</v>
      </c>
      <c r="G244" s="46"/>
      <c r="H244" s="47" t="s">
        <v>1398</v>
      </c>
      <c r="I244" s="47" t="s">
        <v>1394</v>
      </c>
      <c r="J244" s="54" t="s">
        <v>685</v>
      </c>
      <c r="K244" s="47" t="s">
        <v>1528</v>
      </c>
      <c r="L244" s="56">
        <v>41509</v>
      </c>
      <c r="M244" s="334" t="s">
        <v>1232</v>
      </c>
      <c r="N244" s="47" t="s">
        <v>3668</v>
      </c>
      <c r="O244" s="48" t="s">
        <v>3695</v>
      </c>
    </row>
    <row r="245" spans="1:15" ht="96" x14ac:dyDescent="0.2">
      <c r="A245" s="49" t="s">
        <v>1137</v>
      </c>
      <c r="B245" s="49"/>
      <c r="C245" s="46" t="s">
        <v>1244</v>
      </c>
      <c r="D245" s="233" t="s">
        <v>1236</v>
      </c>
      <c r="E245" s="53" t="s">
        <v>1237</v>
      </c>
      <c r="F245" s="46" t="s">
        <v>1561</v>
      </c>
      <c r="G245" s="46"/>
      <c r="H245" s="46" t="s">
        <v>1243</v>
      </c>
      <c r="I245" s="53" t="s">
        <v>1394</v>
      </c>
      <c r="J245" s="53" t="s">
        <v>685</v>
      </c>
      <c r="K245" s="46" t="s">
        <v>1528</v>
      </c>
      <c r="L245" s="56">
        <v>41582</v>
      </c>
      <c r="M245" s="47" t="s">
        <v>1258</v>
      </c>
      <c r="N245" s="47" t="s">
        <v>3668</v>
      </c>
      <c r="O245" s="48" t="s">
        <v>3695</v>
      </c>
    </row>
    <row r="246" spans="1:15" ht="132" x14ac:dyDescent="0.2">
      <c r="A246" s="49" t="s">
        <v>1137</v>
      </c>
      <c r="B246" s="49"/>
      <c r="C246" s="46" t="s">
        <v>1264</v>
      </c>
      <c r="D246" s="233" t="s">
        <v>1763</v>
      </c>
      <c r="E246" s="46" t="s">
        <v>1190</v>
      </c>
      <c r="F246" s="46" t="s">
        <v>1731</v>
      </c>
      <c r="G246" s="46"/>
      <c r="H246" s="50" t="s">
        <v>1536</v>
      </c>
      <c r="I246" s="47" t="s">
        <v>1393</v>
      </c>
      <c r="J246" s="54" t="s">
        <v>685</v>
      </c>
      <c r="K246" s="50" t="s">
        <v>1970</v>
      </c>
      <c r="L246" s="58">
        <v>41606</v>
      </c>
      <c r="M246" s="47" t="s">
        <v>2327</v>
      </c>
      <c r="N246" s="46" t="s">
        <v>3675</v>
      </c>
      <c r="O246" s="48" t="s">
        <v>3696</v>
      </c>
    </row>
    <row r="247" spans="1:15" ht="96" x14ac:dyDescent="0.2">
      <c r="A247" s="49" t="s">
        <v>1137</v>
      </c>
      <c r="B247" s="49"/>
      <c r="C247" s="46" t="s">
        <v>1265</v>
      </c>
      <c r="D247" s="233" t="s">
        <v>1304</v>
      </c>
      <c r="E247" s="46" t="s">
        <v>1304</v>
      </c>
      <c r="F247" s="46" t="s">
        <v>1547</v>
      </c>
      <c r="G247" s="46"/>
      <c r="H247" s="46" t="s">
        <v>763</v>
      </c>
      <c r="I247" s="53" t="s">
        <v>1394</v>
      </c>
      <c r="J247" s="53" t="s">
        <v>1286</v>
      </c>
      <c r="K247" s="47" t="s">
        <v>1528</v>
      </c>
      <c r="L247" s="58">
        <v>41610</v>
      </c>
      <c r="M247" s="59" t="s">
        <v>2294</v>
      </c>
      <c r="N247" s="47" t="s">
        <v>3668</v>
      </c>
      <c r="O247" s="48" t="s">
        <v>3695</v>
      </c>
    </row>
    <row r="248" spans="1:15" ht="96" x14ac:dyDescent="0.2">
      <c r="A248" s="49" t="s">
        <v>1137</v>
      </c>
      <c r="B248" s="49"/>
      <c r="C248" s="46" t="s">
        <v>1288</v>
      </c>
      <c r="D248" s="233" t="s">
        <v>1282</v>
      </c>
      <c r="E248" s="46" t="s">
        <v>1282</v>
      </c>
      <c r="F248" s="46" t="s">
        <v>1572</v>
      </c>
      <c r="G248" s="46"/>
      <c r="H248" s="46" t="s">
        <v>1284</v>
      </c>
      <c r="I248" s="46" t="s">
        <v>1394</v>
      </c>
      <c r="J248" s="46" t="s">
        <v>1286</v>
      </c>
      <c r="K248" s="46" t="s">
        <v>1528</v>
      </c>
      <c r="L248" s="58">
        <v>41628</v>
      </c>
      <c r="M248" s="47" t="s">
        <v>1315</v>
      </c>
      <c r="N248" s="47" t="s">
        <v>3668</v>
      </c>
      <c r="O248" s="48" t="s">
        <v>3695</v>
      </c>
    </row>
    <row r="249" spans="1:15" ht="132" x14ac:dyDescent="0.2">
      <c r="A249" s="50" t="s">
        <v>584</v>
      </c>
      <c r="B249" s="50"/>
      <c r="C249" s="46" t="s">
        <v>1307</v>
      </c>
      <c r="D249" s="233" t="s">
        <v>1764</v>
      </c>
      <c r="E249" s="46" t="s">
        <v>1282</v>
      </c>
      <c r="F249" s="46" t="s">
        <v>1556</v>
      </c>
      <c r="G249" s="46"/>
      <c r="H249" s="46" t="s">
        <v>1295</v>
      </c>
      <c r="I249" s="46" t="s">
        <v>1393</v>
      </c>
      <c r="J249" s="46" t="s">
        <v>1286</v>
      </c>
      <c r="K249" s="50" t="s">
        <v>1970</v>
      </c>
      <c r="L249" s="58">
        <v>41631</v>
      </c>
      <c r="M249" s="47" t="s">
        <v>1316</v>
      </c>
      <c r="N249" s="46" t="s">
        <v>3676</v>
      </c>
      <c r="O249" s="48" t="s">
        <v>3696</v>
      </c>
    </row>
    <row r="250" spans="1:15" ht="132" x14ac:dyDescent="0.2">
      <c r="A250" s="51" t="s">
        <v>1137</v>
      </c>
      <c r="B250" s="51"/>
      <c r="C250" s="51" t="s">
        <v>1377</v>
      </c>
      <c r="D250" s="234" t="s">
        <v>1765</v>
      </c>
      <c r="E250" s="51" t="s">
        <v>1597</v>
      </c>
      <c r="F250" s="46" t="s">
        <v>1572</v>
      </c>
      <c r="G250" s="46"/>
      <c r="H250" s="46" t="s">
        <v>1295</v>
      </c>
      <c r="I250" s="51" t="s">
        <v>1393</v>
      </c>
      <c r="J250" s="46" t="s">
        <v>1286</v>
      </c>
      <c r="K250" s="50" t="s">
        <v>1970</v>
      </c>
      <c r="L250" s="56">
        <v>41654</v>
      </c>
      <c r="M250" s="59" t="s">
        <v>1598</v>
      </c>
      <c r="N250" s="46" t="s">
        <v>3677</v>
      </c>
      <c r="O250" s="48" t="s">
        <v>3696</v>
      </c>
    </row>
    <row r="251" spans="1:15" ht="96" x14ac:dyDescent="0.2">
      <c r="A251" s="50" t="s">
        <v>1137</v>
      </c>
      <c r="B251" s="50"/>
      <c r="C251" s="47" t="s">
        <v>1385</v>
      </c>
      <c r="D251" s="236" t="s">
        <v>1380</v>
      </c>
      <c r="E251" s="50" t="s">
        <v>1381</v>
      </c>
      <c r="F251" s="46" t="s">
        <v>1548</v>
      </c>
      <c r="G251" s="46"/>
      <c r="H251" s="46" t="s">
        <v>1382</v>
      </c>
      <c r="I251" s="50" t="s">
        <v>1394</v>
      </c>
      <c r="J251" s="50" t="s">
        <v>685</v>
      </c>
      <c r="K251" s="50" t="s">
        <v>1528</v>
      </c>
      <c r="L251" s="56">
        <v>41712</v>
      </c>
      <c r="M251" s="59" t="s">
        <v>1384</v>
      </c>
      <c r="N251" s="47" t="s">
        <v>3668</v>
      </c>
      <c r="O251" s="48" t="s">
        <v>3695</v>
      </c>
    </row>
    <row r="252" spans="1:15" ht="132" x14ac:dyDescent="0.2">
      <c r="A252" s="50" t="s">
        <v>584</v>
      </c>
      <c r="B252" s="50"/>
      <c r="C252" s="50" t="s">
        <v>1388</v>
      </c>
      <c r="D252" s="236" t="s">
        <v>1768</v>
      </c>
      <c r="E252" s="50" t="s">
        <v>1381</v>
      </c>
      <c r="F252" s="46" t="s">
        <v>1570</v>
      </c>
      <c r="G252" s="46"/>
      <c r="H252" s="50" t="s">
        <v>1382</v>
      </c>
      <c r="I252" s="50" t="s">
        <v>1393</v>
      </c>
      <c r="J252" s="50" t="s">
        <v>685</v>
      </c>
      <c r="K252" s="50" t="s">
        <v>1970</v>
      </c>
      <c r="L252" s="56">
        <v>41726</v>
      </c>
      <c r="M252" s="47" t="s">
        <v>2571</v>
      </c>
      <c r="N252" s="46" t="s">
        <v>3678</v>
      </c>
      <c r="O252" s="48" t="s">
        <v>3696</v>
      </c>
    </row>
    <row r="253" spans="1:15" ht="132" x14ac:dyDescent="0.2">
      <c r="A253" s="50" t="s">
        <v>1137</v>
      </c>
      <c r="B253" s="50"/>
      <c r="C253" s="50" t="s">
        <v>1595</v>
      </c>
      <c r="D253" s="236" t="s">
        <v>1769</v>
      </c>
      <c r="E253" s="50" t="s">
        <v>1381</v>
      </c>
      <c r="F253" s="46" t="s">
        <v>1570</v>
      </c>
      <c r="G253" s="46"/>
      <c r="H253" s="50" t="s">
        <v>1382</v>
      </c>
      <c r="I253" s="50" t="s">
        <v>1393</v>
      </c>
      <c r="J253" s="50" t="s">
        <v>685</v>
      </c>
      <c r="K253" s="50" t="s">
        <v>1970</v>
      </c>
      <c r="L253" s="56">
        <v>41726</v>
      </c>
      <c r="M253" s="47" t="s">
        <v>1596</v>
      </c>
      <c r="N253" s="46" t="s">
        <v>3679</v>
      </c>
      <c r="O253" s="48" t="s">
        <v>3696</v>
      </c>
    </row>
    <row r="254" spans="1:15" ht="132" x14ac:dyDescent="0.2">
      <c r="A254" s="50" t="s">
        <v>1137</v>
      </c>
      <c r="B254" s="50"/>
      <c r="C254" s="46" t="s">
        <v>1399</v>
      </c>
      <c r="D254" s="233" t="s">
        <v>1770</v>
      </c>
      <c r="E254" s="53" t="s">
        <v>1189</v>
      </c>
      <c r="F254" s="46" t="s">
        <v>1580</v>
      </c>
      <c r="G254" s="46"/>
      <c r="H254" s="46" t="s">
        <v>1398</v>
      </c>
      <c r="I254" s="53" t="s">
        <v>1393</v>
      </c>
      <c r="J254" s="53" t="s">
        <v>685</v>
      </c>
      <c r="K254" s="50" t="s">
        <v>1970</v>
      </c>
      <c r="L254" s="58">
        <v>41792</v>
      </c>
      <c r="M254" s="59" t="s">
        <v>2572</v>
      </c>
      <c r="N254" s="46" t="s">
        <v>3680</v>
      </c>
      <c r="O254" s="48" t="s">
        <v>3696</v>
      </c>
    </row>
    <row r="255" spans="1:15" ht="96" x14ac:dyDescent="0.2">
      <c r="A255" s="53" t="s">
        <v>1137</v>
      </c>
      <c r="B255" s="53"/>
      <c r="C255" s="46" t="s">
        <v>1409</v>
      </c>
      <c r="D255" s="237" t="s">
        <v>1406</v>
      </c>
      <c r="E255" s="53" t="s">
        <v>1407</v>
      </c>
      <c r="F255" s="46" t="s">
        <v>1410</v>
      </c>
      <c r="G255" s="46"/>
      <c r="H255" s="46" t="s">
        <v>1408</v>
      </c>
      <c r="I255" s="46" t="s">
        <v>1393</v>
      </c>
      <c r="J255" s="53" t="s">
        <v>1621</v>
      </c>
      <c r="K255" s="46" t="s">
        <v>1528</v>
      </c>
      <c r="L255" s="58">
        <v>41845</v>
      </c>
      <c r="M255" s="59" t="s">
        <v>1716</v>
      </c>
      <c r="N255" s="47" t="s">
        <v>3668</v>
      </c>
      <c r="O255" s="48" t="s">
        <v>3695</v>
      </c>
    </row>
    <row r="256" spans="1:15" ht="132" x14ac:dyDescent="0.2">
      <c r="A256" s="53" t="s">
        <v>1137</v>
      </c>
      <c r="B256" s="53"/>
      <c r="C256" s="46" t="s">
        <v>1420</v>
      </c>
      <c r="D256" s="233" t="s">
        <v>1773</v>
      </c>
      <c r="E256" s="53" t="s">
        <v>1407</v>
      </c>
      <c r="F256" s="46" t="s">
        <v>1806</v>
      </c>
      <c r="G256" s="46"/>
      <c r="H256" s="46" t="s">
        <v>1408</v>
      </c>
      <c r="I256" s="53" t="s">
        <v>1394</v>
      </c>
      <c r="J256" s="53" t="s">
        <v>1621</v>
      </c>
      <c r="K256" s="46" t="s">
        <v>1615</v>
      </c>
      <c r="L256" s="58">
        <v>41866</v>
      </c>
      <c r="M256" s="59" t="s">
        <v>1881</v>
      </c>
      <c r="N256" s="46" t="s">
        <v>3681</v>
      </c>
      <c r="O256" s="48" t="s">
        <v>3696</v>
      </c>
    </row>
    <row r="257" spans="1:15" ht="132" x14ac:dyDescent="0.2">
      <c r="A257" s="53" t="s">
        <v>584</v>
      </c>
      <c r="B257" s="53"/>
      <c r="C257" s="46" t="s">
        <v>1425</v>
      </c>
      <c r="D257" s="233" t="s">
        <v>1774</v>
      </c>
      <c r="E257" s="53" t="s">
        <v>1407</v>
      </c>
      <c r="F257" s="46" t="s">
        <v>1806</v>
      </c>
      <c r="G257" s="46"/>
      <c r="H257" s="46" t="s">
        <v>1408</v>
      </c>
      <c r="I257" s="46" t="s">
        <v>1393</v>
      </c>
      <c r="J257" s="53" t="s">
        <v>1621</v>
      </c>
      <c r="K257" s="46" t="s">
        <v>1615</v>
      </c>
      <c r="L257" s="58">
        <v>41866</v>
      </c>
      <c r="M257" s="59" t="s">
        <v>1882</v>
      </c>
      <c r="N257" s="46" t="s">
        <v>3682</v>
      </c>
      <c r="O257" s="48" t="s">
        <v>3696</v>
      </c>
    </row>
    <row r="258" spans="1:15" ht="96" x14ac:dyDescent="0.2">
      <c r="A258" s="53" t="s">
        <v>1137</v>
      </c>
      <c r="B258" s="53"/>
      <c r="C258" s="46" t="s">
        <v>1436</v>
      </c>
      <c r="D258" s="233" t="s">
        <v>1437</v>
      </c>
      <c r="E258" s="46" t="s">
        <v>1437</v>
      </c>
      <c r="F258" s="53" t="s">
        <v>1668</v>
      </c>
      <c r="G258" s="53"/>
      <c r="H258" s="46" t="s">
        <v>1438</v>
      </c>
      <c r="I258" s="53" t="s">
        <v>1394</v>
      </c>
      <c r="J258" s="53" t="s">
        <v>1286</v>
      </c>
      <c r="K258" s="46" t="s">
        <v>1528</v>
      </c>
      <c r="L258" s="58">
        <v>41960</v>
      </c>
      <c r="M258" s="59" t="s">
        <v>1997</v>
      </c>
      <c r="N258" s="47" t="s">
        <v>3668</v>
      </c>
      <c r="O258" s="48" t="s">
        <v>3695</v>
      </c>
    </row>
    <row r="259" spans="1:15" ht="96" x14ac:dyDescent="0.2">
      <c r="A259" s="53" t="s">
        <v>1137</v>
      </c>
      <c r="B259" s="53"/>
      <c r="C259" s="46" t="s">
        <v>1439</v>
      </c>
      <c r="D259" s="233" t="s">
        <v>1619</v>
      </c>
      <c r="E259" s="46" t="s">
        <v>1440</v>
      </c>
      <c r="F259" s="46" t="s">
        <v>1669</v>
      </c>
      <c r="G259" s="46"/>
      <c r="H259" s="46" t="s">
        <v>1441</v>
      </c>
      <c r="I259" s="53" t="s">
        <v>1394</v>
      </c>
      <c r="J259" s="53" t="s">
        <v>12</v>
      </c>
      <c r="K259" s="46" t="s">
        <v>1528</v>
      </c>
      <c r="L259" s="58">
        <v>41960</v>
      </c>
      <c r="M259" s="59" t="s">
        <v>2295</v>
      </c>
      <c r="N259" s="47" t="s">
        <v>3683</v>
      </c>
      <c r="O259" s="48" t="s">
        <v>3695</v>
      </c>
    </row>
    <row r="260" spans="1:15" ht="96" x14ac:dyDescent="0.2">
      <c r="A260" s="53" t="s">
        <v>1137</v>
      </c>
      <c r="B260" s="53"/>
      <c r="C260" s="46" t="s">
        <v>1450</v>
      </c>
      <c r="D260" s="233" t="s">
        <v>443</v>
      </c>
      <c r="E260" s="53" t="s">
        <v>444</v>
      </c>
      <c r="F260" s="53" t="s">
        <v>445</v>
      </c>
      <c r="G260" s="53"/>
      <c r="H260" s="46" t="s">
        <v>709</v>
      </c>
      <c r="I260" s="53" t="s">
        <v>1393</v>
      </c>
      <c r="J260" s="53" t="s">
        <v>54</v>
      </c>
      <c r="K260" s="46" t="s">
        <v>1528</v>
      </c>
      <c r="L260" s="58">
        <v>41990</v>
      </c>
      <c r="M260" s="59" t="s">
        <v>2296</v>
      </c>
      <c r="N260" s="47" t="s">
        <v>3668</v>
      </c>
      <c r="O260" s="48" t="s">
        <v>3695</v>
      </c>
    </row>
    <row r="261" spans="1:15" ht="132" x14ac:dyDescent="0.2">
      <c r="A261" s="50" t="s">
        <v>1137</v>
      </c>
      <c r="B261" s="50"/>
      <c r="C261" s="46" t="s">
        <v>1489</v>
      </c>
      <c r="D261" s="238" t="s">
        <v>1780</v>
      </c>
      <c r="E261" s="57" t="s">
        <v>1641</v>
      </c>
      <c r="F261" s="53" t="s">
        <v>445</v>
      </c>
      <c r="G261" s="53"/>
      <c r="H261" s="46" t="s">
        <v>1642</v>
      </c>
      <c r="I261" s="53" t="s">
        <v>1394</v>
      </c>
      <c r="J261" s="46" t="s">
        <v>1643</v>
      </c>
      <c r="K261" s="46" t="s">
        <v>1615</v>
      </c>
      <c r="L261" s="56">
        <v>41992</v>
      </c>
      <c r="M261" s="59" t="s">
        <v>1644</v>
      </c>
      <c r="N261" s="46" t="s">
        <v>3684</v>
      </c>
      <c r="O261" s="48" t="s">
        <v>3696</v>
      </c>
    </row>
    <row r="262" spans="1:15" ht="96" x14ac:dyDescent="0.2">
      <c r="A262" s="53" t="s">
        <v>1137</v>
      </c>
      <c r="B262" s="53"/>
      <c r="C262" s="46" t="s">
        <v>1503</v>
      </c>
      <c r="D262" s="237" t="s">
        <v>1504</v>
      </c>
      <c r="E262" s="53" t="s">
        <v>1505</v>
      </c>
      <c r="F262" s="53" t="s">
        <v>1680</v>
      </c>
      <c r="G262" s="53"/>
      <c r="H262" s="46" t="s">
        <v>2129</v>
      </c>
      <c r="I262" s="53" t="s">
        <v>1540</v>
      </c>
      <c r="J262" s="46" t="s">
        <v>2130</v>
      </c>
      <c r="K262" s="46" t="s">
        <v>1528</v>
      </c>
      <c r="L262" s="58">
        <v>42013</v>
      </c>
      <c r="M262" s="59" t="s">
        <v>1625</v>
      </c>
      <c r="N262" s="47" t="s">
        <v>3668</v>
      </c>
      <c r="O262" s="48" t="s">
        <v>3695</v>
      </c>
    </row>
    <row r="263" spans="1:15" ht="132" x14ac:dyDescent="0.2">
      <c r="A263" s="53" t="s">
        <v>584</v>
      </c>
      <c r="B263" s="53"/>
      <c r="C263" s="46" t="s">
        <v>1623</v>
      </c>
      <c r="D263" s="233" t="s">
        <v>2816</v>
      </c>
      <c r="E263" s="53" t="s">
        <v>444</v>
      </c>
      <c r="F263" s="46" t="s">
        <v>1806</v>
      </c>
      <c r="G263" s="46"/>
      <c r="H263" s="46" t="s">
        <v>709</v>
      </c>
      <c r="I263" s="53" t="s">
        <v>1540</v>
      </c>
      <c r="J263" s="53" t="s">
        <v>54</v>
      </c>
      <c r="K263" s="46" t="s">
        <v>1615</v>
      </c>
      <c r="L263" s="58">
        <v>42018</v>
      </c>
      <c r="M263" s="59" t="s">
        <v>1624</v>
      </c>
      <c r="N263" s="46" t="s">
        <v>3685</v>
      </c>
      <c r="O263" s="48" t="s">
        <v>3696</v>
      </c>
    </row>
    <row r="264" spans="1:15" ht="132" x14ac:dyDescent="0.2">
      <c r="A264" s="53" t="s">
        <v>1137</v>
      </c>
      <c r="B264" s="53"/>
      <c r="C264" s="46" t="s">
        <v>1710</v>
      </c>
      <c r="D264" s="233" t="s">
        <v>2922</v>
      </c>
      <c r="E264" s="46" t="s">
        <v>1505</v>
      </c>
      <c r="F264" s="46" t="s">
        <v>1806</v>
      </c>
      <c r="G264" s="46"/>
      <c r="H264" s="46" t="s">
        <v>2129</v>
      </c>
      <c r="I264" s="53" t="s">
        <v>1394</v>
      </c>
      <c r="J264" s="46" t="s">
        <v>2130</v>
      </c>
      <c r="K264" s="46" t="s">
        <v>1615</v>
      </c>
      <c r="L264" s="58">
        <v>42059</v>
      </c>
      <c r="M264" s="59" t="s">
        <v>1711</v>
      </c>
      <c r="N264" s="46" t="s">
        <v>3686</v>
      </c>
      <c r="O264" s="48" t="s">
        <v>3696</v>
      </c>
    </row>
    <row r="265" spans="1:15" ht="144" x14ac:dyDescent="0.2">
      <c r="A265" s="53" t="s">
        <v>584</v>
      </c>
      <c r="B265" s="53"/>
      <c r="C265" s="46" t="s">
        <v>1751</v>
      </c>
      <c r="D265" s="233" t="s">
        <v>1792</v>
      </c>
      <c r="E265" s="46" t="s">
        <v>1505</v>
      </c>
      <c r="F265" s="46" t="s">
        <v>1806</v>
      </c>
      <c r="G265" s="46"/>
      <c r="H265" s="46" t="s">
        <v>2129</v>
      </c>
      <c r="I265" s="46" t="s">
        <v>1540</v>
      </c>
      <c r="J265" s="46" t="s">
        <v>2240</v>
      </c>
      <c r="K265" s="46" t="s">
        <v>1615</v>
      </c>
      <c r="L265" s="58">
        <v>42076</v>
      </c>
      <c r="M265" s="47" t="s">
        <v>1752</v>
      </c>
      <c r="N265" s="46" t="s">
        <v>3687</v>
      </c>
      <c r="O265" s="48" t="s">
        <v>3697</v>
      </c>
    </row>
    <row r="266" spans="1:15" ht="144" x14ac:dyDescent="0.2">
      <c r="A266" s="53" t="s">
        <v>584</v>
      </c>
      <c r="B266" s="53"/>
      <c r="C266" s="46" t="s">
        <v>1753</v>
      </c>
      <c r="D266" s="233" t="s">
        <v>1793</v>
      </c>
      <c r="E266" s="46" t="s">
        <v>1460</v>
      </c>
      <c r="F266" s="46" t="s">
        <v>1806</v>
      </c>
      <c r="G266" s="46"/>
      <c r="H266" s="46" t="s">
        <v>1438</v>
      </c>
      <c r="I266" s="50" t="s">
        <v>1393</v>
      </c>
      <c r="J266" s="50" t="s">
        <v>1286</v>
      </c>
      <c r="K266" s="46" t="s">
        <v>1615</v>
      </c>
      <c r="L266" s="55">
        <v>42079</v>
      </c>
      <c r="M266" s="47" t="s">
        <v>1754</v>
      </c>
      <c r="N266" s="46" t="s">
        <v>3688</v>
      </c>
      <c r="O266" s="48" t="s">
        <v>3697</v>
      </c>
    </row>
    <row r="267" spans="1:15" ht="132" x14ac:dyDescent="0.2">
      <c r="A267" s="53" t="s">
        <v>1137</v>
      </c>
      <c r="B267" s="53"/>
      <c r="C267" s="46" t="s">
        <v>2061</v>
      </c>
      <c r="D267" s="233" t="s">
        <v>2218</v>
      </c>
      <c r="E267" s="53" t="s">
        <v>420</v>
      </c>
      <c r="F267" s="46" t="s">
        <v>1806</v>
      </c>
      <c r="G267" s="46"/>
      <c r="H267" s="46" t="s">
        <v>504</v>
      </c>
      <c r="I267" s="53" t="s">
        <v>1540</v>
      </c>
      <c r="J267" s="53" t="s">
        <v>1616</v>
      </c>
      <c r="K267" s="46" t="s">
        <v>1615</v>
      </c>
      <c r="L267" s="58">
        <v>42184</v>
      </c>
      <c r="M267" s="59" t="s">
        <v>2062</v>
      </c>
      <c r="N267" s="46" t="s">
        <v>3689</v>
      </c>
      <c r="O267" s="48" t="s">
        <v>3696</v>
      </c>
    </row>
    <row r="268" spans="1:15" ht="132" x14ac:dyDescent="0.2">
      <c r="A268" s="53" t="s">
        <v>584</v>
      </c>
      <c r="B268" s="53"/>
      <c r="C268" s="46" t="s">
        <v>2033</v>
      </c>
      <c r="D268" s="233" t="s">
        <v>2219</v>
      </c>
      <c r="E268" s="53" t="s">
        <v>420</v>
      </c>
      <c r="F268" s="46" t="s">
        <v>1806</v>
      </c>
      <c r="G268" s="46"/>
      <c r="H268" s="46" t="s">
        <v>504</v>
      </c>
      <c r="I268" s="53" t="s">
        <v>1540</v>
      </c>
      <c r="J268" s="53" t="s">
        <v>1616</v>
      </c>
      <c r="K268" s="46" t="s">
        <v>1615</v>
      </c>
      <c r="L268" s="58">
        <v>42184</v>
      </c>
      <c r="M268" s="59" t="s">
        <v>2034</v>
      </c>
      <c r="N268" s="46" t="s">
        <v>3690</v>
      </c>
      <c r="O268" s="48" t="s">
        <v>3696</v>
      </c>
    </row>
    <row r="269" spans="1:15" ht="96" x14ac:dyDescent="0.2">
      <c r="A269" s="53" t="s">
        <v>1137</v>
      </c>
      <c r="B269" s="53"/>
      <c r="C269" s="46" t="s">
        <v>2620</v>
      </c>
      <c r="D269" s="233" t="s">
        <v>1641</v>
      </c>
      <c r="E269" s="46" t="s">
        <v>1641</v>
      </c>
      <c r="F269" s="53" t="s">
        <v>2619</v>
      </c>
      <c r="G269" s="53"/>
      <c r="H269" s="46" t="s">
        <v>51</v>
      </c>
      <c r="I269" s="46" t="s">
        <v>1394</v>
      </c>
      <c r="J269" s="53" t="s">
        <v>1285</v>
      </c>
      <c r="K269" s="46" t="s">
        <v>1528</v>
      </c>
      <c r="L269" s="58">
        <v>42578</v>
      </c>
      <c r="M269" s="46">
        <v>2128464164</v>
      </c>
      <c r="N269" s="53" t="s">
        <v>3668</v>
      </c>
      <c r="O269" s="48" t="s">
        <v>3695</v>
      </c>
    </row>
    <row r="270" spans="1:15" ht="144" x14ac:dyDescent="0.2">
      <c r="A270" s="53" t="s">
        <v>1137</v>
      </c>
      <c r="B270" s="53"/>
      <c r="C270" s="335" t="s">
        <v>2649</v>
      </c>
      <c r="D270" s="233" t="s">
        <v>2631</v>
      </c>
      <c r="E270" s="53" t="s">
        <v>2632</v>
      </c>
      <c r="F270" s="53" t="s">
        <v>1806</v>
      </c>
      <c r="G270" s="53"/>
      <c r="H270" s="46" t="s">
        <v>2633</v>
      </c>
      <c r="I270" s="53" t="s">
        <v>1393</v>
      </c>
      <c r="J270" s="53" t="s">
        <v>12</v>
      </c>
      <c r="K270" s="46" t="s">
        <v>2567</v>
      </c>
      <c r="L270" s="58">
        <v>42580</v>
      </c>
      <c r="M270" s="335">
        <v>2174730160</v>
      </c>
      <c r="N270" s="46" t="s">
        <v>3691</v>
      </c>
      <c r="O270" s="48" t="s">
        <v>3697</v>
      </c>
    </row>
    <row r="271" spans="1:15" ht="96" x14ac:dyDescent="0.2">
      <c r="A271" s="53" t="s">
        <v>1137</v>
      </c>
      <c r="B271" s="53"/>
      <c r="C271" s="46" t="s">
        <v>2666</v>
      </c>
      <c r="D271" s="233" t="s">
        <v>2663</v>
      </c>
      <c r="E271" s="46" t="s">
        <v>2663</v>
      </c>
      <c r="F271" s="46" t="s">
        <v>2664</v>
      </c>
      <c r="G271" s="46"/>
      <c r="H271" s="46" t="s">
        <v>603</v>
      </c>
      <c r="I271" s="46" t="s">
        <v>1394</v>
      </c>
      <c r="J271" s="53" t="s">
        <v>685</v>
      </c>
      <c r="K271" s="46" t="s">
        <v>1528</v>
      </c>
      <c r="L271" s="58">
        <v>42614</v>
      </c>
      <c r="M271" s="46">
        <v>2251879167</v>
      </c>
      <c r="N271" s="53" t="s">
        <v>3668</v>
      </c>
      <c r="O271" s="48" t="s">
        <v>3695</v>
      </c>
    </row>
    <row r="272" spans="1:15" ht="132" x14ac:dyDescent="0.2">
      <c r="A272" s="53" t="s">
        <v>1137</v>
      </c>
      <c r="B272" s="53"/>
      <c r="C272" s="59" t="s">
        <v>2732</v>
      </c>
      <c r="D272" s="233" t="s">
        <v>2709</v>
      </c>
      <c r="E272" s="53" t="s">
        <v>444</v>
      </c>
      <c r="F272" s="46" t="s">
        <v>1806</v>
      </c>
      <c r="G272" s="46"/>
      <c r="H272" s="46" t="s">
        <v>51</v>
      </c>
      <c r="I272" s="53" t="s">
        <v>1540</v>
      </c>
      <c r="J272" s="53" t="s">
        <v>1285</v>
      </c>
      <c r="K272" s="46" t="s">
        <v>2567</v>
      </c>
      <c r="L272" s="58">
        <v>42661</v>
      </c>
      <c r="M272" s="59" t="s">
        <v>2733</v>
      </c>
      <c r="N272" s="46" t="s">
        <v>3692</v>
      </c>
      <c r="O272" s="48" t="s">
        <v>3696</v>
      </c>
    </row>
    <row r="273" spans="1:16" ht="96" x14ac:dyDescent="0.2">
      <c r="A273" s="41" t="s">
        <v>1137</v>
      </c>
      <c r="B273" s="41"/>
      <c r="C273" s="30" t="s">
        <v>1478</v>
      </c>
      <c r="D273" s="104" t="s">
        <v>1476</v>
      </c>
      <c r="E273" s="108" t="s">
        <v>1477</v>
      </c>
      <c r="F273" s="30" t="s">
        <v>1671</v>
      </c>
      <c r="G273" s="30"/>
      <c r="H273" s="30" t="s">
        <v>1479</v>
      </c>
      <c r="I273" s="107" t="s">
        <v>11</v>
      </c>
      <c r="J273" s="29" t="s">
        <v>3099</v>
      </c>
      <c r="K273" s="29" t="s">
        <v>2992</v>
      </c>
      <c r="L273" s="105">
        <v>42012</v>
      </c>
      <c r="M273" s="106" t="s">
        <v>1492</v>
      </c>
      <c r="N273" s="336" t="s">
        <v>3693</v>
      </c>
      <c r="O273" s="336" t="s">
        <v>3695</v>
      </c>
    </row>
    <row r="274" spans="1:16" ht="165.75" x14ac:dyDescent="0.2">
      <c r="A274" s="86" t="s">
        <v>1137</v>
      </c>
      <c r="B274" s="86"/>
      <c r="C274" s="87" t="s">
        <v>1497</v>
      </c>
      <c r="D274" s="337" t="s">
        <v>1498</v>
      </c>
      <c r="E274" s="200" t="s">
        <v>1499</v>
      </c>
      <c r="F274" s="200" t="s">
        <v>1679</v>
      </c>
      <c r="G274" s="200"/>
      <c r="H274" s="87" t="s">
        <v>494</v>
      </c>
      <c r="I274" s="215" t="s">
        <v>11</v>
      </c>
      <c r="J274" s="200" t="s">
        <v>3098</v>
      </c>
      <c r="K274" s="200" t="s">
        <v>2992</v>
      </c>
      <c r="L274" s="216">
        <v>42013</v>
      </c>
      <c r="M274" s="202" t="s">
        <v>1661</v>
      </c>
      <c r="N274" s="200" t="s">
        <v>3694</v>
      </c>
      <c r="O274" s="336" t="s">
        <v>3695</v>
      </c>
    </row>
    <row r="275" spans="1:16" ht="127.5" x14ac:dyDescent="0.2">
      <c r="A275" s="129" t="s">
        <v>1137</v>
      </c>
      <c r="B275" s="129"/>
      <c r="C275" s="295" t="s">
        <v>2644</v>
      </c>
      <c r="D275" s="322" t="s">
        <v>3629</v>
      </c>
      <c r="E275" s="323" t="s">
        <v>2623</v>
      </c>
      <c r="F275" s="122" t="s">
        <v>3704</v>
      </c>
      <c r="G275" s="122"/>
      <c r="H275" s="122" t="s">
        <v>2401</v>
      </c>
      <c r="I275" s="129" t="s">
        <v>16</v>
      </c>
      <c r="J275" s="295" t="s">
        <v>2583</v>
      </c>
      <c r="K275" s="297" t="s">
        <v>2992</v>
      </c>
      <c r="L275" s="296">
        <v>42584</v>
      </c>
      <c r="M275" s="323">
        <v>2149115161</v>
      </c>
      <c r="N275" s="30" t="s">
        <v>3712</v>
      </c>
      <c r="O275" s="30" t="s">
        <v>3733</v>
      </c>
    </row>
    <row r="276" spans="1:16" ht="89.25" x14ac:dyDescent="0.2">
      <c r="A276" s="327" t="s">
        <v>1137</v>
      </c>
      <c r="B276" s="327"/>
      <c r="C276" s="328" t="s">
        <v>2812</v>
      </c>
      <c r="D276" s="314" t="s">
        <v>3620</v>
      </c>
      <c r="E276" s="292" t="s">
        <v>2623</v>
      </c>
      <c r="F276" s="292" t="s">
        <v>1806</v>
      </c>
      <c r="G276" s="292"/>
      <c r="H276" s="297" t="s">
        <v>2401</v>
      </c>
      <c r="I276" s="292" t="s">
        <v>11</v>
      </c>
      <c r="J276" s="339" t="s">
        <v>2583</v>
      </c>
      <c r="K276" s="297" t="s">
        <v>3091</v>
      </c>
      <c r="L276" s="315">
        <v>42734</v>
      </c>
      <c r="M276" s="316" t="s">
        <v>2813</v>
      </c>
      <c r="N276" s="87" t="s">
        <v>3705</v>
      </c>
      <c r="O276" s="30" t="s">
        <v>3772</v>
      </c>
    </row>
    <row r="277" spans="1:16" s="302" customFormat="1" ht="63.75" x14ac:dyDescent="0.2">
      <c r="A277" s="129" t="s">
        <v>584</v>
      </c>
      <c r="B277" s="129"/>
      <c r="C277" s="122" t="s">
        <v>3738</v>
      </c>
      <c r="D277" s="291" t="s">
        <v>3739</v>
      </c>
      <c r="E277" s="129" t="s">
        <v>1058</v>
      </c>
      <c r="F277" s="129" t="s">
        <v>1137</v>
      </c>
      <c r="G277" s="129"/>
      <c r="H277" s="122" t="s">
        <v>3740</v>
      </c>
      <c r="I277" s="129" t="s">
        <v>11</v>
      </c>
      <c r="J277" s="295" t="s">
        <v>66</v>
      </c>
      <c r="K277" s="122" t="s">
        <v>3521</v>
      </c>
      <c r="L277" s="293">
        <v>43335</v>
      </c>
      <c r="M277" s="308" t="s">
        <v>3741</v>
      </c>
      <c r="N277" s="30" t="s">
        <v>3742</v>
      </c>
      <c r="O277" s="30" t="s">
        <v>3743</v>
      </c>
      <c r="P277" s="348"/>
    </row>
    <row r="278" spans="1:16" s="302" customFormat="1" ht="242.25" x14ac:dyDescent="0.2">
      <c r="A278" s="129" t="s">
        <v>1137</v>
      </c>
      <c r="B278" s="129"/>
      <c r="C278" s="122" t="s">
        <v>1948</v>
      </c>
      <c r="D278" s="291" t="s">
        <v>3631</v>
      </c>
      <c r="E278" s="122" t="s">
        <v>475</v>
      </c>
      <c r="F278" s="122" t="s">
        <v>1806</v>
      </c>
      <c r="G278" s="122"/>
      <c r="H278" s="122" t="s">
        <v>1184</v>
      </c>
      <c r="I278" s="129" t="s">
        <v>16</v>
      </c>
      <c r="J278" s="122" t="s">
        <v>3475</v>
      </c>
      <c r="K278" s="122" t="s">
        <v>3090</v>
      </c>
      <c r="L278" s="293">
        <v>42094</v>
      </c>
      <c r="M278" s="308" t="s">
        <v>1949</v>
      </c>
      <c r="N278" s="30" t="s">
        <v>3770</v>
      </c>
      <c r="O278" s="30" t="s">
        <v>3242</v>
      </c>
      <c r="P278" s="348"/>
    </row>
    <row r="279" spans="1:16" s="302" customFormat="1" ht="76.5" x14ac:dyDescent="0.2">
      <c r="A279" s="129" t="s">
        <v>1137</v>
      </c>
      <c r="B279" s="129"/>
      <c r="C279" s="122" t="s">
        <v>2315</v>
      </c>
      <c r="D279" s="291" t="s">
        <v>3630</v>
      </c>
      <c r="E279" s="129" t="s">
        <v>2316</v>
      </c>
      <c r="F279" s="129" t="s">
        <v>1806</v>
      </c>
      <c r="G279" s="129"/>
      <c r="H279" s="122" t="s">
        <v>50</v>
      </c>
      <c r="I279" s="129" t="s">
        <v>16</v>
      </c>
      <c r="J279" s="129" t="s">
        <v>742</v>
      </c>
      <c r="K279" s="122" t="s">
        <v>3090</v>
      </c>
      <c r="L279" s="293">
        <v>42366</v>
      </c>
      <c r="M279" s="308" t="s">
        <v>2317</v>
      </c>
      <c r="N279" s="30" t="s">
        <v>3771</v>
      </c>
      <c r="O279" s="30" t="s">
        <v>3242</v>
      </c>
      <c r="P279" s="348"/>
    </row>
    <row r="280" spans="1:16" ht="409.5" x14ac:dyDescent="0.2">
      <c r="A280" s="129" t="s">
        <v>584</v>
      </c>
      <c r="B280" s="129"/>
      <c r="C280" s="122" t="s">
        <v>2140</v>
      </c>
      <c r="D280" s="291" t="s">
        <v>3616</v>
      </c>
      <c r="E280" s="129" t="s">
        <v>65</v>
      </c>
      <c r="F280" s="122" t="s">
        <v>1806</v>
      </c>
      <c r="G280" s="122"/>
      <c r="H280" s="122" t="s">
        <v>3110</v>
      </c>
      <c r="I280" s="129" t="s">
        <v>11</v>
      </c>
      <c r="J280" s="122" t="s">
        <v>3477</v>
      </c>
      <c r="K280" s="122" t="s">
        <v>3090</v>
      </c>
      <c r="L280" s="293">
        <v>42258</v>
      </c>
      <c r="M280" s="112" t="s">
        <v>2141</v>
      </c>
      <c r="N280" s="122" t="s">
        <v>3782</v>
      </c>
      <c r="O280" s="30" t="s">
        <v>3242</v>
      </c>
    </row>
    <row r="281" spans="1:16" ht="140.25" x14ac:dyDescent="0.2">
      <c r="A281" s="129" t="s">
        <v>1137</v>
      </c>
      <c r="B281" s="129"/>
      <c r="C281" s="122" t="s">
        <v>2323</v>
      </c>
      <c r="D281" s="291" t="s">
        <v>3617</v>
      </c>
      <c r="E281" s="129" t="s">
        <v>1859</v>
      </c>
      <c r="F281" s="129" t="s">
        <v>1806</v>
      </c>
      <c r="G281" s="129"/>
      <c r="H281" s="122" t="s">
        <v>318</v>
      </c>
      <c r="I281" s="129" t="s">
        <v>11</v>
      </c>
      <c r="J281" s="129" t="s">
        <v>685</v>
      </c>
      <c r="K281" s="122" t="s">
        <v>3090</v>
      </c>
      <c r="L281" s="293">
        <v>42366</v>
      </c>
      <c r="M281" s="308" t="s">
        <v>2324</v>
      </c>
      <c r="N281" s="122" t="s">
        <v>3784</v>
      </c>
      <c r="O281" s="30" t="s">
        <v>3242</v>
      </c>
    </row>
    <row r="282" spans="1:16" ht="140.25" x14ac:dyDescent="0.2">
      <c r="A282" s="292" t="s">
        <v>1137</v>
      </c>
      <c r="B282" s="292"/>
      <c r="C282" s="297" t="s">
        <v>2325</v>
      </c>
      <c r="D282" s="314" t="s">
        <v>3618</v>
      </c>
      <c r="E282" s="292" t="s">
        <v>1859</v>
      </c>
      <c r="F282" s="292" t="s">
        <v>1806</v>
      </c>
      <c r="G282" s="292"/>
      <c r="H282" s="297" t="s">
        <v>1861</v>
      </c>
      <c r="I282" s="292" t="s">
        <v>11</v>
      </c>
      <c r="J282" s="292" t="s">
        <v>3425</v>
      </c>
      <c r="K282" s="297" t="s">
        <v>3090</v>
      </c>
      <c r="L282" s="315">
        <v>42366</v>
      </c>
      <c r="M282" s="316" t="s">
        <v>2326</v>
      </c>
      <c r="N282" s="297" t="s">
        <v>3783</v>
      </c>
      <c r="O282" s="30" t="s">
        <v>3242</v>
      </c>
    </row>
    <row r="283" spans="1:16" ht="127.5" x14ac:dyDescent="0.2">
      <c r="A283" s="129" t="s">
        <v>1137</v>
      </c>
      <c r="B283" s="122" t="s">
        <v>3798</v>
      </c>
      <c r="C283" s="122" t="s">
        <v>3548</v>
      </c>
      <c r="D283" s="291" t="s">
        <v>3527</v>
      </c>
      <c r="E283" s="122" t="s">
        <v>3526</v>
      </c>
      <c r="F283" s="122" t="s">
        <v>1806</v>
      </c>
      <c r="G283" s="87" t="s">
        <v>4070</v>
      </c>
      <c r="H283" s="122" t="s">
        <v>3960</v>
      </c>
      <c r="I283" s="129" t="s">
        <v>16</v>
      </c>
      <c r="J283" s="122" t="s">
        <v>12</v>
      </c>
      <c r="K283" s="122" t="s">
        <v>3090</v>
      </c>
      <c r="L283" s="293">
        <v>43315</v>
      </c>
      <c r="M283" s="112" t="s">
        <v>4071</v>
      </c>
      <c r="N283" s="30" t="s">
        <v>4094</v>
      </c>
      <c r="O283" s="30" t="s">
        <v>4093</v>
      </c>
    </row>
    <row r="284" spans="1:16" ht="153" x14ac:dyDescent="0.2">
      <c r="A284" s="129" t="s">
        <v>584</v>
      </c>
      <c r="B284" s="122" t="s">
        <v>3797</v>
      </c>
      <c r="C284" s="122" t="s">
        <v>2136</v>
      </c>
      <c r="D284" s="291" t="s">
        <v>3615</v>
      </c>
      <c r="E284" s="122" t="s">
        <v>2073</v>
      </c>
      <c r="F284" s="122" t="s">
        <v>1806</v>
      </c>
      <c r="G284" s="122" t="s">
        <v>3108</v>
      </c>
      <c r="H284" s="122" t="s">
        <v>3086</v>
      </c>
      <c r="I284" s="129" t="s">
        <v>105</v>
      </c>
      <c r="J284" s="122" t="s">
        <v>3476</v>
      </c>
      <c r="K284" s="122" t="s">
        <v>3090</v>
      </c>
      <c r="L284" s="293">
        <v>42233</v>
      </c>
      <c r="M284" s="112" t="s">
        <v>2137</v>
      </c>
      <c r="N284" s="30" t="s">
        <v>3886</v>
      </c>
      <c r="O284" s="30" t="s">
        <v>3242</v>
      </c>
    </row>
    <row r="285" spans="1:16" ht="395.25" x14ac:dyDescent="0.2">
      <c r="A285" s="320" t="s">
        <v>1137</v>
      </c>
      <c r="B285" s="320" t="s">
        <v>3797</v>
      </c>
      <c r="C285" s="122" t="s">
        <v>1287</v>
      </c>
      <c r="D285" s="291" t="s">
        <v>1281</v>
      </c>
      <c r="E285" s="122" t="s">
        <v>1281</v>
      </c>
      <c r="F285" s="122" t="s">
        <v>298</v>
      </c>
      <c r="G285" s="122" t="s">
        <v>3103</v>
      </c>
      <c r="H285" s="122" t="s">
        <v>1283</v>
      </c>
      <c r="I285" s="122" t="s">
        <v>16</v>
      </c>
      <c r="J285" s="122" t="s">
        <v>1285</v>
      </c>
      <c r="K285" s="122" t="s">
        <v>2992</v>
      </c>
      <c r="L285" s="293">
        <v>41628</v>
      </c>
      <c r="M285" s="112" t="s">
        <v>1314</v>
      </c>
      <c r="N285" s="112" t="s">
        <v>4753</v>
      </c>
      <c r="O285" s="30" t="s">
        <v>4720</v>
      </c>
    </row>
    <row r="286" spans="1:16" ht="63.75" x14ac:dyDescent="0.2">
      <c r="A286" s="320" t="s">
        <v>1137</v>
      </c>
      <c r="B286" s="320" t="s">
        <v>3797</v>
      </c>
      <c r="C286" s="122" t="s">
        <v>1305</v>
      </c>
      <c r="D286" s="291" t="s">
        <v>3608</v>
      </c>
      <c r="E286" s="122" t="s">
        <v>1294</v>
      </c>
      <c r="F286" s="122" t="s">
        <v>298</v>
      </c>
      <c r="G286" s="122" t="s">
        <v>3103</v>
      </c>
      <c r="H286" s="122" t="s">
        <v>1283</v>
      </c>
      <c r="I286" s="122" t="s">
        <v>11</v>
      </c>
      <c r="J286" s="122" t="s">
        <v>1285</v>
      </c>
      <c r="K286" s="116" t="s">
        <v>3473</v>
      </c>
      <c r="L286" s="293">
        <v>41631</v>
      </c>
      <c r="M286" s="112" t="s">
        <v>1318</v>
      </c>
      <c r="N286" s="122" t="s">
        <v>4754</v>
      </c>
      <c r="O286" s="30" t="s">
        <v>4720</v>
      </c>
    </row>
    <row r="287" spans="1:16" ht="114.75" x14ac:dyDescent="0.2">
      <c r="A287" s="122" t="s">
        <v>584</v>
      </c>
      <c r="B287" s="122" t="s">
        <v>3797</v>
      </c>
      <c r="C287" s="122" t="s">
        <v>1309</v>
      </c>
      <c r="D287" s="291" t="s">
        <v>3609</v>
      </c>
      <c r="E287" s="122" t="s">
        <v>1294</v>
      </c>
      <c r="F287" s="122" t="s">
        <v>298</v>
      </c>
      <c r="G287" s="122" t="s">
        <v>3103</v>
      </c>
      <c r="H287" s="122" t="s">
        <v>1283</v>
      </c>
      <c r="I287" s="122" t="s">
        <v>11</v>
      </c>
      <c r="J287" s="122" t="s">
        <v>1285</v>
      </c>
      <c r="K287" s="116" t="s">
        <v>3473</v>
      </c>
      <c r="L287" s="293">
        <v>41631</v>
      </c>
      <c r="M287" s="112" t="s">
        <v>1317</v>
      </c>
      <c r="N287" s="122" t="s">
        <v>4755</v>
      </c>
      <c r="O287" s="30" t="s">
        <v>4720</v>
      </c>
    </row>
    <row r="288" spans="1:16" ht="165.75" x14ac:dyDescent="0.2">
      <c r="A288" s="116" t="s">
        <v>1137</v>
      </c>
      <c r="B288" s="116" t="s">
        <v>3797</v>
      </c>
      <c r="C288" s="122" t="s">
        <v>1485</v>
      </c>
      <c r="D288" s="291" t="s">
        <v>1281</v>
      </c>
      <c r="E288" s="295" t="s">
        <v>1294</v>
      </c>
      <c r="F288" s="122" t="s">
        <v>298</v>
      </c>
      <c r="G288" s="122" t="s">
        <v>3104</v>
      </c>
      <c r="H288" s="122" t="s">
        <v>355</v>
      </c>
      <c r="I288" s="129" t="s">
        <v>16</v>
      </c>
      <c r="J288" s="122" t="s">
        <v>1532</v>
      </c>
      <c r="K288" s="122" t="s">
        <v>2992</v>
      </c>
      <c r="L288" s="293">
        <v>41999</v>
      </c>
      <c r="M288" s="308" t="s">
        <v>1494</v>
      </c>
      <c r="N288" s="112" t="s">
        <v>4756</v>
      </c>
      <c r="O288" s="30" t="s">
        <v>4720</v>
      </c>
    </row>
    <row r="289" spans="1:221" ht="153" x14ac:dyDescent="0.2">
      <c r="A289" s="129" t="s">
        <v>584</v>
      </c>
      <c r="B289" s="122" t="s">
        <v>3797</v>
      </c>
      <c r="C289" s="122" t="s">
        <v>1694</v>
      </c>
      <c r="D289" s="291" t="s">
        <v>3613</v>
      </c>
      <c r="E289" s="129" t="s">
        <v>1294</v>
      </c>
      <c r="F289" s="122" t="s">
        <v>1806</v>
      </c>
      <c r="G289" s="122" t="s">
        <v>3106</v>
      </c>
      <c r="H289" s="122" t="s">
        <v>355</v>
      </c>
      <c r="I289" s="129" t="s">
        <v>11</v>
      </c>
      <c r="J289" s="122" t="s">
        <v>1532</v>
      </c>
      <c r="K289" s="122" t="s">
        <v>3090</v>
      </c>
      <c r="L289" s="293">
        <v>42044</v>
      </c>
      <c r="M289" s="308" t="s">
        <v>1695</v>
      </c>
      <c r="N289" s="122" t="s">
        <v>4757</v>
      </c>
      <c r="O289" s="30" t="s">
        <v>4720</v>
      </c>
    </row>
    <row r="290" spans="1:221" ht="153" x14ac:dyDescent="0.2">
      <c r="A290" s="129" t="s">
        <v>1137</v>
      </c>
      <c r="B290" s="122" t="s">
        <v>3797</v>
      </c>
      <c r="C290" s="122" t="s">
        <v>1657</v>
      </c>
      <c r="D290" s="291" t="s">
        <v>3614</v>
      </c>
      <c r="E290" s="129" t="s">
        <v>1294</v>
      </c>
      <c r="F290" s="122" t="s">
        <v>1806</v>
      </c>
      <c r="G290" s="122" t="s">
        <v>3107</v>
      </c>
      <c r="H290" s="122" t="s">
        <v>355</v>
      </c>
      <c r="I290" s="129" t="s">
        <v>11</v>
      </c>
      <c r="J290" s="122" t="s">
        <v>1532</v>
      </c>
      <c r="K290" s="122" t="s">
        <v>3090</v>
      </c>
      <c r="L290" s="293">
        <v>42044</v>
      </c>
      <c r="M290" s="308" t="s">
        <v>1693</v>
      </c>
      <c r="N290" s="122" t="s">
        <v>4758</v>
      </c>
      <c r="O290" s="30" t="s">
        <v>4720</v>
      </c>
    </row>
    <row r="291" spans="1:221" ht="102.75" customHeight="1" x14ac:dyDescent="0.2">
      <c r="A291" s="8" t="s">
        <v>584</v>
      </c>
      <c r="B291" s="457" t="s">
        <v>3797</v>
      </c>
      <c r="C291" s="457" t="s">
        <v>4734</v>
      </c>
      <c r="D291" s="457" t="s">
        <v>4735</v>
      </c>
      <c r="E291" s="8" t="s">
        <v>855</v>
      </c>
      <c r="F291" s="8" t="s">
        <v>1806</v>
      </c>
      <c r="G291" s="457" t="s">
        <v>4736</v>
      </c>
      <c r="H291" s="457" t="s">
        <v>857</v>
      </c>
      <c r="I291" s="8" t="s">
        <v>11</v>
      </c>
      <c r="J291" s="457" t="s">
        <v>4737</v>
      </c>
      <c r="K291" s="457" t="s">
        <v>3090</v>
      </c>
      <c r="L291" s="458">
        <v>41839</v>
      </c>
      <c r="M291" s="459" t="s">
        <v>4738</v>
      </c>
      <c r="N291" s="457" t="s">
        <v>4848</v>
      </c>
      <c r="O291" s="30" t="s">
        <v>4849</v>
      </c>
    </row>
    <row r="292" spans="1:221" ht="89.25" x14ac:dyDescent="0.2">
      <c r="A292" s="118" t="s">
        <v>584</v>
      </c>
      <c r="B292" s="114" t="s">
        <v>3797</v>
      </c>
      <c r="C292" s="114" t="s">
        <v>4117</v>
      </c>
      <c r="D292" s="123" t="s">
        <v>4112</v>
      </c>
      <c r="E292" s="122" t="s">
        <v>4113</v>
      </c>
      <c r="F292" s="122" t="s">
        <v>4116</v>
      </c>
      <c r="G292" s="122" t="s">
        <v>4114</v>
      </c>
      <c r="H292" s="122" t="s">
        <v>4115</v>
      </c>
      <c r="I292" s="122" t="s">
        <v>105</v>
      </c>
      <c r="J292" s="122" t="s">
        <v>1133</v>
      </c>
      <c r="K292" s="122" t="s">
        <v>2992</v>
      </c>
      <c r="L292" s="121">
        <v>43656</v>
      </c>
      <c r="M292" s="120" t="s">
        <v>4118</v>
      </c>
      <c r="N292" s="177" t="s">
        <v>5098</v>
      </c>
      <c r="O292" s="177" t="s">
        <v>5099</v>
      </c>
    </row>
    <row r="293" spans="1:221" s="98" customFormat="1" ht="51" x14ac:dyDescent="0.2">
      <c r="A293" s="129" t="s">
        <v>1137</v>
      </c>
      <c r="B293" s="122" t="s">
        <v>3797</v>
      </c>
      <c r="C293" s="115" t="s">
        <v>1649</v>
      </c>
      <c r="D293" s="291" t="s">
        <v>4651</v>
      </c>
      <c r="E293" s="122" t="s">
        <v>1648</v>
      </c>
      <c r="F293" s="122" t="s">
        <v>1806</v>
      </c>
      <c r="G293" s="122" t="s">
        <v>3105</v>
      </c>
      <c r="H293" s="122" t="s">
        <v>1508</v>
      </c>
      <c r="I293" s="129" t="s">
        <v>11</v>
      </c>
      <c r="J293" s="129" t="s">
        <v>685</v>
      </c>
      <c r="K293" s="122" t="s">
        <v>3090</v>
      </c>
      <c r="L293" s="293">
        <v>42038</v>
      </c>
      <c r="M293" s="308" t="s">
        <v>1687</v>
      </c>
      <c r="N293" s="308" t="s">
        <v>5183</v>
      </c>
      <c r="O293" s="30" t="s">
        <v>5181</v>
      </c>
      <c r="P293" s="558"/>
      <c r="Q293" s="559"/>
      <c r="R293" s="305"/>
      <c r="S293" s="305"/>
      <c r="T293" s="559"/>
      <c r="U293" s="559"/>
      <c r="V293" s="305"/>
      <c r="W293" s="559"/>
      <c r="X293" s="559"/>
      <c r="Y293" s="559"/>
      <c r="Z293" s="559"/>
      <c r="AA293" s="559"/>
      <c r="AB293" s="559"/>
      <c r="AC293" s="559"/>
      <c r="AD293" s="305"/>
      <c r="AE293" s="559"/>
      <c r="AF293" s="305"/>
      <c r="AG293" s="305"/>
      <c r="AH293" s="559"/>
      <c r="AI293" s="305"/>
      <c r="AJ293" s="305"/>
      <c r="AK293" s="305"/>
      <c r="AL293" s="305"/>
      <c r="AM293" s="304"/>
      <c r="AN293" s="304"/>
      <c r="AO293" s="304"/>
      <c r="AP293" s="304"/>
      <c r="AQ293" s="304"/>
      <c r="AR293" s="304"/>
      <c r="AS293" s="304"/>
      <c r="AT293" s="304"/>
      <c r="AU293" s="304"/>
      <c r="AV293" s="304"/>
      <c r="AW293" s="304"/>
      <c r="AX293" s="304"/>
      <c r="AY293" s="304"/>
      <c r="AZ293" s="304"/>
      <c r="BA293" s="304"/>
      <c r="BB293" s="304"/>
      <c r="BC293" s="304"/>
      <c r="BD293" s="304"/>
      <c r="BE293" s="304"/>
      <c r="BF293" s="304"/>
      <c r="BG293" s="304"/>
      <c r="BH293" s="304"/>
      <c r="BI293" s="305"/>
      <c r="BJ293" s="305"/>
      <c r="BK293" s="305"/>
      <c r="BL293" s="305"/>
      <c r="BM293" s="305"/>
      <c r="BN293" s="305"/>
      <c r="BO293" s="305"/>
      <c r="BP293" s="305"/>
      <c r="BQ293" s="305"/>
      <c r="BR293" s="305"/>
      <c r="BS293" s="305"/>
      <c r="BT293" s="305"/>
      <c r="BU293" s="305"/>
      <c r="BV293" s="305"/>
      <c r="BW293" s="305"/>
      <c r="BX293" s="305"/>
      <c r="BY293" s="305"/>
      <c r="BZ293" s="305"/>
      <c r="CA293" s="305"/>
      <c r="CB293" s="305"/>
      <c r="CC293" s="305"/>
      <c r="CD293" s="305"/>
      <c r="CE293" s="305"/>
      <c r="CF293" s="305"/>
      <c r="CG293" s="305"/>
      <c r="CH293" s="305"/>
      <c r="CI293" s="305"/>
      <c r="CJ293" s="305"/>
      <c r="CK293" s="305"/>
      <c r="CL293" s="305"/>
      <c r="CM293" s="305"/>
      <c r="CN293" s="305"/>
      <c r="CO293" s="305"/>
      <c r="CP293" s="305"/>
      <c r="CQ293" s="305"/>
      <c r="CR293" s="305"/>
      <c r="CS293" s="305"/>
      <c r="CT293" s="305"/>
      <c r="CU293" s="305"/>
      <c r="CV293" s="305"/>
      <c r="CW293" s="305"/>
      <c r="CX293" s="305"/>
      <c r="CY293" s="305"/>
      <c r="CZ293" s="305"/>
      <c r="DA293" s="305"/>
      <c r="DB293" s="305"/>
      <c r="DC293" s="305"/>
      <c r="DD293" s="305"/>
      <c r="DE293" s="305"/>
      <c r="DF293" s="305"/>
      <c r="DG293" s="305"/>
      <c r="DH293" s="305"/>
      <c r="DI293" s="305"/>
      <c r="DJ293" s="305"/>
      <c r="DK293" s="557"/>
      <c r="DL293" s="557"/>
      <c r="DM293" s="557"/>
      <c r="DN293" s="557"/>
      <c r="DO293" s="557"/>
      <c r="DP293" s="557"/>
      <c r="DQ293" s="557"/>
      <c r="DR293" s="557"/>
      <c r="DS293" s="557"/>
      <c r="DT293" s="305"/>
      <c r="DU293" s="305"/>
      <c r="DV293" s="305"/>
      <c r="DW293" s="305"/>
      <c r="DX293" s="557"/>
      <c r="DY293" s="557"/>
      <c r="DZ293" s="557"/>
      <c r="EA293" s="557"/>
      <c r="EB293" s="557"/>
      <c r="EC293" s="557"/>
      <c r="ED293" s="557"/>
      <c r="EE293" s="557"/>
      <c r="EF293" s="557"/>
      <c r="EG293" s="557"/>
      <c r="EH293" s="561"/>
      <c r="EI293" s="561"/>
      <c r="EJ293" s="561"/>
      <c r="EK293" s="561"/>
      <c r="EL293" s="561"/>
      <c r="EM293" s="561"/>
      <c r="EN293" s="561"/>
      <c r="EO293" s="561"/>
      <c r="EP293" s="561"/>
      <c r="EQ293" s="561"/>
      <c r="ER293" s="561"/>
      <c r="ES293" s="561"/>
      <c r="ET293" s="561"/>
      <c r="EU293" s="561"/>
      <c r="EV293" s="561"/>
      <c r="EW293" s="561"/>
      <c r="EX293" s="561"/>
      <c r="EY293" s="561"/>
      <c r="EZ293" s="561"/>
      <c r="FA293" s="561"/>
      <c r="FB293" s="561"/>
      <c r="FC293" s="561"/>
      <c r="FD293" s="561"/>
      <c r="FE293" s="561"/>
      <c r="FF293" s="562"/>
      <c r="FG293" s="562"/>
      <c r="FH293" s="562"/>
      <c r="FI293" s="562"/>
      <c r="FJ293" s="562"/>
      <c r="FK293" s="562"/>
      <c r="FL293" s="562"/>
      <c r="FM293" s="562"/>
      <c r="FN293" s="562"/>
      <c r="FO293" s="562"/>
      <c r="FP293" s="562"/>
      <c r="FQ293" s="562"/>
      <c r="FR293" s="562"/>
      <c r="FS293" s="562"/>
      <c r="FT293" s="562"/>
      <c r="FU293" s="562"/>
      <c r="FV293" s="562"/>
      <c r="FW293" s="562"/>
      <c r="FX293" s="562"/>
      <c r="FY293" s="562"/>
      <c r="FZ293" s="562"/>
      <c r="GA293" s="562"/>
      <c r="GB293" s="562"/>
      <c r="GC293" s="562"/>
      <c r="GD293" s="562"/>
      <c r="GE293" s="562"/>
      <c r="GF293" s="562"/>
      <c r="GG293" s="562"/>
      <c r="GH293" s="562"/>
      <c r="GI293" s="562"/>
      <c r="GJ293" s="562"/>
      <c r="GK293" s="562"/>
      <c r="GL293" s="562"/>
      <c r="GM293" s="562"/>
      <c r="GN293" s="562"/>
      <c r="GO293" s="562"/>
      <c r="GP293" s="562"/>
      <c r="GQ293" s="562"/>
      <c r="GR293" s="562"/>
      <c r="GS293" s="562"/>
      <c r="GT293" s="562"/>
      <c r="GU293" s="562"/>
      <c r="GV293" s="562"/>
      <c r="GW293" s="562"/>
      <c r="GX293" s="562"/>
      <c r="GY293" s="562"/>
      <c r="GZ293" s="562"/>
      <c r="HA293" s="562"/>
      <c r="HB293" s="562"/>
      <c r="HC293" s="562"/>
      <c r="HD293" s="562"/>
      <c r="HE293" s="562"/>
      <c r="HF293" s="562"/>
      <c r="HG293" s="562"/>
      <c r="HH293" s="558"/>
      <c r="HI293" s="558"/>
      <c r="HJ293" s="558"/>
      <c r="HK293" s="558"/>
      <c r="HL293" s="558"/>
      <c r="HM293" s="563"/>
    </row>
    <row r="294" spans="1:221" ht="51" x14ac:dyDescent="0.2">
      <c r="A294" s="279" t="s">
        <v>1137</v>
      </c>
      <c r="B294" s="122" t="s">
        <v>3797</v>
      </c>
      <c r="C294" s="279" t="s">
        <v>1870</v>
      </c>
      <c r="D294" s="638" t="s">
        <v>2167</v>
      </c>
      <c r="E294" s="6" t="s">
        <v>865</v>
      </c>
      <c r="F294" s="6" t="s">
        <v>1806</v>
      </c>
      <c r="G294" s="83" t="s">
        <v>758</v>
      </c>
      <c r="H294" s="6" t="s">
        <v>763</v>
      </c>
      <c r="I294" s="618" t="s">
        <v>11</v>
      </c>
      <c r="J294" s="71" t="s">
        <v>1286</v>
      </c>
      <c r="K294" s="72" t="s">
        <v>3090</v>
      </c>
      <c r="L294" s="70">
        <v>42019</v>
      </c>
      <c r="M294" s="41" t="s">
        <v>5293</v>
      </c>
      <c r="N294" s="30" t="s">
        <v>5294</v>
      </c>
      <c r="O294" s="30" t="s">
        <v>5181</v>
      </c>
    </row>
    <row r="295" spans="1:221" ht="127.5" x14ac:dyDescent="0.2">
      <c r="A295" s="129" t="s">
        <v>584</v>
      </c>
      <c r="B295" s="122" t="s">
        <v>3797</v>
      </c>
      <c r="C295" s="122" t="s">
        <v>2764</v>
      </c>
      <c r="D295" s="291" t="s">
        <v>3619</v>
      </c>
      <c r="E295" s="122" t="s">
        <v>2744</v>
      </c>
      <c r="F295" s="122" t="s">
        <v>1806</v>
      </c>
      <c r="G295" s="97" t="s">
        <v>3109</v>
      </c>
      <c r="H295" s="122" t="s">
        <v>2741</v>
      </c>
      <c r="I295" s="129" t="s">
        <v>11</v>
      </c>
      <c r="J295" s="129" t="s">
        <v>1616</v>
      </c>
      <c r="K295" s="122" t="s">
        <v>3091</v>
      </c>
      <c r="L295" s="293">
        <v>42696</v>
      </c>
      <c r="M295" s="41">
        <v>2516131168</v>
      </c>
      <c r="N295" s="30" t="s">
        <v>5320</v>
      </c>
      <c r="O295" s="30" t="s">
        <v>5181</v>
      </c>
    </row>
    <row r="296" spans="1:221" ht="165.75" x14ac:dyDescent="0.2">
      <c r="A296" s="129" t="s">
        <v>1137</v>
      </c>
      <c r="B296" s="122" t="s">
        <v>3797</v>
      </c>
      <c r="C296" s="113" t="s">
        <v>3814</v>
      </c>
      <c r="D296" s="291" t="s">
        <v>3824</v>
      </c>
      <c r="E296" s="122" t="s">
        <v>2511</v>
      </c>
      <c r="F296" s="122" t="s">
        <v>3719</v>
      </c>
      <c r="G296" s="122" t="s">
        <v>3720</v>
      </c>
      <c r="H296" s="122" t="s">
        <v>338</v>
      </c>
      <c r="I296" s="122" t="s">
        <v>11</v>
      </c>
      <c r="J296" s="122" t="s">
        <v>3721</v>
      </c>
      <c r="K296" s="122" t="s">
        <v>3090</v>
      </c>
      <c r="L296" s="293">
        <v>43513</v>
      </c>
      <c r="M296" s="112" t="s">
        <v>4949</v>
      </c>
      <c r="N296" s="30" t="s">
        <v>5260</v>
      </c>
      <c r="O296" s="30" t="s">
        <v>5181</v>
      </c>
    </row>
    <row r="297" spans="1:221" s="60" customFormat="1" ht="76.5" x14ac:dyDescent="0.2">
      <c r="A297" s="129" t="s">
        <v>1137</v>
      </c>
      <c r="B297" s="122" t="s">
        <v>3797</v>
      </c>
      <c r="C297" s="122" t="s">
        <v>5135</v>
      </c>
      <c r="D297" s="291" t="s">
        <v>5131</v>
      </c>
      <c r="E297" s="122" t="s">
        <v>5110</v>
      </c>
      <c r="F297" s="129" t="s">
        <v>1806</v>
      </c>
      <c r="G297" s="122" t="s">
        <v>5111</v>
      </c>
      <c r="H297" s="122" t="s">
        <v>504</v>
      </c>
      <c r="I297" s="129" t="s">
        <v>16</v>
      </c>
      <c r="J297" s="122" t="s">
        <v>3472</v>
      </c>
      <c r="K297" s="122" t="s">
        <v>3090</v>
      </c>
      <c r="L297" s="293">
        <v>44034</v>
      </c>
      <c r="M297" s="308" t="s">
        <v>5174</v>
      </c>
      <c r="N297" s="636" t="s">
        <v>5346</v>
      </c>
      <c r="O297" s="30" t="s">
        <v>5181</v>
      </c>
    </row>
    <row r="298" spans="1:221" s="60" customFormat="1" ht="63.75" x14ac:dyDescent="0.2">
      <c r="A298" s="129" t="s">
        <v>584</v>
      </c>
      <c r="B298" s="122" t="s">
        <v>3797</v>
      </c>
      <c r="C298" s="122" t="s">
        <v>5144</v>
      </c>
      <c r="D298" s="291" t="s">
        <v>5132</v>
      </c>
      <c r="E298" s="122" t="s">
        <v>5112</v>
      </c>
      <c r="F298" s="129" t="s">
        <v>1806</v>
      </c>
      <c r="G298" s="122" t="s">
        <v>5113</v>
      </c>
      <c r="H298" s="122" t="s">
        <v>504</v>
      </c>
      <c r="I298" s="129" t="s">
        <v>11</v>
      </c>
      <c r="J298" s="122" t="s">
        <v>3472</v>
      </c>
      <c r="K298" s="122" t="s">
        <v>3090</v>
      </c>
      <c r="L298" s="315">
        <v>44034</v>
      </c>
      <c r="M298" s="316" t="s">
        <v>5247</v>
      </c>
      <c r="N298" s="177" t="s">
        <v>5347</v>
      </c>
      <c r="O298" s="30" t="s">
        <v>5181</v>
      </c>
    </row>
    <row r="299" spans="1:221" ht="409.5" x14ac:dyDescent="0.2">
      <c r="A299" s="129" t="s">
        <v>584</v>
      </c>
      <c r="B299" s="113" t="s">
        <v>3798</v>
      </c>
      <c r="C299" s="122" t="s">
        <v>4016</v>
      </c>
      <c r="D299" s="291" t="s">
        <v>4659</v>
      </c>
      <c r="E299" s="122" t="s">
        <v>3936</v>
      </c>
      <c r="F299" s="30" t="s">
        <v>1806</v>
      </c>
      <c r="G299" s="30" t="s">
        <v>4337</v>
      </c>
      <c r="H299" s="30" t="s">
        <v>4336</v>
      </c>
      <c r="I299" s="30" t="s">
        <v>11</v>
      </c>
      <c r="J299" s="30" t="s">
        <v>900</v>
      </c>
      <c r="K299" s="30" t="s">
        <v>3090</v>
      </c>
      <c r="L299" s="293">
        <v>43628</v>
      </c>
      <c r="M299" s="308" t="s">
        <v>5335</v>
      </c>
      <c r="N299" s="177" t="s">
        <v>5544</v>
      </c>
      <c r="O299" s="30" t="s">
        <v>5181</v>
      </c>
    </row>
    <row r="300" spans="1:221" ht="318.75" customHeight="1" x14ac:dyDescent="0.2">
      <c r="A300" s="782" t="s">
        <v>584</v>
      </c>
      <c r="B300" s="6" t="s">
        <v>3798</v>
      </c>
      <c r="C300" s="6" t="s">
        <v>3524</v>
      </c>
      <c r="D300" s="288" t="s">
        <v>4652</v>
      </c>
      <c r="E300" s="6" t="s">
        <v>3522</v>
      </c>
      <c r="F300" s="72" t="s">
        <v>3218</v>
      </c>
      <c r="G300" s="6" t="s">
        <v>3523</v>
      </c>
      <c r="H300" s="6" t="s">
        <v>37</v>
      </c>
      <c r="I300" s="782" t="s">
        <v>11</v>
      </c>
      <c r="J300" s="72" t="s">
        <v>3094</v>
      </c>
      <c r="K300" s="72" t="s">
        <v>3090</v>
      </c>
      <c r="L300" s="783">
        <v>43293</v>
      </c>
      <c r="M300" s="784" t="s">
        <v>5720</v>
      </c>
      <c r="N300" s="778" t="s">
        <v>5819</v>
      </c>
      <c r="O300" s="72" t="s">
        <v>5843</v>
      </c>
    </row>
    <row r="301" spans="1:221" ht="165.75" x14ac:dyDescent="0.2">
      <c r="A301" s="113" t="s">
        <v>585</v>
      </c>
      <c r="B301" s="113"/>
      <c r="C301" s="113" t="s">
        <v>405</v>
      </c>
      <c r="D301" s="72" t="s">
        <v>398</v>
      </c>
      <c r="E301" s="6" t="s">
        <v>388</v>
      </c>
      <c r="F301" s="83"/>
      <c r="G301" s="83"/>
      <c r="H301" s="6" t="s">
        <v>389</v>
      </c>
      <c r="I301" s="113" t="s">
        <v>11</v>
      </c>
      <c r="J301" s="122" t="s">
        <v>12</v>
      </c>
      <c r="K301" s="122" t="s">
        <v>2992</v>
      </c>
      <c r="L301" s="765">
        <v>41099</v>
      </c>
      <c r="M301" s="615" t="s">
        <v>5282</v>
      </c>
      <c r="N301" s="272" t="s">
        <v>5795</v>
      </c>
      <c r="O301" s="336" t="s">
        <v>5913</v>
      </c>
    </row>
    <row r="302" spans="1:221" ht="267.75" x14ac:dyDescent="0.2">
      <c r="A302" s="113" t="s">
        <v>1137</v>
      </c>
      <c r="B302" s="113"/>
      <c r="C302" s="113" t="s">
        <v>35</v>
      </c>
      <c r="D302" s="72" t="s">
        <v>36</v>
      </c>
      <c r="E302" s="72" t="s">
        <v>36</v>
      </c>
      <c r="F302" s="72" t="s">
        <v>758</v>
      </c>
      <c r="G302" s="72" t="s">
        <v>758</v>
      </c>
      <c r="H302" s="72" t="s">
        <v>37</v>
      </c>
      <c r="I302" s="72" t="s">
        <v>16</v>
      </c>
      <c r="J302" s="72" t="s">
        <v>1286</v>
      </c>
      <c r="K302" s="72" t="s">
        <v>2992</v>
      </c>
      <c r="L302" s="281">
        <v>39997</v>
      </c>
      <c r="M302" s="72" t="s">
        <v>5280</v>
      </c>
      <c r="N302" s="860" t="s">
        <v>5919</v>
      </c>
      <c r="O302" s="72" t="s">
        <v>3398</v>
      </c>
      <c r="P302" s="859"/>
      <c r="Q302" s="859"/>
      <c r="R302" s="98"/>
      <c r="S302" s="859"/>
    </row>
    <row r="303" spans="1:221" ht="255" x14ac:dyDescent="0.2">
      <c r="A303" s="113" t="s">
        <v>585</v>
      </c>
      <c r="B303" s="113"/>
      <c r="C303" s="113" t="s">
        <v>38</v>
      </c>
      <c r="D303" s="72" t="s">
        <v>39</v>
      </c>
      <c r="E303" s="72" t="s">
        <v>36</v>
      </c>
      <c r="F303" s="72" t="s">
        <v>758</v>
      </c>
      <c r="G303" s="72" t="s">
        <v>758</v>
      </c>
      <c r="H303" s="72" t="s">
        <v>37</v>
      </c>
      <c r="I303" s="72" t="s">
        <v>1393</v>
      </c>
      <c r="J303" s="72" t="s">
        <v>1286</v>
      </c>
      <c r="K303" s="72" t="s">
        <v>2992</v>
      </c>
      <c r="L303" s="281">
        <v>39997</v>
      </c>
      <c r="M303" s="72" t="s">
        <v>5281</v>
      </c>
      <c r="N303" s="860" t="s">
        <v>5920</v>
      </c>
      <c r="O303" s="72" t="s">
        <v>3398</v>
      </c>
      <c r="P303" s="859"/>
      <c r="Q303" s="859"/>
      <c r="R303" s="98"/>
      <c r="S303" s="859"/>
    </row>
    <row r="304" spans="1:221" ht="204" x14ac:dyDescent="0.2">
      <c r="A304" s="477" t="s">
        <v>585</v>
      </c>
      <c r="B304" s="83"/>
      <c r="C304" s="477" t="s">
        <v>1391</v>
      </c>
      <c r="D304" s="288" t="s">
        <v>1390</v>
      </c>
      <c r="E304" s="6" t="s">
        <v>254</v>
      </c>
      <c r="F304" s="72" t="s">
        <v>758</v>
      </c>
      <c r="G304" s="113" t="s">
        <v>758</v>
      </c>
      <c r="H304" s="6" t="s">
        <v>2004</v>
      </c>
      <c r="I304" s="477" t="s">
        <v>11</v>
      </c>
      <c r="J304" s="122" t="s">
        <v>12</v>
      </c>
      <c r="K304" s="122" t="s">
        <v>2992</v>
      </c>
      <c r="L304" s="643">
        <v>40735</v>
      </c>
      <c r="M304" s="615" t="s">
        <v>5288</v>
      </c>
      <c r="N304" s="272" t="s">
        <v>5287</v>
      </c>
      <c r="O304" s="477" t="s">
        <v>3398</v>
      </c>
      <c r="P304" s="612"/>
      <c r="Q304" s="477"/>
    </row>
    <row r="305" spans="1:16" ht="382.5" x14ac:dyDescent="0.2">
      <c r="A305" s="883" t="s">
        <v>584</v>
      </c>
      <c r="B305" s="884" t="s">
        <v>3798</v>
      </c>
      <c r="C305" s="884" t="s">
        <v>3511</v>
      </c>
      <c r="D305" s="885" t="s">
        <v>5319</v>
      </c>
      <c r="E305" s="884" t="s">
        <v>1294</v>
      </c>
      <c r="F305" s="886" t="s">
        <v>3218</v>
      </c>
      <c r="G305" s="884" t="s">
        <v>3512</v>
      </c>
      <c r="H305" s="884" t="s">
        <v>414</v>
      </c>
      <c r="I305" s="883" t="s">
        <v>11</v>
      </c>
      <c r="J305" s="886" t="s">
        <v>12</v>
      </c>
      <c r="K305" s="886" t="s">
        <v>3090</v>
      </c>
      <c r="L305" s="783">
        <v>43284</v>
      </c>
      <c r="M305" s="784" t="s">
        <v>5721</v>
      </c>
      <c r="N305" s="272" t="s">
        <v>6046</v>
      </c>
      <c r="O305" s="787" t="s">
        <v>6047</v>
      </c>
      <c r="P305" s="782"/>
    </row>
  </sheetData>
  <autoFilter ref="A1:O221"/>
  <conditionalFormatting sqref="H144:J144">
    <cfRule type="expression" dxfId="432" priority="3740">
      <formula>$T144="Ambos"</formula>
    </cfRule>
    <cfRule type="expression" dxfId="431" priority="3741">
      <formula>$T144="Bruna"</formula>
    </cfRule>
  </conditionalFormatting>
  <conditionalFormatting sqref="K144:M144">
    <cfRule type="expression" dxfId="430" priority="3738">
      <formula>$T144="Ambos"</formula>
    </cfRule>
    <cfRule type="expression" dxfId="429" priority="3739">
      <formula>$T144="Bruna"</formula>
    </cfRule>
  </conditionalFormatting>
  <conditionalFormatting sqref="A203:E203">
    <cfRule type="expression" dxfId="428" priority="3736">
      <formula>$T203="Ambos"</formula>
    </cfRule>
    <cfRule type="expression" dxfId="427" priority="3737">
      <formula>$T203="Bruna"</formula>
    </cfRule>
  </conditionalFormatting>
  <conditionalFormatting sqref="F203:I203">
    <cfRule type="expression" dxfId="426" priority="3734">
      <formula>$T203="Ambos"</formula>
    </cfRule>
    <cfRule type="expression" dxfId="425" priority="3735">
      <formula>$T203="Bruna"</formula>
    </cfRule>
  </conditionalFormatting>
  <conditionalFormatting sqref="J203">
    <cfRule type="expression" dxfId="424" priority="3732">
      <formula>$T203="Ambos"</formula>
    </cfRule>
    <cfRule type="expression" dxfId="423" priority="3733">
      <formula>$T203="Bruna"</formula>
    </cfRule>
  </conditionalFormatting>
  <conditionalFormatting sqref="K203">
    <cfRule type="expression" dxfId="422" priority="3730">
      <formula>$T203="Ambos"</formula>
    </cfRule>
    <cfRule type="expression" dxfId="421" priority="3731">
      <formula>$T203="Bruna"</formula>
    </cfRule>
  </conditionalFormatting>
  <conditionalFormatting sqref="L203:M203">
    <cfRule type="expression" dxfId="420" priority="3728">
      <formula>$T203="Ambos"</formula>
    </cfRule>
    <cfRule type="expression" dxfId="419" priority="3729">
      <formula>$T203="Bruna"</formula>
    </cfRule>
  </conditionalFormatting>
  <conditionalFormatting sqref="A204:M204">
    <cfRule type="expression" dxfId="418" priority="3726">
      <formula>$T204="Ambos"</formula>
    </cfRule>
    <cfRule type="expression" dxfId="417" priority="3727">
      <formula>$T204="Bruna"</formula>
    </cfRule>
  </conditionalFormatting>
  <conditionalFormatting sqref="A205:G205">
    <cfRule type="expression" dxfId="416" priority="3724">
      <formula>$T205="Ambos"</formula>
    </cfRule>
    <cfRule type="expression" dxfId="415" priority="3725">
      <formula>$T205="Bruna"</formula>
    </cfRule>
  </conditionalFormatting>
  <conditionalFormatting sqref="H205:M205">
    <cfRule type="expression" dxfId="414" priority="3722">
      <formula>$T205="Ambos"</formula>
    </cfRule>
    <cfRule type="expression" dxfId="413" priority="3723">
      <formula>$T205="Bruna"</formula>
    </cfRule>
  </conditionalFormatting>
  <conditionalFormatting sqref="A206:G206">
    <cfRule type="expression" dxfId="412" priority="3720">
      <formula>$T206="Ambos"</formula>
    </cfRule>
    <cfRule type="expression" dxfId="411" priority="3721">
      <formula>$T206="Bruna"</formula>
    </cfRule>
  </conditionalFormatting>
  <conditionalFormatting sqref="H206:M206">
    <cfRule type="expression" dxfId="410" priority="3718">
      <formula>$T206="Ambos"</formula>
    </cfRule>
    <cfRule type="expression" dxfId="409" priority="3719">
      <formula>$T206="Bruna"</formula>
    </cfRule>
  </conditionalFormatting>
  <conditionalFormatting sqref="A207:G207">
    <cfRule type="expression" dxfId="408" priority="3716">
      <formula>$T207="Ambos"</formula>
    </cfRule>
    <cfRule type="expression" dxfId="407" priority="3717">
      <formula>$T207="Bruna"</formula>
    </cfRule>
  </conditionalFormatting>
  <conditionalFormatting sqref="H207:M207">
    <cfRule type="expression" dxfId="406" priority="3714">
      <formula>$T207="Ambos"</formula>
    </cfRule>
    <cfRule type="expression" dxfId="405" priority="3715">
      <formula>$T207="Bruna"</formula>
    </cfRule>
  </conditionalFormatting>
  <conditionalFormatting sqref="A208:E208">
    <cfRule type="expression" dxfId="404" priority="3712">
      <formula>$T208="Ambos"</formula>
    </cfRule>
    <cfRule type="expression" dxfId="403" priority="3713">
      <formula>$T208="Bruna"</formula>
    </cfRule>
  </conditionalFormatting>
  <conditionalFormatting sqref="F208:G208">
    <cfRule type="expression" dxfId="402" priority="3710">
      <formula>$T208="Ambos"</formula>
    </cfRule>
    <cfRule type="expression" dxfId="401" priority="3711">
      <formula>$T208="Bruna"</formula>
    </cfRule>
  </conditionalFormatting>
  <conditionalFormatting sqref="H208:K208">
    <cfRule type="expression" dxfId="400" priority="3708">
      <formula>$T208="Ambos"</formula>
    </cfRule>
    <cfRule type="expression" dxfId="399" priority="3709">
      <formula>$T208="Bruna"</formula>
    </cfRule>
  </conditionalFormatting>
  <conditionalFormatting sqref="L208:M208">
    <cfRule type="expression" dxfId="398" priority="3706">
      <formula>$T208="Ambos"</formula>
    </cfRule>
    <cfRule type="expression" dxfId="397" priority="3707">
      <formula>$T208="Bruna"</formula>
    </cfRule>
  </conditionalFormatting>
  <conditionalFormatting sqref="A209:G209">
    <cfRule type="expression" dxfId="396" priority="3700">
      <formula>$T209="Ambos"</formula>
    </cfRule>
    <cfRule type="expression" dxfId="395" priority="3701">
      <formula>$T209="Bruna"</formula>
    </cfRule>
  </conditionalFormatting>
  <conditionalFormatting sqref="H209:M209">
    <cfRule type="expression" dxfId="394" priority="3698">
      <formula>$T209="Ambos"</formula>
    </cfRule>
    <cfRule type="expression" dxfId="393" priority="3699">
      <formula>$T209="Bruna"</formula>
    </cfRule>
  </conditionalFormatting>
  <conditionalFormatting sqref="A210:E210">
    <cfRule type="expression" dxfId="392" priority="3697">
      <formula>$T210="Bruna"</formula>
    </cfRule>
  </conditionalFormatting>
  <conditionalFormatting sqref="H210">
    <cfRule type="expression" dxfId="391" priority="3696">
      <formula>$T210="Bruna"</formula>
    </cfRule>
  </conditionalFormatting>
  <conditionalFormatting sqref="F210:G210">
    <cfRule type="expression" dxfId="390" priority="3695">
      <formula>$T210="Bruna"</formula>
    </cfRule>
  </conditionalFormatting>
  <conditionalFormatting sqref="I210:M210">
    <cfRule type="expression" dxfId="389" priority="3694">
      <formula>$T210="Bruna"</formula>
    </cfRule>
  </conditionalFormatting>
  <conditionalFormatting sqref="A211:M211">
    <cfRule type="expression" dxfId="388" priority="4224">
      <formula>$Q156="em exigência"</formula>
    </cfRule>
    <cfRule type="expression" dxfId="387" priority="4225">
      <formula>$Q156="exigência cumprida"</formula>
    </cfRule>
    <cfRule type="expression" dxfId="386" priority="4226">
      <formula>$Q211="em análise"</formula>
    </cfRule>
  </conditionalFormatting>
  <conditionalFormatting sqref="A212:G212">
    <cfRule type="expression" dxfId="385" priority="3655">
      <formula>$Q151="em exigência"</formula>
    </cfRule>
    <cfRule type="expression" dxfId="384" priority="3656">
      <formula>$Q151="exigência cumprida"</formula>
    </cfRule>
    <cfRule type="expression" dxfId="383" priority="3657">
      <formula>$Q212="em análise"</formula>
    </cfRule>
  </conditionalFormatting>
  <conditionalFormatting sqref="H212:M212">
    <cfRule type="expression" dxfId="382" priority="3652">
      <formula>$Q151="em exigência"</formula>
    </cfRule>
    <cfRule type="expression" dxfId="381" priority="3653">
      <formula>$Q151="exigência cumprida"</formula>
    </cfRule>
    <cfRule type="expression" dxfId="380" priority="3654">
      <formula>$Q212="em análise"</formula>
    </cfRule>
  </conditionalFormatting>
  <conditionalFormatting sqref="A213:G213">
    <cfRule type="expression" dxfId="379" priority="3649">
      <formula>$Q152="em exigência"</formula>
    </cfRule>
    <cfRule type="expression" dxfId="378" priority="3650">
      <formula>$Q152="exigência cumprida"</formula>
    </cfRule>
    <cfRule type="expression" dxfId="377" priority="3651">
      <formula>$Q213="em análise"</formula>
    </cfRule>
  </conditionalFormatting>
  <conditionalFormatting sqref="H213:M213">
    <cfRule type="expression" dxfId="376" priority="3646">
      <formula>$Q152="em exigência"</formula>
    </cfRule>
    <cfRule type="expression" dxfId="375" priority="3647">
      <formula>$Q152="exigência cumprida"</formula>
    </cfRule>
    <cfRule type="expression" dxfId="374" priority="3648">
      <formula>$Q213="em análise"</formula>
    </cfRule>
  </conditionalFormatting>
  <conditionalFormatting sqref="A214:M214">
    <cfRule type="expression" dxfId="373" priority="5359">
      <formula>$Q145="em exigência"</formula>
    </cfRule>
    <cfRule type="expression" dxfId="372" priority="5360">
      <formula>$Q145="exigência cumprida"</formula>
    </cfRule>
    <cfRule type="expression" dxfId="371" priority="5361">
      <formula>$Q214="em análise"</formula>
    </cfRule>
  </conditionalFormatting>
  <conditionalFormatting sqref="A215:G215">
    <cfRule type="expression" dxfId="370" priority="3610">
      <formula>$Q142="em exigência"</formula>
    </cfRule>
    <cfRule type="expression" dxfId="369" priority="3611">
      <formula>$Q142="exigência cumprida"</formula>
    </cfRule>
    <cfRule type="expression" dxfId="368" priority="3612">
      <formula>$Q215="em análise"</formula>
    </cfRule>
  </conditionalFormatting>
  <conditionalFormatting sqref="H215:M215">
    <cfRule type="expression" dxfId="367" priority="3607">
      <formula>$Q142="em exigência"</formula>
    </cfRule>
    <cfRule type="expression" dxfId="366" priority="3608">
      <formula>$Q142="exigência cumprida"</formula>
    </cfRule>
    <cfRule type="expression" dxfId="365" priority="3609">
      <formula>$Q215="em análise"</formula>
    </cfRule>
  </conditionalFormatting>
  <conditionalFormatting sqref="A216:G216">
    <cfRule type="expression" dxfId="364" priority="3604">
      <formula>$Q143="em exigência"</formula>
    </cfRule>
    <cfRule type="expression" dxfId="363" priority="3605">
      <formula>$Q143="exigência cumprida"</formula>
    </cfRule>
    <cfRule type="expression" dxfId="362" priority="3606">
      <formula>$Q216="em análise"</formula>
    </cfRule>
  </conditionalFormatting>
  <conditionalFormatting sqref="H216:M216">
    <cfRule type="expression" dxfId="361" priority="3601">
      <formula>$Q143="em exigência"</formula>
    </cfRule>
    <cfRule type="expression" dxfId="360" priority="3602">
      <formula>$Q143="exigência cumprida"</formula>
    </cfRule>
    <cfRule type="expression" dxfId="359" priority="3603">
      <formula>$Q216="em análise"</formula>
    </cfRule>
  </conditionalFormatting>
  <conditionalFormatting sqref="A217:B218">
    <cfRule type="expression" dxfId="358" priority="3598">
      <formula>$Q144="em exigência"</formula>
    </cfRule>
    <cfRule type="expression" dxfId="357" priority="3599">
      <formula>$Q144="exigência cumprida"</formula>
    </cfRule>
    <cfRule type="expression" dxfId="356" priority="3600">
      <formula>$Q217="em análise"</formula>
    </cfRule>
  </conditionalFormatting>
  <conditionalFormatting sqref="D217:D218">
    <cfRule type="expression" dxfId="355" priority="3595">
      <formula>$Q144="em exigência"</formula>
    </cfRule>
    <cfRule type="expression" dxfId="354" priority="3596">
      <formula>$Q144="exigência cumprida"</formula>
    </cfRule>
    <cfRule type="expression" dxfId="353" priority="3597">
      <formula>$Q217="em análise"</formula>
    </cfRule>
  </conditionalFormatting>
  <conditionalFormatting sqref="C217:C218">
    <cfRule type="expression" dxfId="352" priority="3592">
      <formula>$Q144="em exigência"</formula>
    </cfRule>
    <cfRule type="expression" dxfId="351" priority="3593">
      <formula>$Q144="exigência cumprida"</formula>
    </cfRule>
    <cfRule type="expression" dxfId="350" priority="3594">
      <formula>$Q217="em análise"</formula>
    </cfRule>
  </conditionalFormatting>
  <conditionalFormatting sqref="A219:G219">
    <cfRule type="expression" dxfId="349" priority="3589">
      <formula>$Q145="em exigência"</formula>
    </cfRule>
    <cfRule type="expression" dxfId="348" priority="3590">
      <formula>$Q145="exigência cumprida"</formula>
    </cfRule>
    <cfRule type="expression" dxfId="347" priority="3591">
      <formula>$Q219="em análise"</formula>
    </cfRule>
  </conditionalFormatting>
  <conditionalFormatting sqref="H219:J219">
    <cfRule type="expression" dxfId="346" priority="3586">
      <formula>$Q145="em exigência"</formula>
    </cfRule>
    <cfRule type="expression" dxfId="345" priority="3587">
      <formula>$Q145="exigência cumprida"</formula>
    </cfRule>
    <cfRule type="expression" dxfId="344" priority="3588">
      <formula>$Q219="em análise"</formula>
    </cfRule>
  </conditionalFormatting>
  <conditionalFormatting sqref="K219:M219">
    <cfRule type="expression" dxfId="343" priority="3583">
      <formula>$Q145="em exigência"</formula>
    </cfRule>
    <cfRule type="expression" dxfId="342" priority="3584">
      <formula>$Q145="exigência cumprida"</formula>
    </cfRule>
    <cfRule type="expression" dxfId="341" priority="3585">
      <formula>$Q219="em análise"</formula>
    </cfRule>
  </conditionalFormatting>
  <conditionalFormatting sqref="A220:G221">
    <cfRule type="expression" dxfId="340" priority="3580">
      <formula>$Q146="em exigência"</formula>
    </cfRule>
    <cfRule type="expression" dxfId="339" priority="3581">
      <formula>$Q146="exigência cumprida"</formula>
    </cfRule>
    <cfRule type="expression" dxfId="338" priority="3582">
      <formula>$Q220="em análise"</formula>
    </cfRule>
  </conditionalFormatting>
  <conditionalFormatting sqref="H220:M221">
    <cfRule type="expression" dxfId="337" priority="3577">
      <formula>$Q146="em exigência"</formula>
    </cfRule>
    <cfRule type="expression" dxfId="336" priority="3578">
      <formula>$Q146="exigência cumprida"</formula>
    </cfRule>
    <cfRule type="expression" dxfId="335" priority="3579">
      <formula>$Q220="em análise"</formula>
    </cfRule>
  </conditionalFormatting>
  <conditionalFormatting sqref="N220:N221">
    <cfRule type="expression" dxfId="334" priority="3574">
      <formula>$Q146="em exigência"</formula>
    </cfRule>
    <cfRule type="expression" dxfId="333" priority="3575">
      <formula>$Q146="exigência cumprida"</formula>
    </cfRule>
    <cfRule type="expression" dxfId="332" priority="3576">
      <formula>$Q220="em análise"</formula>
    </cfRule>
  </conditionalFormatting>
  <conditionalFormatting sqref="N222:N223">
    <cfRule type="expression" dxfId="331" priority="3565">
      <formula>$Q148="em exigência"</formula>
    </cfRule>
    <cfRule type="expression" dxfId="330" priority="3566">
      <formula>$Q148="exigência cumprida"</formula>
    </cfRule>
    <cfRule type="expression" dxfId="329" priority="3567">
      <formula>$Q222="em análise"</formula>
    </cfRule>
  </conditionalFormatting>
  <conditionalFormatting sqref="H222:M222">
    <cfRule type="expression" dxfId="328" priority="3562">
      <formula>$Q222="Em análise"</formula>
    </cfRule>
  </conditionalFormatting>
  <conditionalFormatting sqref="A222:G223">
    <cfRule type="expression" dxfId="327" priority="3552">
      <formula>$Q222="Em análise"</formula>
    </cfRule>
  </conditionalFormatting>
  <conditionalFormatting sqref="H223:M223">
    <cfRule type="expression" dxfId="326" priority="3551">
      <formula>$Q223="Em análise"</formula>
    </cfRule>
  </conditionalFormatting>
  <conditionalFormatting sqref="A224:G224">
    <cfRule type="expression" dxfId="325" priority="3547">
      <formula>$Q224="Em análise"</formula>
    </cfRule>
  </conditionalFormatting>
  <conditionalFormatting sqref="H224:M224">
    <cfRule type="expression" dxfId="324" priority="3546">
      <formula>$Q224="Em análise"</formula>
    </cfRule>
  </conditionalFormatting>
  <conditionalFormatting sqref="A225:G225">
    <cfRule type="expression" dxfId="323" priority="3540">
      <formula>$Q225="Em análise"</formula>
    </cfRule>
  </conditionalFormatting>
  <conditionalFormatting sqref="H225:M225">
    <cfRule type="expression" dxfId="322" priority="3539">
      <formula>$Q225="Em análise"</formula>
    </cfRule>
  </conditionalFormatting>
  <conditionalFormatting sqref="D300 N305:P305">
    <cfRule type="expression" dxfId="321" priority="85">
      <formula>$R300="exigência cumprida"</formula>
    </cfRule>
    <cfRule type="expression" dxfId="320" priority="86">
      <formula>$R300="em análise"</formula>
    </cfRule>
    <cfRule type="expression" dxfId="319" priority="87">
      <formula>$R300="em exigência"</formula>
    </cfRule>
    <cfRule type="expression" dxfId="318" priority="88">
      <formula>$R300="em recurso"</formula>
    </cfRule>
  </conditionalFormatting>
  <conditionalFormatting sqref="E300">
    <cfRule type="expression" dxfId="317" priority="81">
      <formula>$R300="exigência cumprida"</formula>
    </cfRule>
    <cfRule type="expression" dxfId="316" priority="82">
      <formula>$R300="em análise"</formula>
    </cfRule>
    <cfRule type="expression" dxfId="315" priority="83">
      <formula>$R300="em exigência"</formula>
    </cfRule>
    <cfRule type="expression" dxfId="314" priority="84">
      <formula>$R300="em recurso"</formula>
    </cfRule>
  </conditionalFormatting>
  <conditionalFormatting sqref="A300:B300">
    <cfRule type="expression" dxfId="313" priority="77">
      <formula>$R300="exigência cumprida"</formula>
    </cfRule>
    <cfRule type="expression" dxfId="312" priority="78">
      <formula>$R300="em análise"</formula>
    </cfRule>
    <cfRule type="expression" dxfId="311" priority="79">
      <formula>$R300="em exigência"</formula>
    </cfRule>
    <cfRule type="expression" dxfId="310" priority="80">
      <formula>$R300="em recurso"</formula>
    </cfRule>
  </conditionalFormatting>
  <conditionalFormatting sqref="C300">
    <cfRule type="expression" dxfId="309" priority="73">
      <formula>$R300="exigência cumprida"</formula>
    </cfRule>
    <cfRule type="expression" dxfId="308" priority="74">
      <formula>$R300="em análise"</formula>
    </cfRule>
    <cfRule type="expression" dxfId="307" priority="75">
      <formula>$R300="em exigência"</formula>
    </cfRule>
    <cfRule type="expression" dxfId="306" priority="76">
      <formula>$R300="em recurso"</formula>
    </cfRule>
  </conditionalFormatting>
  <conditionalFormatting sqref="F300:I300">
    <cfRule type="expression" dxfId="305" priority="69">
      <formula>$R300="exigência cumprida"</formula>
    </cfRule>
    <cfRule type="expression" dxfId="304" priority="70">
      <formula>$R300="em análise"</formula>
    </cfRule>
    <cfRule type="expression" dxfId="303" priority="71">
      <formula>$R300="em exigência"</formula>
    </cfRule>
    <cfRule type="expression" dxfId="302" priority="72">
      <formula>$R300="em recurso"</formula>
    </cfRule>
  </conditionalFormatting>
  <conditionalFormatting sqref="J300:M300">
    <cfRule type="expression" dxfId="301" priority="65">
      <formula>$R300="exigência cumprida"</formula>
    </cfRule>
    <cfRule type="expression" dxfId="300" priority="66">
      <formula>$R300="em análise"</formula>
    </cfRule>
    <cfRule type="expression" dxfId="299" priority="67">
      <formula>$R300="em exigência"</formula>
    </cfRule>
    <cfRule type="expression" dxfId="298" priority="68">
      <formula>$R300="em recurso"</formula>
    </cfRule>
  </conditionalFormatting>
  <conditionalFormatting sqref="N300:O300">
    <cfRule type="expression" dxfId="297" priority="61">
      <formula>$R300="exigência cumprida"</formula>
    </cfRule>
    <cfRule type="expression" dxfId="296" priority="62">
      <formula>$R300="em análise"</formula>
    </cfRule>
    <cfRule type="expression" dxfId="295" priority="63">
      <formula>$R300="em exigência"</formula>
    </cfRule>
    <cfRule type="expression" dxfId="294" priority="64">
      <formula>$R300="em recurso"</formula>
    </cfRule>
  </conditionalFormatting>
  <conditionalFormatting sqref="A301:E301 S302:S303 N302:Q303">
    <cfRule type="expression" dxfId="293" priority="8736">
      <formula>$Q301="exigência cumprida"</formula>
    </cfRule>
    <cfRule type="expression" dxfId="292" priority="8737">
      <formula>$Q301="em análise"</formula>
    </cfRule>
    <cfRule type="expression" dxfId="291" priority="8738">
      <formula>$Q301="em exigência"</formula>
    </cfRule>
    <cfRule type="expression" dxfId="290" priority="8739">
      <formula>$Q301="em recurso"</formula>
    </cfRule>
  </conditionalFormatting>
  <conditionalFormatting sqref="H301:K301">
    <cfRule type="expression" dxfId="289" priority="53">
      <formula>$R301="exigência cumprida"</formula>
    </cfRule>
    <cfRule type="expression" dxfId="288" priority="54">
      <formula>$R301="em análise"</formula>
    </cfRule>
    <cfRule type="expression" dxfId="287" priority="55">
      <formula>$R301="em exigência"</formula>
    </cfRule>
    <cfRule type="expression" dxfId="286" priority="56">
      <formula>$R301="em recurso"</formula>
    </cfRule>
  </conditionalFormatting>
  <conditionalFormatting sqref="L301:M301">
    <cfRule type="expression" dxfId="285" priority="49">
      <formula>$R301="exigência cumprida"</formula>
    </cfRule>
    <cfRule type="expression" dxfId="284" priority="50">
      <formula>$R301="em análise"</formula>
    </cfRule>
    <cfRule type="expression" dxfId="283" priority="51">
      <formula>$R301="em exigência"</formula>
    </cfRule>
    <cfRule type="expression" dxfId="282" priority="52">
      <formula>$R301="em recurso"</formula>
    </cfRule>
  </conditionalFormatting>
  <conditionalFormatting sqref="N301">
    <cfRule type="expression" dxfId="281" priority="45">
      <formula>$R301="exigência cumprida"</formula>
    </cfRule>
    <cfRule type="expression" dxfId="280" priority="46">
      <formula>$R301="em análise"</formula>
    </cfRule>
    <cfRule type="expression" dxfId="279" priority="47">
      <formula>$R301="em exigência"</formula>
    </cfRule>
    <cfRule type="expression" dxfId="278" priority="48">
      <formula>$R301="em recurso"</formula>
    </cfRule>
  </conditionalFormatting>
  <conditionalFormatting sqref="D302:M303">
    <cfRule type="expression" dxfId="277" priority="29">
      <formula>$Q302="exigência cumprida"</formula>
    </cfRule>
    <cfRule type="expression" dxfId="276" priority="30">
      <formula>$Q302="em análise"</formula>
    </cfRule>
    <cfRule type="expression" dxfId="275" priority="31">
      <formula>$Q302="em exigência"</formula>
    </cfRule>
    <cfRule type="expression" dxfId="274" priority="32">
      <formula>$Q302="em recurso"</formula>
    </cfRule>
  </conditionalFormatting>
  <conditionalFormatting sqref="A302:C303 A304 C304:Q304">
    <cfRule type="expression" dxfId="273" priority="8744">
      <formula>$N302="exigência cumprida"</formula>
    </cfRule>
    <cfRule type="expression" dxfId="272" priority="8745">
      <formula>$N302="em análise"</formula>
    </cfRule>
    <cfRule type="expression" dxfId="271" priority="8746">
      <formula>$N302="em exigência"</formula>
    </cfRule>
    <cfRule type="expression" dxfId="270" priority="8747">
      <formula>$N302="em recurso"</formula>
    </cfRule>
  </conditionalFormatting>
  <conditionalFormatting sqref="A305">
    <cfRule type="expression" dxfId="269" priority="17">
      <formula>$R305="exigência cumprida"</formula>
    </cfRule>
    <cfRule type="expression" dxfId="268" priority="18">
      <formula>$R305="em análise"</formula>
    </cfRule>
    <cfRule type="expression" dxfId="267" priority="19">
      <formula>$R305="em exigência"</formula>
    </cfRule>
    <cfRule type="expression" dxfId="266" priority="20">
      <formula>$R305="em recurso"</formula>
    </cfRule>
  </conditionalFormatting>
  <conditionalFormatting sqref="B305">
    <cfRule type="expression" dxfId="265" priority="13">
      <formula>$R305="exigência cumprida"</formula>
    </cfRule>
    <cfRule type="expression" dxfId="264" priority="14">
      <formula>$R305="em análise"</formula>
    </cfRule>
    <cfRule type="expression" dxfId="263" priority="15">
      <formula>$R305="em exigência"</formula>
    </cfRule>
    <cfRule type="expression" dxfId="262" priority="16">
      <formula>$R305="em recurso"</formula>
    </cfRule>
  </conditionalFormatting>
  <conditionalFormatting sqref="C305:G305">
    <cfRule type="expression" dxfId="261" priority="9">
      <formula>$R305="exigência cumprida"</formula>
    </cfRule>
    <cfRule type="expression" dxfId="260" priority="10">
      <formula>$R305="em análise"</formula>
    </cfRule>
    <cfRule type="expression" dxfId="259" priority="11">
      <formula>$R305="em exigência"</formula>
    </cfRule>
    <cfRule type="expression" dxfId="258" priority="12">
      <formula>$R305="em recurso"</formula>
    </cfRule>
  </conditionalFormatting>
  <conditionalFormatting sqref="H305:M305">
    <cfRule type="expression" dxfId="257" priority="5">
      <formula>$R305="exigência cumprida"</formula>
    </cfRule>
    <cfRule type="expression" dxfId="256" priority="6">
      <formula>$R305="em análise"</formula>
    </cfRule>
    <cfRule type="expression" dxfId="255" priority="7">
      <formula>$R305="em exigência"</formula>
    </cfRule>
    <cfRule type="expression" dxfId="254" priority="8">
      <formula>$R305="em recurso"</formula>
    </cfRule>
  </conditionalFormatting>
  <dataValidations count="8">
    <dataValidation type="list" allowBlank="1" showInputMessage="1" showErrorMessage="1" sqref="A29:B29">
      <formula1>empresa</formula1>
    </dataValidation>
    <dataValidation type="list" allowBlank="1" showInputMessage="1" showErrorMessage="1" sqref="J219:J225">
      <formula1>$D$2:$D$101</formula1>
    </dataValidation>
    <dataValidation type="list" allowBlank="1" showInputMessage="1" showErrorMessage="1" sqref="J275:J276 J300:J303 J283:J298">
      <formula1>$D$2:$D$102</formula1>
    </dataValidation>
    <dataValidation type="list" allowBlank="1" showInputMessage="1" showErrorMessage="1" sqref="J279">
      <formula1>$D$2:$D$97</formula1>
    </dataValidation>
    <dataValidation type="list" allowBlank="1" showInputMessage="1" showErrorMessage="1" sqref="J281:J282">
      <formula1>$D$2:$D$96</formula1>
    </dataValidation>
    <dataValidation type="list" allowBlank="1" showInputMessage="1" showErrorMessage="1" sqref="I219:I221">
      <formula1>$D$2:$D$6</formula1>
    </dataValidation>
    <dataValidation type="list" allowBlank="1" showInputMessage="1" showErrorMessage="1" sqref="K219:K222 K225:K228 K275 K278:K282">
      <formula1>$F$2:$F$5</formula1>
    </dataValidation>
    <dataValidation type="list" allowBlank="1" showInputMessage="1" showErrorMessage="1" sqref="I275:I276 I278:I282">
      <formula1>$D$2:$D$9</formula1>
    </dataValidation>
  </dataValidations>
  <hyperlinks>
    <hyperlink ref="D196" r:id="rId1"/>
    <hyperlink ref="D197" r:id="rId2"/>
    <hyperlink ref="D199" r:id="rId3"/>
  </hyperlinks>
  <pageMargins left="0.511811024" right="0.511811024" top="0.78740157499999996" bottom="0.78740157499999996" header="0.31496062000000002" footer="0.31496062000000002"/>
  <pageSetup paperSize="9" scale="96" orientation="portrait" r:id="rId4"/>
  <rowBreaks count="1" manualBreakCount="1">
    <brk id="295" max="14" man="1"/>
  </rowBreaks>
  <extLst>
    <ext xmlns:x14="http://schemas.microsoft.com/office/spreadsheetml/2009/9/main" uri="{CCE6A557-97BC-4b89-ADB6-D9C93CAAB3DF}">
      <x14:dataValidations xmlns:xm="http://schemas.microsoft.com/office/excel/2006/main" count="12">
        <x14:dataValidation type="list" allowBlank="1" showInputMessage="1" showErrorMessage="1">
          <x14:formula1>
            <xm:f>Formulas!$A$2:$A$3</xm:f>
          </x14:formula1>
          <xm:sqref>A215:B228 A275:B276 A278:B282 A283:A305</xm:sqref>
        </x14:dataValidation>
        <x14:dataValidation type="list" allowBlank="1" showInputMessage="1" showErrorMessage="1">
          <x14:formula1>
            <xm:f>Formulas!$C$2:$C$6</xm:f>
          </x14:formula1>
          <xm:sqref>I215:I216</xm:sqref>
        </x14:dataValidation>
        <x14:dataValidation type="list" allowBlank="1" showInputMessage="1" showErrorMessage="1">
          <x14:formula1>
            <xm:f>Formulas!$E$2:$E$5</xm:f>
          </x14:formula1>
          <xm:sqref>K215:K216 K283:K284</xm:sqref>
        </x14:dataValidation>
        <x14:dataValidation type="list" allowBlank="1" showInputMessage="1" showErrorMessage="1">
          <x14:formula1>
            <xm:f>Formulas!$C$2:$C$7</xm:f>
          </x14:formula1>
          <xm:sqref>I222:I228 I283:I298 I300:I305</xm:sqref>
        </x14:dataValidation>
        <x14:dataValidation type="list" allowBlank="1" showInputMessage="1" showErrorMessage="1">
          <x14:formula1>
            <xm:f>Formulas!$B$2:$B$4</xm:f>
          </x14:formula1>
          <xm:sqref>B283:B294</xm:sqref>
        </x14:dataValidation>
        <x14:dataValidation type="list" allowBlank="1" showInputMessage="1" showErrorMessage="1">
          <x14:formula1>
            <xm:f>Formulas!$E$2:$E$7</xm:f>
          </x14:formula1>
          <xm:sqref>K285:K293</xm:sqref>
        </x14:dataValidation>
        <x14:dataValidation type="list" allowBlank="1" showInputMessage="1" showErrorMessage="1">
          <x14:formula1>
            <xm:f>Formulas!$D$2:$D$102</xm:f>
          </x14:formula1>
          <xm:sqref>J215:J216 J304:J305</xm:sqref>
        </x14:dataValidation>
        <x14:dataValidation type="list" allowBlank="1" showInputMessage="1" showErrorMessage="1">
          <x14:formula1>
            <xm:f>Formulas!$H$2:$H$13</xm:f>
          </x14:formula1>
          <xm:sqref>HH293 E294 B295:B296 E297:E298 B299:B303 Q302:Q304 B305 P305</xm:sqref>
        </x14:dataValidation>
        <x14:dataValidation type="list" allowBlank="1" showInputMessage="1" showErrorMessage="1">
          <x14:formula1>
            <xm:f>Formulas!$H$2:$H$14</xm:f>
          </x14:formula1>
          <xm:sqref>Q293</xm:sqref>
        </x14:dataValidation>
        <x14:dataValidation type="list" allowBlank="1" showInputMessage="1" showErrorMessage="1">
          <x14:formula1>
            <xm:f>Formulas!$G$2:$G$4</xm:f>
          </x14:formula1>
          <xm:sqref>V293:X293</xm:sqref>
        </x14:dataValidation>
        <x14:dataValidation type="list" allowBlank="1" showInputMessage="1" showErrorMessage="1">
          <x14:formula1>
            <xm:f>Formulas!$E$2:$E$8</xm:f>
          </x14:formula1>
          <xm:sqref>K294:K298 K300:K305</xm:sqref>
        </x14:dataValidation>
        <x14:dataValidation type="list" allowBlank="1" showInputMessage="1" showErrorMessage="1">
          <x14:formula1>
            <xm:f>Formulas!$F$2:$F$15</xm:f>
          </x14:formula1>
          <xm:sqref>O302:O304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2" tint="-0.249977111117893"/>
  </sheetPr>
  <dimension ref="A1:BI83"/>
  <sheetViews>
    <sheetView showGridLines="0" zoomScale="80" zoomScaleNormal="80" zoomScaleSheetLayoutView="80" workbookViewId="0">
      <pane xSplit="4" ySplit="2" topLeftCell="F3" activePane="bottomRight" state="frozen"/>
      <selection pane="topRight" activeCell="E1" sqref="E1"/>
      <selection pane="bottomLeft" activeCell="A2" sqref="A2"/>
      <selection pane="bottomRight" activeCell="G1" sqref="G1"/>
    </sheetView>
  </sheetViews>
  <sheetFormatPr defaultColWidth="9.140625" defaultRowHeight="12.75" outlineLevelRow="2" outlineLevelCol="1" x14ac:dyDescent="0.2"/>
  <cols>
    <col min="1" max="1" width="13.28515625" style="95" customWidth="1"/>
    <col min="2" max="2" width="23.28515625" style="95" customWidth="1" outlineLevel="1"/>
    <col min="3" max="3" width="24.7109375" style="95" customWidth="1"/>
    <col min="4" max="4" width="27.7109375" style="177" bestFit="1" customWidth="1"/>
    <col min="5" max="5" width="27.7109375" style="177" customWidth="1"/>
    <col min="6" max="6" width="13" style="95" customWidth="1" outlineLevel="1"/>
    <col min="7" max="7" width="20.85546875" style="95" customWidth="1"/>
    <col min="8" max="8" width="33.42578125" style="177" customWidth="1"/>
    <col min="9" max="9" width="12.42578125" style="95" customWidth="1"/>
    <col min="10" max="10" width="16.140625" style="95" customWidth="1" outlineLevel="1"/>
    <col min="11" max="11" width="26.5703125" style="95" customWidth="1" outlineLevel="1"/>
    <col min="12" max="12" width="16.140625" style="95" customWidth="1" outlineLevel="1"/>
    <col min="13" max="13" width="15.5703125" style="177" customWidth="1"/>
    <col min="14" max="14" width="16.140625" style="95" hidden="1" customWidth="1"/>
    <col min="15" max="18" width="16.140625" style="95" hidden="1" customWidth="1" collapsed="1"/>
    <col min="19" max="21" width="18.140625" style="95" hidden="1" customWidth="1" collapsed="1"/>
    <col min="22" max="22" width="18.140625" style="95" hidden="1" customWidth="1"/>
    <col min="23" max="33" width="18.140625" style="95" hidden="1" customWidth="1" collapsed="1"/>
    <col min="34" max="34" width="18.140625" style="95" hidden="1" customWidth="1"/>
    <col min="35" max="43" width="18.140625" style="95" hidden="1" customWidth="1" collapsed="1"/>
    <col min="44" max="45" width="18.140625" style="95" hidden="1" customWidth="1"/>
    <col min="46" max="51" width="18.140625" style="95" hidden="1" customWidth="1" collapsed="1"/>
    <col min="52" max="52" width="16.85546875" style="95" hidden="1" customWidth="1"/>
    <col min="53" max="53" width="11.28515625" style="95" hidden="1" customWidth="1" collapsed="1"/>
    <col min="54" max="54" width="5.7109375" style="95" hidden="1" customWidth="1" collapsed="1"/>
    <col min="55" max="55" width="7.5703125" style="95" hidden="1" customWidth="1" collapsed="1"/>
    <col min="56" max="56" width="30.85546875" style="95" customWidth="1"/>
    <col min="57" max="57" width="44" style="95" customWidth="1" outlineLevel="1"/>
    <col min="58" max="58" width="28.28515625" style="177" customWidth="1"/>
    <col min="59" max="59" width="13.42578125" style="52" customWidth="1"/>
    <col min="60" max="61" width="9.140625" style="52" customWidth="1"/>
    <col min="62" max="16384" width="9.140625" style="52"/>
  </cols>
  <sheetData>
    <row r="1" spans="1:61" ht="12.75" customHeight="1" x14ac:dyDescent="0.2">
      <c r="BG1" s="930" t="s">
        <v>5058</v>
      </c>
      <c r="BH1" s="931"/>
      <c r="BI1" s="931"/>
    </row>
    <row r="2" spans="1:61" ht="24" customHeight="1" x14ac:dyDescent="0.2">
      <c r="A2" s="357" t="s">
        <v>583</v>
      </c>
      <c r="B2" s="239" t="s">
        <v>0</v>
      </c>
      <c r="C2" s="239" t="s">
        <v>1</v>
      </c>
      <c r="D2" s="239" t="s">
        <v>3813</v>
      </c>
      <c r="E2" s="239" t="s">
        <v>2891</v>
      </c>
      <c r="F2" s="239" t="s">
        <v>3</v>
      </c>
      <c r="G2" s="345" t="s">
        <v>3845</v>
      </c>
      <c r="H2" s="345" t="s">
        <v>3846</v>
      </c>
      <c r="I2" s="239" t="s">
        <v>3868</v>
      </c>
      <c r="J2" s="240" t="s">
        <v>3844</v>
      </c>
      <c r="K2" s="349" t="s">
        <v>4155</v>
      </c>
      <c r="L2" s="349" t="s">
        <v>3214</v>
      </c>
      <c r="M2" s="349" t="s">
        <v>4156</v>
      </c>
      <c r="N2" s="349" t="s">
        <v>3861</v>
      </c>
      <c r="O2" s="349" t="s">
        <v>3862</v>
      </c>
      <c r="P2" s="349" t="s">
        <v>3879</v>
      </c>
      <c r="Q2" s="349" t="s">
        <v>3887</v>
      </c>
      <c r="R2" s="349" t="s">
        <v>3891</v>
      </c>
      <c r="S2" s="349" t="s">
        <v>3916</v>
      </c>
      <c r="T2" s="349" t="s">
        <v>3923</v>
      </c>
      <c r="U2" s="349" t="s">
        <v>3930</v>
      </c>
      <c r="V2" s="349" t="s">
        <v>3946</v>
      </c>
      <c r="W2" s="349" t="s">
        <v>3983</v>
      </c>
      <c r="X2" s="349" t="s">
        <v>4001</v>
      </c>
      <c r="Y2" s="349" t="s">
        <v>4020</v>
      </c>
      <c r="Z2" s="349" t="s">
        <v>4051</v>
      </c>
      <c r="AA2" s="349" t="s">
        <v>4081</v>
      </c>
      <c r="AB2" s="349" t="s">
        <v>4095</v>
      </c>
      <c r="AC2" s="349" t="s">
        <v>4119</v>
      </c>
      <c r="AD2" s="349" t="s">
        <v>4147</v>
      </c>
      <c r="AE2" s="349" t="s">
        <v>4168</v>
      </c>
      <c r="AF2" s="349" t="s">
        <v>4181</v>
      </c>
      <c r="AG2" s="349" t="s">
        <v>4188</v>
      </c>
      <c r="AH2" s="349" t="s">
        <v>4207</v>
      </c>
      <c r="AI2" s="349" t="s">
        <v>4238</v>
      </c>
      <c r="AJ2" s="349" t="s">
        <v>4271</v>
      </c>
      <c r="AK2" s="349" t="s">
        <v>4333</v>
      </c>
      <c r="AL2" s="349" t="s">
        <v>4353</v>
      </c>
      <c r="AM2" s="349" t="s">
        <v>4387</v>
      </c>
      <c r="AN2" s="349" t="s">
        <v>4388</v>
      </c>
      <c r="AO2" s="349" t="s">
        <v>4423</v>
      </c>
      <c r="AP2" s="349" t="s">
        <v>4424</v>
      </c>
      <c r="AQ2" s="349" t="s">
        <v>4432</v>
      </c>
      <c r="AR2" s="349" t="s">
        <v>4451</v>
      </c>
      <c r="AS2" s="349" t="s">
        <v>4472</v>
      </c>
      <c r="AT2" s="349" t="s">
        <v>4487</v>
      </c>
      <c r="AU2" s="349" t="s">
        <v>4510</v>
      </c>
      <c r="AV2" s="349" t="s">
        <v>4522</v>
      </c>
      <c r="AW2" s="349" t="s">
        <v>4552</v>
      </c>
      <c r="AX2" s="349" t="s">
        <v>4576</v>
      </c>
      <c r="AY2" s="349" t="s">
        <v>4593</v>
      </c>
      <c r="AZ2" s="349" t="s">
        <v>4612</v>
      </c>
      <c r="BA2" s="349" t="s">
        <v>4672</v>
      </c>
      <c r="BB2" s="349" t="s">
        <v>4684</v>
      </c>
      <c r="BC2" s="349" t="s">
        <v>4708</v>
      </c>
      <c r="BD2" s="349" t="s">
        <v>4699</v>
      </c>
      <c r="BE2" s="239" t="s">
        <v>2573</v>
      </c>
      <c r="BF2" s="358" t="s">
        <v>4157</v>
      </c>
      <c r="BG2" s="547" t="s">
        <v>5055</v>
      </c>
      <c r="BH2" s="547" t="s">
        <v>1297</v>
      </c>
      <c r="BI2" s="547" t="s">
        <v>5057</v>
      </c>
    </row>
    <row r="3" spans="1:61" ht="51" hidden="1" outlineLevel="1" x14ac:dyDescent="0.2">
      <c r="A3" s="382" t="s">
        <v>1137</v>
      </c>
      <c r="B3" s="383" t="s">
        <v>3847</v>
      </c>
      <c r="C3" s="383" t="s">
        <v>722</v>
      </c>
      <c r="D3" s="384" t="s">
        <v>3849</v>
      </c>
      <c r="E3" s="384" t="s">
        <v>3049</v>
      </c>
      <c r="F3" s="383" t="s">
        <v>11</v>
      </c>
      <c r="G3" s="383" t="s">
        <v>3851</v>
      </c>
      <c r="H3" s="384" t="s">
        <v>3852</v>
      </c>
      <c r="I3" s="385">
        <v>43516</v>
      </c>
      <c r="J3" s="386" t="s">
        <v>3853</v>
      </c>
      <c r="K3" s="386" t="s">
        <v>2866</v>
      </c>
      <c r="L3" s="387" t="s">
        <v>758</v>
      </c>
      <c r="M3" s="388" t="s">
        <v>3874</v>
      </c>
      <c r="N3" s="384" t="s">
        <v>3860</v>
      </c>
      <c r="O3" s="384" t="s">
        <v>3863</v>
      </c>
      <c r="P3" s="384"/>
      <c r="Q3" s="384"/>
      <c r="R3" s="384"/>
      <c r="S3" s="384"/>
      <c r="T3" s="384"/>
      <c r="U3" s="384"/>
      <c r="V3" s="384"/>
      <c r="W3" s="384"/>
      <c r="X3" s="384"/>
      <c r="Y3" s="384"/>
      <c r="Z3" s="384"/>
      <c r="AA3" s="384"/>
      <c r="AB3" s="384"/>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384"/>
      <c r="BA3" s="384"/>
      <c r="BB3" s="384"/>
      <c r="BC3" s="384"/>
      <c r="BD3" s="383"/>
      <c r="BE3" s="383"/>
      <c r="BF3" s="389" t="s">
        <v>3867</v>
      </c>
      <c r="BG3" s="534" t="s">
        <v>5055</v>
      </c>
      <c r="BH3" s="534" t="s">
        <v>5056</v>
      </c>
      <c r="BI3" s="534" t="s">
        <v>5057</v>
      </c>
    </row>
    <row r="4" spans="1:61" ht="51" hidden="1" outlineLevel="1" x14ac:dyDescent="0.2">
      <c r="A4" s="382" t="s">
        <v>584</v>
      </c>
      <c r="B4" s="383" t="s">
        <v>3848</v>
      </c>
      <c r="C4" s="383" t="s">
        <v>3304</v>
      </c>
      <c r="D4" s="384" t="s">
        <v>3305</v>
      </c>
      <c r="E4" s="384" t="s">
        <v>3098</v>
      </c>
      <c r="F4" s="383" t="s">
        <v>11</v>
      </c>
      <c r="G4" s="383" t="s">
        <v>3851</v>
      </c>
      <c r="H4" s="384" t="s">
        <v>3852</v>
      </c>
      <c r="I4" s="385">
        <v>43518</v>
      </c>
      <c r="J4" s="386" t="s">
        <v>3854</v>
      </c>
      <c r="K4" s="386" t="s">
        <v>2866</v>
      </c>
      <c r="L4" s="387" t="s">
        <v>758</v>
      </c>
      <c r="M4" s="388" t="s">
        <v>3874</v>
      </c>
      <c r="N4" s="384" t="s">
        <v>3860</v>
      </c>
      <c r="O4" s="384" t="s">
        <v>3863</v>
      </c>
      <c r="P4" s="384"/>
      <c r="Q4" s="384"/>
      <c r="R4" s="384"/>
      <c r="S4" s="384"/>
      <c r="T4" s="384"/>
      <c r="U4" s="384"/>
      <c r="V4" s="384"/>
      <c r="W4" s="384"/>
      <c r="X4" s="384"/>
      <c r="Y4" s="384"/>
      <c r="Z4" s="384"/>
      <c r="AA4" s="384"/>
      <c r="AB4" s="384"/>
      <c r="AC4" s="384"/>
      <c r="AD4" s="384"/>
      <c r="AE4" s="384"/>
      <c r="AF4" s="384"/>
      <c r="AG4" s="384"/>
      <c r="AH4" s="384"/>
      <c r="AI4" s="384"/>
      <c r="AJ4" s="384"/>
      <c r="AK4" s="384"/>
      <c r="AL4" s="384"/>
      <c r="AM4" s="384"/>
      <c r="AN4" s="384"/>
      <c r="AO4" s="384"/>
      <c r="AP4" s="384"/>
      <c r="AQ4" s="384"/>
      <c r="AR4" s="384"/>
      <c r="AS4" s="384"/>
      <c r="AT4" s="384"/>
      <c r="AU4" s="384"/>
      <c r="AV4" s="384"/>
      <c r="AW4" s="384"/>
      <c r="AX4" s="384"/>
      <c r="AY4" s="384"/>
      <c r="AZ4" s="384"/>
      <c r="BA4" s="384"/>
      <c r="BB4" s="384"/>
      <c r="BC4" s="384"/>
      <c r="BD4" s="383"/>
      <c r="BE4" s="383"/>
      <c r="BF4" s="389" t="s">
        <v>3867</v>
      </c>
    </row>
    <row r="5" spans="1:61" ht="51" hidden="1" outlineLevel="1" x14ac:dyDescent="0.2">
      <c r="A5" s="382" t="s">
        <v>584</v>
      </c>
      <c r="B5" s="383" t="s">
        <v>3386</v>
      </c>
      <c r="C5" s="383" t="s">
        <v>3359</v>
      </c>
      <c r="D5" s="384" t="s">
        <v>3850</v>
      </c>
      <c r="E5" s="384" t="s">
        <v>3049</v>
      </c>
      <c r="F5" s="383" t="s">
        <v>11</v>
      </c>
      <c r="G5" s="383" t="s">
        <v>3057</v>
      </c>
      <c r="H5" s="384" t="s">
        <v>3852</v>
      </c>
      <c r="I5" s="385">
        <v>43524</v>
      </c>
      <c r="J5" s="386" t="s">
        <v>3855</v>
      </c>
      <c r="K5" s="386" t="s">
        <v>2866</v>
      </c>
      <c r="L5" s="387" t="s">
        <v>758</v>
      </c>
      <c r="M5" s="388" t="s">
        <v>3874</v>
      </c>
      <c r="N5" s="383">
        <v>160</v>
      </c>
      <c r="O5" s="383">
        <v>132</v>
      </c>
      <c r="P5" s="383">
        <v>89</v>
      </c>
      <c r="Q5" s="383">
        <v>51</v>
      </c>
      <c r="R5" s="383">
        <v>26</v>
      </c>
      <c r="S5" s="384" t="s">
        <v>3917</v>
      </c>
      <c r="T5" s="384" t="s">
        <v>3924</v>
      </c>
      <c r="U5" s="384"/>
      <c r="V5" s="384"/>
      <c r="W5" s="384"/>
      <c r="X5" s="384"/>
      <c r="Y5" s="384"/>
      <c r="Z5" s="384"/>
      <c r="AA5" s="384"/>
      <c r="AB5" s="384"/>
      <c r="AC5" s="384"/>
      <c r="AD5" s="384"/>
      <c r="AE5" s="384"/>
      <c r="AF5" s="384"/>
      <c r="AG5" s="384"/>
      <c r="AH5" s="384"/>
      <c r="AI5" s="384"/>
      <c r="AJ5" s="384"/>
      <c r="AK5" s="384"/>
      <c r="AL5" s="384"/>
      <c r="AM5" s="384"/>
      <c r="AN5" s="384"/>
      <c r="AO5" s="384"/>
      <c r="AP5" s="384"/>
      <c r="AQ5" s="384"/>
      <c r="AR5" s="384"/>
      <c r="AS5" s="384"/>
      <c r="AT5" s="384"/>
      <c r="AU5" s="384"/>
      <c r="AV5" s="384"/>
      <c r="AW5" s="384"/>
      <c r="AX5" s="384"/>
      <c r="AY5" s="384"/>
      <c r="AZ5" s="384"/>
      <c r="BA5" s="384"/>
      <c r="BB5" s="384"/>
      <c r="BC5" s="384"/>
      <c r="BD5" s="383"/>
      <c r="BE5" s="383"/>
      <c r="BF5" s="389" t="s">
        <v>3927</v>
      </c>
    </row>
    <row r="6" spans="1:61" ht="69" hidden="1" customHeight="1" outlineLevel="1" x14ac:dyDescent="0.2">
      <c r="A6" s="382" t="s">
        <v>1137</v>
      </c>
      <c r="B6" s="383" t="s">
        <v>3869</v>
      </c>
      <c r="C6" s="383" t="s">
        <v>3870</v>
      </c>
      <c r="D6" s="384" t="s">
        <v>3871</v>
      </c>
      <c r="E6" s="384" t="s">
        <v>895</v>
      </c>
      <c r="F6" s="383" t="s">
        <v>3876</v>
      </c>
      <c r="G6" s="383" t="s">
        <v>3851</v>
      </c>
      <c r="H6" s="384" t="s">
        <v>3872</v>
      </c>
      <c r="I6" s="385">
        <v>43560</v>
      </c>
      <c r="J6" s="390" t="s">
        <v>3873</v>
      </c>
      <c r="K6" s="390" t="s">
        <v>2866</v>
      </c>
      <c r="L6" s="387" t="s">
        <v>758</v>
      </c>
      <c r="M6" s="388" t="s">
        <v>3874</v>
      </c>
      <c r="N6" s="383"/>
      <c r="O6" s="383"/>
      <c r="P6" s="383">
        <v>355</v>
      </c>
      <c r="Q6" s="383">
        <v>285</v>
      </c>
      <c r="R6" s="384" t="s">
        <v>3892</v>
      </c>
      <c r="S6" s="384" t="s">
        <v>3892</v>
      </c>
      <c r="T6" s="384" t="s">
        <v>3925</v>
      </c>
      <c r="U6" s="384"/>
      <c r="V6" s="384"/>
      <c r="W6" s="384"/>
      <c r="X6" s="384"/>
      <c r="Y6" s="384"/>
      <c r="Z6" s="384"/>
      <c r="AA6" s="384"/>
      <c r="AB6" s="384"/>
      <c r="AC6" s="384"/>
      <c r="AD6" s="384"/>
      <c r="AE6" s="384"/>
      <c r="AF6" s="384"/>
      <c r="AG6" s="384"/>
      <c r="AH6" s="384"/>
      <c r="AI6" s="384"/>
      <c r="AJ6" s="384"/>
      <c r="AK6" s="384"/>
      <c r="AL6" s="384"/>
      <c r="AM6" s="384"/>
      <c r="AN6" s="384"/>
      <c r="AO6" s="384"/>
      <c r="AP6" s="384"/>
      <c r="AQ6" s="384"/>
      <c r="AR6" s="384"/>
      <c r="AS6" s="384"/>
      <c r="AT6" s="384"/>
      <c r="AU6" s="384"/>
      <c r="AV6" s="384"/>
      <c r="AW6" s="384"/>
      <c r="AX6" s="384"/>
      <c r="AY6" s="384"/>
      <c r="AZ6" s="384"/>
      <c r="BA6" s="384"/>
      <c r="BB6" s="384"/>
      <c r="BC6" s="384"/>
      <c r="BD6" s="383"/>
      <c r="BE6" s="383"/>
      <c r="BF6" s="389" t="s">
        <v>3927</v>
      </c>
    </row>
    <row r="7" spans="1:61" ht="255" hidden="1" outlineLevel="1" x14ac:dyDescent="0.2">
      <c r="A7" s="382" t="s">
        <v>1137</v>
      </c>
      <c r="B7" s="383" t="s">
        <v>1727</v>
      </c>
      <c r="C7" s="383" t="s">
        <v>3888</v>
      </c>
      <c r="D7" s="384" t="s">
        <v>1058</v>
      </c>
      <c r="E7" s="384" t="s">
        <v>66</v>
      </c>
      <c r="F7" s="383" t="s">
        <v>11</v>
      </c>
      <c r="G7" s="383" t="s">
        <v>3851</v>
      </c>
      <c r="H7" s="384" t="s">
        <v>3889</v>
      </c>
      <c r="I7" s="385">
        <v>43577</v>
      </c>
      <c r="J7" s="390" t="s">
        <v>3890</v>
      </c>
      <c r="K7" s="390" t="s">
        <v>2866</v>
      </c>
      <c r="L7" s="388" t="s">
        <v>758</v>
      </c>
      <c r="M7" s="388" t="s">
        <v>3874</v>
      </c>
      <c r="N7" s="383"/>
      <c r="O7" s="383"/>
      <c r="P7" s="383"/>
      <c r="Q7" s="383"/>
      <c r="R7" s="384" t="s">
        <v>3892</v>
      </c>
      <c r="S7" s="384" t="s">
        <v>3892</v>
      </c>
      <c r="T7" s="384" t="s">
        <v>3925</v>
      </c>
      <c r="U7" s="384"/>
      <c r="V7" s="384"/>
      <c r="W7" s="384"/>
      <c r="X7" s="384"/>
      <c r="Y7" s="384"/>
      <c r="Z7" s="384"/>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384"/>
      <c r="AZ7" s="384"/>
      <c r="BA7" s="384"/>
      <c r="BB7" s="384"/>
      <c r="BC7" s="384"/>
      <c r="BD7" s="383"/>
      <c r="BE7" s="383"/>
      <c r="BF7" s="389" t="s">
        <v>3927</v>
      </c>
    </row>
    <row r="8" spans="1:61" ht="76.5" hidden="1" outlineLevel="1" x14ac:dyDescent="0.2">
      <c r="A8" s="382" t="s">
        <v>1137</v>
      </c>
      <c r="B8" s="383" t="s">
        <v>3894</v>
      </c>
      <c r="C8" s="383" t="s">
        <v>3895</v>
      </c>
      <c r="D8" s="384" t="s">
        <v>3896</v>
      </c>
      <c r="E8" s="384" t="s">
        <v>3098</v>
      </c>
      <c r="F8" s="383" t="s">
        <v>11</v>
      </c>
      <c r="G8" s="383" t="s">
        <v>3851</v>
      </c>
      <c r="H8" s="384" t="s">
        <v>3897</v>
      </c>
      <c r="I8" s="385">
        <v>43578</v>
      </c>
      <c r="J8" s="390" t="s">
        <v>3898</v>
      </c>
      <c r="K8" s="390" t="s">
        <v>2866</v>
      </c>
      <c r="L8" s="388" t="s">
        <v>758</v>
      </c>
      <c r="M8" s="388" t="s">
        <v>3874</v>
      </c>
      <c r="N8" s="383"/>
      <c r="O8" s="383"/>
      <c r="P8" s="383"/>
      <c r="Q8" s="383"/>
      <c r="R8" s="383"/>
      <c r="S8" s="384" t="s">
        <v>3892</v>
      </c>
      <c r="T8" s="384" t="s">
        <v>3925</v>
      </c>
      <c r="U8" s="384"/>
      <c r="V8" s="384"/>
      <c r="W8" s="384"/>
      <c r="X8" s="384"/>
      <c r="Y8" s="384"/>
      <c r="Z8" s="384"/>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384"/>
      <c r="AZ8" s="384"/>
      <c r="BA8" s="384"/>
      <c r="BB8" s="384"/>
      <c r="BC8" s="384"/>
      <c r="BD8" s="383"/>
      <c r="BE8" s="383"/>
      <c r="BF8" s="389" t="s">
        <v>3927</v>
      </c>
    </row>
    <row r="9" spans="1:61" ht="63.75" hidden="1" outlineLevel="1" x14ac:dyDescent="0.2">
      <c r="A9" s="382" t="s">
        <v>1137</v>
      </c>
      <c r="B9" s="383" t="s">
        <v>3980</v>
      </c>
      <c r="C9" s="383" t="s">
        <v>3981</v>
      </c>
      <c r="D9" s="384" t="s">
        <v>691</v>
      </c>
      <c r="E9" s="384" t="s">
        <v>66</v>
      </c>
      <c r="F9" s="383" t="s">
        <v>11</v>
      </c>
      <c r="G9" s="383" t="s">
        <v>3851</v>
      </c>
      <c r="H9" s="384" t="s">
        <v>3852</v>
      </c>
      <c r="I9" s="385">
        <v>43608</v>
      </c>
      <c r="J9" s="390" t="s">
        <v>3985</v>
      </c>
      <c r="K9" s="388" t="s">
        <v>2866</v>
      </c>
      <c r="L9" s="388" t="s">
        <v>3880</v>
      </c>
      <c r="M9" s="388" t="s">
        <v>3978</v>
      </c>
      <c r="N9" s="383"/>
      <c r="O9" s="383"/>
      <c r="P9" s="383"/>
      <c r="Q9" s="383"/>
      <c r="R9" s="383"/>
      <c r="S9" s="383"/>
      <c r="T9" s="383"/>
      <c r="U9" s="383"/>
      <c r="V9" s="383"/>
      <c r="W9" s="383">
        <v>147</v>
      </c>
      <c r="X9" s="383">
        <v>96</v>
      </c>
      <c r="Y9" s="383">
        <v>63</v>
      </c>
      <c r="Z9" s="384" t="s">
        <v>4052</v>
      </c>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384"/>
      <c r="BA9" s="384"/>
      <c r="BB9" s="384"/>
      <c r="BC9" s="384"/>
      <c r="BD9" s="384"/>
      <c r="BE9" s="384" t="s">
        <v>3982</v>
      </c>
      <c r="BF9" s="391" t="s">
        <v>4080</v>
      </c>
    </row>
    <row r="10" spans="1:61" ht="63.75" hidden="1" outlineLevel="1" x14ac:dyDescent="0.2">
      <c r="A10" s="382" t="s">
        <v>584</v>
      </c>
      <c r="B10" s="383" t="s">
        <v>3975</v>
      </c>
      <c r="C10" s="383" t="s">
        <v>3976</v>
      </c>
      <c r="D10" s="384" t="s">
        <v>3977</v>
      </c>
      <c r="E10" s="384" t="s">
        <v>2121</v>
      </c>
      <c r="F10" s="383" t="s">
        <v>11</v>
      </c>
      <c r="G10" s="383" t="s">
        <v>3851</v>
      </c>
      <c r="H10" s="384" t="s">
        <v>3852</v>
      </c>
      <c r="I10" s="385">
        <v>43608</v>
      </c>
      <c r="J10" s="390" t="s">
        <v>3986</v>
      </c>
      <c r="K10" s="390" t="s">
        <v>2866</v>
      </c>
      <c r="L10" s="388" t="s">
        <v>3880</v>
      </c>
      <c r="M10" s="388" t="s">
        <v>3978</v>
      </c>
      <c r="N10" s="383"/>
      <c r="O10" s="383"/>
      <c r="P10" s="383"/>
      <c r="Q10" s="383"/>
      <c r="R10" s="383"/>
      <c r="S10" s="383"/>
      <c r="T10" s="383"/>
      <c r="U10" s="383"/>
      <c r="V10" s="383"/>
      <c r="W10" s="383">
        <v>140</v>
      </c>
      <c r="X10" s="383">
        <v>90</v>
      </c>
      <c r="Y10" s="384" t="s">
        <v>4023</v>
      </c>
      <c r="Z10" s="384" t="s">
        <v>4061</v>
      </c>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384"/>
      <c r="AZ10" s="384"/>
      <c r="BA10" s="384"/>
      <c r="BB10" s="384"/>
      <c r="BC10" s="384"/>
      <c r="BD10" s="384"/>
      <c r="BE10" s="384" t="s">
        <v>3979</v>
      </c>
      <c r="BF10" s="391" t="s">
        <v>4080</v>
      </c>
    </row>
    <row r="11" spans="1:61" ht="63.75" hidden="1" outlineLevel="1" x14ac:dyDescent="0.2">
      <c r="A11" s="382" t="s">
        <v>1137</v>
      </c>
      <c r="B11" s="383" t="s">
        <v>4002</v>
      </c>
      <c r="C11" s="383" t="s">
        <v>4003</v>
      </c>
      <c r="D11" s="384" t="s">
        <v>4004</v>
      </c>
      <c r="E11" s="384" t="s">
        <v>4005</v>
      </c>
      <c r="F11" s="383" t="s">
        <v>11</v>
      </c>
      <c r="G11" s="383" t="s">
        <v>3851</v>
      </c>
      <c r="H11" s="384" t="s">
        <v>3852</v>
      </c>
      <c r="I11" s="385">
        <v>43616</v>
      </c>
      <c r="J11" s="390" t="s">
        <v>4006</v>
      </c>
      <c r="K11" s="390" t="s">
        <v>2866</v>
      </c>
      <c r="L11" s="388" t="s">
        <v>3880</v>
      </c>
      <c r="M11" s="388" t="s">
        <v>3978</v>
      </c>
      <c r="N11" s="383"/>
      <c r="O11" s="383"/>
      <c r="P11" s="383"/>
      <c r="Q11" s="383"/>
      <c r="R11" s="383"/>
      <c r="S11" s="383"/>
      <c r="T11" s="383"/>
      <c r="U11" s="383"/>
      <c r="V11" s="383"/>
      <c r="W11" s="383"/>
      <c r="X11" s="383">
        <v>146</v>
      </c>
      <c r="Y11" s="384" t="s">
        <v>4023</v>
      </c>
      <c r="Z11" s="384" t="s">
        <v>4061</v>
      </c>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384"/>
      <c r="AZ11" s="384"/>
      <c r="BA11" s="384"/>
      <c r="BB11" s="384"/>
      <c r="BC11" s="384"/>
      <c r="BD11" s="384"/>
      <c r="BE11" s="384"/>
      <c r="BF11" s="391" t="s">
        <v>4080</v>
      </c>
    </row>
    <row r="12" spans="1:61" ht="63.75" hidden="1" outlineLevel="1" x14ac:dyDescent="0.2">
      <c r="A12" s="382" t="s">
        <v>584</v>
      </c>
      <c r="B12" s="383" t="s">
        <v>4028</v>
      </c>
      <c r="C12" s="383" t="s">
        <v>4029</v>
      </c>
      <c r="D12" s="384" t="s">
        <v>4030</v>
      </c>
      <c r="E12" s="384" t="s">
        <v>54</v>
      </c>
      <c r="F12" s="383" t="s">
        <v>11</v>
      </c>
      <c r="G12" s="383" t="s">
        <v>3851</v>
      </c>
      <c r="H12" s="384" t="s">
        <v>3852</v>
      </c>
      <c r="I12" s="385">
        <v>43620</v>
      </c>
      <c r="J12" s="390" t="s">
        <v>4053</v>
      </c>
      <c r="K12" s="388" t="s">
        <v>2866</v>
      </c>
      <c r="L12" s="388" t="s">
        <v>3880</v>
      </c>
      <c r="M12" s="388" t="s">
        <v>3978</v>
      </c>
      <c r="N12" s="383"/>
      <c r="O12" s="383"/>
      <c r="P12" s="383"/>
      <c r="Q12" s="383"/>
      <c r="R12" s="383"/>
      <c r="S12" s="383"/>
      <c r="T12" s="383"/>
      <c r="U12" s="383"/>
      <c r="V12" s="383"/>
      <c r="W12" s="383"/>
      <c r="X12" s="383"/>
      <c r="Y12" s="384"/>
      <c r="Z12" s="384" t="s">
        <v>4054</v>
      </c>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384"/>
      <c r="BA12" s="384"/>
      <c r="BB12" s="384"/>
      <c r="BC12" s="384"/>
      <c r="BD12" s="384"/>
      <c r="BE12" s="384" t="s">
        <v>4031</v>
      </c>
      <c r="BF12" s="391" t="s">
        <v>4080</v>
      </c>
    </row>
    <row r="13" spans="1:61" ht="63.75" hidden="1" outlineLevel="1" x14ac:dyDescent="0.2">
      <c r="A13" s="382" t="s">
        <v>584</v>
      </c>
      <c r="B13" s="383" t="s">
        <v>4032</v>
      </c>
      <c r="C13" s="383" t="s">
        <v>4033</v>
      </c>
      <c r="D13" s="384" t="s">
        <v>3311</v>
      </c>
      <c r="E13" s="384" t="s">
        <v>879</v>
      </c>
      <c r="F13" s="383" t="s">
        <v>11</v>
      </c>
      <c r="G13" s="383" t="s">
        <v>3851</v>
      </c>
      <c r="H13" s="384" t="s">
        <v>3852</v>
      </c>
      <c r="I13" s="385">
        <v>43620</v>
      </c>
      <c r="J13" s="390" t="s">
        <v>4055</v>
      </c>
      <c r="K13" s="388" t="s">
        <v>2866</v>
      </c>
      <c r="L13" s="388" t="s">
        <v>3880</v>
      </c>
      <c r="M13" s="388" t="s">
        <v>3978</v>
      </c>
      <c r="N13" s="383"/>
      <c r="O13" s="383"/>
      <c r="P13" s="383"/>
      <c r="Q13" s="383"/>
      <c r="R13" s="383"/>
      <c r="S13" s="383"/>
      <c r="T13" s="383"/>
      <c r="U13" s="383"/>
      <c r="V13" s="383"/>
      <c r="W13" s="383"/>
      <c r="X13" s="383"/>
      <c r="Y13" s="384"/>
      <c r="Z13" s="384" t="s">
        <v>4054</v>
      </c>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384"/>
      <c r="AZ13" s="384"/>
      <c r="BA13" s="384"/>
      <c r="BB13" s="384"/>
      <c r="BC13" s="384"/>
      <c r="BD13" s="384"/>
      <c r="BE13" s="384" t="s">
        <v>4034</v>
      </c>
      <c r="BF13" s="391" t="s">
        <v>4080</v>
      </c>
    </row>
    <row r="14" spans="1:61" ht="63.75" hidden="1" outlineLevel="1" x14ac:dyDescent="0.2">
      <c r="A14" s="382" t="s">
        <v>1137</v>
      </c>
      <c r="B14" s="383" t="s">
        <v>4038</v>
      </c>
      <c r="C14" s="383" t="s">
        <v>4039</v>
      </c>
      <c r="D14" s="384" t="s">
        <v>4040</v>
      </c>
      <c r="E14" s="384" t="s">
        <v>18</v>
      </c>
      <c r="F14" s="383" t="s">
        <v>11</v>
      </c>
      <c r="G14" s="383" t="s">
        <v>3851</v>
      </c>
      <c r="H14" s="384" t="s">
        <v>3852</v>
      </c>
      <c r="I14" s="385">
        <v>43613</v>
      </c>
      <c r="J14" s="390" t="s">
        <v>4057</v>
      </c>
      <c r="K14" s="388" t="s">
        <v>2866</v>
      </c>
      <c r="L14" s="388" t="s">
        <v>3880</v>
      </c>
      <c r="M14" s="388" t="s">
        <v>3978</v>
      </c>
      <c r="N14" s="383"/>
      <c r="O14" s="383"/>
      <c r="P14" s="383"/>
      <c r="Q14" s="383"/>
      <c r="R14" s="383"/>
      <c r="S14" s="383"/>
      <c r="T14" s="383"/>
      <c r="U14" s="383"/>
      <c r="V14" s="383"/>
      <c r="W14" s="383"/>
      <c r="X14" s="383"/>
      <c r="Y14" s="384"/>
      <c r="Z14" s="384" t="s">
        <v>4058</v>
      </c>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384"/>
      <c r="AZ14" s="384"/>
      <c r="BA14" s="384"/>
      <c r="BB14" s="384"/>
      <c r="BC14" s="384"/>
      <c r="BD14" s="384"/>
      <c r="BE14" s="384" t="s">
        <v>4041</v>
      </c>
      <c r="BF14" s="391" t="s">
        <v>4080</v>
      </c>
    </row>
    <row r="15" spans="1:61" ht="63.75" hidden="1" outlineLevel="1" x14ac:dyDescent="0.2">
      <c r="A15" s="382" t="s">
        <v>584</v>
      </c>
      <c r="B15" s="383" t="s">
        <v>4073</v>
      </c>
      <c r="C15" s="383" t="s">
        <v>4072</v>
      </c>
      <c r="D15" s="384" t="s">
        <v>4074</v>
      </c>
      <c r="E15" s="384" t="s">
        <v>810</v>
      </c>
      <c r="F15" s="383" t="s">
        <v>105</v>
      </c>
      <c r="G15" s="383" t="s">
        <v>3851</v>
      </c>
      <c r="H15" s="384" t="s">
        <v>3852</v>
      </c>
      <c r="I15" s="385">
        <v>43640</v>
      </c>
      <c r="J15" s="390" t="s">
        <v>4086</v>
      </c>
      <c r="K15" s="388" t="s">
        <v>2866</v>
      </c>
      <c r="L15" s="388" t="s">
        <v>4088</v>
      </c>
      <c r="M15" s="388" t="s">
        <v>3978</v>
      </c>
      <c r="N15" s="383"/>
      <c r="O15" s="383"/>
      <c r="P15" s="383"/>
      <c r="Q15" s="383"/>
      <c r="R15" s="383"/>
      <c r="S15" s="383"/>
      <c r="T15" s="383"/>
      <c r="U15" s="383"/>
      <c r="V15" s="383"/>
      <c r="W15" s="383"/>
      <c r="X15" s="383"/>
      <c r="Y15" s="384"/>
      <c r="Z15" s="384"/>
      <c r="AA15" s="384">
        <v>10</v>
      </c>
      <c r="AB15" s="384" t="s">
        <v>4100</v>
      </c>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384"/>
      <c r="BA15" s="384"/>
      <c r="BB15" s="384"/>
      <c r="BC15" s="384"/>
      <c r="BD15" s="384"/>
      <c r="BE15" s="384" t="s">
        <v>4075</v>
      </c>
      <c r="BF15" s="389" t="s">
        <v>4123</v>
      </c>
    </row>
    <row r="16" spans="1:61" ht="140.25" hidden="1" outlineLevel="1" x14ac:dyDescent="0.2">
      <c r="A16" s="382" t="s">
        <v>1137</v>
      </c>
      <c r="B16" s="383" t="s">
        <v>4024</v>
      </c>
      <c r="C16" s="383" t="s">
        <v>1859</v>
      </c>
      <c r="D16" s="384" t="s">
        <v>1859</v>
      </c>
      <c r="E16" s="384" t="s">
        <v>685</v>
      </c>
      <c r="F16" s="383" t="s">
        <v>16</v>
      </c>
      <c r="G16" s="383" t="s">
        <v>3851</v>
      </c>
      <c r="H16" s="384" t="s">
        <v>3852</v>
      </c>
      <c r="I16" s="385">
        <v>43628</v>
      </c>
      <c r="J16" s="390" t="s">
        <v>4025</v>
      </c>
      <c r="K16" s="388" t="s">
        <v>2866</v>
      </c>
      <c r="L16" s="388" t="s">
        <v>3880</v>
      </c>
      <c r="M16" s="388" t="s">
        <v>4026</v>
      </c>
      <c r="N16" s="383"/>
      <c r="O16" s="383"/>
      <c r="P16" s="383"/>
      <c r="Q16" s="383"/>
      <c r="R16" s="383"/>
      <c r="S16" s="383"/>
      <c r="T16" s="383"/>
      <c r="U16" s="383"/>
      <c r="V16" s="383"/>
      <c r="W16" s="383"/>
      <c r="X16" s="383"/>
      <c r="Y16" s="384">
        <v>152</v>
      </c>
      <c r="Z16" s="384">
        <v>132</v>
      </c>
      <c r="AA16" s="384">
        <v>102</v>
      </c>
      <c r="AB16" s="384">
        <v>70</v>
      </c>
      <c r="AC16" s="384">
        <v>45</v>
      </c>
      <c r="AD16" s="384" t="s">
        <v>4152</v>
      </c>
      <c r="AE16" s="384"/>
      <c r="AF16" s="384"/>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4"/>
      <c r="BC16" s="384"/>
      <c r="BD16" s="384"/>
      <c r="BE16" s="384" t="s">
        <v>4027</v>
      </c>
      <c r="BF16" s="389" t="s">
        <v>4167</v>
      </c>
    </row>
    <row r="17" spans="1:58" ht="63.75" hidden="1" outlineLevel="1" x14ac:dyDescent="0.2">
      <c r="A17" s="382" t="s">
        <v>1137</v>
      </c>
      <c r="B17" s="383" t="s">
        <v>4035</v>
      </c>
      <c r="C17" s="383" t="s">
        <v>4036</v>
      </c>
      <c r="D17" s="384" t="s">
        <v>2316</v>
      </c>
      <c r="E17" s="384" t="s">
        <v>795</v>
      </c>
      <c r="F17" s="383" t="s">
        <v>11</v>
      </c>
      <c r="G17" s="383" t="s">
        <v>3851</v>
      </c>
      <c r="H17" s="384" t="s">
        <v>3852</v>
      </c>
      <c r="I17" s="385">
        <v>43629</v>
      </c>
      <c r="J17" s="390" t="s">
        <v>4059</v>
      </c>
      <c r="K17" s="388" t="s">
        <v>2866</v>
      </c>
      <c r="L17" s="388" t="s">
        <v>3880</v>
      </c>
      <c r="M17" s="388" t="s">
        <v>3978</v>
      </c>
      <c r="N17" s="383"/>
      <c r="O17" s="383"/>
      <c r="P17" s="383"/>
      <c r="Q17" s="383"/>
      <c r="R17" s="383"/>
      <c r="S17" s="383"/>
      <c r="T17" s="383"/>
      <c r="U17" s="383"/>
      <c r="V17" s="383"/>
      <c r="W17" s="383"/>
      <c r="X17" s="383"/>
      <c r="Y17" s="384"/>
      <c r="Z17" s="384">
        <v>142</v>
      </c>
      <c r="AA17" s="384">
        <v>111</v>
      </c>
      <c r="AB17" s="384">
        <v>78</v>
      </c>
      <c r="AC17" s="384">
        <v>50</v>
      </c>
      <c r="AD17" s="384" t="s">
        <v>4152</v>
      </c>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384"/>
      <c r="BA17" s="384"/>
      <c r="BB17" s="384"/>
      <c r="BC17" s="384"/>
      <c r="BD17" s="384"/>
      <c r="BE17" s="384" t="s">
        <v>4037</v>
      </c>
      <c r="BF17" s="389" t="s">
        <v>4167</v>
      </c>
    </row>
    <row r="18" spans="1:58" ht="63.75" hidden="1" outlineLevel="1" x14ac:dyDescent="0.2">
      <c r="A18" s="382" t="s">
        <v>1137</v>
      </c>
      <c r="B18" s="383" t="s">
        <v>4042</v>
      </c>
      <c r="C18" s="383" t="s">
        <v>830</v>
      </c>
      <c r="D18" s="384" t="s">
        <v>530</v>
      </c>
      <c r="E18" s="384" t="s">
        <v>18</v>
      </c>
      <c r="F18" s="383" t="s">
        <v>16</v>
      </c>
      <c r="G18" s="383" t="s">
        <v>3851</v>
      </c>
      <c r="H18" s="384" t="s">
        <v>3852</v>
      </c>
      <c r="I18" s="385">
        <v>43627</v>
      </c>
      <c r="J18" s="390" t="s">
        <v>4056</v>
      </c>
      <c r="K18" s="388" t="s">
        <v>2866</v>
      </c>
      <c r="L18" s="388" t="s">
        <v>3880</v>
      </c>
      <c r="M18" s="388" t="s">
        <v>3978</v>
      </c>
      <c r="N18" s="383"/>
      <c r="O18" s="383"/>
      <c r="P18" s="383"/>
      <c r="Q18" s="383"/>
      <c r="R18" s="383"/>
      <c r="S18" s="383"/>
      <c r="T18" s="383"/>
      <c r="U18" s="383"/>
      <c r="V18" s="383"/>
      <c r="W18" s="383"/>
      <c r="X18" s="383"/>
      <c r="Y18" s="384"/>
      <c r="Z18" s="384">
        <v>125</v>
      </c>
      <c r="AA18" s="384">
        <v>96</v>
      </c>
      <c r="AB18" s="384">
        <v>65</v>
      </c>
      <c r="AC18" s="384">
        <v>42</v>
      </c>
      <c r="AD18" s="384" t="s">
        <v>4153</v>
      </c>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384"/>
      <c r="BA18" s="384"/>
      <c r="BB18" s="384"/>
      <c r="BC18" s="384"/>
      <c r="BD18" s="384"/>
      <c r="BE18" s="384" t="s">
        <v>4043</v>
      </c>
      <c r="BF18" s="389" t="s">
        <v>4167</v>
      </c>
    </row>
    <row r="19" spans="1:58" ht="63.75" hidden="1" outlineLevel="1" x14ac:dyDescent="0.2">
      <c r="A19" s="382" t="s">
        <v>584</v>
      </c>
      <c r="B19" s="383" t="s">
        <v>4044</v>
      </c>
      <c r="C19" s="383" t="s">
        <v>4045</v>
      </c>
      <c r="D19" s="384" t="s">
        <v>4047</v>
      </c>
      <c r="E19" s="384" t="s">
        <v>4046</v>
      </c>
      <c r="F19" s="383" t="s">
        <v>11</v>
      </c>
      <c r="G19" s="383" t="s">
        <v>3851</v>
      </c>
      <c r="H19" s="384" t="s">
        <v>3852</v>
      </c>
      <c r="I19" s="385">
        <v>43633</v>
      </c>
      <c r="J19" s="390" t="s">
        <v>4060</v>
      </c>
      <c r="K19" s="388" t="s">
        <v>2866</v>
      </c>
      <c r="L19" s="388" t="s">
        <v>3880</v>
      </c>
      <c r="M19" s="388" t="s">
        <v>3978</v>
      </c>
      <c r="N19" s="383"/>
      <c r="O19" s="383"/>
      <c r="P19" s="383"/>
      <c r="Q19" s="383"/>
      <c r="R19" s="383"/>
      <c r="S19" s="383"/>
      <c r="T19" s="383"/>
      <c r="U19" s="383"/>
      <c r="V19" s="383"/>
      <c r="W19" s="383"/>
      <c r="X19" s="383"/>
      <c r="Y19" s="384"/>
      <c r="Z19" s="384">
        <v>168</v>
      </c>
      <c r="AA19" s="384">
        <v>135</v>
      </c>
      <c r="AB19" s="384">
        <v>102</v>
      </c>
      <c r="AC19" s="384">
        <v>68</v>
      </c>
      <c r="AD19" s="384" t="s">
        <v>4152</v>
      </c>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384"/>
      <c r="BA19" s="384"/>
      <c r="BB19" s="384"/>
      <c r="BC19" s="384"/>
      <c r="BD19" s="384"/>
      <c r="BE19" s="384" t="s">
        <v>4048</v>
      </c>
      <c r="BF19" s="389" t="s">
        <v>4167</v>
      </c>
    </row>
    <row r="20" spans="1:58" ht="63.75" hidden="1" outlineLevel="1" x14ac:dyDescent="0.2">
      <c r="A20" s="382" t="s">
        <v>584</v>
      </c>
      <c r="B20" s="383" t="s">
        <v>4067</v>
      </c>
      <c r="C20" s="383" t="s">
        <v>4068</v>
      </c>
      <c r="D20" s="384" t="s">
        <v>4069</v>
      </c>
      <c r="E20" s="384" t="s">
        <v>2641</v>
      </c>
      <c r="F20" s="383" t="s">
        <v>11</v>
      </c>
      <c r="G20" s="383" t="s">
        <v>3851</v>
      </c>
      <c r="H20" s="384" t="s">
        <v>3852</v>
      </c>
      <c r="I20" s="385">
        <v>43633</v>
      </c>
      <c r="J20" s="390" t="s">
        <v>4085</v>
      </c>
      <c r="K20" s="388" t="s">
        <v>2866</v>
      </c>
      <c r="L20" s="388" t="s">
        <v>3880</v>
      </c>
      <c r="M20" s="388" t="s">
        <v>3978</v>
      </c>
      <c r="N20" s="383"/>
      <c r="O20" s="383"/>
      <c r="P20" s="383"/>
      <c r="Q20" s="383"/>
      <c r="R20" s="383"/>
      <c r="S20" s="383"/>
      <c r="T20" s="383"/>
      <c r="U20" s="383"/>
      <c r="V20" s="383"/>
      <c r="W20" s="383"/>
      <c r="X20" s="383"/>
      <c r="Y20" s="384"/>
      <c r="Z20" s="384"/>
      <c r="AA20" s="384">
        <v>133</v>
      </c>
      <c r="AB20" s="384">
        <v>100</v>
      </c>
      <c r="AC20" s="384">
        <v>66</v>
      </c>
      <c r="AD20" s="384" t="s">
        <v>4152</v>
      </c>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384"/>
      <c r="BA20" s="384"/>
      <c r="BB20" s="384"/>
      <c r="BC20" s="384"/>
      <c r="BD20" s="384"/>
      <c r="BE20" s="384"/>
      <c r="BF20" s="389" t="s">
        <v>4167</v>
      </c>
    </row>
    <row r="21" spans="1:58" ht="63.75" hidden="1" outlineLevel="1" x14ac:dyDescent="0.2">
      <c r="A21" s="382" t="s">
        <v>584</v>
      </c>
      <c r="B21" s="383" t="s">
        <v>4077</v>
      </c>
      <c r="C21" s="383" t="s">
        <v>4076</v>
      </c>
      <c r="D21" s="384" t="s">
        <v>1859</v>
      </c>
      <c r="E21" s="384" t="s">
        <v>4078</v>
      </c>
      <c r="F21" s="383" t="s">
        <v>454</v>
      </c>
      <c r="G21" s="383" t="s">
        <v>3851</v>
      </c>
      <c r="H21" s="384" t="s">
        <v>3852</v>
      </c>
      <c r="I21" s="385">
        <v>43633</v>
      </c>
      <c r="J21" s="390" t="s">
        <v>4087</v>
      </c>
      <c r="K21" s="388" t="s">
        <v>2866</v>
      </c>
      <c r="L21" s="388" t="s">
        <v>3880</v>
      </c>
      <c r="M21" s="388" t="s">
        <v>3978</v>
      </c>
      <c r="N21" s="383"/>
      <c r="O21" s="383"/>
      <c r="P21" s="383"/>
      <c r="Q21" s="383"/>
      <c r="R21" s="383"/>
      <c r="S21" s="383"/>
      <c r="T21" s="383"/>
      <c r="U21" s="383"/>
      <c r="V21" s="383"/>
      <c r="W21" s="383"/>
      <c r="X21" s="383"/>
      <c r="Y21" s="384"/>
      <c r="Z21" s="384"/>
      <c r="AA21" s="384">
        <v>131</v>
      </c>
      <c r="AB21" s="384">
        <v>98</v>
      </c>
      <c r="AC21" s="384">
        <v>64</v>
      </c>
      <c r="AD21" s="384" t="s">
        <v>4152</v>
      </c>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4"/>
      <c r="BC21" s="384"/>
      <c r="BD21" s="384"/>
      <c r="BE21" s="384" t="s">
        <v>4079</v>
      </c>
      <c r="BF21" s="389" t="s">
        <v>4167</v>
      </c>
    </row>
    <row r="22" spans="1:58" ht="63.75" hidden="1" outlineLevel="1" x14ac:dyDescent="0.2">
      <c r="A22" s="382" t="s">
        <v>1137</v>
      </c>
      <c r="B22" s="383" t="s">
        <v>4108</v>
      </c>
      <c r="C22" s="383" t="s">
        <v>1859</v>
      </c>
      <c r="D22" s="384" t="s">
        <v>1859</v>
      </c>
      <c r="E22" s="384" t="s">
        <v>3425</v>
      </c>
      <c r="F22" s="383" t="s">
        <v>16</v>
      </c>
      <c r="G22" s="383" t="s">
        <v>3851</v>
      </c>
      <c r="H22" s="384" t="s">
        <v>3852</v>
      </c>
      <c r="I22" s="385">
        <v>43643</v>
      </c>
      <c r="J22" s="390" t="s">
        <v>4125</v>
      </c>
      <c r="K22" s="388" t="s">
        <v>2866</v>
      </c>
      <c r="L22" s="388" t="s">
        <v>3880</v>
      </c>
      <c r="M22" s="388" t="s">
        <v>3978</v>
      </c>
      <c r="N22" s="383"/>
      <c r="O22" s="383"/>
      <c r="P22" s="383"/>
      <c r="Q22" s="383"/>
      <c r="R22" s="383"/>
      <c r="S22" s="383"/>
      <c r="T22" s="383"/>
      <c r="U22" s="383"/>
      <c r="V22" s="383"/>
      <c r="W22" s="383"/>
      <c r="X22" s="383"/>
      <c r="Y22" s="384"/>
      <c r="Z22" s="384"/>
      <c r="AA22" s="384"/>
      <c r="AB22" s="384">
        <v>148</v>
      </c>
      <c r="AC22" s="384">
        <v>110</v>
      </c>
      <c r="AD22" s="384" t="s">
        <v>4152</v>
      </c>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384"/>
      <c r="BA22" s="384"/>
      <c r="BB22" s="384"/>
      <c r="BC22" s="384"/>
      <c r="BD22" s="384"/>
      <c r="BE22" s="384" t="s">
        <v>4109</v>
      </c>
      <c r="BF22" s="389" t="s">
        <v>4167</v>
      </c>
    </row>
    <row r="23" spans="1:58" ht="63.75" hidden="1" outlineLevel="1" x14ac:dyDescent="0.2">
      <c r="A23" s="382" t="s">
        <v>1137</v>
      </c>
      <c r="B23" s="383" t="s">
        <v>4104</v>
      </c>
      <c r="C23" s="383" t="s">
        <v>4105</v>
      </c>
      <c r="D23" s="384" t="s">
        <v>4105</v>
      </c>
      <c r="E23" s="384" t="s">
        <v>4106</v>
      </c>
      <c r="F23" s="383" t="s">
        <v>16</v>
      </c>
      <c r="G23" s="383" t="s">
        <v>3851</v>
      </c>
      <c r="H23" s="384" t="s">
        <v>3852</v>
      </c>
      <c r="I23" s="385">
        <v>43643</v>
      </c>
      <c r="J23" s="390" t="s">
        <v>4107</v>
      </c>
      <c r="K23" s="388" t="s">
        <v>2866</v>
      </c>
      <c r="L23" s="388" t="s">
        <v>3880</v>
      </c>
      <c r="M23" s="388" t="s">
        <v>3978</v>
      </c>
      <c r="N23" s="383"/>
      <c r="O23" s="383"/>
      <c r="P23" s="383"/>
      <c r="Q23" s="383"/>
      <c r="R23" s="383"/>
      <c r="S23" s="383"/>
      <c r="T23" s="383"/>
      <c r="U23" s="383"/>
      <c r="V23" s="383"/>
      <c r="W23" s="383"/>
      <c r="X23" s="383"/>
      <c r="Y23" s="384"/>
      <c r="Z23" s="384"/>
      <c r="AA23" s="384"/>
      <c r="AB23" s="384">
        <v>147</v>
      </c>
      <c r="AC23" s="384">
        <v>109</v>
      </c>
      <c r="AD23" s="384" t="s">
        <v>4152</v>
      </c>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384"/>
      <c r="BA23" s="384"/>
      <c r="BB23" s="384"/>
      <c r="BC23" s="384"/>
      <c r="BD23" s="384"/>
      <c r="BE23" s="384"/>
      <c r="BF23" s="389" t="s">
        <v>4167</v>
      </c>
    </row>
    <row r="24" spans="1:58" ht="63.75" hidden="1" outlineLevel="1" collapsed="1" x14ac:dyDescent="0.2">
      <c r="A24" s="382" t="s">
        <v>1137</v>
      </c>
      <c r="B24" s="383" t="s">
        <v>4176</v>
      </c>
      <c r="C24" s="383" t="s">
        <v>4177</v>
      </c>
      <c r="D24" s="384" t="s">
        <v>4178</v>
      </c>
      <c r="E24" s="384" t="s">
        <v>4179</v>
      </c>
      <c r="F24" s="383" t="s">
        <v>11</v>
      </c>
      <c r="G24" s="383" t="s">
        <v>3851</v>
      </c>
      <c r="H24" s="384" t="s">
        <v>3852</v>
      </c>
      <c r="I24" s="385">
        <v>43670</v>
      </c>
      <c r="J24" s="390" t="s">
        <v>4183</v>
      </c>
      <c r="K24" s="388" t="s">
        <v>2866</v>
      </c>
      <c r="L24" s="388" t="s">
        <v>3880</v>
      </c>
      <c r="M24" s="388" t="s">
        <v>3978</v>
      </c>
      <c r="N24" s="383"/>
      <c r="O24" s="383"/>
      <c r="P24" s="383"/>
      <c r="Q24" s="383"/>
      <c r="R24" s="383"/>
      <c r="S24" s="383"/>
      <c r="T24" s="383"/>
      <c r="U24" s="383"/>
      <c r="V24" s="383"/>
      <c r="W24" s="383"/>
      <c r="X24" s="383"/>
      <c r="Y24" s="384"/>
      <c r="Z24" s="384"/>
      <c r="AA24" s="384"/>
      <c r="AB24" s="384"/>
      <c r="AC24" s="384"/>
      <c r="AD24" s="384"/>
      <c r="AE24" s="384"/>
      <c r="AF24" s="384">
        <v>208</v>
      </c>
      <c r="AG24" s="384">
        <v>191</v>
      </c>
      <c r="AH24" s="384" t="s">
        <v>4208</v>
      </c>
      <c r="AI24" s="384" t="s">
        <v>4245</v>
      </c>
      <c r="AJ24" s="384"/>
      <c r="AK24" s="384"/>
      <c r="AL24" s="384"/>
      <c r="AM24" s="384"/>
      <c r="AN24" s="384"/>
      <c r="AO24" s="384"/>
      <c r="AP24" s="384"/>
      <c r="AQ24" s="384"/>
      <c r="AR24" s="384"/>
      <c r="AS24" s="384"/>
      <c r="AT24" s="384"/>
      <c r="AU24" s="384"/>
      <c r="AV24" s="384"/>
      <c r="AW24" s="384"/>
      <c r="AX24" s="384"/>
      <c r="AY24" s="384"/>
      <c r="AZ24" s="384"/>
      <c r="BA24" s="384"/>
      <c r="BB24" s="384"/>
      <c r="BC24" s="384"/>
      <c r="BD24" s="384"/>
      <c r="BE24" s="384" t="s">
        <v>4209</v>
      </c>
      <c r="BF24" s="389" t="s">
        <v>4246</v>
      </c>
    </row>
    <row r="25" spans="1:58" ht="153" hidden="1" outlineLevel="1" x14ac:dyDescent="0.2">
      <c r="A25" s="382" t="s">
        <v>584</v>
      </c>
      <c r="B25" s="383" t="s">
        <v>1308</v>
      </c>
      <c r="C25" s="383" t="s">
        <v>1216</v>
      </c>
      <c r="D25" s="384" t="s">
        <v>4195</v>
      </c>
      <c r="E25" s="384" t="s">
        <v>4196</v>
      </c>
      <c r="F25" s="383" t="s">
        <v>3055</v>
      </c>
      <c r="G25" s="383" t="s">
        <v>3057</v>
      </c>
      <c r="H25" s="384" t="s">
        <v>4197</v>
      </c>
      <c r="I25" s="385">
        <v>43692</v>
      </c>
      <c r="J25" s="390">
        <v>1991076192</v>
      </c>
      <c r="K25" s="388" t="s">
        <v>2866</v>
      </c>
      <c r="L25" s="388" t="s">
        <v>4198</v>
      </c>
      <c r="M25" s="388" t="s">
        <v>4202</v>
      </c>
      <c r="N25" s="383"/>
      <c r="O25" s="383"/>
      <c r="P25" s="383"/>
      <c r="Q25" s="383"/>
      <c r="R25" s="383"/>
      <c r="S25" s="383"/>
      <c r="T25" s="383"/>
      <c r="U25" s="383"/>
      <c r="V25" s="383"/>
      <c r="W25" s="383"/>
      <c r="X25" s="383"/>
      <c r="Y25" s="384"/>
      <c r="Z25" s="384"/>
      <c r="AA25" s="384"/>
      <c r="AB25" s="384"/>
      <c r="AC25" s="384"/>
      <c r="AD25" s="384"/>
      <c r="AE25" s="384"/>
      <c r="AF25" s="384"/>
      <c r="AG25" s="384"/>
      <c r="AH25" s="384">
        <v>25</v>
      </c>
      <c r="AI25" s="384">
        <v>22</v>
      </c>
      <c r="AJ25" s="384" t="s">
        <v>4274</v>
      </c>
      <c r="AK25" s="384" t="s">
        <v>4334</v>
      </c>
      <c r="AL25" s="384" t="s">
        <v>4354</v>
      </c>
      <c r="AM25" s="384" t="s">
        <v>4354</v>
      </c>
      <c r="AN25" s="384"/>
      <c r="AO25" s="384"/>
      <c r="AP25" s="384"/>
      <c r="AQ25" s="384"/>
      <c r="AR25" s="384"/>
      <c r="AS25" s="384"/>
      <c r="AT25" s="384"/>
      <c r="AU25" s="384"/>
      <c r="AV25" s="384"/>
      <c r="AW25" s="384"/>
      <c r="AX25" s="384"/>
      <c r="AY25" s="384"/>
      <c r="AZ25" s="384"/>
      <c r="BA25" s="384"/>
      <c r="BB25" s="384"/>
      <c r="BC25" s="384"/>
      <c r="BD25" s="384"/>
      <c r="BE25" s="384" t="s">
        <v>4276</v>
      </c>
      <c r="BF25" s="389" t="s">
        <v>4357</v>
      </c>
    </row>
    <row r="26" spans="1:58" ht="89.25" hidden="1" outlineLevel="1" x14ac:dyDescent="0.2">
      <c r="A26" s="382" t="s">
        <v>584</v>
      </c>
      <c r="B26" s="383" t="s">
        <v>4193</v>
      </c>
      <c r="C26" s="383" t="s">
        <v>3310</v>
      </c>
      <c r="D26" s="384" t="s">
        <v>3393</v>
      </c>
      <c r="E26" s="384" t="s">
        <v>4194</v>
      </c>
      <c r="F26" s="383" t="s">
        <v>105</v>
      </c>
      <c r="G26" s="383" t="s">
        <v>3851</v>
      </c>
      <c r="H26" s="384" t="s">
        <v>3852</v>
      </c>
      <c r="I26" s="385">
        <v>43690</v>
      </c>
      <c r="J26" s="390">
        <v>1975267199</v>
      </c>
      <c r="K26" s="388" t="s">
        <v>2866</v>
      </c>
      <c r="L26" s="388" t="s">
        <v>4088</v>
      </c>
      <c r="M26" s="392" t="s">
        <v>3978</v>
      </c>
      <c r="N26" s="383"/>
      <c r="O26" s="383"/>
      <c r="P26" s="383"/>
      <c r="Q26" s="383"/>
      <c r="R26" s="383"/>
      <c r="S26" s="383"/>
      <c r="T26" s="383"/>
      <c r="U26" s="383"/>
      <c r="V26" s="383"/>
      <c r="W26" s="383"/>
      <c r="X26" s="383"/>
      <c r="Y26" s="384"/>
      <c r="Z26" s="384"/>
      <c r="AA26" s="384"/>
      <c r="AB26" s="384"/>
      <c r="AC26" s="384"/>
      <c r="AD26" s="384"/>
      <c r="AE26" s="384"/>
      <c r="AF26" s="384"/>
      <c r="AG26" s="384"/>
      <c r="AH26" s="384">
        <v>35</v>
      </c>
      <c r="AI26" s="384">
        <v>22</v>
      </c>
      <c r="AJ26" s="384" t="s">
        <v>4273</v>
      </c>
      <c r="AK26" s="384" t="s">
        <v>4334</v>
      </c>
      <c r="AL26" s="384" t="s">
        <v>4354</v>
      </c>
      <c r="AM26" s="384" t="s">
        <v>4354</v>
      </c>
      <c r="AN26" s="384"/>
      <c r="AO26" s="384"/>
      <c r="AP26" s="384"/>
      <c r="AQ26" s="384"/>
      <c r="AR26" s="384"/>
      <c r="AS26" s="384"/>
      <c r="AT26" s="384"/>
      <c r="AU26" s="384"/>
      <c r="AV26" s="384"/>
      <c r="AW26" s="384"/>
      <c r="AX26" s="384"/>
      <c r="AY26" s="384"/>
      <c r="AZ26" s="384"/>
      <c r="BA26" s="384"/>
      <c r="BB26" s="384"/>
      <c r="BC26" s="384"/>
      <c r="BD26" s="384"/>
      <c r="BE26" s="384" t="s">
        <v>4275</v>
      </c>
      <c r="BF26" s="389" t="s">
        <v>4357</v>
      </c>
    </row>
    <row r="27" spans="1:58" ht="191.25" hidden="1" outlineLevel="1" x14ac:dyDescent="0.2">
      <c r="A27" s="382" t="s">
        <v>1137</v>
      </c>
      <c r="B27" s="383" t="s">
        <v>4064</v>
      </c>
      <c r="C27" s="383" t="s">
        <v>3309</v>
      </c>
      <c r="D27" s="384" t="s">
        <v>3309</v>
      </c>
      <c r="E27" s="384" t="s">
        <v>685</v>
      </c>
      <c r="F27" s="383" t="s">
        <v>16</v>
      </c>
      <c r="G27" s="383" t="s">
        <v>3851</v>
      </c>
      <c r="H27" s="384" t="s">
        <v>3852</v>
      </c>
      <c r="I27" s="385">
        <v>43614</v>
      </c>
      <c r="J27" s="390" t="s">
        <v>112</v>
      </c>
      <c r="K27" s="393" t="s">
        <v>2866</v>
      </c>
      <c r="L27" s="388" t="s">
        <v>112</v>
      </c>
      <c r="M27" s="388" t="s">
        <v>4089</v>
      </c>
      <c r="N27" s="383"/>
      <c r="O27" s="383"/>
      <c r="P27" s="383"/>
      <c r="Q27" s="383"/>
      <c r="R27" s="383"/>
      <c r="S27" s="383"/>
      <c r="T27" s="383"/>
      <c r="U27" s="383"/>
      <c r="V27" s="383"/>
      <c r="W27" s="383"/>
      <c r="X27" s="383"/>
      <c r="Y27" s="384"/>
      <c r="Z27" s="384" t="s">
        <v>4066</v>
      </c>
      <c r="AA27" s="384" t="s">
        <v>4084</v>
      </c>
      <c r="AB27" s="384" t="s">
        <v>4098</v>
      </c>
      <c r="AC27" s="384" t="s">
        <v>4131</v>
      </c>
      <c r="AD27" s="384" t="s">
        <v>4151</v>
      </c>
      <c r="AE27" s="384" t="s">
        <v>4172</v>
      </c>
      <c r="AF27" s="384" t="s">
        <v>4172</v>
      </c>
      <c r="AG27" s="384" t="s">
        <v>4172</v>
      </c>
      <c r="AH27" s="384" t="s">
        <v>4172</v>
      </c>
      <c r="AI27" s="384" t="s">
        <v>4172</v>
      </c>
      <c r="AJ27" s="384" t="s">
        <v>4172</v>
      </c>
      <c r="AK27" s="384" t="s">
        <v>4172</v>
      </c>
      <c r="AL27" s="384" t="s">
        <v>4172</v>
      </c>
      <c r="AM27" s="384" t="s">
        <v>4172</v>
      </c>
      <c r="AN27" s="384" t="s">
        <v>4172</v>
      </c>
      <c r="AO27" s="384" t="s">
        <v>4172</v>
      </c>
      <c r="AP27" s="384" t="s">
        <v>4431</v>
      </c>
      <c r="AQ27" s="384" t="s">
        <v>4434</v>
      </c>
      <c r="AR27" s="384"/>
      <c r="AS27" s="384"/>
      <c r="AT27" s="384"/>
      <c r="AU27" s="384"/>
      <c r="AV27" s="384"/>
      <c r="AW27" s="384"/>
      <c r="AX27" s="384"/>
      <c r="AY27" s="384"/>
      <c r="AZ27" s="384"/>
      <c r="BA27" s="384"/>
      <c r="BB27" s="384"/>
      <c r="BC27" s="384"/>
      <c r="BD27" s="384"/>
      <c r="BE27" s="384" t="s">
        <v>4065</v>
      </c>
      <c r="BF27" s="389" t="s">
        <v>4438</v>
      </c>
    </row>
    <row r="28" spans="1:58" ht="63.75" hidden="1" outlineLevel="1" x14ac:dyDescent="0.2">
      <c r="A28" s="382" t="s">
        <v>1137</v>
      </c>
      <c r="B28" s="383" t="s">
        <v>1857</v>
      </c>
      <c r="C28" s="383" t="s">
        <v>3360</v>
      </c>
      <c r="D28" s="384" t="s">
        <v>3307</v>
      </c>
      <c r="E28" s="384" t="s">
        <v>4179</v>
      </c>
      <c r="F28" s="383" t="s">
        <v>11</v>
      </c>
      <c r="G28" s="383" t="s">
        <v>3851</v>
      </c>
      <c r="H28" s="384" t="s">
        <v>3852</v>
      </c>
      <c r="I28" s="385">
        <v>43690</v>
      </c>
      <c r="J28" s="390">
        <v>1976006190</v>
      </c>
      <c r="K28" s="388" t="s">
        <v>2866</v>
      </c>
      <c r="L28" s="388" t="s">
        <v>3880</v>
      </c>
      <c r="M28" s="392" t="s">
        <v>3978</v>
      </c>
      <c r="N28" s="383"/>
      <c r="O28" s="383"/>
      <c r="P28" s="383"/>
      <c r="Q28" s="383"/>
      <c r="R28" s="383"/>
      <c r="S28" s="383"/>
      <c r="T28" s="383"/>
      <c r="U28" s="383"/>
      <c r="V28" s="383"/>
      <c r="W28" s="383"/>
      <c r="X28" s="383"/>
      <c r="Y28" s="384"/>
      <c r="Z28" s="384"/>
      <c r="AA28" s="384"/>
      <c r="AB28" s="384"/>
      <c r="AC28" s="384"/>
      <c r="AD28" s="384"/>
      <c r="AE28" s="384"/>
      <c r="AF28" s="384"/>
      <c r="AG28" s="384"/>
      <c r="AH28" s="384">
        <v>223</v>
      </c>
      <c r="AI28" s="384">
        <v>184</v>
      </c>
      <c r="AJ28" s="384">
        <v>161</v>
      </c>
      <c r="AK28" s="384">
        <v>114</v>
      </c>
      <c r="AL28" s="384">
        <v>69</v>
      </c>
      <c r="AM28" s="384">
        <v>60</v>
      </c>
      <c r="AN28" s="384">
        <v>53</v>
      </c>
      <c r="AO28" s="394" t="s">
        <v>4396</v>
      </c>
      <c r="AP28" s="394" t="s">
        <v>4425</v>
      </c>
      <c r="AQ28" s="394" t="s">
        <v>4435</v>
      </c>
      <c r="AR28" s="394"/>
      <c r="AS28" s="394"/>
      <c r="AT28" s="394"/>
      <c r="AU28" s="394"/>
      <c r="AV28" s="394"/>
      <c r="AW28" s="394"/>
      <c r="AX28" s="394"/>
      <c r="AY28" s="394"/>
      <c r="AZ28" s="394"/>
      <c r="BA28" s="394"/>
      <c r="BB28" s="394"/>
      <c r="BC28" s="394"/>
      <c r="BD28" s="394"/>
      <c r="BE28" s="384" t="s">
        <v>4398</v>
      </c>
      <c r="BF28" s="389" t="s">
        <v>4397</v>
      </c>
    </row>
    <row r="29" spans="1:58" ht="63.75" hidden="1" outlineLevel="1" x14ac:dyDescent="0.2">
      <c r="A29" s="382" t="s">
        <v>584</v>
      </c>
      <c r="B29" s="383" t="s">
        <v>2356</v>
      </c>
      <c r="C29" s="383" t="s">
        <v>4214</v>
      </c>
      <c r="D29" s="384" t="s">
        <v>4215</v>
      </c>
      <c r="E29" s="384" t="s">
        <v>4216</v>
      </c>
      <c r="F29" s="383" t="s">
        <v>11</v>
      </c>
      <c r="G29" s="383" t="s">
        <v>3851</v>
      </c>
      <c r="H29" s="384" t="s">
        <v>3852</v>
      </c>
      <c r="I29" s="385">
        <v>43693</v>
      </c>
      <c r="J29" s="390">
        <v>1997757193</v>
      </c>
      <c r="K29" s="388" t="s">
        <v>2866</v>
      </c>
      <c r="L29" s="388" t="s">
        <v>3880</v>
      </c>
      <c r="M29" s="392" t="s">
        <v>3978</v>
      </c>
      <c r="N29" s="383"/>
      <c r="O29" s="383"/>
      <c r="P29" s="383"/>
      <c r="Q29" s="383"/>
      <c r="R29" s="383"/>
      <c r="S29" s="383"/>
      <c r="T29" s="383"/>
      <c r="U29" s="383"/>
      <c r="V29" s="383"/>
      <c r="W29" s="383"/>
      <c r="X29" s="383"/>
      <c r="Y29" s="384"/>
      <c r="Z29" s="384"/>
      <c r="AA29" s="384"/>
      <c r="AB29" s="384"/>
      <c r="AC29" s="384"/>
      <c r="AD29" s="384"/>
      <c r="AE29" s="384"/>
      <c r="AF29" s="384"/>
      <c r="AG29" s="384"/>
      <c r="AH29" s="384"/>
      <c r="AI29" s="384">
        <v>201</v>
      </c>
      <c r="AJ29" s="384">
        <v>178</v>
      </c>
      <c r="AK29" s="384">
        <v>131</v>
      </c>
      <c r="AL29" s="384">
        <v>86</v>
      </c>
      <c r="AM29" s="384">
        <v>67</v>
      </c>
      <c r="AN29" s="384">
        <v>57</v>
      </c>
      <c r="AO29" s="384">
        <v>49</v>
      </c>
      <c r="AP29" s="394" t="s">
        <v>4426</v>
      </c>
      <c r="AQ29" s="394" t="s">
        <v>4435</v>
      </c>
      <c r="AR29" s="394"/>
      <c r="AS29" s="394"/>
      <c r="AT29" s="394"/>
      <c r="AU29" s="394"/>
      <c r="AV29" s="394"/>
      <c r="AW29" s="394"/>
      <c r="AX29" s="394"/>
      <c r="AY29" s="394"/>
      <c r="AZ29" s="394"/>
      <c r="BA29" s="394"/>
      <c r="BB29" s="394"/>
      <c r="BC29" s="394"/>
      <c r="BD29" s="394"/>
      <c r="BE29" s="384" t="s">
        <v>4239</v>
      </c>
      <c r="BF29" s="389" t="s">
        <v>4438</v>
      </c>
    </row>
    <row r="30" spans="1:58" ht="63.75" hidden="1" outlineLevel="1" x14ac:dyDescent="0.2">
      <c r="A30" s="382" t="s">
        <v>1137</v>
      </c>
      <c r="B30" s="383" t="s">
        <v>4213</v>
      </c>
      <c r="C30" s="383" t="s">
        <v>3361</v>
      </c>
      <c r="D30" s="384" t="s">
        <v>1804</v>
      </c>
      <c r="E30" s="384" t="s">
        <v>3048</v>
      </c>
      <c r="F30" s="383" t="s">
        <v>11</v>
      </c>
      <c r="G30" s="383" t="s">
        <v>3851</v>
      </c>
      <c r="H30" s="384" t="s">
        <v>3852</v>
      </c>
      <c r="I30" s="385">
        <v>43697</v>
      </c>
      <c r="J30" s="390" t="s">
        <v>4389</v>
      </c>
      <c r="K30" s="388" t="s">
        <v>2866</v>
      </c>
      <c r="L30" s="388" t="s">
        <v>3880</v>
      </c>
      <c r="M30" s="392" t="s">
        <v>3978</v>
      </c>
      <c r="N30" s="383"/>
      <c r="O30" s="383"/>
      <c r="P30" s="383"/>
      <c r="Q30" s="383"/>
      <c r="R30" s="383"/>
      <c r="S30" s="383"/>
      <c r="T30" s="383"/>
      <c r="U30" s="383"/>
      <c r="V30" s="383"/>
      <c r="W30" s="383"/>
      <c r="X30" s="383"/>
      <c r="Y30" s="384"/>
      <c r="Z30" s="384"/>
      <c r="AA30" s="384"/>
      <c r="AB30" s="384"/>
      <c r="AC30" s="384"/>
      <c r="AD30" s="384"/>
      <c r="AE30" s="384"/>
      <c r="AF30" s="384"/>
      <c r="AG30" s="384"/>
      <c r="AH30" s="384"/>
      <c r="AI30" s="384">
        <v>226</v>
      </c>
      <c r="AJ30" s="384">
        <v>203</v>
      </c>
      <c r="AK30" s="384">
        <v>156</v>
      </c>
      <c r="AL30" s="384">
        <v>110</v>
      </c>
      <c r="AM30" s="384">
        <v>81</v>
      </c>
      <c r="AN30" s="384">
        <v>69</v>
      </c>
      <c r="AO30" s="394" t="s">
        <v>4396</v>
      </c>
      <c r="AP30" s="394" t="s">
        <v>4425</v>
      </c>
      <c r="AQ30" s="394" t="s">
        <v>4435</v>
      </c>
      <c r="AR30" s="394"/>
      <c r="AS30" s="394"/>
      <c r="AT30" s="394"/>
      <c r="AU30" s="394"/>
      <c r="AV30" s="394"/>
      <c r="AW30" s="394"/>
      <c r="AX30" s="394"/>
      <c r="AY30" s="394"/>
      <c r="AZ30" s="394"/>
      <c r="BA30" s="394"/>
      <c r="BB30" s="394"/>
      <c r="BC30" s="394"/>
      <c r="BD30" s="394"/>
      <c r="BE30" s="384" t="s">
        <v>4430</v>
      </c>
      <c r="BF30" s="389" t="s">
        <v>4438</v>
      </c>
    </row>
    <row r="31" spans="1:58" ht="63.75" hidden="1" outlineLevel="1" x14ac:dyDescent="0.2">
      <c r="A31" s="382" t="s">
        <v>584</v>
      </c>
      <c r="B31" s="383" t="s">
        <v>1846</v>
      </c>
      <c r="C31" s="383" t="s">
        <v>3303</v>
      </c>
      <c r="D31" s="384" t="s">
        <v>3306</v>
      </c>
      <c r="E31" s="384" t="s">
        <v>4234</v>
      </c>
      <c r="F31" s="383" t="s">
        <v>11</v>
      </c>
      <c r="G31" s="383" t="s">
        <v>3851</v>
      </c>
      <c r="H31" s="384" t="s">
        <v>3852</v>
      </c>
      <c r="I31" s="385">
        <v>43699</v>
      </c>
      <c r="J31" s="390">
        <v>2030877199</v>
      </c>
      <c r="K31" s="388" t="s">
        <v>2866</v>
      </c>
      <c r="L31" s="388" t="s">
        <v>3880</v>
      </c>
      <c r="M31" s="392" t="s">
        <v>3978</v>
      </c>
      <c r="N31" s="383"/>
      <c r="O31" s="383"/>
      <c r="P31" s="383"/>
      <c r="Q31" s="383"/>
      <c r="R31" s="383"/>
      <c r="S31" s="383"/>
      <c r="T31" s="383"/>
      <c r="U31" s="383"/>
      <c r="V31" s="383"/>
      <c r="W31" s="383"/>
      <c r="X31" s="383"/>
      <c r="Y31" s="384"/>
      <c r="Z31" s="384"/>
      <c r="AA31" s="384"/>
      <c r="AB31" s="384"/>
      <c r="AC31" s="384"/>
      <c r="AD31" s="384"/>
      <c r="AE31" s="384"/>
      <c r="AF31" s="384"/>
      <c r="AG31" s="384"/>
      <c r="AH31" s="384"/>
      <c r="AI31" s="384">
        <v>241</v>
      </c>
      <c r="AJ31" s="384">
        <v>218</v>
      </c>
      <c r="AK31" s="384">
        <v>170</v>
      </c>
      <c r="AL31" s="384">
        <v>124</v>
      </c>
      <c r="AM31" s="384">
        <v>95</v>
      </c>
      <c r="AN31" s="384">
        <v>79</v>
      </c>
      <c r="AO31" s="384">
        <v>69</v>
      </c>
      <c r="AP31" s="394" t="s">
        <v>4426</v>
      </c>
      <c r="AQ31" s="394" t="s">
        <v>4435</v>
      </c>
      <c r="AR31" s="394"/>
      <c r="AS31" s="394"/>
      <c r="AT31" s="394"/>
      <c r="AU31" s="394"/>
      <c r="AV31" s="394"/>
      <c r="AW31" s="394"/>
      <c r="AX31" s="394"/>
      <c r="AY31" s="394"/>
      <c r="AZ31" s="394"/>
      <c r="BA31" s="394"/>
      <c r="BB31" s="394"/>
      <c r="BC31" s="394"/>
      <c r="BD31" s="394"/>
      <c r="BE31" s="384" t="s">
        <v>4240</v>
      </c>
      <c r="BF31" s="389" t="s">
        <v>4438</v>
      </c>
    </row>
    <row r="32" spans="1:58" ht="63.75" hidden="1" outlineLevel="1" x14ac:dyDescent="0.2">
      <c r="A32" s="382" t="s">
        <v>584</v>
      </c>
      <c r="B32" s="383" t="s">
        <v>4235</v>
      </c>
      <c r="C32" s="383" t="s">
        <v>4236</v>
      </c>
      <c r="D32" s="384" t="s">
        <v>1402</v>
      </c>
      <c r="E32" s="384" t="s">
        <v>3098</v>
      </c>
      <c r="F32" s="383" t="s">
        <v>11</v>
      </c>
      <c r="G32" s="383" t="s">
        <v>3851</v>
      </c>
      <c r="H32" s="384" t="s">
        <v>3852</v>
      </c>
      <c r="I32" s="385">
        <v>43699</v>
      </c>
      <c r="J32" s="390">
        <v>2033811192</v>
      </c>
      <c r="K32" s="388" t="s">
        <v>2866</v>
      </c>
      <c r="L32" s="388" t="s">
        <v>3880</v>
      </c>
      <c r="M32" s="392" t="s">
        <v>3978</v>
      </c>
      <c r="N32" s="383"/>
      <c r="O32" s="383"/>
      <c r="P32" s="383"/>
      <c r="Q32" s="383"/>
      <c r="R32" s="383"/>
      <c r="S32" s="383"/>
      <c r="T32" s="383"/>
      <c r="U32" s="383"/>
      <c r="V32" s="383"/>
      <c r="W32" s="383"/>
      <c r="X32" s="383"/>
      <c r="Y32" s="384"/>
      <c r="Z32" s="384"/>
      <c r="AA32" s="384"/>
      <c r="AB32" s="384"/>
      <c r="AC32" s="384"/>
      <c r="AD32" s="384"/>
      <c r="AE32" s="384"/>
      <c r="AF32" s="384"/>
      <c r="AG32" s="384"/>
      <c r="AH32" s="384"/>
      <c r="AI32" s="384">
        <v>245</v>
      </c>
      <c r="AJ32" s="384">
        <v>222</v>
      </c>
      <c r="AK32" s="384">
        <v>174</v>
      </c>
      <c r="AL32" s="384">
        <v>128</v>
      </c>
      <c r="AM32" s="384">
        <v>99</v>
      </c>
      <c r="AN32" s="384">
        <v>83</v>
      </c>
      <c r="AO32" s="384">
        <v>73</v>
      </c>
      <c r="AP32" s="394" t="s">
        <v>4426</v>
      </c>
      <c r="AQ32" s="394" t="s">
        <v>4435</v>
      </c>
      <c r="AR32" s="394"/>
      <c r="AS32" s="394"/>
      <c r="AT32" s="394"/>
      <c r="AU32" s="394"/>
      <c r="AV32" s="394"/>
      <c r="AW32" s="394"/>
      <c r="AX32" s="394"/>
      <c r="AY32" s="394"/>
      <c r="AZ32" s="394"/>
      <c r="BA32" s="394"/>
      <c r="BB32" s="394"/>
      <c r="BC32" s="394"/>
      <c r="BD32" s="394"/>
      <c r="BE32" s="384" t="s">
        <v>4241</v>
      </c>
      <c r="BF32" s="389" t="s">
        <v>4438</v>
      </c>
    </row>
    <row r="33" spans="1:58" ht="63.75" hidden="1" outlineLevel="1" x14ac:dyDescent="0.2">
      <c r="A33" s="382" t="s">
        <v>584</v>
      </c>
      <c r="B33" s="383" t="s">
        <v>2579</v>
      </c>
      <c r="C33" s="383" t="s">
        <v>4237</v>
      </c>
      <c r="D33" s="384" t="s">
        <v>1064</v>
      </c>
      <c r="E33" s="384" t="s">
        <v>66</v>
      </c>
      <c r="F33" s="383" t="s">
        <v>11</v>
      </c>
      <c r="G33" s="383" t="s">
        <v>3851</v>
      </c>
      <c r="H33" s="384" t="s">
        <v>3852</v>
      </c>
      <c r="I33" s="385">
        <v>43699</v>
      </c>
      <c r="J33" s="390">
        <v>2034401195</v>
      </c>
      <c r="K33" s="388" t="s">
        <v>2866</v>
      </c>
      <c r="L33" s="388" t="s">
        <v>3880</v>
      </c>
      <c r="M33" s="392" t="s">
        <v>3978</v>
      </c>
      <c r="N33" s="383"/>
      <c r="O33" s="383"/>
      <c r="P33" s="383"/>
      <c r="Q33" s="383"/>
      <c r="R33" s="383"/>
      <c r="S33" s="383"/>
      <c r="T33" s="383"/>
      <c r="U33" s="383"/>
      <c r="V33" s="383"/>
      <c r="W33" s="383"/>
      <c r="X33" s="383"/>
      <c r="Y33" s="384"/>
      <c r="Z33" s="384"/>
      <c r="AA33" s="384"/>
      <c r="AB33" s="384"/>
      <c r="AC33" s="384"/>
      <c r="AD33" s="384"/>
      <c r="AE33" s="384"/>
      <c r="AF33" s="384"/>
      <c r="AG33" s="384"/>
      <c r="AH33" s="384"/>
      <c r="AI33" s="384">
        <v>246</v>
      </c>
      <c r="AJ33" s="384">
        <v>223</v>
      </c>
      <c r="AK33" s="384">
        <v>175</v>
      </c>
      <c r="AL33" s="384">
        <v>129</v>
      </c>
      <c r="AM33" s="384">
        <v>100</v>
      </c>
      <c r="AN33" s="384">
        <v>84</v>
      </c>
      <c r="AO33" s="384">
        <v>74</v>
      </c>
      <c r="AP33" s="394" t="s">
        <v>4426</v>
      </c>
      <c r="AQ33" s="394" t="s">
        <v>4435</v>
      </c>
      <c r="AR33" s="394"/>
      <c r="AS33" s="394"/>
      <c r="AT33" s="394"/>
      <c r="AU33" s="394"/>
      <c r="AV33" s="394"/>
      <c r="AW33" s="394"/>
      <c r="AX33" s="394"/>
      <c r="AY33" s="394"/>
      <c r="AZ33" s="394"/>
      <c r="BA33" s="394"/>
      <c r="BB33" s="394"/>
      <c r="BC33" s="394"/>
      <c r="BD33" s="394"/>
      <c r="BE33" s="384" t="s">
        <v>4242</v>
      </c>
      <c r="BF33" s="389" t="s">
        <v>4438</v>
      </c>
    </row>
    <row r="34" spans="1:58" ht="63.75" hidden="1" outlineLevel="1" x14ac:dyDescent="0.2">
      <c r="A34" s="395" t="s">
        <v>1137</v>
      </c>
      <c r="B34" s="396" t="s">
        <v>4249</v>
      </c>
      <c r="C34" s="396" t="s">
        <v>773</v>
      </c>
      <c r="D34" s="394" t="s">
        <v>774</v>
      </c>
      <c r="E34" s="394" t="s">
        <v>685</v>
      </c>
      <c r="F34" s="396" t="s">
        <v>11</v>
      </c>
      <c r="G34" s="396" t="s">
        <v>3851</v>
      </c>
      <c r="H34" s="394" t="s">
        <v>3852</v>
      </c>
      <c r="I34" s="397">
        <v>43703</v>
      </c>
      <c r="J34" s="398">
        <v>2052651192</v>
      </c>
      <c r="K34" s="393" t="s">
        <v>2866</v>
      </c>
      <c r="L34" s="393" t="s">
        <v>3880</v>
      </c>
      <c r="M34" s="392" t="s">
        <v>3978</v>
      </c>
      <c r="N34" s="396"/>
      <c r="O34" s="396"/>
      <c r="P34" s="396"/>
      <c r="Q34" s="396"/>
      <c r="R34" s="396"/>
      <c r="S34" s="396"/>
      <c r="T34" s="396"/>
      <c r="U34" s="396"/>
      <c r="V34" s="396"/>
      <c r="W34" s="396"/>
      <c r="X34" s="396"/>
      <c r="Y34" s="394"/>
      <c r="Z34" s="394"/>
      <c r="AA34" s="394"/>
      <c r="AB34" s="394"/>
      <c r="AC34" s="394"/>
      <c r="AD34" s="394"/>
      <c r="AE34" s="394"/>
      <c r="AF34" s="394"/>
      <c r="AG34" s="394"/>
      <c r="AH34" s="394"/>
      <c r="AI34" s="394"/>
      <c r="AJ34" s="394">
        <v>279</v>
      </c>
      <c r="AK34" s="394">
        <v>230</v>
      </c>
      <c r="AL34" s="394">
        <v>184</v>
      </c>
      <c r="AM34" s="394">
        <v>153</v>
      </c>
      <c r="AN34" s="394">
        <v>137</v>
      </c>
      <c r="AO34" s="394" t="s">
        <v>4396</v>
      </c>
      <c r="AP34" s="394" t="s">
        <v>4425</v>
      </c>
      <c r="AQ34" s="394" t="s">
        <v>4435</v>
      </c>
      <c r="AR34" s="394"/>
      <c r="AS34" s="394"/>
      <c r="AT34" s="394"/>
      <c r="AU34" s="394"/>
      <c r="AV34" s="394"/>
      <c r="AW34" s="394"/>
      <c r="AX34" s="394"/>
      <c r="AY34" s="394"/>
      <c r="AZ34" s="394"/>
      <c r="BA34" s="394"/>
      <c r="BB34" s="394"/>
      <c r="BC34" s="394"/>
      <c r="BD34" s="394"/>
      <c r="BE34" s="384" t="s">
        <v>4399</v>
      </c>
      <c r="BF34" s="389" t="s">
        <v>4438</v>
      </c>
    </row>
    <row r="35" spans="1:58" ht="63.75" hidden="1" outlineLevel="1" x14ac:dyDescent="0.2">
      <c r="A35" s="399" t="s">
        <v>1137</v>
      </c>
      <c r="B35" s="400" t="s">
        <v>4279</v>
      </c>
      <c r="C35" s="400" t="s">
        <v>4277</v>
      </c>
      <c r="D35" s="401" t="s">
        <v>1100</v>
      </c>
      <c r="E35" s="401" t="s">
        <v>4278</v>
      </c>
      <c r="F35" s="400" t="s">
        <v>11</v>
      </c>
      <c r="G35" s="400" t="s">
        <v>3851</v>
      </c>
      <c r="H35" s="401" t="s">
        <v>3852</v>
      </c>
      <c r="I35" s="402">
        <v>43706</v>
      </c>
      <c r="J35" s="403" t="s">
        <v>4280</v>
      </c>
      <c r="K35" s="393" t="s">
        <v>2866</v>
      </c>
      <c r="L35" s="393" t="s">
        <v>3880</v>
      </c>
      <c r="M35" s="392" t="s">
        <v>3978</v>
      </c>
      <c r="N35" s="400"/>
      <c r="O35" s="400"/>
      <c r="P35" s="400"/>
      <c r="Q35" s="400"/>
      <c r="R35" s="400"/>
      <c r="S35" s="400"/>
      <c r="T35" s="400"/>
      <c r="U35" s="400"/>
      <c r="V35" s="400"/>
      <c r="W35" s="400"/>
      <c r="X35" s="400"/>
      <c r="Y35" s="401"/>
      <c r="Z35" s="401"/>
      <c r="AA35" s="401"/>
      <c r="AB35" s="401"/>
      <c r="AC35" s="401"/>
      <c r="AD35" s="401"/>
      <c r="AE35" s="401"/>
      <c r="AF35" s="401"/>
      <c r="AG35" s="401"/>
      <c r="AH35" s="401"/>
      <c r="AI35" s="401"/>
      <c r="AJ35" s="401">
        <v>314</v>
      </c>
      <c r="AK35" s="401">
        <v>265</v>
      </c>
      <c r="AL35" s="384">
        <v>216</v>
      </c>
      <c r="AM35" s="384">
        <v>185</v>
      </c>
      <c r="AN35" s="384">
        <v>169</v>
      </c>
      <c r="AO35" s="394" t="s">
        <v>4396</v>
      </c>
      <c r="AP35" s="394" t="s">
        <v>4425</v>
      </c>
      <c r="AQ35" s="394" t="s">
        <v>4435</v>
      </c>
      <c r="AR35" s="394"/>
      <c r="AS35" s="394"/>
      <c r="AT35" s="394"/>
      <c r="AU35" s="394"/>
      <c r="AV35" s="394"/>
      <c r="AW35" s="394"/>
      <c r="AX35" s="394"/>
      <c r="AY35" s="394"/>
      <c r="AZ35" s="394"/>
      <c r="BA35" s="394"/>
      <c r="BB35" s="394"/>
      <c r="BC35" s="394"/>
      <c r="BD35" s="394"/>
      <c r="BE35" s="384" t="s">
        <v>4400</v>
      </c>
      <c r="BF35" s="389" t="s">
        <v>4438</v>
      </c>
    </row>
    <row r="36" spans="1:58" ht="63.75" hidden="1" outlineLevel="1" x14ac:dyDescent="0.2">
      <c r="A36" s="399" t="s">
        <v>1137</v>
      </c>
      <c r="B36" s="400" t="s">
        <v>4300</v>
      </c>
      <c r="C36" s="401" t="s">
        <v>4294</v>
      </c>
      <c r="D36" s="401" t="s">
        <v>855</v>
      </c>
      <c r="E36" s="401" t="s">
        <v>4295</v>
      </c>
      <c r="F36" s="400" t="s">
        <v>16</v>
      </c>
      <c r="G36" s="400" t="s">
        <v>3851</v>
      </c>
      <c r="H36" s="401" t="s">
        <v>3852</v>
      </c>
      <c r="I36" s="402">
        <v>43710</v>
      </c>
      <c r="J36" s="403" t="s">
        <v>4296</v>
      </c>
      <c r="K36" s="393" t="s">
        <v>2866</v>
      </c>
      <c r="L36" s="393" t="s">
        <v>3880</v>
      </c>
      <c r="M36" s="392" t="s">
        <v>3978</v>
      </c>
      <c r="N36" s="400"/>
      <c r="O36" s="400"/>
      <c r="P36" s="400"/>
      <c r="Q36" s="400"/>
      <c r="R36" s="400"/>
      <c r="S36" s="400"/>
      <c r="T36" s="400"/>
      <c r="U36" s="400"/>
      <c r="V36" s="400"/>
      <c r="W36" s="400"/>
      <c r="X36" s="400"/>
      <c r="Y36" s="401"/>
      <c r="Z36" s="401"/>
      <c r="AA36" s="401"/>
      <c r="AB36" s="401"/>
      <c r="AC36" s="401"/>
      <c r="AD36" s="401"/>
      <c r="AE36" s="401"/>
      <c r="AF36" s="401"/>
      <c r="AG36" s="401"/>
      <c r="AH36" s="401"/>
      <c r="AI36" s="401"/>
      <c r="AJ36" s="401"/>
      <c r="AK36" s="401">
        <v>295</v>
      </c>
      <c r="AL36" s="384">
        <v>246</v>
      </c>
      <c r="AM36" s="384">
        <v>215</v>
      </c>
      <c r="AN36" s="384">
        <v>199</v>
      </c>
      <c r="AO36" s="394" t="s">
        <v>4396</v>
      </c>
      <c r="AP36" s="394" t="s">
        <v>4425</v>
      </c>
      <c r="AQ36" s="394" t="s">
        <v>4435</v>
      </c>
      <c r="AR36" s="394"/>
      <c r="AS36" s="394"/>
      <c r="AT36" s="394"/>
      <c r="AU36" s="394"/>
      <c r="AV36" s="394"/>
      <c r="AW36" s="394"/>
      <c r="AX36" s="394"/>
      <c r="AY36" s="394"/>
      <c r="AZ36" s="394"/>
      <c r="BA36" s="394"/>
      <c r="BB36" s="394"/>
      <c r="BC36" s="394"/>
      <c r="BD36" s="394"/>
      <c r="BE36" s="384" t="s">
        <v>4401</v>
      </c>
      <c r="BF36" s="389" t="s">
        <v>4438</v>
      </c>
    </row>
    <row r="37" spans="1:58" ht="63.75" hidden="1" outlineLevel="1" x14ac:dyDescent="0.2">
      <c r="A37" s="399" t="s">
        <v>1137</v>
      </c>
      <c r="B37" s="400" t="s">
        <v>4299</v>
      </c>
      <c r="C37" s="400" t="s">
        <v>4298</v>
      </c>
      <c r="D37" s="401" t="s">
        <v>4298</v>
      </c>
      <c r="E37" s="401" t="s">
        <v>4301</v>
      </c>
      <c r="F37" s="400" t="s">
        <v>16</v>
      </c>
      <c r="G37" s="400" t="s">
        <v>3851</v>
      </c>
      <c r="H37" s="401" t="s">
        <v>3852</v>
      </c>
      <c r="I37" s="402">
        <v>43710</v>
      </c>
      <c r="J37" s="403" t="s">
        <v>4302</v>
      </c>
      <c r="K37" s="393" t="s">
        <v>2866</v>
      </c>
      <c r="L37" s="393" t="s">
        <v>3880</v>
      </c>
      <c r="M37" s="392" t="s">
        <v>3978</v>
      </c>
      <c r="N37" s="400"/>
      <c r="O37" s="400"/>
      <c r="P37" s="400"/>
      <c r="Q37" s="400"/>
      <c r="R37" s="400"/>
      <c r="S37" s="400"/>
      <c r="T37" s="400"/>
      <c r="U37" s="400"/>
      <c r="V37" s="400"/>
      <c r="W37" s="400"/>
      <c r="X37" s="400"/>
      <c r="Y37" s="401"/>
      <c r="Z37" s="401"/>
      <c r="AA37" s="401"/>
      <c r="AB37" s="401"/>
      <c r="AC37" s="401"/>
      <c r="AD37" s="401"/>
      <c r="AE37" s="401"/>
      <c r="AF37" s="401"/>
      <c r="AG37" s="401"/>
      <c r="AH37" s="401"/>
      <c r="AI37" s="401"/>
      <c r="AJ37" s="401"/>
      <c r="AK37" s="401">
        <v>296</v>
      </c>
      <c r="AL37" s="384">
        <v>247</v>
      </c>
      <c r="AM37" s="384">
        <v>216</v>
      </c>
      <c r="AN37" s="384">
        <v>200</v>
      </c>
      <c r="AO37" s="394" t="s">
        <v>4396</v>
      </c>
      <c r="AP37" s="394" t="s">
        <v>4425</v>
      </c>
      <c r="AQ37" s="394" t="s">
        <v>4435</v>
      </c>
      <c r="AR37" s="394"/>
      <c r="AS37" s="394"/>
      <c r="AT37" s="394"/>
      <c r="AU37" s="394"/>
      <c r="AV37" s="394"/>
      <c r="AW37" s="394"/>
      <c r="AX37" s="394"/>
      <c r="AY37" s="394"/>
      <c r="AZ37" s="394"/>
      <c r="BA37" s="394"/>
      <c r="BB37" s="394"/>
      <c r="BC37" s="394"/>
      <c r="BD37" s="394"/>
      <c r="BE37" s="384" t="s">
        <v>4402</v>
      </c>
      <c r="BF37" s="389" t="s">
        <v>4438</v>
      </c>
    </row>
    <row r="38" spans="1:58" ht="63.75" hidden="1" outlineLevel="1" x14ac:dyDescent="0.2">
      <c r="A38" s="399" t="s">
        <v>1137</v>
      </c>
      <c r="B38" s="400" t="s">
        <v>4303</v>
      </c>
      <c r="C38" s="400" t="s">
        <v>4304</v>
      </c>
      <c r="D38" s="401" t="s">
        <v>4305</v>
      </c>
      <c r="E38" s="401" t="s">
        <v>3098</v>
      </c>
      <c r="F38" s="400" t="s">
        <v>11</v>
      </c>
      <c r="G38" s="400" t="s">
        <v>3851</v>
      </c>
      <c r="H38" s="401" t="s">
        <v>3852</v>
      </c>
      <c r="I38" s="402">
        <v>43710</v>
      </c>
      <c r="J38" s="403" t="s">
        <v>4306</v>
      </c>
      <c r="K38" s="393" t="s">
        <v>2866</v>
      </c>
      <c r="L38" s="393" t="s">
        <v>3880</v>
      </c>
      <c r="M38" s="392" t="s">
        <v>3978</v>
      </c>
      <c r="N38" s="400"/>
      <c r="O38" s="400"/>
      <c r="P38" s="400"/>
      <c r="Q38" s="400"/>
      <c r="R38" s="400"/>
      <c r="S38" s="400"/>
      <c r="T38" s="400"/>
      <c r="U38" s="400"/>
      <c r="V38" s="400"/>
      <c r="W38" s="400"/>
      <c r="X38" s="400"/>
      <c r="Y38" s="401"/>
      <c r="Z38" s="401"/>
      <c r="AA38" s="401"/>
      <c r="AB38" s="401"/>
      <c r="AC38" s="401"/>
      <c r="AD38" s="401"/>
      <c r="AE38" s="401"/>
      <c r="AF38" s="401"/>
      <c r="AG38" s="401"/>
      <c r="AH38" s="401"/>
      <c r="AI38" s="401"/>
      <c r="AJ38" s="401"/>
      <c r="AK38" s="401">
        <v>297</v>
      </c>
      <c r="AL38" s="384">
        <v>248</v>
      </c>
      <c r="AM38" s="384">
        <v>217</v>
      </c>
      <c r="AN38" s="384">
        <v>201</v>
      </c>
      <c r="AO38" s="394" t="s">
        <v>4396</v>
      </c>
      <c r="AP38" s="394" t="s">
        <v>4425</v>
      </c>
      <c r="AQ38" s="394" t="s">
        <v>4435</v>
      </c>
      <c r="AR38" s="394"/>
      <c r="AS38" s="394"/>
      <c r="AT38" s="394"/>
      <c r="AU38" s="394"/>
      <c r="AV38" s="394"/>
      <c r="AW38" s="394"/>
      <c r="AX38" s="394"/>
      <c r="AY38" s="394"/>
      <c r="AZ38" s="394"/>
      <c r="BA38" s="394"/>
      <c r="BB38" s="394"/>
      <c r="BC38" s="394"/>
      <c r="BD38" s="394"/>
      <c r="BE38" s="384" t="s">
        <v>4403</v>
      </c>
      <c r="BF38" s="389" t="s">
        <v>4438</v>
      </c>
    </row>
    <row r="39" spans="1:58" ht="63.75" hidden="1" outlineLevel="1" x14ac:dyDescent="0.2">
      <c r="A39" s="399" t="s">
        <v>1137</v>
      </c>
      <c r="B39" s="400" t="s">
        <v>4307</v>
      </c>
      <c r="C39" s="400" t="s">
        <v>4308</v>
      </c>
      <c r="D39" s="401" t="s">
        <v>4309</v>
      </c>
      <c r="E39" s="401" t="s">
        <v>3098</v>
      </c>
      <c r="F39" s="400" t="s">
        <v>11</v>
      </c>
      <c r="G39" s="400" t="s">
        <v>3851</v>
      </c>
      <c r="H39" s="401" t="s">
        <v>3852</v>
      </c>
      <c r="I39" s="402">
        <v>43711</v>
      </c>
      <c r="J39" s="403" t="s">
        <v>4310</v>
      </c>
      <c r="K39" s="393" t="s">
        <v>2866</v>
      </c>
      <c r="L39" s="393" t="s">
        <v>3880</v>
      </c>
      <c r="M39" s="392" t="s">
        <v>3978</v>
      </c>
      <c r="N39" s="400"/>
      <c r="O39" s="400"/>
      <c r="P39" s="400"/>
      <c r="Q39" s="400"/>
      <c r="R39" s="400"/>
      <c r="S39" s="400"/>
      <c r="T39" s="400"/>
      <c r="U39" s="400"/>
      <c r="V39" s="400"/>
      <c r="W39" s="400"/>
      <c r="X39" s="400"/>
      <c r="Y39" s="401"/>
      <c r="Z39" s="401"/>
      <c r="AA39" s="401"/>
      <c r="AB39" s="401"/>
      <c r="AC39" s="401"/>
      <c r="AD39" s="401"/>
      <c r="AE39" s="401"/>
      <c r="AF39" s="401"/>
      <c r="AG39" s="401"/>
      <c r="AH39" s="401"/>
      <c r="AI39" s="401"/>
      <c r="AJ39" s="401"/>
      <c r="AK39" s="401">
        <v>305</v>
      </c>
      <c r="AL39" s="384">
        <v>256</v>
      </c>
      <c r="AM39" s="384">
        <v>225</v>
      </c>
      <c r="AN39" s="384">
        <v>209</v>
      </c>
      <c r="AO39" s="384">
        <v>162</v>
      </c>
      <c r="AP39" s="394" t="s">
        <v>4425</v>
      </c>
      <c r="AQ39" s="394" t="s">
        <v>4435</v>
      </c>
      <c r="AR39" s="394"/>
      <c r="AS39" s="394"/>
      <c r="AT39" s="394"/>
      <c r="AU39" s="394"/>
      <c r="AV39" s="394"/>
      <c r="AW39" s="394"/>
      <c r="AX39" s="394"/>
      <c r="AY39" s="394"/>
      <c r="AZ39" s="394"/>
      <c r="BA39" s="394"/>
      <c r="BB39" s="394"/>
      <c r="BC39" s="394"/>
      <c r="BD39" s="394"/>
      <c r="BE39" s="384" t="s">
        <v>4340</v>
      </c>
      <c r="BF39" s="389" t="s">
        <v>4438</v>
      </c>
    </row>
    <row r="40" spans="1:58" ht="63.75" hidden="1" outlineLevel="1" x14ac:dyDescent="0.2">
      <c r="A40" s="399" t="s">
        <v>1137</v>
      </c>
      <c r="B40" s="383" t="s">
        <v>1034</v>
      </c>
      <c r="C40" s="400" t="s">
        <v>1035</v>
      </c>
      <c r="D40" s="400" t="s">
        <v>1035</v>
      </c>
      <c r="E40" s="384" t="s">
        <v>3094</v>
      </c>
      <c r="F40" s="383" t="s">
        <v>16</v>
      </c>
      <c r="G40" s="400" t="s">
        <v>3851</v>
      </c>
      <c r="H40" s="401" t="s">
        <v>3852</v>
      </c>
      <c r="I40" s="402">
        <v>43711</v>
      </c>
      <c r="J40" s="404" t="s">
        <v>4312</v>
      </c>
      <c r="K40" s="393" t="s">
        <v>2866</v>
      </c>
      <c r="L40" s="393" t="s">
        <v>3880</v>
      </c>
      <c r="M40" s="392" t="s">
        <v>3978</v>
      </c>
      <c r="N40" s="400"/>
      <c r="O40" s="400"/>
      <c r="P40" s="400"/>
      <c r="Q40" s="400"/>
      <c r="R40" s="400"/>
      <c r="S40" s="400"/>
      <c r="T40" s="400"/>
      <c r="U40" s="400"/>
      <c r="V40" s="400"/>
      <c r="W40" s="400"/>
      <c r="X40" s="400"/>
      <c r="Y40" s="401"/>
      <c r="Z40" s="401"/>
      <c r="AA40" s="401"/>
      <c r="AB40" s="401"/>
      <c r="AC40" s="401"/>
      <c r="AD40" s="401"/>
      <c r="AE40" s="401"/>
      <c r="AF40" s="401"/>
      <c r="AG40" s="401"/>
      <c r="AH40" s="401"/>
      <c r="AI40" s="401"/>
      <c r="AJ40" s="401"/>
      <c r="AK40" s="401">
        <v>304</v>
      </c>
      <c r="AL40" s="384">
        <v>255</v>
      </c>
      <c r="AM40" s="384">
        <v>224</v>
      </c>
      <c r="AN40" s="384">
        <v>208</v>
      </c>
      <c r="AO40" s="394" t="s">
        <v>4396</v>
      </c>
      <c r="AP40" s="394" t="s">
        <v>4425</v>
      </c>
      <c r="AQ40" s="394" t="s">
        <v>4435</v>
      </c>
      <c r="AR40" s="394"/>
      <c r="AS40" s="394"/>
      <c r="AT40" s="394"/>
      <c r="AU40" s="394"/>
      <c r="AV40" s="394"/>
      <c r="AW40" s="394"/>
      <c r="AX40" s="394"/>
      <c r="AY40" s="394"/>
      <c r="AZ40" s="394"/>
      <c r="BA40" s="394"/>
      <c r="BB40" s="394"/>
      <c r="BC40" s="394"/>
      <c r="BD40" s="394"/>
      <c r="BE40" s="384" t="s">
        <v>4404</v>
      </c>
      <c r="BF40" s="389" t="s">
        <v>4438</v>
      </c>
    </row>
    <row r="41" spans="1:58" ht="63.75" hidden="1" outlineLevel="1" x14ac:dyDescent="0.2">
      <c r="A41" s="399" t="s">
        <v>1137</v>
      </c>
      <c r="B41" s="383" t="s">
        <v>1902</v>
      </c>
      <c r="C41" s="383" t="s">
        <v>744</v>
      </c>
      <c r="D41" s="384" t="s">
        <v>745</v>
      </c>
      <c r="E41" s="384" t="s">
        <v>3098</v>
      </c>
      <c r="F41" s="400" t="s">
        <v>11</v>
      </c>
      <c r="G41" s="400" t="s">
        <v>3851</v>
      </c>
      <c r="H41" s="401" t="s">
        <v>3852</v>
      </c>
      <c r="I41" s="402">
        <v>43712</v>
      </c>
      <c r="J41" s="404" t="s">
        <v>4311</v>
      </c>
      <c r="K41" s="393" t="s">
        <v>2866</v>
      </c>
      <c r="L41" s="393" t="s">
        <v>3880</v>
      </c>
      <c r="M41" s="392" t="s">
        <v>3978</v>
      </c>
      <c r="N41" s="383"/>
      <c r="O41" s="383"/>
      <c r="P41" s="383"/>
      <c r="Q41" s="383"/>
      <c r="R41" s="383"/>
      <c r="S41" s="383"/>
      <c r="T41" s="383"/>
      <c r="U41" s="383"/>
      <c r="V41" s="383"/>
      <c r="W41" s="383"/>
      <c r="X41" s="383"/>
      <c r="Y41" s="384"/>
      <c r="Z41" s="384"/>
      <c r="AA41" s="384"/>
      <c r="AB41" s="384"/>
      <c r="AC41" s="384"/>
      <c r="AD41" s="384"/>
      <c r="AE41" s="384"/>
      <c r="AF41" s="384"/>
      <c r="AG41" s="384"/>
      <c r="AH41" s="384"/>
      <c r="AI41" s="384"/>
      <c r="AJ41" s="384"/>
      <c r="AK41" s="384">
        <v>307</v>
      </c>
      <c r="AL41" s="384">
        <v>258</v>
      </c>
      <c r="AM41" s="384">
        <v>227</v>
      </c>
      <c r="AN41" s="384">
        <v>211</v>
      </c>
      <c r="AO41" s="384">
        <v>164</v>
      </c>
      <c r="AP41" s="394" t="s">
        <v>4426</v>
      </c>
      <c r="AQ41" s="394" t="s">
        <v>4435</v>
      </c>
      <c r="AR41" s="394"/>
      <c r="AS41" s="394"/>
      <c r="AT41" s="394"/>
      <c r="AU41" s="394"/>
      <c r="AV41" s="394"/>
      <c r="AW41" s="394"/>
      <c r="AX41" s="394"/>
      <c r="AY41" s="394"/>
      <c r="AZ41" s="394"/>
      <c r="BA41" s="394"/>
      <c r="BB41" s="394"/>
      <c r="BC41" s="394"/>
      <c r="BD41" s="394"/>
      <c r="BE41" s="384" t="s">
        <v>4341</v>
      </c>
      <c r="BF41" s="389" t="s">
        <v>4438</v>
      </c>
    </row>
    <row r="42" spans="1:58" ht="63.75" hidden="1" outlineLevel="1" x14ac:dyDescent="0.2">
      <c r="A42" s="399" t="s">
        <v>1137</v>
      </c>
      <c r="B42" s="383" t="s">
        <v>4313</v>
      </c>
      <c r="C42" s="383" t="s">
        <v>1894</v>
      </c>
      <c r="D42" s="383" t="s">
        <v>1894</v>
      </c>
      <c r="E42" s="384" t="s">
        <v>66</v>
      </c>
      <c r="F42" s="383" t="s">
        <v>16</v>
      </c>
      <c r="G42" s="400" t="s">
        <v>3851</v>
      </c>
      <c r="H42" s="401" t="s">
        <v>3852</v>
      </c>
      <c r="I42" s="402">
        <v>43711</v>
      </c>
      <c r="J42" s="404" t="s">
        <v>4314</v>
      </c>
      <c r="K42" s="393" t="s">
        <v>2866</v>
      </c>
      <c r="L42" s="393" t="s">
        <v>3880</v>
      </c>
      <c r="M42" s="392" t="s">
        <v>3978</v>
      </c>
      <c r="N42" s="383"/>
      <c r="O42" s="383"/>
      <c r="P42" s="383"/>
      <c r="Q42" s="383"/>
      <c r="R42" s="383"/>
      <c r="S42" s="383"/>
      <c r="T42" s="383"/>
      <c r="U42" s="383"/>
      <c r="V42" s="383"/>
      <c r="W42" s="383"/>
      <c r="X42" s="383"/>
      <c r="Y42" s="384"/>
      <c r="Z42" s="384"/>
      <c r="AA42" s="384"/>
      <c r="AB42" s="384"/>
      <c r="AC42" s="384"/>
      <c r="AD42" s="384"/>
      <c r="AE42" s="384"/>
      <c r="AF42" s="384"/>
      <c r="AG42" s="384"/>
      <c r="AH42" s="384"/>
      <c r="AI42" s="384"/>
      <c r="AJ42" s="384"/>
      <c r="AK42" s="384">
        <v>308</v>
      </c>
      <c r="AL42" s="384">
        <v>259</v>
      </c>
      <c r="AM42" s="384">
        <v>228</v>
      </c>
      <c r="AN42" s="384">
        <v>212</v>
      </c>
      <c r="AO42" s="394" t="s">
        <v>4396</v>
      </c>
      <c r="AP42" s="394" t="s">
        <v>4425</v>
      </c>
      <c r="AQ42" s="394" t="s">
        <v>4435</v>
      </c>
      <c r="AR42" s="394"/>
      <c r="AS42" s="394"/>
      <c r="AT42" s="394"/>
      <c r="AU42" s="394"/>
      <c r="AV42" s="394"/>
      <c r="AW42" s="394"/>
      <c r="AX42" s="394"/>
      <c r="AY42" s="394"/>
      <c r="AZ42" s="394"/>
      <c r="BA42" s="394"/>
      <c r="BB42" s="394"/>
      <c r="BC42" s="394"/>
      <c r="BD42" s="394"/>
      <c r="BE42" s="384" t="s">
        <v>4405</v>
      </c>
      <c r="BF42" s="389" t="s">
        <v>4438</v>
      </c>
    </row>
    <row r="43" spans="1:58" ht="63.75" hidden="1" outlineLevel="1" x14ac:dyDescent="0.2">
      <c r="A43" s="399" t="s">
        <v>1137</v>
      </c>
      <c r="B43" s="400" t="s">
        <v>4317</v>
      </c>
      <c r="C43" s="400" t="s">
        <v>4318</v>
      </c>
      <c r="D43" s="401" t="s">
        <v>4318</v>
      </c>
      <c r="E43" s="401" t="s">
        <v>895</v>
      </c>
      <c r="F43" s="383" t="s">
        <v>16</v>
      </c>
      <c r="G43" s="400" t="s">
        <v>3851</v>
      </c>
      <c r="H43" s="401" t="s">
        <v>3852</v>
      </c>
      <c r="I43" s="402">
        <v>43712</v>
      </c>
      <c r="J43" s="403" t="s">
        <v>4319</v>
      </c>
      <c r="K43" s="393" t="s">
        <v>2866</v>
      </c>
      <c r="L43" s="393" t="s">
        <v>3880</v>
      </c>
      <c r="M43" s="392" t="s">
        <v>3978</v>
      </c>
      <c r="N43" s="400"/>
      <c r="O43" s="400"/>
      <c r="P43" s="400"/>
      <c r="Q43" s="400"/>
      <c r="R43" s="400"/>
      <c r="S43" s="400"/>
      <c r="T43" s="400"/>
      <c r="U43" s="400"/>
      <c r="V43" s="400"/>
      <c r="W43" s="400"/>
      <c r="X43" s="400"/>
      <c r="Y43" s="401"/>
      <c r="Z43" s="401"/>
      <c r="AA43" s="401"/>
      <c r="AB43" s="401"/>
      <c r="AC43" s="401"/>
      <c r="AD43" s="401"/>
      <c r="AE43" s="401"/>
      <c r="AF43" s="401"/>
      <c r="AG43" s="401"/>
      <c r="AH43" s="401"/>
      <c r="AI43" s="401"/>
      <c r="AJ43" s="401"/>
      <c r="AK43" s="401">
        <v>311</v>
      </c>
      <c r="AL43" s="384">
        <v>261</v>
      </c>
      <c r="AM43" s="384">
        <v>230</v>
      </c>
      <c r="AN43" s="384">
        <v>214</v>
      </c>
      <c r="AO43" s="384">
        <v>166</v>
      </c>
      <c r="AP43" s="394" t="s">
        <v>4426</v>
      </c>
      <c r="AQ43" s="394" t="s">
        <v>4435</v>
      </c>
      <c r="AR43" s="394"/>
      <c r="AS43" s="394"/>
      <c r="AT43" s="394"/>
      <c r="AU43" s="394"/>
      <c r="AV43" s="394"/>
      <c r="AW43" s="394"/>
      <c r="AX43" s="394"/>
      <c r="AY43" s="394"/>
      <c r="AZ43" s="394"/>
      <c r="BA43" s="394"/>
      <c r="BB43" s="394"/>
      <c r="BC43" s="394"/>
      <c r="BD43" s="394"/>
      <c r="BE43" s="384" t="s">
        <v>4342</v>
      </c>
      <c r="BF43" s="389" t="s">
        <v>4438</v>
      </c>
    </row>
    <row r="44" spans="1:58" ht="63.75" hidden="1" outlineLevel="1" x14ac:dyDescent="0.2">
      <c r="A44" s="399" t="s">
        <v>1137</v>
      </c>
      <c r="B44" s="400" t="s">
        <v>4320</v>
      </c>
      <c r="C44" s="400" t="s">
        <v>4321</v>
      </c>
      <c r="D44" s="401" t="s">
        <v>4321</v>
      </c>
      <c r="E44" s="401" t="s">
        <v>4322</v>
      </c>
      <c r="F44" s="383" t="s">
        <v>16</v>
      </c>
      <c r="G44" s="400" t="s">
        <v>3851</v>
      </c>
      <c r="H44" s="401" t="s">
        <v>3852</v>
      </c>
      <c r="I44" s="402">
        <v>43712</v>
      </c>
      <c r="J44" s="403" t="s">
        <v>4323</v>
      </c>
      <c r="K44" s="393" t="s">
        <v>2866</v>
      </c>
      <c r="L44" s="393" t="s">
        <v>3880</v>
      </c>
      <c r="M44" s="392" t="s">
        <v>3978</v>
      </c>
      <c r="N44" s="400"/>
      <c r="O44" s="400"/>
      <c r="P44" s="400"/>
      <c r="Q44" s="400"/>
      <c r="R44" s="400"/>
      <c r="S44" s="400"/>
      <c r="T44" s="400"/>
      <c r="U44" s="400"/>
      <c r="V44" s="400"/>
      <c r="W44" s="400"/>
      <c r="X44" s="400"/>
      <c r="Y44" s="401"/>
      <c r="Z44" s="401"/>
      <c r="AA44" s="401"/>
      <c r="AB44" s="401"/>
      <c r="AC44" s="401"/>
      <c r="AD44" s="401"/>
      <c r="AE44" s="401"/>
      <c r="AF44" s="401"/>
      <c r="AG44" s="401"/>
      <c r="AH44" s="401"/>
      <c r="AI44" s="401"/>
      <c r="AJ44" s="401"/>
      <c r="AK44" s="401">
        <v>310</v>
      </c>
      <c r="AL44" s="384">
        <v>260</v>
      </c>
      <c r="AM44" s="384">
        <v>229</v>
      </c>
      <c r="AN44" s="384">
        <v>213</v>
      </c>
      <c r="AO44" s="384">
        <v>165</v>
      </c>
      <c r="AP44" s="394" t="s">
        <v>4426</v>
      </c>
      <c r="AQ44" s="394" t="s">
        <v>4435</v>
      </c>
      <c r="AR44" s="394"/>
      <c r="AS44" s="394"/>
      <c r="AT44" s="394"/>
      <c r="AU44" s="394"/>
      <c r="AV44" s="394"/>
      <c r="AW44" s="394"/>
      <c r="AX44" s="394"/>
      <c r="AY44" s="394"/>
      <c r="AZ44" s="394"/>
      <c r="BA44" s="394"/>
      <c r="BB44" s="394"/>
      <c r="BC44" s="394"/>
      <c r="BD44" s="394"/>
      <c r="BE44" s="384" t="s">
        <v>4343</v>
      </c>
      <c r="BF44" s="389" t="s">
        <v>4438</v>
      </c>
    </row>
    <row r="45" spans="1:58" ht="63.75" hidden="1" outlineLevel="1" x14ac:dyDescent="0.2">
      <c r="A45" s="399" t="s">
        <v>1137</v>
      </c>
      <c r="B45" s="403" t="s">
        <v>4331</v>
      </c>
      <c r="C45" s="400" t="s">
        <v>4329</v>
      </c>
      <c r="D45" s="401" t="s">
        <v>1859</v>
      </c>
      <c r="E45" s="401" t="s">
        <v>4330</v>
      </c>
      <c r="F45" s="400" t="s">
        <v>11</v>
      </c>
      <c r="G45" s="400" t="s">
        <v>3851</v>
      </c>
      <c r="H45" s="401" t="s">
        <v>3852</v>
      </c>
      <c r="I45" s="402">
        <v>43712</v>
      </c>
      <c r="J45" s="403" t="s">
        <v>4332</v>
      </c>
      <c r="K45" s="393" t="s">
        <v>2866</v>
      </c>
      <c r="L45" s="393" t="s">
        <v>3880</v>
      </c>
      <c r="M45" s="392" t="s">
        <v>3978</v>
      </c>
      <c r="N45" s="400"/>
      <c r="O45" s="400"/>
      <c r="P45" s="400"/>
      <c r="Q45" s="400"/>
      <c r="R45" s="400"/>
      <c r="S45" s="400"/>
      <c r="T45" s="400"/>
      <c r="U45" s="400"/>
      <c r="V45" s="400"/>
      <c r="W45" s="400"/>
      <c r="X45" s="400"/>
      <c r="Y45" s="401"/>
      <c r="Z45" s="401"/>
      <c r="AA45" s="401"/>
      <c r="AB45" s="401"/>
      <c r="AC45" s="401"/>
      <c r="AD45" s="401"/>
      <c r="AE45" s="401"/>
      <c r="AF45" s="401"/>
      <c r="AG45" s="401"/>
      <c r="AH45" s="401"/>
      <c r="AI45" s="401"/>
      <c r="AJ45" s="401"/>
      <c r="AK45" s="401">
        <v>314</v>
      </c>
      <c r="AL45" s="384">
        <v>264</v>
      </c>
      <c r="AM45" s="384">
        <v>232</v>
      </c>
      <c r="AN45" s="384">
        <v>216</v>
      </c>
      <c r="AO45" s="384">
        <v>168</v>
      </c>
      <c r="AP45" s="394" t="s">
        <v>4426</v>
      </c>
      <c r="AQ45" s="394" t="s">
        <v>4435</v>
      </c>
      <c r="AR45" s="394"/>
      <c r="AS45" s="394"/>
      <c r="AT45" s="394"/>
      <c r="AU45" s="394"/>
      <c r="AV45" s="394"/>
      <c r="AW45" s="394"/>
      <c r="AX45" s="394"/>
      <c r="AY45" s="394"/>
      <c r="AZ45" s="394"/>
      <c r="BA45" s="394"/>
      <c r="BB45" s="394"/>
      <c r="BC45" s="394"/>
      <c r="BD45" s="394"/>
      <c r="BE45" s="384" t="s">
        <v>4281</v>
      </c>
      <c r="BF45" s="389" t="s">
        <v>4438</v>
      </c>
    </row>
    <row r="46" spans="1:58" ht="63.75" hidden="1" outlineLevel="1" x14ac:dyDescent="0.2">
      <c r="A46" s="399" t="s">
        <v>1137</v>
      </c>
      <c r="B46" s="403" t="s">
        <v>1473</v>
      </c>
      <c r="C46" s="400" t="s">
        <v>224</v>
      </c>
      <c r="D46" s="401" t="s">
        <v>144</v>
      </c>
      <c r="E46" s="384" t="s">
        <v>66</v>
      </c>
      <c r="F46" s="400" t="s">
        <v>11</v>
      </c>
      <c r="G46" s="400" t="s">
        <v>3851</v>
      </c>
      <c r="H46" s="401" t="s">
        <v>3852</v>
      </c>
      <c r="I46" s="402">
        <v>43719</v>
      </c>
      <c r="J46" s="390" t="s">
        <v>4346</v>
      </c>
      <c r="K46" s="393" t="s">
        <v>2866</v>
      </c>
      <c r="L46" s="393" t="s">
        <v>3880</v>
      </c>
      <c r="M46" s="392" t="s">
        <v>3978</v>
      </c>
      <c r="N46" s="400"/>
      <c r="O46" s="400"/>
      <c r="P46" s="400"/>
      <c r="Q46" s="400"/>
      <c r="R46" s="400"/>
      <c r="S46" s="400"/>
      <c r="T46" s="400"/>
      <c r="U46" s="400"/>
      <c r="V46" s="400"/>
      <c r="W46" s="400"/>
      <c r="X46" s="400"/>
      <c r="Y46" s="401"/>
      <c r="Z46" s="401"/>
      <c r="AA46" s="401"/>
      <c r="AB46" s="401"/>
      <c r="AC46" s="401"/>
      <c r="AD46" s="401"/>
      <c r="AE46" s="401"/>
      <c r="AF46" s="401"/>
      <c r="AG46" s="401"/>
      <c r="AH46" s="401"/>
      <c r="AI46" s="401"/>
      <c r="AJ46" s="401"/>
      <c r="AK46" s="401"/>
      <c r="AL46" s="384">
        <v>310</v>
      </c>
      <c r="AM46" s="384">
        <v>276</v>
      </c>
      <c r="AN46" s="384">
        <v>260</v>
      </c>
      <c r="AO46" s="384">
        <v>207</v>
      </c>
      <c r="AP46" s="394" t="s">
        <v>4425</v>
      </c>
      <c r="AQ46" s="394" t="s">
        <v>4435</v>
      </c>
      <c r="AR46" s="394"/>
      <c r="AS46" s="394"/>
      <c r="AT46" s="394"/>
      <c r="AU46" s="394"/>
      <c r="AV46" s="394"/>
      <c r="AW46" s="394"/>
      <c r="AX46" s="394"/>
      <c r="AY46" s="394"/>
      <c r="AZ46" s="394"/>
      <c r="BA46" s="394"/>
      <c r="BB46" s="394"/>
      <c r="BC46" s="394"/>
      <c r="BD46" s="394"/>
      <c r="BE46" s="384" t="s">
        <v>4355</v>
      </c>
      <c r="BF46" s="405" t="s">
        <v>4397</v>
      </c>
    </row>
    <row r="47" spans="1:58" ht="63.75" hidden="1" outlineLevel="1" x14ac:dyDescent="0.2">
      <c r="A47" s="399" t="s">
        <v>1137</v>
      </c>
      <c r="B47" s="404" t="s">
        <v>4347</v>
      </c>
      <c r="C47" s="383" t="s">
        <v>4348</v>
      </c>
      <c r="D47" s="384" t="s">
        <v>4349</v>
      </c>
      <c r="E47" s="384" t="s">
        <v>3049</v>
      </c>
      <c r="F47" s="400" t="s">
        <v>11</v>
      </c>
      <c r="G47" s="400" t="s">
        <v>3851</v>
      </c>
      <c r="H47" s="401" t="s">
        <v>3852</v>
      </c>
      <c r="I47" s="385">
        <v>43719</v>
      </c>
      <c r="J47" s="390" t="s">
        <v>4350</v>
      </c>
      <c r="K47" s="393" t="s">
        <v>2866</v>
      </c>
      <c r="L47" s="393" t="s">
        <v>3880</v>
      </c>
      <c r="M47" s="392" t="s">
        <v>3978</v>
      </c>
      <c r="N47" s="383"/>
      <c r="O47" s="383"/>
      <c r="P47" s="383"/>
      <c r="Q47" s="383"/>
      <c r="R47" s="383"/>
      <c r="S47" s="383"/>
      <c r="T47" s="383"/>
      <c r="U47" s="383"/>
      <c r="V47" s="383"/>
      <c r="W47" s="383"/>
      <c r="X47" s="383"/>
      <c r="Y47" s="384"/>
      <c r="Z47" s="384"/>
      <c r="AA47" s="384"/>
      <c r="AB47" s="384"/>
      <c r="AC47" s="384"/>
      <c r="AD47" s="384"/>
      <c r="AE47" s="384"/>
      <c r="AF47" s="384"/>
      <c r="AG47" s="384"/>
      <c r="AH47" s="384"/>
      <c r="AI47" s="384"/>
      <c r="AJ47" s="384"/>
      <c r="AK47" s="384"/>
      <c r="AL47" s="384">
        <v>309</v>
      </c>
      <c r="AM47" s="384">
        <v>275</v>
      </c>
      <c r="AN47" s="384">
        <v>259</v>
      </c>
      <c r="AO47" s="384">
        <v>206</v>
      </c>
      <c r="AP47" s="394" t="s">
        <v>4426</v>
      </c>
      <c r="AQ47" s="394" t="s">
        <v>4435</v>
      </c>
      <c r="AR47" s="394"/>
      <c r="AS47" s="394"/>
      <c r="AT47" s="394"/>
      <c r="AU47" s="394"/>
      <c r="AV47" s="394"/>
      <c r="AW47" s="394"/>
      <c r="AX47" s="394"/>
      <c r="AY47" s="394"/>
      <c r="AZ47" s="394"/>
      <c r="BA47" s="394"/>
      <c r="BB47" s="394"/>
      <c r="BC47" s="394"/>
      <c r="BD47" s="394"/>
      <c r="BE47" s="384" t="s">
        <v>4356</v>
      </c>
      <c r="BF47" s="405" t="s">
        <v>4397</v>
      </c>
    </row>
    <row r="48" spans="1:58" ht="63.75" hidden="1" outlineLevel="1" x14ac:dyDescent="0.2">
      <c r="A48" s="399" t="s">
        <v>1137</v>
      </c>
      <c r="B48" s="403" t="s">
        <v>4360</v>
      </c>
      <c r="C48" s="401" t="s">
        <v>2210</v>
      </c>
      <c r="D48" s="401" t="s">
        <v>2210</v>
      </c>
      <c r="E48" s="401" t="s">
        <v>1617</v>
      </c>
      <c r="F48" s="383" t="s">
        <v>16</v>
      </c>
      <c r="G48" s="400" t="s">
        <v>3851</v>
      </c>
      <c r="H48" s="401" t="s">
        <v>3852</v>
      </c>
      <c r="I48" s="385">
        <v>43724</v>
      </c>
      <c r="J48" s="406" t="s">
        <v>4361</v>
      </c>
      <c r="K48" s="393" t="s">
        <v>2866</v>
      </c>
      <c r="L48" s="393" t="s">
        <v>3880</v>
      </c>
      <c r="M48" s="392" t="s">
        <v>3978</v>
      </c>
      <c r="N48" s="400"/>
      <c r="O48" s="400"/>
      <c r="P48" s="400"/>
      <c r="Q48" s="400"/>
      <c r="R48" s="400"/>
      <c r="S48" s="400"/>
      <c r="T48" s="400"/>
      <c r="U48" s="400"/>
      <c r="V48" s="400"/>
      <c r="W48" s="400"/>
      <c r="X48" s="400"/>
      <c r="Y48" s="401"/>
      <c r="Z48" s="401"/>
      <c r="AA48" s="401"/>
      <c r="AB48" s="401"/>
      <c r="AC48" s="401"/>
      <c r="AD48" s="401"/>
      <c r="AE48" s="401"/>
      <c r="AF48" s="401"/>
      <c r="AG48" s="401"/>
      <c r="AH48" s="401"/>
      <c r="AI48" s="401"/>
      <c r="AJ48" s="401"/>
      <c r="AK48" s="401"/>
      <c r="AL48" s="401"/>
      <c r="AM48" s="401">
        <v>359</v>
      </c>
      <c r="AN48" s="401">
        <v>339</v>
      </c>
      <c r="AO48" s="401">
        <v>282</v>
      </c>
      <c r="AP48" s="394" t="s">
        <v>4426</v>
      </c>
      <c r="AQ48" s="394" t="s">
        <v>4435</v>
      </c>
      <c r="AR48" s="394"/>
      <c r="AS48" s="394"/>
      <c r="AT48" s="394"/>
      <c r="AU48" s="394"/>
      <c r="AV48" s="394"/>
      <c r="AW48" s="394"/>
      <c r="AX48" s="394"/>
      <c r="AY48" s="394"/>
      <c r="AZ48" s="394"/>
      <c r="BA48" s="394"/>
      <c r="BB48" s="394"/>
      <c r="BC48" s="394"/>
      <c r="BD48" s="394"/>
      <c r="BE48" s="384" t="s">
        <v>4367</v>
      </c>
      <c r="BF48" s="405" t="s">
        <v>4397</v>
      </c>
    </row>
    <row r="49" spans="1:58" ht="63.75" hidden="1" outlineLevel="1" x14ac:dyDescent="0.2">
      <c r="A49" s="399" t="s">
        <v>1137</v>
      </c>
      <c r="B49" s="403" t="s">
        <v>4378</v>
      </c>
      <c r="C49" s="400" t="s">
        <v>4362</v>
      </c>
      <c r="D49" s="401" t="s">
        <v>4362</v>
      </c>
      <c r="E49" s="401" t="s">
        <v>4363</v>
      </c>
      <c r="F49" s="383" t="s">
        <v>16</v>
      </c>
      <c r="G49" s="400" t="s">
        <v>3851</v>
      </c>
      <c r="H49" s="401" t="s">
        <v>3852</v>
      </c>
      <c r="I49" s="385">
        <v>43724</v>
      </c>
      <c r="J49" s="406" t="s">
        <v>4364</v>
      </c>
      <c r="K49" s="393" t="s">
        <v>2866</v>
      </c>
      <c r="L49" s="393" t="s">
        <v>3880</v>
      </c>
      <c r="M49" s="392" t="s">
        <v>3978</v>
      </c>
      <c r="N49" s="400"/>
      <c r="O49" s="400"/>
      <c r="P49" s="400"/>
      <c r="Q49" s="400"/>
      <c r="R49" s="400"/>
      <c r="S49" s="400"/>
      <c r="T49" s="400"/>
      <c r="U49" s="400"/>
      <c r="V49" s="400"/>
      <c r="W49" s="400"/>
      <c r="X49" s="400"/>
      <c r="Y49" s="401"/>
      <c r="Z49" s="401"/>
      <c r="AA49" s="401"/>
      <c r="AB49" s="401"/>
      <c r="AC49" s="401"/>
      <c r="AD49" s="401"/>
      <c r="AE49" s="401"/>
      <c r="AF49" s="401"/>
      <c r="AG49" s="401"/>
      <c r="AH49" s="401"/>
      <c r="AI49" s="401"/>
      <c r="AJ49" s="401"/>
      <c r="AK49" s="401"/>
      <c r="AL49" s="401"/>
      <c r="AM49" s="401">
        <v>356</v>
      </c>
      <c r="AN49" s="401">
        <v>336</v>
      </c>
      <c r="AO49" s="401">
        <v>280</v>
      </c>
      <c r="AP49" s="394" t="s">
        <v>4426</v>
      </c>
      <c r="AQ49" s="394" t="s">
        <v>4435</v>
      </c>
      <c r="AR49" s="394"/>
      <c r="AS49" s="394"/>
      <c r="AT49" s="394"/>
      <c r="AU49" s="394"/>
      <c r="AV49" s="394"/>
      <c r="AW49" s="394"/>
      <c r="AX49" s="394"/>
      <c r="AY49" s="394"/>
      <c r="AZ49" s="394"/>
      <c r="BA49" s="394"/>
      <c r="BB49" s="394"/>
      <c r="BC49" s="394"/>
      <c r="BD49" s="394"/>
      <c r="BE49" s="384" t="s">
        <v>4368</v>
      </c>
      <c r="BF49" s="405" t="s">
        <v>4397</v>
      </c>
    </row>
    <row r="50" spans="1:58" ht="89.25" hidden="1" outlineLevel="1" x14ac:dyDescent="0.2">
      <c r="A50" s="383" t="s">
        <v>1137</v>
      </c>
      <c r="B50" s="383" t="s">
        <v>3969</v>
      </c>
      <c r="C50" s="383" t="s">
        <v>3961</v>
      </c>
      <c r="D50" s="384" t="s">
        <v>3970</v>
      </c>
      <c r="E50" s="384" t="s">
        <v>66</v>
      </c>
      <c r="F50" s="383" t="s">
        <v>11</v>
      </c>
      <c r="G50" s="383" t="s">
        <v>3057</v>
      </c>
      <c r="H50" s="384" t="s">
        <v>3971</v>
      </c>
      <c r="I50" s="385">
        <v>43613</v>
      </c>
      <c r="J50" s="390" t="s">
        <v>3972</v>
      </c>
      <c r="K50" s="390" t="s">
        <v>2866</v>
      </c>
      <c r="L50" s="388" t="s">
        <v>3880</v>
      </c>
      <c r="M50" s="388" t="s">
        <v>3984</v>
      </c>
      <c r="N50" s="383"/>
      <c r="O50" s="383"/>
      <c r="P50" s="383"/>
      <c r="Q50" s="383"/>
      <c r="R50" s="383"/>
      <c r="S50" s="383"/>
      <c r="T50" s="383"/>
      <c r="U50" s="383"/>
      <c r="V50" s="383"/>
      <c r="W50" s="383">
        <v>164</v>
      </c>
      <c r="X50" s="383">
        <v>113</v>
      </c>
      <c r="Y50" s="384" t="s">
        <v>4022</v>
      </c>
      <c r="Z50" s="384" t="s">
        <v>4063</v>
      </c>
      <c r="AA50" s="384" t="s">
        <v>4083</v>
      </c>
      <c r="AB50" s="384" t="s">
        <v>4099</v>
      </c>
      <c r="AC50" s="384" t="s">
        <v>4130</v>
      </c>
      <c r="AD50" s="384" t="s">
        <v>4148</v>
      </c>
      <c r="AE50" s="384" t="s">
        <v>4062</v>
      </c>
      <c r="AF50" s="384" t="s">
        <v>4062</v>
      </c>
      <c r="AG50" s="384" t="s">
        <v>4082</v>
      </c>
      <c r="AH50" s="384" t="s">
        <v>4206</v>
      </c>
      <c r="AI50" s="384" t="s">
        <v>4206</v>
      </c>
      <c r="AJ50" s="384" t="s">
        <v>4206</v>
      </c>
      <c r="AK50" s="384" t="s">
        <v>4129</v>
      </c>
      <c r="AL50" s="384" t="s">
        <v>4129</v>
      </c>
      <c r="AM50" s="384" t="s">
        <v>4129</v>
      </c>
      <c r="AN50" s="384" t="s">
        <v>4129</v>
      </c>
      <c r="AO50" s="384" t="s">
        <v>4129</v>
      </c>
      <c r="AP50" s="384" t="s">
        <v>4129</v>
      </c>
      <c r="AQ50" s="384" t="s">
        <v>4433</v>
      </c>
      <c r="AR50" s="384" t="s">
        <v>4453</v>
      </c>
      <c r="AS50" s="384"/>
      <c r="AT50" s="384"/>
      <c r="AU50" s="384"/>
      <c r="AV50" s="384"/>
      <c r="AW50" s="384"/>
      <c r="AX50" s="384"/>
      <c r="AY50" s="384"/>
      <c r="AZ50" s="384"/>
      <c r="BA50" s="384"/>
      <c r="BB50" s="384"/>
      <c r="BC50" s="384"/>
      <c r="BD50" s="383"/>
      <c r="BE50" s="383" t="s">
        <v>4159</v>
      </c>
      <c r="BF50" s="384" t="s">
        <v>4454</v>
      </c>
    </row>
    <row r="51" spans="1:58" ht="127.5" hidden="1" outlineLevel="1" x14ac:dyDescent="0.2">
      <c r="A51" s="383" t="s">
        <v>1137</v>
      </c>
      <c r="B51" s="383" t="s">
        <v>370</v>
      </c>
      <c r="C51" s="383" t="s">
        <v>57</v>
      </c>
      <c r="D51" s="384" t="s">
        <v>65</v>
      </c>
      <c r="E51" s="384" t="s">
        <v>4282</v>
      </c>
      <c r="F51" s="383" t="s">
        <v>11</v>
      </c>
      <c r="G51" s="383" t="s">
        <v>3057</v>
      </c>
      <c r="H51" s="384" t="s">
        <v>4283</v>
      </c>
      <c r="I51" s="385">
        <v>43706</v>
      </c>
      <c r="J51" s="390" t="s">
        <v>4284</v>
      </c>
      <c r="K51" s="390" t="s">
        <v>2866</v>
      </c>
      <c r="L51" s="388" t="s">
        <v>3880</v>
      </c>
      <c r="M51" s="388" t="s">
        <v>4285</v>
      </c>
      <c r="N51" s="383"/>
      <c r="O51" s="383"/>
      <c r="P51" s="383"/>
      <c r="Q51" s="383"/>
      <c r="R51" s="383"/>
      <c r="S51" s="383"/>
      <c r="T51" s="383"/>
      <c r="U51" s="383"/>
      <c r="V51" s="383"/>
      <c r="W51" s="383"/>
      <c r="X51" s="383"/>
      <c r="Y51" s="384"/>
      <c r="Z51" s="384"/>
      <c r="AA51" s="384"/>
      <c r="AB51" s="384"/>
      <c r="AC51" s="384"/>
      <c r="AD51" s="384"/>
      <c r="AE51" s="384"/>
      <c r="AF51" s="384"/>
      <c r="AG51" s="384"/>
      <c r="AH51" s="384"/>
      <c r="AI51" s="384"/>
      <c r="AJ51" s="384">
        <v>323</v>
      </c>
      <c r="AK51" s="384">
        <v>274</v>
      </c>
      <c r="AL51" s="384">
        <v>225</v>
      </c>
      <c r="AM51" s="384">
        <v>194</v>
      </c>
      <c r="AN51" s="384">
        <v>178</v>
      </c>
      <c r="AO51" s="384">
        <v>135</v>
      </c>
      <c r="AP51" s="384">
        <v>85</v>
      </c>
      <c r="AQ51" s="384" t="s">
        <v>4436</v>
      </c>
      <c r="AR51" s="384" t="s">
        <v>4448</v>
      </c>
      <c r="AS51" s="384"/>
      <c r="AT51" s="384"/>
      <c r="AU51" s="384"/>
      <c r="AV51" s="384"/>
      <c r="AW51" s="384"/>
      <c r="AX51" s="384"/>
      <c r="AY51" s="384"/>
      <c r="AZ51" s="384"/>
      <c r="BA51" s="384"/>
      <c r="BB51" s="384"/>
      <c r="BC51" s="384"/>
      <c r="BD51" s="383"/>
      <c r="BE51" s="383" t="s">
        <v>4286</v>
      </c>
      <c r="BF51" s="384" t="s">
        <v>4455</v>
      </c>
    </row>
    <row r="52" spans="1:58" ht="89.25" hidden="1" outlineLevel="1" x14ac:dyDescent="0.2">
      <c r="A52" s="383" t="s">
        <v>1137</v>
      </c>
      <c r="B52" s="383" t="s">
        <v>3875</v>
      </c>
      <c r="C52" s="383" t="s">
        <v>837</v>
      </c>
      <c r="D52" s="384" t="s">
        <v>838</v>
      </c>
      <c r="E52" s="384" t="s">
        <v>66</v>
      </c>
      <c r="F52" s="383" t="s">
        <v>11</v>
      </c>
      <c r="G52" s="383" t="s">
        <v>3057</v>
      </c>
      <c r="H52" s="384" t="s">
        <v>3877</v>
      </c>
      <c r="I52" s="385">
        <v>43560</v>
      </c>
      <c r="J52" s="390" t="s">
        <v>3878</v>
      </c>
      <c r="K52" s="390" t="s">
        <v>2866</v>
      </c>
      <c r="L52" s="387" t="s">
        <v>3880</v>
      </c>
      <c r="M52" s="388" t="s">
        <v>4158</v>
      </c>
      <c r="N52" s="383"/>
      <c r="O52" s="383"/>
      <c r="P52" s="383">
        <v>357</v>
      </c>
      <c r="Q52" s="383">
        <v>287</v>
      </c>
      <c r="R52" s="383">
        <v>214</v>
      </c>
      <c r="S52" s="383">
        <v>167</v>
      </c>
      <c r="T52" s="383">
        <v>146</v>
      </c>
      <c r="U52" s="383">
        <v>101</v>
      </c>
      <c r="V52" s="383">
        <v>69</v>
      </c>
      <c r="W52" s="383">
        <v>47</v>
      </c>
      <c r="X52" s="383">
        <v>27</v>
      </c>
      <c r="Y52" s="384" t="s">
        <v>4021</v>
      </c>
      <c r="Z52" s="384" t="s">
        <v>4062</v>
      </c>
      <c r="AA52" s="384" t="s">
        <v>4082</v>
      </c>
      <c r="AB52" s="384" t="s">
        <v>4103</v>
      </c>
      <c r="AC52" s="384" t="s">
        <v>4129</v>
      </c>
      <c r="AD52" s="384" t="s">
        <v>4129</v>
      </c>
      <c r="AE52" s="384" t="s">
        <v>4169</v>
      </c>
      <c r="AF52" s="384" t="s">
        <v>4169</v>
      </c>
      <c r="AG52" s="384" t="s">
        <v>4169</v>
      </c>
      <c r="AH52" s="384" t="s">
        <v>4169</v>
      </c>
      <c r="AI52" s="384" t="s">
        <v>4169</v>
      </c>
      <c r="AJ52" s="384" t="s">
        <v>4169</v>
      </c>
      <c r="AK52" s="384" t="s">
        <v>4169</v>
      </c>
      <c r="AL52" s="384" t="s">
        <v>4169</v>
      </c>
      <c r="AM52" s="384" t="s">
        <v>4169</v>
      </c>
      <c r="AN52" s="384" t="s">
        <v>4169</v>
      </c>
      <c r="AO52" s="384" t="s">
        <v>4169</v>
      </c>
      <c r="AP52" s="384" t="s">
        <v>4169</v>
      </c>
      <c r="AQ52" s="384" t="s">
        <v>4433</v>
      </c>
      <c r="AR52" s="384" t="s">
        <v>4452</v>
      </c>
      <c r="AS52" s="384" t="s">
        <v>4452</v>
      </c>
      <c r="AT52" s="384" t="s">
        <v>4488</v>
      </c>
      <c r="AU52" s="384"/>
      <c r="AV52" s="384"/>
      <c r="AW52" s="384"/>
      <c r="AX52" s="384"/>
      <c r="AY52" s="384"/>
      <c r="AZ52" s="384"/>
      <c r="BA52" s="384"/>
      <c r="BB52" s="384"/>
      <c r="BC52" s="384"/>
      <c r="BD52" s="383"/>
      <c r="BE52" s="383" t="s">
        <v>4159</v>
      </c>
      <c r="BF52" s="384" t="s">
        <v>4473</v>
      </c>
    </row>
    <row r="53" spans="1:58" ht="63.75" hidden="1" outlineLevel="1" x14ac:dyDescent="0.2">
      <c r="A53" s="399" t="s">
        <v>1137</v>
      </c>
      <c r="B53" s="403" t="s">
        <v>4326</v>
      </c>
      <c r="C53" s="400" t="s">
        <v>4324</v>
      </c>
      <c r="D53" s="401" t="s">
        <v>4325</v>
      </c>
      <c r="E53" s="401" t="s">
        <v>4327</v>
      </c>
      <c r="F53" s="400" t="s">
        <v>105</v>
      </c>
      <c r="G53" s="400" t="s">
        <v>3851</v>
      </c>
      <c r="H53" s="401" t="s">
        <v>3852</v>
      </c>
      <c r="I53" s="402">
        <v>43712</v>
      </c>
      <c r="J53" s="403" t="s">
        <v>4328</v>
      </c>
      <c r="K53" s="393" t="s">
        <v>2866</v>
      </c>
      <c r="L53" s="388" t="s">
        <v>4088</v>
      </c>
      <c r="M53" s="392" t="s">
        <v>3978</v>
      </c>
      <c r="N53" s="400"/>
      <c r="O53" s="400"/>
      <c r="P53" s="400"/>
      <c r="Q53" s="400"/>
      <c r="R53" s="400"/>
      <c r="S53" s="400"/>
      <c r="T53" s="400"/>
      <c r="U53" s="400"/>
      <c r="V53" s="400"/>
      <c r="W53" s="400"/>
      <c r="X53" s="400"/>
      <c r="Y53" s="401"/>
      <c r="Z53" s="401"/>
      <c r="AA53" s="401"/>
      <c r="AB53" s="401"/>
      <c r="AC53" s="401"/>
      <c r="AD53" s="401"/>
      <c r="AE53" s="401"/>
      <c r="AF53" s="401"/>
      <c r="AG53" s="401"/>
      <c r="AH53" s="401"/>
      <c r="AI53" s="401"/>
      <c r="AJ53" s="401"/>
      <c r="AK53" s="401">
        <v>49</v>
      </c>
      <c r="AL53" s="384">
        <v>45</v>
      </c>
      <c r="AM53" s="384">
        <v>22</v>
      </c>
      <c r="AN53" s="384">
        <v>20</v>
      </c>
      <c r="AO53" s="384">
        <v>15</v>
      </c>
      <c r="AP53" s="384">
        <v>14</v>
      </c>
      <c r="AQ53" s="384">
        <v>12</v>
      </c>
      <c r="AR53" s="384">
        <v>11</v>
      </c>
      <c r="AS53" s="384" t="s">
        <v>4474</v>
      </c>
      <c r="AT53" s="384" t="s">
        <v>4484</v>
      </c>
      <c r="AU53" s="384"/>
      <c r="AV53" s="384"/>
      <c r="AW53" s="384"/>
      <c r="AX53" s="384"/>
      <c r="AY53" s="384"/>
      <c r="AZ53" s="384"/>
      <c r="BA53" s="384"/>
      <c r="BB53" s="384"/>
      <c r="BC53" s="384"/>
      <c r="BD53" s="384"/>
      <c r="BE53" s="384" t="s">
        <v>4344</v>
      </c>
      <c r="BF53" s="384" t="s">
        <v>4489</v>
      </c>
    </row>
    <row r="54" spans="1:58" ht="140.25" hidden="1" outlineLevel="1" x14ac:dyDescent="0.2">
      <c r="A54" s="399" t="s">
        <v>1137</v>
      </c>
      <c r="B54" s="403" t="s">
        <v>4380</v>
      </c>
      <c r="C54" s="400" t="s">
        <v>1269</v>
      </c>
      <c r="D54" s="401" t="s">
        <v>1269</v>
      </c>
      <c r="E54" s="401" t="s">
        <v>4381</v>
      </c>
      <c r="F54" s="383" t="s">
        <v>16</v>
      </c>
      <c r="G54" s="400" t="s">
        <v>3057</v>
      </c>
      <c r="H54" s="401" t="s">
        <v>4382</v>
      </c>
      <c r="I54" s="385">
        <v>43728</v>
      </c>
      <c r="J54" s="406" t="s">
        <v>4383</v>
      </c>
      <c r="K54" s="393" t="s">
        <v>2866</v>
      </c>
      <c r="L54" s="393" t="s">
        <v>3880</v>
      </c>
      <c r="M54" s="392" t="s">
        <v>4384</v>
      </c>
      <c r="N54" s="400"/>
      <c r="O54" s="400"/>
      <c r="P54" s="400"/>
      <c r="Q54" s="400"/>
      <c r="R54" s="400"/>
      <c r="S54" s="400"/>
      <c r="T54" s="400"/>
      <c r="U54" s="400"/>
      <c r="V54" s="400"/>
      <c r="W54" s="400"/>
      <c r="X54" s="400"/>
      <c r="Y54" s="401"/>
      <c r="Z54" s="401"/>
      <c r="AA54" s="401"/>
      <c r="AB54" s="401"/>
      <c r="AC54" s="401"/>
      <c r="AD54" s="401"/>
      <c r="AE54" s="401"/>
      <c r="AF54" s="401"/>
      <c r="AG54" s="401"/>
      <c r="AH54" s="401"/>
      <c r="AI54" s="401"/>
      <c r="AJ54" s="401"/>
      <c r="AK54" s="401"/>
      <c r="AL54" s="401"/>
      <c r="AM54" s="401"/>
      <c r="AN54" s="401">
        <v>385</v>
      </c>
      <c r="AO54" s="401">
        <v>326</v>
      </c>
      <c r="AP54" s="401">
        <v>240</v>
      </c>
      <c r="AQ54" s="401">
        <v>191</v>
      </c>
      <c r="AR54" s="401">
        <v>159</v>
      </c>
      <c r="AS54" s="401">
        <v>132</v>
      </c>
      <c r="AT54" s="384" t="s">
        <v>4488</v>
      </c>
      <c r="AU54" s="384"/>
      <c r="AV54" s="384"/>
      <c r="AW54" s="384"/>
      <c r="AX54" s="384"/>
      <c r="AY54" s="384"/>
      <c r="AZ54" s="384"/>
      <c r="BA54" s="384"/>
      <c r="BB54" s="384"/>
      <c r="BC54" s="384"/>
      <c r="BD54" s="384"/>
      <c r="BE54" s="384" t="s">
        <v>4390</v>
      </c>
      <c r="BF54" s="384" t="s">
        <v>4489</v>
      </c>
    </row>
    <row r="55" spans="1:58" s="294" customFormat="1" ht="63.75" hidden="1" outlineLevel="1" x14ac:dyDescent="0.2">
      <c r="A55" s="399" t="s">
        <v>1137</v>
      </c>
      <c r="B55" s="403" t="s">
        <v>1443</v>
      </c>
      <c r="C55" s="400" t="s">
        <v>1444</v>
      </c>
      <c r="D55" s="401" t="s">
        <v>4407</v>
      </c>
      <c r="E55" s="401" t="s">
        <v>3049</v>
      </c>
      <c r="F55" s="400" t="s">
        <v>11</v>
      </c>
      <c r="G55" s="400" t="s">
        <v>3057</v>
      </c>
      <c r="H55" s="401" t="s">
        <v>4415</v>
      </c>
      <c r="I55" s="402">
        <v>43745</v>
      </c>
      <c r="J55" s="406" t="s">
        <v>4408</v>
      </c>
      <c r="K55" s="393" t="s">
        <v>2866</v>
      </c>
      <c r="L55" s="393" t="s">
        <v>3880</v>
      </c>
      <c r="M55" s="392" t="s">
        <v>4409</v>
      </c>
      <c r="N55" s="400"/>
      <c r="O55" s="400"/>
      <c r="P55" s="400"/>
      <c r="Q55" s="400"/>
      <c r="R55" s="400"/>
      <c r="S55" s="400"/>
      <c r="T55" s="400"/>
      <c r="U55" s="400"/>
      <c r="V55" s="400"/>
      <c r="W55" s="400"/>
      <c r="X55" s="400"/>
      <c r="Y55" s="401"/>
      <c r="Z55" s="401"/>
      <c r="AA55" s="401"/>
      <c r="AB55" s="401"/>
      <c r="AC55" s="401"/>
      <c r="AD55" s="401"/>
      <c r="AE55" s="401"/>
      <c r="AF55" s="401"/>
      <c r="AG55" s="401"/>
      <c r="AH55" s="401"/>
      <c r="AI55" s="401"/>
      <c r="AJ55" s="401"/>
      <c r="AK55" s="401"/>
      <c r="AL55" s="401"/>
      <c r="AM55" s="401"/>
      <c r="AN55" s="401"/>
      <c r="AO55" s="401"/>
      <c r="AP55" s="401">
        <v>360</v>
      </c>
      <c r="AQ55" s="401">
        <v>299</v>
      </c>
      <c r="AR55" s="401">
        <v>264</v>
      </c>
      <c r="AS55" s="401">
        <v>232</v>
      </c>
      <c r="AT55" s="384" t="s">
        <v>4488</v>
      </c>
      <c r="AU55" s="384"/>
      <c r="AV55" s="384"/>
      <c r="AW55" s="384"/>
      <c r="AX55" s="384"/>
      <c r="AY55" s="384"/>
      <c r="AZ55" s="384"/>
      <c r="BA55" s="384"/>
      <c r="BB55" s="384"/>
      <c r="BC55" s="384"/>
      <c r="BD55" s="401"/>
      <c r="BE55" s="401" t="s">
        <v>4427</v>
      </c>
      <c r="BF55" s="384" t="s">
        <v>4489</v>
      </c>
    </row>
    <row r="56" spans="1:58" s="294" customFormat="1" ht="63.75" hidden="1" outlineLevel="1" x14ac:dyDescent="0.2">
      <c r="A56" s="399" t="s">
        <v>1137</v>
      </c>
      <c r="B56" s="403" t="s">
        <v>4413</v>
      </c>
      <c r="C56" s="400" t="s">
        <v>4410</v>
      </c>
      <c r="D56" s="401" t="s">
        <v>4411</v>
      </c>
      <c r="E56" s="401" t="s">
        <v>4412</v>
      </c>
      <c r="F56" s="400" t="s">
        <v>11</v>
      </c>
      <c r="G56" s="400" t="s">
        <v>3057</v>
      </c>
      <c r="H56" s="401" t="s">
        <v>4414</v>
      </c>
      <c r="I56" s="402">
        <v>43745</v>
      </c>
      <c r="J56" s="406" t="s">
        <v>4416</v>
      </c>
      <c r="K56" s="393" t="s">
        <v>2866</v>
      </c>
      <c r="L56" s="393" t="s">
        <v>3880</v>
      </c>
      <c r="M56" s="388" t="s">
        <v>4417</v>
      </c>
      <c r="N56" s="400"/>
      <c r="O56" s="400"/>
      <c r="P56" s="400"/>
      <c r="Q56" s="400"/>
      <c r="R56" s="400"/>
      <c r="S56" s="400"/>
      <c r="T56" s="400"/>
      <c r="U56" s="400"/>
      <c r="V56" s="400"/>
      <c r="W56" s="400"/>
      <c r="X56" s="400"/>
      <c r="Y56" s="401"/>
      <c r="Z56" s="401"/>
      <c r="AA56" s="401"/>
      <c r="AB56" s="401"/>
      <c r="AC56" s="401"/>
      <c r="AD56" s="401"/>
      <c r="AE56" s="401"/>
      <c r="AF56" s="401"/>
      <c r="AG56" s="401"/>
      <c r="AH56" s="401"/>
      <c r="AI56" s="401"/>
      <c r="AJ56" s="401"/>
      <c r="AK56" s="401"/>
      <c r="AL56" s="401"/>
      <c r="AM56" s="401"/>
      <c r="AN56" s="401"/>
      <c r="AO56" s="401"/>
      <c r="AP56" s="401">
        <v>361</v>
      </c>
      <c r="AQ56" s="401">
        <v>300</v>
      </c>
      <c r="AR56" s="401">
        <v>265</v>
      </c>
      <c r="AS56" s="401">
        <v>233</v>
      </c>
      <c r="AT56" s="384" t="s">
        <v>4488</v>
      </c>
      <c r="AU56" s="384"/>
      <c r="AV56" s="384"/>
      <c r="AW56" s="384"/>
      <c r="AX56" s="384"/>
      <c r="AY56" s="384"/>
      <c r="AZ56" s="384"/>
      <c r="BA56" s="384"/>
      <c r="BB56" s="384"/>
      <c r="BC56" s="384"/>
      <c r="BD56" s="401"/>
      <c r="BE56" s="401" t="s">
        <v>4428</v>
      </c>
      <c r="BF56" s="384" t="s">
        <v>4489</v>
      </c>
    </row>
    <row r="57" spans="1:58" ht="191.25" hidden="1" outlineLevel="1" x14ac:dyDescent="0.2">
      <c r="A57" s="383" t="s">
        <v>1137</v>
      </c>
      <c r="B57" s="383" t="s">
        <v>4126</v>
      </c>
      <c r="C57" s="383" t="s">
        <v>3308</v>
      </c>
      <c r="D57" s="384" t="s">
        <v>4110</v>
      </c>
      <c r="E57" s="384" t="s">
        <v>1454</v>
      </c>
      <c r="F57" s="383" t="s">
        <v>11</v>
      </c>
      <c r="G57" s="383" t="s">
        <v>3851</v>
      </c>
      <c r="H57" s="384" t="s">
        <v>3852</v>
      </c>
      <c r="I57" s="385">
        <v>43656</v>
      </c>
      <c r="J57" s="390" t="s">
        <v>112</v>
      </c>
      <c r="K57" s="393" t="s">
        <v>2866</v>
      </c>
      <c r="L57" s="388" t="s">
        <v>112</v>
      </c>
      <c r="M57" s="388" t="s">
        <v>4127</v>
      </c>
      <c r="N57" s="383"/>
      <c r="O57" s="383"/>
      <c r="P57" s="383"/>
      <c r="Q57" s="383"/>
      <c r="R57" s="383"/>
      <c r="S57" s="383"/>
      <c r="T57" s="383"/>
      <c r="U57" s="383"/>
      <c r="V57" s="383"/>
      <c r="W57" s="383"/>
      <c r="X57" s="383"/>
      <c r="Y57" s="384"/>
      <c r="Z57" s="384"/>
      <c r="AA57" s="384"/>
      <c r="AB57" s="384"/>
      <c r="AC57" s="384" t="s">
        <v>4132</v>
      </c>
      <c r="AD57" s="384" t="s">
        <v>4149</v>
      </c>
      <c r="AE57" s="384" t="s">
        <v>4182</v>
      </c>
      <c r="AF57" s="384" t="s">
        <v>4185</v>
      </c>
      <c r="AG57" s="384" t="s">
        <v>4190</v>
      </c>
      <c r="AH57" s="384" t="s">
        <v>4272</v>
      </c>
      <c r="AI57" s="384" t="s">
        <v>4272</v>
      </c>
      <c r="AJ57" s="384" t="s">
        <v>4272</v>
      </c>
      <c r="AK57" s="384" t="s">
        <v>4272</v>
      </c>
      <c r="AL57" s="384" t="s">
        <v>4272</v>
      </c>
      <c r="AM57" s="384" t="s">
        <v>4272</v>
      </c>
      <c r="AN57" s="384" t="s">
        <v>4272</v>
      </c>
      <c r="AO57" s="384" t="s">
        <v>4272</v>
      </c>
      <c r="AP57" s="384" t="s">
        <v>4272</v>
      </c>
      <c r="AQ57" s="384" t="s">
        <v>4272</v>
      </c>
      <c r="AR57" s="384" t="s">
        <v>4272</v>
      </c>
      <c r="AS57" s="384" t="s">
        <v>4272</v>
      </c>
      <c r="AT57" s="384" t="s">
        <v>4272</v>
      </c>
      <c r="AU57" s="384" t="s">
        <v>4272</v>
      </c>
      <c r="AV57" s="384" t="s">
        <v>4272</v>
      </c>
      <c r="AW57" s="384" t="s">
        <v>4272</v>
      </c>
      <c r="AX57" s="384" t="s">
        <v>4272</v>
      </c>
      <c r="AY57" s="384" t="s">
        <v>4594</v>
      </c>
      <c r="AZ57" s="407" t="s">
        <v>4608</v>
      </c>
      <c r="BA57" s="407"/>
      <c r="BB57" s="407"/>
      <c r="BC57" s="407"/>
      <c r="BD57" s="384"/>
      <c r="BE57" s="384" t="s">
        <v>4128</v>
      </c>
      <c r="BF57" s="384" t="s">
        <v>4160</v>
      </c>
    </row>
    <row r="58" spans="1:58" s="294" customFormat="1" ht="63.75" hidden="1" outlineLevel="1" x14ac:dyDescent="0.2">
      <c r="A58" s="399" t="s">
        <v>1137</v>
      </c>
      <c r="B58" s="403" t="s">
        <v>4419</v>
      </c>
      <c r="C58" s="400" t="s">
        <v>4418</v>
      </c>
      <c r="D58" s="401" t="s">
        <v>4418</v>
      </c>
      <c r="E58" s="401" t="s">
        <v>895</v>
      </c>
      <c r="F58" s="400" t="s">
        <v>16</v>
      </c>
      <c r="G58" s="400" t="s">
        <v>3851</v>
      </c>
      <c r="H58" s="401" t="s">
        <v>3852</v>
      </c>
      <c r="I58" s="402">
        <v>43745</v>
      </c>
      <c r="J58" s="406" t="s">
        <v>4420</v>
      </c>
      <c r="K58" s="393" t="s">
        <v>2866</v>
      </c>
      <c r="L58" s="392" t="s">
        <v>3880</v>
      </c>
      <c r="M58" s="392" t="s">
        <v>3978</v>
      </c>
      <c r="N58" s="400"/>
      <c r="O58" s="400"/>
      <c r="P58" s="400"/>
      <c r="Q58" s="400"/>
      <c r="R58" s="400"/>
      <c r="S58" s="400"/>
      <c r="T58" s="400"/>
      <c r="U58" s="400"/>
      <c r="V58" s="400"/>
      <c r="W58" s="400"/>
      <c r="X58" s="400"/>
      <c r="Y58" s="401"/>
      <c r="Z58" s="401"/>
      <c r="AA58" s="401"/>
      <c r="AB58" s="401"/>
      <c r="AC58" s="401"/>
      <c r="AD58" s="401"/>
      <c r="AE58" s="401"/>
      <c r="AF58" s="401"/>
      <c r="AG58" s="401"/>
      <c r="AH58" s="401"/>
      <c r="AI58" s="401"/>
      <c r="AJ58" s="401"/>
      <c r="AK58" s="401"/>
      <c r="AL58" s="401"/>
      <c r="AM58" s="401"/>
      <c r="AN58" s="401"/>
      <c r="AO58" s="401"/>
      <c r="AP58" s="401">
        <v>362</v>
      </c>
      <c r="AQ58" s="401">
        <v>301</v>
      </c>
      <c r="AR58" s="401">
        <v>266</v>
      </c>
      <c r="AS58" s="401">
        <v>234</v>
      </c>
      <c r="AT58" s="384">
        <v>215</v>
      </c>
      <c r="AU58" s="384">
        <v>200</v>
      </c>
      <c r="AV58" s="384">
        <v>165</v>
      </c>
      <c r="AW58" s="384">
        <v>142</v>
      </c>
      <c r="AX58" s="384">
        <v>114</v>
      </c>
      <c r="AY58" s="384" t="s">
        <v>4595</v>
      </c>
      <c r="AZ58" s="384" t="s">
        <v>4595</v>
      </c>
      <c r="BA58" s="384"/>
      <c r="BB58" s="384"/>
      <c r="BC58" s="384"/>
      <c r="BD58" s="401"/>
      <c r="BE58" s="401" t="s">
        <v>4429</v>
      </c>
      <c r="BF58" s="408" t="s">
        <v>4596</v>
      </c>
    </row>
    <row r="59" spans="1:58" ht="63.75" hidden="1" outlineLevel="1" x14ac:dyDescent="0.2">
      <c r="A59" s="399" t="s">
        <v>1137</v>
      </c>
      <c r="B59" s="409" t="s">
        <v>4515</v>
      </c>
      <c r="C59" s="400" t="s">
        <v>4513</v>
      </c>
      <c r="D59" s="401" t="s">
        <v>4318</v>
      </c>
      <c r="E59" s="401" t="s">
        <v>4514</v>
      </c>
      <c r="F59" s="383" t="s">
        <v>11</v>
      </c>
      <c r="G59" s="400" t="s">
        <v>3851</v>
      </c>
      <c r="H59" s="401" t="s">
        <v>3852</v>
      </c>
      <c r="I59" s="402">
        <v>43788</v>
      </c>
      <c r="J59" s="406" t="s">
        <v>4516</v>
      </c>
      <c r="K59" s="393" t="s">
        <v>2866</v>
      </c>
      <c r="L59" s="392" t="s">
        <v>3880</v>
      </c>
      <c r="M59" s="392" t="s">
        <v>3978</v>
      </c>
      <c r="N59" s="400"/>
      <c r="O59" s="400"/>
      <c r="P59" s="400"/>
      <c r="Q59" s="400"/>
      <c r="R59" s="400"/>
      <c r="S59" s="400"/>
      <c r="T59" s="400"/>
      <c r="U59" s="400"/>
      <c r="V59" s="400"/>
      <c r="W59" s="400"/>
      <c r="X59" s="400"/>
      <c r="Y59" s="401"/>
      <c r="Z59" s="401"/>
      <c r="AA59" s="401"/>
      <c r="AB59" s="401"/>
      <c r="AC59" s="401"/>
      <c r="AD59" s="401"/>
      <c r="AE59" s="401"/>
      <c r="AF59" s="401"/>
      <c r="AG59" s="401"/>
      <c r="AH59" s="401"/>
      <c r="AI59" s="401"/>
      <c r="AJ59" s="401"/>
      <c r="AK59" s="401"/>
      <c r="AL59" s="401"/>
      <c r="AM59" s="401"/>
      <c r="AN59" s="401"/>
      <c r="AO59" s="401"/>
      <c r="AP59" s="401"/>
      <c r="AQ59" s="401"/>
      <c r="AR59" s="401"/>
      <c r="AS59" s="401"/>
      <c r="AT59" s="401"/>
      <c r="AU59" s="401"/>
      <c r="AV59" s="401">
        <v>536</v>
      </c>
      <c r="AW59" s="401">
        <v>513</v>
      </c>
      <c r="AX59" s="401">
        <v>485</v>
      </c>
      <c r="AY59" s="384" t="s">
        <v>4595</v>
      </c>
      <c r="AZ59" s="384" t="s">
        <v>4595</v>
      </c>
      <c r="BA59" s="384"/>
      <c r="BB59" s="384"/>
      <c r="BC59" s="384"/>
      <c r="BD59" s="384"/>
      <c r="BE59" s="384" t="s">
        <v>4523</v>
      </c>
      <c r="BF59" s="408" t="s">
        <v>4596</v>
      </c>
    </row>
    <row r="60" spans="1:58" ht="63.75" hidden="1" outlineLevel="1" x14ac:dyDescent="0.2">
      <c r="A60" s="399" t="s">
        <v>1137</v>
      </c>
      <c r="B60" s="409" t="s">
        <v>4517</v>
      </c>
      <c r="C60" s="400" t="s">
        <v>4518</v>
      </c>
      <c r="D60" s="401" t="s">
        <v>1236</v>
      </c>
      <c r="E60" s="401" t="s">
        <v>66</v>
      </c>
      <c r="F60" s="383" t="s">
        <v>11</v>
      </c>
      <c r="G60" s="400" t="s">
        <v>3851</v>
      </c>
      <c r="H60" s="401" t="s">
        <v>3852</v>
      </c>
      <c r="I60" s="402">
        <v>43790</v>
      </c>
      <c r="J60" s="406" t="s">
        <v>4519</v>
      </c>
      <c r="K60" s="393" t="s">
        <v>2866</v>
      </c>
      <c r="L60" s="392" t="s">
        <v>3880</v>
      </c>
      <c r="M60" s="392" t="s">
        <v>3978</v>
      </c>
      <c r="N60" s="400"/>
      <c r="O60" s="400"/>
      <c r="P60" s="400"/>
      <c r="Q60" s="400"/>
      <c r="R60" s="400"/>
      <c r="S60" s="400"/>
      <c r="T60" s="400"/>
      <c r="U60" s="400"/>
      <c r="V60" s="400"/>
      <c r="W60" s="400"/>
      <c r="X60" s="400"/>
      <c r="Y60" s="401"/>
      <c r="Z60" s="401"/>
      <c r="AA60" s="401"/>
      <c r="AB60" s="401"/>
      <c r="AC60" s="401"/>
      <c r="AD60" s="401"/>
      <c r="AE60" s="401"/>
      <c r="AF60" s="401"/>
      <c r="AG60" s="401"/>
      <c r="AH60" s="401"/>
      <c r="AI60" s="401"/>
      <c r="AJ60" s="401"/>
      <c r="AK60" s="401"/>
      <c r="AL60" s="401"/>
      <c r="AM60" s="401"/>
      <c r="AN60" s="401"/>
      <c r="AO60" s="401"/>
      <c r="AP60" s="401"/>
      <c r="AQ60" s="401"/>
      <c r="AR60" s="401"/>
      <c r="AS60" s="401"/>
      <c r="AT60" s="401"/>
      <c r="AU60" s="401"/>
      <c r="AV60" s="401">
        <v>543</v>
      </c>
      <c r="AW60" s="401">
        <v>520</v>
      </c>
      <c r="AX60" s="401">
        <v>492</v>
      </c>
      <c r="AY60" s="384" t="s">
        <v>4595</v>
      </c>
      <c r="AZ60" s="384" t="s">
        <v>4595</v>
      </c>
      <c r="BA60" s="384"/>
      <c r="BB60" s="384"/>
      <c r="BC60" s="384"/>
      <c r="BD60" s="384"/>
      <c r="BE60" s="384" t="s">
        <v>4524</v>
      </c>
      <c r="BF60" s="408" t="s">
        <v>4596</v>
      </c>
    </row>
    <row r="61" spans="1:58" ht="63.75" hidden="1" outlineLevel="1" x14ac:dyDescent="0.2">
      <c r="A61" s="410" t="s">
        <v>1137</v>
      </c>
      <c r="B61" s="411" t="s">
        <v>4529</v>
      </c>
      <c r="C61" s="412" t="s">
        <v>4525</v>
      </c>
      <c r="D61" s="413" t="s">
        <v>4526</v>
      </c>
      <c r="E61" s="413" t="s">
        <v>4527</v>
      </c>
      <c r="F61" s="383" t="s">
        <v>11</v>
      </c>
      <c r="G61" s="400" t="s">
        <v>3851</v>
      </c>
      <c r="H61" s="401" t="s">
        <v>3852</v>
      </c>
      <c r="I61" s="414">
        <v>43794</v>
      </c>
      <c r="J61" s="415" t="s">
        <v>4528</v>
      </c>
      <c r="K61" s="388" t="s">
        <v>2866</v>
      </c>
      <c r="L61" s="392" t="s">
        <v>3880</v>
      </c>
      <c r="M61" s="392" t="s">
        <v>3978</v>
      </c>
      <c r="N61" s="412"/>
      <c r="O61" s="412"/>
      <c r="P61" s="412"/>
      <c r="Q61" s="412"/>
      <c r="R61" s="412"/>
      <c r="S61" s="412"/>
      <c r="T61" s="412"/>
      <c r="U61" s="412"/>
      <c r="V61" s="412"/>
      <c r="W61" s="412"/>
      <c r="X61" s="412"/>
      <c r="Y61" s="413"/>
      <c r="Z61" s="413"/>
      <c r="AA61" s="413"/>
      <c r="AB61" s="413"/>
      <c r="AC61" s="413"/>
      <c r="AD61" s="413"/>
      <c r="AE61" s="413"/>
      <c r="AF61" s="413"/>
      <c r="AG61" s="413"/>
      <c r="AH61" s="413"/>
      <c r="AI61" s="413"/>
      <c r="AJ61" s="413"/>
      <c r="AK61" s="413"/>
      <c r="AL61" s="413"/>
      <c r="AM61" s="413"/>
      <c r="AN61" s="413"/>
      <c r="AO61" s="413"/>
      <c r="AP61" s="413"/>
      <c r="AQ61" s="413"/>
      <c r="AR61" s="413"/>
      <c r="AS61" s="413"/>
      <c r="AT61" s="413"/>
      <c r="AU61" s="413"/>
      <c r="AV61" s="413"/>
      <c r="AW61" s="413">
        <v>540</v>
      </c>
      <c r="AX61" s="413">
        <v>512</v>
      </c>
      <c r="AY61" s="384" t="s">
        <v>4595</v>
      </c>
      <c r="AZ61" s="384" t="s">
        <v>4595</v>
      </c>
      <c r="BA61" s="384"/>
      <c r="BB61" s="384"/>
      <c r="BC61" s="384"/>
      <c r="BD61" s="384"/>
      <c r="BE61" s="384" t="s">
        <v>4554</v>
      </c>
      <c r="BF61" s="408" t="s">
        <v>4596</v>
      </c>
    </row>
    <row r="62" spans="1:58" ht="63.75" hidden="1" outlineLevel="1" x14ac:dyDescent="0.2">
      <c r="A62" s="410" t="s">
        <v>1137</v>
      </c>
      <c r="B62" s="411" t="s">
        <v>4535</v>
      </c>
      <c r="C62" s="412" t="s">
        <v>4534</v>
      </c>
      <c r="D62" s="413" t="s">
        <v>232</v>
      </c>
      <c r="E62" s="413" t="s">
        <v>3098</v>
      </c>
      <c r="F62" s="412" t="s">
        <v>11</v>
      </c>
      <c r="G62" s="400" t="s">
        <v>3851</v>
      </c>
      <c r="H62" s="401" t="s">
        <v>3852</v>
      </c>
      <c r="I62" s="414">
        <v>43794</v>
      </c>
      <c r="J62" s="415" t="s">
        <v>4536</v>
      </c>
      <c r="K62" s="388" t="s">
        <v>2866</v>
      </c>
      <c r="L62" s="392" t="s">
        <v>3880</v>
      </c>
      <c r="M62" s="392" t="s">
        <v>3978</v>
      </c>
      <c r="N62" s="412"/>
      <c r="O62" s="412"/>
      <c r="P62" s="412"/>
      <c r="Q62" s="412"/>
      <c r="R62" s="412"/>
      <c r="S62" s="412"/>
      <c r="T62" s="412"/>
      <c r="U62" s="412"/>
      <c r="V62" s="412"/>
      <c r="W62" s="412"/>
      <c r="X62" s="412"/>
      <c r="Y62" s="413"/>
      <c r="Z62" s="413"/>
      <c r="AA62" s="413"/>
      <c r="AB62" s="413"/>
      <c r="AC62" s="413"/>
      <c r="AD62" s="413"/>
      <c r="AE62" s="413"/>
      <c r="AF62" s="413"/>
      <c r="AG62" s="413"/>
      <c r="AH62" s="413"/>
      <c r="AI62" s="413"/>
      <c r="AJ62" s="413"/>
      <c r="AK62" s="413"/>
      <c r="AL62" s="413"/>
      <c r="AM62" s="413"/>
      <c r="AN62" s="413"/>
      <c r="AO62" s="413"/>
      <c r="AP62" s="413"/>
      <c r="AQ62" s="413"/>
      <c r="AR62" s="413"/>
      <c r="AS62" s="413"/>
      <c r="AT62" s="413"/>
      <c r="AU62" s="413"/>
      <c r="AV62" s="413"/>
      <c r="AW62" s="413">
        <v>542</v>
      </c>
      <c r="AX62" s="413">
        <v>514</v>
      </c>
      <c r="AY62" s="384" t="s">
        <v>4595</v>
      </c>
      <c r="AZ62" s="384" t="s">
        <v>4595</v>
      </c>
      <c r="BA62" s="384"/>
      <c r="BB62" s="384"/>
      <c r="BC62" s="384"/>
      <c r="BD62" s="384"/>
      <c r="BE62" s="384" t="s">
        <v>4555</v>
      </c>
      <c r="BF62" s="408" t="s">
        <v>4596</v>
      </c>
    </row>
    <row r="63" spans="1:58" ht="63.75" hidden="1" outlineLevel="1" x14ac:dyDescent="0.2">
      <c r="A63" s="410" t="s">
        <v>1137</v>
      </c>
      <c r="B63" s="416" t="s">
        <v>4543</v>
      </c>
      <c r="C63" s="396" t="s">
        <v>1098</v>
      </c>
      <c r="D63" s="394" t="s">
        <v>1098</v>
      </c>
      <c r="E63" s="413" t="s">
        <v>3098</v>
      </c>
      <c r="F63" s="396" t="s">
        <v>16</v>
      </c>
      <c r="G63" s="400" t="s">
        <v>3851</v>
      </c>
      <c r="H63" s="401" t="s">
        <v>3852</v>
      </c>
      <c r="I63" s="397">
        <v>43794</v>
      </c>
      <c r="J63" s="398" t="s">
        <v>4542</v>
      </c>
      <c r="K63" s="388" t="s">
        <v>2866</v>
      </c>
      <c r="L63" s="392" t="s">
        <v>3880</v>
      </c>
      <c r="M63" s="392" t="s">
        <v>3978</v>
      </c>
      <c r="N63" s="396"/>
      <c r="O63" s="396"/>
      <c r="P63" s="396"/>
      <c r="Q63" s="396"/>
      <c r="R63" s="396"/>
      <c r="S63" s="396"/>
      <c r="T63" s="396"/>
      <c r="U63" s="396"/>
      <c r="V63" s="396"/>
      <c r="W63" s="396"/>
      <c r="X63" s="396"/>
      <c r="Y63" s="394"/>
      <c r="Z63" s="394"/>
      <c r="AA63" s="394"/>
      <c r="AB63" s="394"/>
      <c r="AC63" s="394"/>
      <c r="AD63" s="394"/>
      <c r="AE63" s="394"/>
      <c r="AF63" s="394"/>
      <c r="AG63" s="394"/>
      <c r="AH63" s="394"/>
      <c r="AI63" s="394"/>
      <c r="AJ63" s="394"/>
      <c r="AK63" s="394"/>
      <c r="AL63" s="394"/>
      <c r="AM63" s="394"/>
      <c r="AN63" s="394"/>
      <c r="AO63" s="394"/>
      <c r="AP63" s="394"/>
      <c r="AQ63" s="394"/>
      <c r="AR63" s="394"/>
      <c r="AS63" s="394"/>
      <c r="AT63" s="394"/>
      <c r="AU63" s="394"/>
      <c r="AV63" s="394"/>
      <c r="AW63" s="394">
        <v>545</v>
      </c>
      <c r="AX63" s="394">
        <v>517</v>
      </c>
      <c r="AY63" s="384" t="s">
        <v>4595</v>
      </c>
      <c r="AZ63" s="384" t="s">
        <v>4595</v>
      </c>
      <c r="BA63" s="384"/>
      <c r="BB63" s="384"/>
      <c r="BC63" s="384"/>
      <c r="BD63" s="384"/>
      <c r="BE63" s="384" t="s">
        <v>4556</v>
      </c>
      <c r="BF63" s="408" t="s">
        <v>4596</v>
      </c>
    </row>
    <row r="64" spans="1:58" ht="63.75" hidden="1" outlineLevel="1" x14ac:dyDescent="0.2">
      <c r="A64" s="410" t="s">
        <v>1137</v>
      </c>
      <c r="B64" s="416" t="s">
        <v>4546</v>
      </c>
      <c r="C64" s="396" t="s">
        <v>4544</v>
      </c>
      <c r="D64" s="394" t="s">
        <v>4544</v>
      </c>
      <c r="E64" s="394" t="s">
        <v>3759</v>
      </c>
      <c r="F64" s="396" t="s">
        <v>16</v>
      </c>
      <c r="G64" s="400" t="s">
        <v>3851</v>
      </c>
      <c r="H64" s="401" t="s">
        <v>3852</v>
      </c>
      <c r="I64" s="397">
        <v>43794</v>
      </c>
      <c r="J64" s="398" t="s">
        <v>4545</v>
      </c>
      <c r="K64" s="388" t="s">
        <v>2866</v>
      </c>
      <c r="L64" s="392" t="s">
        <v>3880</v>
      </c>
      <c r="M64" s="392" t="s">
        <v>3978</v>
      </c>
      <c r="N64" s="396"/>
      <c r="O64" s="396"/>
      <c r="P64" s="396"/>
      <c r="Q64" s="396"/>
      <c r="R64" s="396"/>
      <c r="S64" s="396"/>
      <c r="T64" s="396"/>
      <c r="U64" s="396"/>
      <c r="V64" s="396"/>
      <c r="W64" s="396"/>
      <c r="X64" s="396"/>
      <c r="Y64" s="394"/>
      <c r="Z64" s="394"/>
      <c r="AA64" s="394"/>
      <c r="AB64" s="394"/>
      <c r="AC64" s="394"/>
      <c r="AD64" s="394"/>
      <c r="AE64" s="394"/>
      <c r="AF64" s="394"/>
      <c r="AG64" s="394"/>
      <c r="AH64" s="394"/>
      <c r="AI64" s="394"/>
      <c r="AJ64" s="394"/>
      <c r="AK64" s="394"/>
      <c r="AL64" s="394"/>
      <c r="AM64" s="394"/>
      <c r="AN64" s="394"/>
      <c r="AO64" s="394"/>
      <c r="AP64" s="394"/>
      <c r="AQ64" s="394"/>
      <c r="AR64" s="394"/>
      <c r="AS64" s="394"/>
      <c r="AT64" s="394"/>
      <c r="AU64" s="394"/>
      <c r="AV64" s="394"/>
      <c r="AW64" s="394">
        <v>546</v>
      </c>
      <c r="AX64" s="394">
        <v>518</v>
      </c>
      <c r="AY64" s="384" t="s">
        <v>4595</v>
      </c>
      <c r="AZ64" s="384" t="s">
        <v>4595</v>
      </c>
      <c r="BA64" s="384"/>
      <c r="BB64" s="384"/>
      <c r="BC64" s="384"/>
      <c r="BD64" s="384"/>
      <c r="BE64" s="384" t="s">
        <v>4557</v>
      </c>
      <c r="BF64" s="408" t="s">
        <v>4596</v>
      </c>
    </row>
    <row r="65" spans="1:58" ht="63.75" hidden="1" outlineLevel="1" x14ac:dyDescent="0.2">
      <c r="A65" s="395" t="s">
        <v>1137</v>
      </c>
      <c r="B65" s="416" t="s">
        <v>4548</v>
      </c>
      <c r="C65" s="394" t="s">
        <v>2784</v>
      </c>
      <c r="D65" s="394" t="s">
        <v>2784</v>
      </c>
      <c r="E65" s="394" t="s">
        <v>4514</v>
      </c>
      <c r="F65" s="396" t="s">
        <v>16</v>
      </c>
      <c r="G65" s="400" t="s">
        <v>3851</v>
      </c>
      <c r="H65" s="401" t="s">
        <v>3852</v>
      </c>
      <c r="I65" s="397">
        <v>43795</v>
      </c>
      <c r="J65" s="398" t="s">
        <v>4547</v>
      </c>
      <c r="K65" s="388" t="s">
        <v>2866</v>
      </c>
      <c r="L65" s="392" t="s">
        <v>3880</v>
      </c>
      <c r="M65" s="392" t="s">
        <v>3978</v>
      </c>
      <c r="N65" s="396"/>
      <c r="O65" s="396"/>
      <c r="P65" s="396"/>
      <c r="Q65" s="396"/>
      <c r="R65" s="396"/>
      <c r="S65" s="396"/>
      <c r="T65" s="396"/>
      <c r="U65" s="396"/>
      <c r="V65" s="396"/>
      <c r="W65" s="396"/>
      <c r="X65" s="396"/>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v>547</v>
      </c>
      <c r="AX65" s="394">
        <v>519</v>
      </c>
      <c r="AY65" s="384" t="s">
        <v>4595</v>
      </c>
      <c r="AZ65" s="384" t="s">
        <v>4595</v>
      </c>
      <c r="BA65" s="384"/>
      <c r="BB65" s="384"/>
      <c r="BC65" s="384"/>
      <c r="BD65" s="384"/>
      <c r="BE65" s="384" t="s">
        <v>4558</v>
      </c>
      <c r="BF65" s="408" t="s">
        <v>4596</v>
      </c>
    </row>
    <row r="66" spans="1:58" ht="102" hidden="1" outlineLevel="1" x14ac:dyDescent="0.2">
      <c r="A66" s="367" t="s">
        <v>584</v>
      </c>
      <c r="B66" s="367" t="s">
        <v>3914</v>
      </c>
      <c r="C66" s="367" t="s">
        <v>4199</v>
      </c>
      <c r="D66" s="368" t="s">
        <v>65</v>
      </c>
      <c r="E66" s="368" t="s">
        <v>4200</v>
      </c>
      <c r="F66" s="367" t="s">
        <v>454</v>
      </c>
      <c r="G66" s="367" t="s">
        <v>3057</v>
      </c>
      <c r="H66" s="368" t="s">
        <v>4201</v>
      </c>
      <c r="I66" s="369">
        <v>43693</v>
      </c>
      <c r="J66" s="370">
        <v>1991744199</v>
      </c>
      <c r="K66" s="371" t="s">
        <v>2867</v>
      </c>
      <c r="L66" s="371" t="s">
        <v>3880</v>
      </c>
      <c r="M66" s="371" t="s">
        <v>3978</v>
      </c>
      <c r="N66" s="367"/>
      <c r="O66" s="367"/>
      <c r="P66" s="367"/>
      <c r="Q66" s="367"/>
      <c r="R66" s="367"/>
      <c r="S66" s="367"/>
      <c r="T66" s="367"/>
      <c r="U66" s="367"/>
      <c r="V66" s="367"/>
      <c r="W66" s="367"/>
      <c r="X66" s="367"/>
      <c r="Y66" s="368"/>
      <c r="Z66" s="368"/>
      <c r="AA66" s="368"/>
      <c r="AB66" s="368"/>
      <c r="AC66" s="368"/>
      <c r="AD66" s="368"/>
      <c r="AE66" s="368"/>
      <c r="AF66" s="368"/>
      <c r="AG66" s="368"/>
      <c r="AH66" s="368">
        <v>238</v>
      </c>
      <c r="AI66" s="368">
        <v>197</v>
      </c>
      <c r="AJ66" s="368">
        <v>174</v>
      </c>
      <c r="AK66" s="368">
        <v>127</v>
      </c>
      <c r="AL66" s="368">
        <v>82</v>
      </c>
      <c r="AM66" s="368">
        <v>64</v>
      </c>
      <c r="AN66" s="368">
        <v>55</v>
      </c>
      <c r="AO66" s="368">
        <v>47</v>
      </c>
      <c r="AP66" s="368">
        <v>23</v>
      </c>
      <c r="AQ66" s="368">
        <v>15</v>
      </c>
      <c r="AR66" s="368">
        <v>13</v>
      </c>
      <c r="AS66" s="368">
        <v>8</v>
      </c>
      <c r="AT66" s="368">
        <v>8</v>
      </c>
      <c r="AU66" s="368">
        <v>8</v>
      </c>
      <c r="AV66" s="368">
        <v>8</v>
      </c>
      <c r="AW66" s="368">
        <v>8</v>
      </c>
      <c r="AX66" s="368">
        <v>8</v>
      </c>
      <c r="AY66" s="368">
        <v>8</v>
      </c>
      <c r="AZ66" s="368">
        <v>7</v>
      </c>
      <c r="BA66" s="368" t="s">
        <v>4647</v>
      </c>
      <c r="BB66" s="368" t="s">
        <v>112</v>
      </c>
      <c r="BC66" s="368"/>
      <c r="BD66" s="372"/>
      <c r="BE66" s="372" t="s">
        <v>4674</v>
      </c>
      <c r="BF66" s="368" t="s">
        <v>2866</v>
      </c>
    </row>
    <row r="67" spans="1:58" ht="102" hidden="1" outlineLevel="1" x14ac:dyDescent="0.2">
      <c r="A67" s="373" t="s">
        <v>1137</v>
      </c>
      <c r="B67" s="374" t="s">
        <v>2743</v>
      </c>
      <c r="C67" s="367" t="s">
        <v>2744</v>
      </c>
      <c r="D67" s="368" t="s">
        <v>2744</v>
      </c>
      <c r="E67" s="368" t="s">
        <v>685</v>
      </c>
      <c r="F67" s="367" t="s">
        <v>16</v>
      </c>
      <c r="G67" s="367" t="s">
        <v>3057</v>
      </c>
      <c r="H67" s="368" t="s">
        <v>4481</v>
      </c>
      <c r="I67" s="369">
        <v>43774</v>
      </c>
      <c r="J67" s="370" t="s">
        <v>4482</v>
      </c>
      <c r="K67" s="371" t="s">
        <v>2867</v>
      </c>
      <c r="L67" s="371" t="s">
        <v>3880</v>
      </c>
      <c r="M67" s="371" t="s">
        <v>4483</v>
      </c>
      <c r="N67" s="367"/>
      <c r="O67" s="367"/>
      <c r="P67" s="367"/>
      <c r="Q67" s="367"/>
      <c r="R67" s="367"/>
      <c r="S67" s="367"/>
      <c r="T67" s="367"/>
      <c r="U67" s="367"/>
      <c r="V67" s="367"/>
      <c r="W67" s="367"/>
      <c r="X67" s="367"/>
      <c r="Y67" s="368"/>
      <c r="Z67" s="368"/>
      <c r="AA67" s="368"/>
      <c r="AB67" s="368"/>
      <c r="AC67" s="368"/>
      <c r="AD67" s="368"/>
      <c r="AE67" s="368"/>
      <c r="AF67" s="368"/>
      <c r="AG67" s="368"/>
      <c r="AH67" s="368"/>
      <c r="AI67" s="368"/>
      <c r="AJ67" s="368"/>
      <c r="AK67" s="368"/>
      <c r="AL67" s="368"/>
      <c r="AM67" s="368"/>
      <c r="AN67" s="368"/>
      <c r="AO67" s="368"/>
      <c r="AP67" s="368"/>
      <c r="AQ67" s="368"/>
      <c r="AR67" s="368"/>
      <c r="AS67" s="368"/>
      <c r="AT67" s="368">
        <v>510</v>
      </c>
      <c r="AU67" s="368">
        <v>492</v>
      </c>
      <c r="AV67" s="368">
        <v>457</v>
      </c>
      <c r="AW67" s="368">
        <v>434</v>
      </c>
      <c r="AX67" s="368">
        <v>406</v>
      </c>
      <c r="AY67" s="368">
        <v>360</v>
      </c>
      <c r="AZ67" s="368">
        <v>281</v>
      </c>
      <c r="BA67" s="368" t="s">
        <v>4648</v>
      </c>
      <c r="BB67" s="368" t="s">
        <v>112</v>
      </c>
      <c r="BC67" s="368"/>
      <c r="BD67" s="372"/>
      <c r="BE67" s="372" t="s">
        <v>4675</v>
      </c>
      <c r="BF67" s="368" t="s">
        <v>2866</v>
      </c>
    </row>
    <row r="68" spans="1:58" ht="51" hidden="1" outlineLevel="1" x14ac:dyDescent="0.2">
      <c r="A68" s="367" t="s">
        <v>584</v>
      </c>
      <c r="B68" s="375" t="s">
        <v>4496</v>
      </c>
      <c r="C68" s="367" t="s">
        <v>4497</v>
      </c>
      <c r="D68" s="368" t="s">
        <v>4498</v>
      </c>
      <c r="E68" s="368" t="s">
        <v>4499</v>
      </c>
      <c r="F68" s="367" t="s">
        <v>105</v>
      </c>
      <c r="G68" s="367" t="s">
        <v>3851</v>
      </c>
      <c r="H68" s="368" t="s">
        <v>3852</v>
      </c>
      <c r="I68" s="369">
        <v>43781</v>
      </c>
      <c r="J68" s="370" t="s">
        <v>4495</v>
      </c>
      <c r="K68" s="371" t="s">
        <v>2867</v>
      </c>
      <c r="L68" s="371" t="s">
        <v>4500</v>
      </c>
      <c r="M68" s="371" t="s">
        <v>3978</v>
      </c>
      <c r="N68" s="367"/>
      <c r="O68" s="367"/>
      <c r="P68" s="367"/>
      <c r="Q68" s="367"/>
      <c r="R68" s="367"/>
      <c r="S68" s="367"/>
      <c r="T68" s="367"/>
      <c r="U68" s="367"/>
      <c r="V68" s="367"/>
      <c r="W68" s="367"/>
      <c r="X68" s="367"/>
      <c r="Y68" s="368"/>
      <c r="Z68" s="368"/>
      <c r="AA68" s="368"/>
      <c r="AB68" s="368"/>
      <c r="AC68" s="368"/>
      <c r="AD68" s="368"/>
      <c r="AE68" s="368"/>
      <c r="AF68" s="368"/>
      <c r="AG68" s="368"/>
      <c r="AH68" s="368"/>
      <c r="AI68" s="368"/>
      <c r="AJ68" s="368"/>
      <c r="AK68" s="368"/>
      <c r="AL68" s="368"/>
      <c r="AM68" s="368"/>
      <c r="AN68" s="368"/>
      <c r="AO68" s="368"/>
      <c r="AP68" s="368"/>
      <c r="AQ68" s="368"/>
      <c r="AR68" s="368"/>
      <c r="AS68" s="368"/>
      <c r="AT68" s="368"/>
      <c r="AU68" s="368">
        <v>45</v>
      </c>
      <c r="AV68" s="368">
        <v>41</v>
      </c>
      <c r="AW68" s="368">
        <v>39</v>
      </c>
      <c r="AX68" s="368">
        <v>39</v>
      </c>
      <c r="AY68" s="368">
        <v>39</v>
      </c>
      <c r="AZ68" s="368">
        <v>39</v>
      </c>
      <c r="BA68" s="368">
        <v>34</v>
      </c>
      <c r="BB68" s="368" t="s">
        <v>112</v>
      </c>
      <c r="BC68" s="368"/>
      <c r="BD68" s="372"/>
      <c r="BE68" s="372" t="s">
        <v>4676</v>
      </c>
      <c r="BF68" s="376" t="s">
        <v>3087</v>
      </c>
    </row>
    <row r="69" spans="1:58" ht="76.5" hidden="1" outlineLevel="1" x14ac:dyDescent="0.2">
      <c r="A69" s="373" t="s">
        <v>1137</v>
      </c>
      <c r="B69" s="375" t="s">
        <v>645</v>
      </c>
      <c r="C69" s="367" t="s">
        <v>1212</v>
      </c>
      <c r="D69" s="368" t="s">
        <v>4506</v>
      </c>
      <c r="E69" s="368" t="s">
        <v>12</v>
      </c>
      <c r="F69" s="367" t="s">
        <v>105</v>
      </c>
      <c r="G69" s="367" t="s">
        <v>3851</v>
      </c>
      <c r="H69" s="368" t="s">
        <v>3852</v>
      </c>
      <c r="I69" s="369">
        <v>43781</v>
      </c>
      <c r="J69" s="370" t="s">
        <v>4505</v>
      </c>
      <c r="K69" s="371" t="s">
        <v>2867</v>
      </c>
      <c r="L69" s="371" t="s">
        <v>4500</v>
      </c>
      <c r="M69" s="371" t="s">
        <v>3978</v>
      </c>
      <c r="N69" s="367"/>
      <c r="O69" s="367"/>
      <c r="P69" s="367"/>
      <c r="Q69" s="367"/>
      <c r="R69" s="367"/>
      <c r="S69" s="367"/>
      <c r="T69" s="367"/>
      <c r="U69" s="367"/>
      <c r="V69" s="367"/>
      <c r="W69" s="367"/>
      <c r="X69" s="367"/>
      <c r="Y69" s="368"/>
      <c r="Z69" s="368"/>
      <c r="AA69" s="368"/>
      <c r="AB69" s="368"/>
      <c r="AC69" s="368"/>
      <c r="AD69" s="368"/>
      <c r="AE69" s="368"/>
      <c r="AF69" s="368"/>
      <c r="AG69" s="368"/>
      <c r="AH69" s="368"/>
      <c r="AI69" s="368"/>
      <c r="AJ69" s="368"/>
      <c r="AK69" s="368"/>
      <c r="AL69" s="368"/>
      <c r="AM69" s="368"/>
      <c r="AN69" s="368"/>
      <c r="AO69" s="368"/>
      <c r="AP69" s="368"/>
      <c r="AQ69" s="368"/>
      <c r="AR69" s="368"/>
      <c r="AS69" s="368"/>
      <c r="AT69" s="368"/>
      <c r="AU69" s="368">
        <v>47</v>
      </c>
      <c r="AV69" s="368">
        <v>43</v>
      </c>
      <c r="AW69" s="368">
        <v>41</v>
      </c>
      <c r="AX69" s="368">
        <v>41</v>
      </c>
      <c r="AY69" s="368">
        <v>41</v>
      </c>
      <c r="AZ69" s="368">
        <v>41</v>
      </c>
      <c r="BA69" s="368">
        <v>36</v>
      </c>
      <c r="BB69" s="368" t="s">
        <v>112</v>
      </c>
      <c r="BC69" s="368"/>
      <c r="BD69" s="372"/>
      <c r="BE69" s="372" t="s">
        <v>4677</v>
      </c>
      <c r="BF69" s="376" t="s">
        <v>3087</v>
      </c>
    </row>
    <row r="70" spans="1:58" ht="102" hidden="1" outlineLevel="1" x14ac:dyDescent="0.2">
      <c r="A70" s="373" t="s">
        <v>584</v>
      </c>
      <c r="B70" s="377" t="s">
        <v>4566</v>
      </c>
      <c r="C70" s="367" t="s">
        <v>4565</v>
      </c>
      <c r="D70" s="368" t="s">
        <v>2047</v>
      </c>
      <c r="E70" s="368" t="s">
        <v>685</v>
      </c>
      <c r="F70" s="367" t="s">
        <v>11</v>
      </c>
      <c r="G70" s="367" t="s">
        <v>3057</v>
      </c>
      <c r="H70" s="368" t="s">
        <v>4568</v>
      </c>
      <c r="I70" s="378">
        <v>43803</v>
      </c>
      <c r="J70" s="370" t="s">
        <v>4567</v>
      </c>
      <c r="K70" s="371" t="s">
        <v>2867</v>
      </c>
      <c r="L70" s="371" t="s">
        <v>3880</v>
      </c>
      <c r="M70" s="371" t="s">
        <v>3978</v>
      </c>
      <c r="N70" s="367"/>
      <c r="O70" s="367"/>
      <c r="P70" s="367"/>
      <c r="Q70" s="367"/>
      <c r="R70" s="367"/>
      <c r="S70" s="367"/>
      <c r="T70" s="367"/>
      <c r="U70" s="367"/>
      <c r="V70" s="367"/>
      <c r="W70" s="367"/>
      <c r="X70" s="367"/>
      <c r="Y70" s="368"/>
      <c r="Z70" s="368"/>
      <c r="AA70" s="368"/>
      <c r="AB70" s="368"/>
      <c r="AC70" s="368"/>
      <c r="AD70" s="368"/>
      <c r="AE70" s="368"/>
      <c r="AF70" s="368"/>
      <c r="AG70" s="368"/>
      <c r="AH70" s="368"/>
      <c r="AI70" s="368"/>
      <c r="AJ70" s="368"/>
      <c r="AK70" s="368"/>
      <c r="AL70" s="368"/>
      <c r="AM70" s="368"/>
      <c r="AN70" s="368"/>
      <c r="AO70" s="368"/>
      <c r="AP70" s="368"/>
      <c r="AQ70" s="368"/>
      <c r="AR70" s="368"/>
      <c r="AS70" s="368"/>
      <c r="AT70" s="368"/>
      <c r="AU70" s="368"/>
      <c r="AV70" s="368"/>
      <c r="AW70" s="379"/>
      <c r="AX70" s="379">
        <v>568</v>
      </c>
      <c r="AY70" s="379">
        <v>512</v>
      </c>
      <c r="AZ70" s="379">
        <v>420</v>
      </c>
      <c r="BA70" s="368" t="s">
        <v>4647</v>
      </c>
      <c r="BB70" s="368" t="s">
        <v>112</v>
      </c>
      <c r="BC70" s="368"/>
      <c r="BD70" s="372"/>
      <c r="BE70" s="372" t="s">
        <v>4678</v>
      </c>
      <c r="BF70" s="368" t="s">
        <v>2866</v>
      </c>
    </row>
    <row r="71" spans="1:58" ht="51" hidden="1" outlineLevel="1" x14ac:dyDescent="0.2">
      <c r="A71" s="373" t="s">
        <v>584</v>
      </c>
      <c r="B71" s="377" t="s">
        <v>4570</v>
      </c>
      <c r="C71" s="367" t="s">
        <v>4569</v>
      </c>
      <c r="D71" s="368" t="s">
        <v>630</v>
      </c>
      <c r="E71" s="368" t="s">
        <v>3098</v>
      </c>
      <c r="F71" s="380" t="s">
        <v>105</v>
      </c>
      <c r="G71" s="367" t="s">
        <v>3851</v>
      </c>
      <c r="H71" s="368" t="s">
        <v>3852</v>
      </c>
      <c r="I71" s="369">
        <v>43803</v>
      </c>
      <c r="J71" s="370" t="s">
        <v>4571</v>
      </c>
      <c r="K71" s="371" t="s">
        <v>2867</v>
      </c>
      <c r="L71" s="371" t="s">
        <v>4500</v>
      </c>
      <c r="M71" s="371" t="s">
        <v>3978</v>
      </c>
      <c r="N71" s="367"/>
      <c r="O71" s="367"/>
      <c r="P71" s="367"/>
      <c r="Q71" s="367"/>
      <c r="R71" s="367"/>
      <c r="S71" s="367"/>
      <c r="T71" s="367"/>
      <c r="U71" s="367"/>
      <c r="V71" s="367"/>
      <c r="W71" s="367"/>
      <c r="X71" s="367"/>
      <c r="Y71" s="368"/>
      <c r="Z71" s="368"/>
      <c r="AA71" s="368"/>
      <c r="AB71" s="368"/>
      <c r="AC71" s="368"/>
      <c r="AD71" s="368"/>
      <c r="AE71" s="368"/>
      <c r="AF71" s="368"/>
      <c r="AG71" s="368"/>
      <c r="AH71" s="368"/>
      <c r="AI71" s="368"/>
      <c r="AJ71" s="368"/>
      <c r="AK71" s="368"/>
      <c r="AL71" s="368"/>
      <c r="AM71" s="368"/>
      <c r="AN71" s="368"/>
      <c r="AO71" s="368"/>
      <c r="AP71" s="368"/>
      <c r="AQ71" s="368"/>
      <c r="AR71" s="368"/>
      <c r="AS71" s="368"/>
      <c r="AT71" s="368"/>
      <c r="AU71" s="368"/>
      <c r="AV71" s="368"/>
      <c r="AW71" s="379"/>
      <c r="AX71" s="379">
        <v>55</v>
      </c>
      <c r="AY71" s="379">
        <v>55</v>
      </c>
      <c r="AZ71" s="379">
        <v>55</v>
      </c>
      <c r="BA71" s="379">
        <v>48</v>
      </c>
      <c r="BB71" s="368" t="s">
        <v>112</v>
      </c>
      <c r="BC71" s="368"/>
      <c r="BD71" s="372"/>
      <c r="BE71" s="372" t="s">
        <v>4679</v>
      </c>
      <c r="BF71" s="376" t="s">
        <v>3087</v>
      </c>
    </row>
    <row r="72" spans="1:58" ht="38.25" hidden="1" outlineLevel="1" x14ac:dyDescent="0.2">
      <c r="A72" s="373" t="s">
        <v>584</v>
      </c>
      <c r="B72" s="377" t="s">
        <v>1718</v>
      </c>
      <c r="C72" s="367" t="s">
        <v>1720</v>
      </c>
      <c r="D72" s="368" t="s">
        <v>1721</v>
      </c>
      <c r="E72" s="368" t="s">
        <v>685</v>
      </c>
      <c r="F72" s="367" t="s">
        <v>11</v>
      </c>
      <c r="G72" s="367" t="s">
        <v>3851</v>
      </c>
      <c r="H72" s="368" t="s">
        <v>3852</v>
      </c>
      <c r="I72" s="369">
        <v>43804</v>
      </c>
      <c r="J72" s="370" t="s">
        <v>4572</v>
      </c>
      <c r="K72" s="371" t="s">
        <v>2867</v>
      </c>
      <c r="L72" s="371" t="s">
        <v>3880</v>
      </c>
      <c r="M72" s="371" t="s">
        <v>3978</v>
      </c>
      <c r="N72" s="367"/>
      <c r="O72" s="367"/>
      <c r="P72" s="367"/>
      <c r="Q72" s="367"/>
      <c r="R72" s="367"/>
      <c r="S72" s="367"/>
      <c r="T72" s="367"/>
      <c r="U72" s="367"/>
      <c r="V72" s="367"/>
      <c r="W72" s="367"/>
      <c r="X72" s="367"/>
      <c r="Y72" s="368"/>
      <c r="Z72" s="368"/>
      <c r="AA72" s="368"/>
      <c r="AB72" s="368"/>
      <c r="AC72" s="368"/>
      <c r="AD72" s="368"/>
      <c r="AE72" s="368"/>
      <c r="AF72" s="368"/>
      <c r="AG72" s="368"/>
      <c r="AH72" s="368"/>
      <c r="AI72" s="368"/>
      <c r="AJ72" s="368"/>
      <c r="AK72" s="368"/>
      <c r="AL72" s="368"/>
      <c r="AM72" s="368"/>
      <c r="AN72" s="368"/>
      <c r="AO72" s="368"/>
      <c r="AP72" s="368"/>
      <c r="AQ72" s="368"/>
      <c r="AR72" s="368"/>
      <c r="AS72" s="368"/>
      <c r="AT72" s="368"/>
      <c r="AU72" s="368"/>
      <c r="AV72" s="368"/>
      <c r="AW72" s="379"/>
      <c r="AX72" s="379">
        <v>570</v>
      </c>
      <c r="AY72" s="379">
        <v>514</v>
      </c>
      <c r="AZ72" s="379">
        <v>422</v>
      </c>
      <c r="BA72" s="379">
        <v>279</v>
      </c>
      <c r="BB72" s="368" t="s">
        <v>112</v>
      </c>
      <c r="BC72" s="368"/>
      <c r="BD72" s="372"/>
      <c r="BE72" s="372" t="s">
        <v>4680</v>
      </c>
      <c r="BF72" s="376" t="s">
        <v>3087</v>
      </c>
    </row>
    <row r="73" spans="1:58" ht="38.25" hidden="1" outlineLevel="1" x14ac:dyDescent="0.2">
      <c r="A73" s="381" t="s">
        <v>1137</v>
      </c>
      <c r="B73" s="377" t="s">
        <v>4587</v>
      </c>
      <c r="C73" s="367" t="s">
        <v>4585</v>
      </c>
      <c r="D73" s="368" t="s">
        <v>357</v>
      </c>
      <c r="E73" s="368" t="s">
        <v>3098</v>
      </c>
      <c r="F73" s="367" t="s">
        <v>11</v>
      </c>
      <c r="G73" s="367" t="s">
        <v>3851</v>
      </c>
      <c r="H73" s="368" t="s">
        <v>3852</v>
      </c>
      <c r="I73" s="369">
        <v>43809</v>
      </c>
      <c r="J73" s="370" t="s">
        <v>4586</v>
      </c>
      <c r="K73" s="371" t="s">
        <v>2867</v>
      </c>
      <c r="L73" s="371" t="s">
        <v>3880</v>
      </c>
      <c r="M73" s="371" t="s">
        <v>3978</v>
      </c>
      <c r="N73" s="367"/>
      <c r="O73" s="367"/>
      <c r="P73" s="367"/>
      <c r="Q73" s="367"/>
      <c r="R73" s="367"/>
      <c r="S73" s="367"/>
      <c r="T73" s="367"/>
      <c r="U73" s="367"/>
      <c r="V73" s="367"/>
      <c r="W73" s="367"/>
      <c r="X73" s="367"/>
      <c r="Y73" s="368"/>
      <c r="Z73" s="368"/>
      <c r="AA73" s="368"/>
      <c r="AB73" s="368"/>
      <c r="AC73" s="368"/>
      <c r="AD73" s="368"/>
      <c r="AE73" s="368"/>
      <c r="AF73" s="368"/>
      <c r="AG73" s="368"/>
      <c r="AH73" s="368"/>
      <c r="AI73" s="368"/>
      <c r="AJ73" s="368"/>
      <c r="AK73" s="368"/>
      <c r="AL73" s="368"/>
      <c r="AM73" s="368"/>
      <c r="AN73" s="368"/>
      <c r="AO73" s="368"/>
      <c r="AP73" s="368"/>
      <c r="AQ73" s="368"/>
      <c r="AR73" s="368"/>
      <c r="AS73" s="368"/>
      <c r="AT73" s="368"/>
      <c r="AU73" s="368"/>
      <c r="AV73" s="368"/>
      <c r="AW73" s="379"/>
      <c r="AX73" s="379"/>
      <c r="AY73" s="379">
        <v>565</v>
      </c>
      <c r="AZ73" s="379">
        <v>473</v>
      </c>
      <c r="BA73" s="379">
        <v>329</v>
      </c>
      <c r="BB73" s="368" t="s">
        <v>112</v>
      </c>
      <c r="BC73" s="368"/>
      <c r="BD73" s="372"/>
      <c r="BE73" s="372" t="s">
        <v>4681</v>
      </c>
      <c r="BF73" s="376" t="s">
        <v>3087</v>
      </c>
    </row>
    <row r="74" spans="1:58" ht="89.25" hidden="1" outlineLevel="1" x14ac:dyDescent="0.2">
      <c r="A74" s="373" t="s">
        <v>584</v>
      </c>
      <c r="B74" s="377" t="s">
        <v>4616</v>
      </c>
      <c r="C74" s="367" t="s">
        <v>4613</v>
      </c>
      <c r="D74" s="368" t="s">
        <v>4615</v>
      </c>
      <c r="E74" s="368" t="s">
        <v>4614</v>
      </c>
      <c r="F74" s="367" t="s">
        <v>11</v>
      </c>
      <c r="G74" s="367" t="s">
        <v>3851</v>
      </c>
      <c r="H74" s="368" t="s">
        <v>3852</v>
      </c>
      <c r="I74" s="369">
        <v>43805</v>
      </c>
      <c r="J74" s="370" t="s">
        <v>4617</v>
      </c>
      <c r="K74" s="371" t="s">
        <v>2867</v>
      </c>
      <c r="L74" s="371" t="s">
        <v>3880</v>
      </c>
      <c r="M74" s="371" t="s">
        <v>3978</v>
      </c>
      <c r="N74" s="367"/>
      <c r="O74" s="367"/>
      <c r="P74" s="367"/>
      <c r="Q74" s="367"/>
      <c r="R74" s="367"/>
      <c r="S74" s="367"/>
      <c r="T74" s="367"/>
      <c r="U74" s="367"/>
      <c r="V74" s="367"/>
      <c r="W74" s="367"/>
      <c r="X74" s="367"/>
      <c r="Y74" s="368"/>
      <c r="Z74" s="368"/>
      <c r="AA74" s="368"/>
      <c r="AB74" s="368"/>
      <c r="AC74" s="368"/>
      <c r="AD74" s="368"/>
      <c r="AE74" s="368"/>
      <c r="AF74" s="368"/>
      <c r="AG74" s="368"/>
      <c r="AH74" s="368"/>
      <c r="AI74" s="368"/>
      <c r="AJ74" s="368"/>
      <c r="AK74" s="368"/>
      <c r="AL74" s="368"/>
      <c r="AM74" s="368"/>
      <c r="AN74" s="368"/>
      <c r="AO74" s="368"/>
      <c r="AP74" s="368"/>
      <c r="AQ74" s="368"/>
      <c r="AR74" s="368"/>
      <c r="AS74" s="368"/>
      <c r="AT74" s="368"/>
      <c r="AU74" s="368"/>
      <c r="AV74" s="368"/>
      <c r="AW74" s="379"/>
      <c r="AX74" s="379"/>
      <c r="AY74" s="379"/>
      <c r="AZ74" s="379">
        <v>432</v>
      </c>
      <c r="BA74" s="379">
        <v>289</v>
      </c>
      <c r="BB74" s="368" t="s">
        <v>112</v>
      </c>
      <c r="BC74" s="368"/>
      <c r="BD74" s="372"/>
      <c r="BE74" s="372" t="s">
        <v>4682</v>
      </c>
      <c r="BF74" s="376" t="s">
        <v>3087</v>
      </c>
    </row>
    <row r="75" spans="1:58" ht="89.25" hidden="1" outlineLevel="1" x14ac:dyDescent="0.2">
      <c r="A75" s="373" t="s">
        <v>584</v>
      </c>
      <c r="B75" s="377" t="s">
        <v>4644</v>
      </c>
      <c r="C75" s="367" t="s">
        <v>4643</v>
      </c>
      <c r="D75" s="368" t="s">
        <v>4642</v>
      </c>
      <c r="E75" s="368" t="s">
        <v>3098</v>
      </c>
      <c r="F75" s="367" t="s">
        <v>11</v>
      </c>
      <c r="G75" s="367" t="s">
        <v>3057</v>
      </c>
      <c r="H75" s="368" t="s">
        <v>4645</v>
      </c>
      <c r="I75" s="369">
        <v>43836</v>
      </c>
      <c r="J75" s="370" t="s">
        <v>4646</v>
      </c>
      <c r="K75" s="371" t="s">
        <v>2867</v>
      </c>
      <c r="L75" s="371" t="s">
        <v>3880</v>
      </c>
      <c r="M75" s="371" t="s">
        <v>3978</v>
      </c>
      <c r="N75" s="367"/>
      <c r="O75" s="367"/>
      <c r="P75" s="367"/>
      <c r="Q75" s="367"/>
      <c r="R75" s="367"/>
      <c r="S75" s="367"/>
      <c r="T75" s="367"/>
      <c r="U75" s="367"/>
      <c r="V75" s="367"/>
      <c r="W75" s="367"/>
      <c r="X75" s="367"/>
      <c r="Y75" s="368"/>
      <c r="Z75" s="368"/>
      <c r="AA75" s="368"/>
      <c r="AB75" s="368"/>
      <c r="AC75" s="368"/>
      <c r="AD75" s="368"/>
      <c r="AE75" s="368"/>
      <c r="AF75" s="368"/>
      <c r="AG75" s="368"/>
      <c r="AH75" s="368"/>
      <c r="AI75" s="368"/>
      <c r="AJ75" s="368"/>
      <c r="AK75" s="368"/>
      <c r="AL75" s="368"/>
      <c r="AM75" s="368"/>
      <c r="AN75" s="368"/>
      <c r="AO75" s="368"/>
      <c r="AP75" s="368"/>
      <c r="AQ75" s="368"/>
      <c r="AR75" s="368"/>
      <c r="AS75" s="368"/>
      <c r="AT75" s="368"/>
      <c r="AU75" s="368"/>
      <c r="AV75" s="368"/>
      <c r="AW75" s="379"/>
      <c r="AX75" s="379"/>
      <c r="AY75" s="379"/>
      <c r="AZ75" s="379"/>
      <c r="BA75" s="379">
        <v>430</v>
      </c>
      <c r="BB75" s="368" t="s">
        <v>112</v>
      </c>
      <c r="BC75" s="368"/>
      <c r="BD75" s="372"/>
      <c r="BE75" s="372" t="s">
        <v>4683</v>
      </c>
      <c r="BF75" s="376" t="s">
        <v>3087</v>
      </c>
    </row>
    <row r="76" spans="1:58" ht="140.25" hidden="1" outlineLevel="1" collapsed="1" x14ac:dyDescent="0.2">
      <c r="A76" s="410" t="s">
        <v>1137</v>
      </c>
      <c r="B76" s="436" t="s">
        <v>1546</v>
      </c>
      <c r="C76" s="396" t="s">
        <v>4537</v>
      </c>
      <c r="D76" s="394" t="s">
        <v>121</v>
      </c>
      <c r="E76" s="394" t="s">
        <v>3759</v>
      </c>
      <c r="F76" s="412" t="s">
        <v>11</v>
      </c>
      <c r="G76" s="400" t="s">
        <v>3057</v>
      </c>
      <c r="H76" s="394" t="s">
        <v>4538</v>
      </c>
      <c r="I76" s="414">
        <v>43794</v>
      </c>
      <c r="J76" s="398" t="s">
        <v>4539</v>
      </c>
      <c r="K76" s="392" t="s">
        <v>2867</v>
      </c>
      <c r="L76" s="392" t="s">
        <v>3880</v>
      </c>
      <c r="M76" s="392" t="s">
        <v>3978</v>
      </c>
      <c r="N76" s="412"/>
      <c r="O76" s="412"/>
      <c r="P76" s="412"/>
      <c r="Q76" s="412"/>
      <c r="R76" s="412"/>
      <c r="S76" s="412"/>
      <c r="T76" s="412"/>
      <c r="U76" s="412"/>
      <c r="V76" s="412"/>
      <c r="W76" s="412"/>
      <c r="X76" s="412"/>
      <c r="Y76" s="413"/>
      <c r="Z76" s="413"/>
      <c r="AA76" s="413"/>
      <c r="AB76" s="413"/>
      <c r="AC76" s="413"/>
      <c r="AD76" s="413"/>
      <c r="AE76" s="413"/>
      <c r="AF76" s="413"/>
      <c r="AG76" s="413"/>
      <c r="AH76" s="413"/>
      <c r="AI76" s="413"/>
      <c r="AJ76" s="413"/>
      <c r="AK76" s="413"/>
      <c r="AL76" s="413"/>
      <c r="AM76" s="413"/>
      <c r="AN76" s="413"/>
      <c r="AO76" s="413"/>
      <c r="AP76" s="413"/>
      <c r="AQ76" s="413"/>
      <c r="AR76" s="413"/>
      <c r="AS76" s="413"/>
      <c r="AT76" s="413"/>
      <c r="AU76" s="413"/>
      <c r="AV76" s="413"/>
      <c r="AW76" s="413"/>
      <c r="AX76" s="413"/>
      <c r="AY76" s="413"/>
      <c r="AZ76" s="413"/>
      <c r="BA76" s="384"/>
      <c r="BB76" s="384"/>
      <c r="BC76" s="384"/>
      <c r="BD76" s="394" t="s">
        <v>4709</v>
      </c>
      <c r="BE76" s="384" t="s">
        <v>4730</v>
      </c>
      <c r="BF76" s="384" t="s">
        <v>4729</v>
      </c>
    </row>
    <row r="77" spans="1:58" ht="165.75" hidden="1" outlineLevel="1" x14ac:dyDescent="0.2">
      <c r="A77" s="395" t="s">
        <v>1137</v>
      </c>
      <c r="B77" s="394" t="s">
        <v>4706</v>
      </c>
      <c r="C77" s="396" t="s">
        <v>2001</v>
      </c>
      <c r="D77" s="394" t="s">
        <v>2001</v>
      </c>
      <c r="E77" s="394" t="s">
        <v>4704</v>
      </c>
      <c r="F77" s="396" t="s">
        <v>16</v>
      </c>
      <c r="G77" s="383" t="s">
        <v>3851</v>
      </c>
      <c r="H77" s="384" t="s">
        <v>3852</v>
      </c>
      <c r="I77" s="397">
        <v>43850</v>
      </c>
      <c r="J77" s="398" t="s">
        <v>4707</v>
      </c>
      <c r="K77" s="393" t="s">
        <v>4857</v>
      </c>
      <c r="L77" s="392" t="s">
        <v>3880</v>
      </c>
      <c r="M77" s="462" t="s">
        <v>4705</v>
      </c>
      <c r="N77" s="463"/>
      <c r="O77" s="463"/>
      <c r="P77" s="463"/>
      <c r="Q77" s="463"/>
      <c r="R77" s="463"/>
      <c r="S77" s="463"/>
      <c r="T77" s="463"/>
      <c r="U77" s="463"/>
      <c r="V77" s="463"/>
      <c r="W77" s="463"/>
      <c r="X77" s="463"/>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t="s">
        <v>758</v>
      </c>
      <c r="BB77" s="465" t="s">
        <v>758</v>
      </c>
      <c r="BC77" s="394">
        <v>411</v>
      </c>
      <c r="BD77" s="394" t="s">
        <v>4858</v>
      </c>
      <c r="BE77" s="394" t="s">
        <v>4712</v>
      </c>
      <c r="BF77" s="389" t="s">
        <v>4857</v>
      </c>
    </row>
    <row r="78" spans="1:58" ht="153" hidden="1" outlineLevel="1" x14ac:dyDescent="0.2">
      <c r="A78" s="395" t="s">
        <v>1137</v>
      </c>
      <c r="B78" s="394" t="s">
        <v>4533</v>
      </c>
      <c r="C78" s="396" t="s">
        <v>4530</v>
      </c>
      <c r="D78" s="394" t="s">
        <v>4531</v>
      </c>
      <c r="E78" s="394" t="s">
        <v>895</v>
      </c>
      <c r="F78" s="396" t="s">
        <v>105</v>
      </c>
      <c r="G78" s="383" t="s">
        <v>3851</v>
      </c>
      <c r="H78" s="384" t="s">
        <v>3852</v>
      </c>
      <c r="I78" s="397">
        <v>43794</v>
      </c>
      <c r="J78" s="398" t="s">
        <v>4532</v>
      </c>
      <c r="K78" s="393" t="s">
        <v>4897</v>
      </c>
      <c r="L78" s="392" t="s">
        <v>4500</v>
      </c>
      <c r="M78" s="462" t="s">
        <v>3978</v>
      </c>
      <c r="N78" s="365"/>
      <c r="O78" s="365"/>
      <c r="P78" s="365"/>
      <c r="Q78" s="365"/>
      <c r="R78" s="365"/>
      <c r="S78" s="365"/>
      <c r="T78" s="365"/>
      <c r="U78" s="365"/>
      <c r="V78" s="365"/>
      <c r="W78" s="365"/>
      <c r="X78" s="365"/>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v>45</v>
      </c>
      <c r="AX78" s="366">
        <v>45</v>
      </c>
      <c r="AY78" s="366">
        <v>45</v>
      </c>
      <c r="AZ78" s="366">
        <v>45</v>
      </c>
      <c r="BA78" s="366">
        <v>40</v>
      </c>
      <c r="BB78" s="366">
        <v>40</v>
      </c>
      <c r="BC78" s="366">
        <v>39</v>
      </c>
      <c r="BD78" s="394" t="s">
        <v>4893</v>
      </c>
      <c r="BE78" s="394" t="s">
        <v>4710</v>
      </c>
      <c r="BF78" s="389" t="s">
        <v>4897</v>
      </c>
    </row>
    <row r="79" spans="1:58" ht="29.25" hidden="1" customHeight="1" outlineLevel="1" x14ac:dyDescent="0.2">
      <c r="A79" s="395" t="s">
        <v>1137</v>
      </c>
      <c r="B79" s="394" t="s">
        <v>4541</v>
      </c>
      <c r="C79" s="396" t="s">
        <v>2671</v>
      </c>
      <c r="D79" s="394" t="s">
        <v>2584</v>
      </c>
      <c r="E79" s="394" t="s">
        <v>4216</v>
      </c>
      <c r="F79" s="396" t="s">
        <v>105</v>
      </c>
      <c r="G79" s="383" t="s">
        <v>3851</v>
      </c>
      <c r="H79" s="384" t="s">
        <v>3852</v>
      </c>
      <c r="I79" s="397">
        <v>43794</v>
      </c>
      <c r="J79" s="398" t="s">
        <v>4540</v>
      </c>
      <c r="K79" s="393" t="s">
        <v>4897</v>
      </c>
      <c r="L79" s="392" t="s">
        <v>4500</v>
      </c>
      <c r="M79" s="462" t="s">
        <v>3978</v>
      </c>
      <c r="N79" s="361"/>
      <c r="O79" s="361"/>
      <c r="P79" s="361"/>
      <c r="Q79" s="361"/>
      <c r="R79" s="361"/>
      <c r="S79" s="361"/>
      <c r="T79" s="361"/>
      <c r="U79" s="361"/>
      <c r="V79" s="361"/>
      <c r="W79" s="361"/>
      <c r="X79" s="361"/>
      <c r="Y79" s="89"/>
      <c r="Z79" s="89"/>
      <c r="AA79" s="89"/>
      <c r="AB79" s="89"/>
      <c r="AC79" s="89"/>
      <c r="AD79" s="89"/>
      <c r="AE79" s="89"/>
      <c r="AF79" s="89"/>
      <c r="AG79" s="89"/>
      <c r="AH79" s="89"/>
      <c r="AI79" s="89"/>
      <c r="AJ79" s="89"/>
      <c r="AK79" s="89"/>
      <c r="AL79" s="89"/>
      <c r="AM79" s="89"/>
      <c r="AN79" s="89"/>
      <c r="AO79" s="89"/>
      <c r="AP79" s="89"/>
      <c r="AQ79" s="89"/>
      <c r="AR79" s="89"/>
      <c r="AS79" s="89"/>
      <c r="AT79" s="89"/>
      <c r="AU79" s="89"/>
      <c r="AV79" s="89"/>
      <c r="AW79" s="89">
        <v>46</v>
      </c>
      <c r="AX79" s="89">
        <v>46</v>
      </c>
      <c r="AY79" s="89">
        <v>46</v>
      </c>
      <c r="AZ79" s="89">
        <v>46</v>
      </c>
      <c r="BA79" s="89">
        <v>41</v>
      </c>
      <c r="BB79" s="89">
        <v>41</v>
      </c>
      <c r="BC79" s="89">
        <v>40</v>
      </c>
      <c r="BD79" s="394" t="s">
        <v>4894</v>
      </c>
      <c r="BE79" s="394" t="s">
        <v>4711</v>
      </c>
      <c r="BF79" s="389" t="s">
        <v>4897</v>
      </c>
    </row>
    <row r="80" spans="1:58" ht="53.25" hidden="1" customHeight="1" outlineLevel="1" x14ac:dyDescent="0.2">
      <c r="A80" s="395" t="s">
        <v>1137</v>
      </c>
      <c r="B80" s="394" t="s">
        <v>4872</v>
      </c>
      <c r="C80" s="396" t="s">
        <v>917</v>
      </c>
      <c r="D80" s="394" t="s">
        <v>907</v>
      </c>
      <c r="E80" s="394" t="s">
        <v>66</v>
      </c>
      <c r="F80" s="396" t="s">
        <v>11</v>
      </c>
      <c r="G80" s="383" t="s">
        <v>3851</v>
      </c>
      <c r="H80" s="384" t="s">
        <v>3852</v>
      </c>
      <c r="I80" s="397">
        <v>43903</v>
      </c>
      <c r="J80" s="393" t="s">
        <v>4921</v>
      </c>
      <c r="K80" s="393" t="s">
        <v>5097</v>
      </c>
      <c r="L80" s="392" t="s">
        <v>4831</v>
      </c>
      <c r="M80" s="462" t="s">
        <v>4873</v>
      </c>
      <c r="N80" s="86"/>
      <c r="O80" s="86"/>
      <c r="P80" s="86"/>
      <c r="Q80" s="86"/>
      <c r="R80" s="86"/>
      <c r="S80" s="86"/>
      <c r="T80" s="86"/>
      <c r="U80" s="86"/>
      <c r="V80" s="86"/>
      <c r="W80" s="86"/>
      <c r="X80" s="86"/>
      <c r="Y80" s="87"/>
      <c r="Z80" s="87"/>
      <c r="AA80" s="87"/>
      <c r="AB80" s="87"/>
      <c r="AC80" s="87"/>
      <c r="AD80" s="89"/>
      <c r="AE80" s="89"/>
      <c r="AF80" s="89"/>
      <c r="AG80" s="89"/>
      <c r="AH80" s="89"/>
      <c r="AI80" s="89"/>
      <c r="AJ80" s="89"/>
      <c r="AK80" s="89"/>
      <c r="AL80" s="89"/>
      <c r="AM80" s="89"/>
      <c r="AN80" s="89"/>
      <c r="AO80" s="89"/>
      <c r="AP80" s="89"/>
      <c r="AQ80" s="89"/>
      <c r="AR80" s="89"/>
      <c r="AS80" s="89"/>
      <c r="AT80" s="89"/>
      <c r="AU80" s="89"/>
      <c r="AV80" s="89"/>
      <c r="AW80" s="89"/>
      <c r="AX80" s="89"/>
      <c r="AY80" s="89"/>
      <c r="AZ80" s="89"/>
      <c r="BA80" s="89"/>
      <c r="BB80" s="430"/>
      <c r="BC80" s="89"/>
      <c r="BD80" s="89" t="s">
        <v>5094</v>
      </c>
      <c r="BE80" s="89" t="s">
        <v>4887</v>
      </c>
      <c r="BF80" s="443" t="s">
        <v>5097</v>
      </c>
    </row>
    <row r="81" spans="1:58" ht="47.25" hidden="1" customHeight="1" outlineLevel="1" x14ac:dyDescent="0.2">
      <c r="A81" s="395" t="s">
        <v>1137</v>
      </c>
      <c r="B81" s="395" t="s">
        <v>4748</v>
      </c>
      <c r="C81" s="395" t="s">
        <v>4747</v>
      </c>
      <c r="D81" s="395" t="s">
        <v>599</v>
      </c>
      <c r="E81" s="395" t="s">
        <v>66</v>
      </c>
      <c r="F81" s="395" t="s">
        <v>11</v>
      </c>
      <c r="G81" s="395" t="s">
        <v>3851</v>
      </c>
      <c r="H81" s="395" t="s">
        <v>3852</v>
      </c>
      <c r="I81" s="395">
        <v>43865</v>
      </c>
      <c r="J81" s="570" t="s">
        <v>4875</v>
      </c>
      <c r="K81" s="395" t="s">
        <v>4830</v>
      </c>
      <c r="L81" s="395" t="s">
        <v>4831</v>
      </c>
      <c r="M81" s="462" t="s">
        <v>4731</v>
      </c>
      <c r="N81" s="565"/>
      <c r="O81" s="565"/>
      <c r="P81" s="565"/>
      <c r="Q81" s="565"/>
      <c r="R81" s="565"/>
      <c r="S81" s="565"/>
      <c r="T81" s="565"/>
      <c r="U81" s="565"/>
      <c r="V81" s="565"/>
      <c r="W81" s="565"/>
      <c r="X81" s="565"/>
      <c r="Y81" s="566"/>
      <c r="Z81" s="566"/>
      <c r="AA81" s="566"/>
      <c r="AB81" s="566"/>
      <c r="AC81" s="566"/>
      <c r="AD81" s="567"/>
      <c r="AE81" s="567"/>
      <c r="AF81" s="567"/>
      <c r="AG81" s="567"/>
      <c r="AH81" s="567"/>
      <c r="AI81" s="567"/>
      <c r="AJ81" s="567"/>
      <c r="AK81" s="567"/>
      <c r="AL81" s="567"/>
      <c r="AM81" s="567"/>
      <c r="AN81" s="567"/>
      <c r="AO81" s="567"/>
      <c r="AP81" s="567"/>
      <c r="AQ81" s="567"/>
      <c r="AR81" s="567"/>
      <c r="AS81" s="567"/>
      <c r="AT81" s="567"/>
      <c r="AU81" s="567"/>
      <c r="AV81" s="567"/>
      <c r="AW81" s="568"/>
      <c r="AX81" s="568"/>
      <c r="AY81" s="568"/>
      <c r="AZ81" s="568"/>
      <c r="BA81" s="568"/>
      <c r="BB81" s="569"/>
      <c r="BC81" s="568"/>
      <c r="BD81" s="548" t="s">
        <v>5141</v>
      </c>
      <c r="BE81" s="89" t="s">
        <v>4829</v>
      </c>
      <c r="BF81" s="443" t="s">
        <v>5143</v>
      </c>
    </row>
    <row r="82" spans="1:58" ht="63.75" hidden="1" outlineLevel="2" collapsed="1" x14ac:dyDescent="0.2">
      <c r="A82" s="395" t="s">
        <v>1137</v>
      </c>
      <c r="B82" s="395" t="s">
        <v>5738</v>
      </c>
      <c r="C82" s="395" t="s">
        <v>5739</v>
      </c>
      <c r="D82" s="395" t="s">
        <v>5740</v>
      </c>
      <c r="E82" s="395" t="s">
        <v>685</v>
      </c>
      <c r="F82" s="395" t="s">
        <v>1393</v>
      </c>
      <c r="G82" s="395" t="s">
        <v>3851</v>
      </c>
      <c r="H82" s="395" t="s">
        <v>5747</v>
      </c>
      <c r="I82" s="395">
        <v>44293</v>
      </c>
      <c r="J82" s="395" t="s">
        <v>5857</v>
      </c>
      <c r="K82" s="570" t="s">
        <v>5866</v>
      </c>
      <c r="L82" s="395"/>
      <c r="M82" s="395" t="s">
        <v>5741</v>
      </c>
      <c r="N82" s="483"/>
      <c r="O82" s="483"/>
      <c r="P82" s="483"/>
      <c r="Q82" s="483"/>
      <c r="R82" s="483"/>
      <c r="S82" s="483"/>
      <c r="T82" s="483"/>
      <c r="U82" s="483"/>
      <c r="V82" s="483"/>
      <c r="W82" s="483"/>
      <c r="X82" s="483"/>
      <c r="Y82" s="484"/>
      <c r="Z82" s="484"/>
      <c r="AA82" s="484"/>
      <c r="AB82" s="484"/>
      <c r="AC82" s="484"/>
      <c r="AD82" s="478"/>
      <c r="AE82" s="478"/>
      <c r="AF82" s="478"/>
      <c r="AG82" s="478"/>
      <c r="AH82" s="478"/>
      <c r="AI82" s="478"/>
      <c r="AJ82" s="478"/>
      <c r="AK82" s="478"/>
      <c r="AL82" s="478"/>
      <c r="AM82" s="478"/>
      <c r="AN82" s="478"/>
      <c r="AO82" s="478"/>
      <c r="AP82" s="478"/>
      <c r="AQ82" s="478"/>
      <c r="AR82" s="478"/>
      <c r="AS82" s="478"/>
      <c r="AT82" s="478"/>
      <c r="AU82" s="478"/>
      <c r="AV82" s="478"/>
      <c r="AW82" s="479"/>
      <c r="AX82" s="479"/>
      <c r="AY82" s="479"/>
      <c r="AZ82" s="479"/>
      <c r="BA82" s="479"/>
      <c r="BB82" s="480"/>
      <c r="BC82" s="479"/>
      <c r="BD82" s="478"/>
      <c r="BE82" s="478"/>
      <c r="BF82" s="179" t="s">
        <v>5818</v>
      </c>
    </row>
    <row r="83" spans="1:58" collapsed="1" x14ac:dyDescent="0.2">
      <c r="A83" s="482"/>
      <c r="B83" s="483"/>
      <c r="C83" s="483"/>
      <c r="D83" s="484"/>
      <c r="E83" s="484"/>
      <c r="F83" s="483"/>
      <c r="G83" s="483"/>
      <c r="H83" s="484"/>
      <c r="I83" s="485"/>
      <c r="J83" s="486"/>
      <c r="K83" s="487"/>
      <c r="L83" s="487"/>
      <c r="M83" s="487"/>
      <c r="N83" s="483"/>
      <c r="O83" s="483"/>
      <c r="P83" s="483"/>
      <c r="Q83" s="483"/>
      <c r="R83" s="483"/>
      <c r="S83" s="483"/>
      <c r="T83" s="483"/>
      <c r="U83" s="483"/>
      <c r="V83" s="483"/>
      <c r="W83" s="483"/>
      <c r="X83" s="483"/>
      <c r="Y83" s="484"/>
      <c r="Z83" s="484"/>
      <c r="AA83" s="484"/>
      <c r="AB83" s="484"/>
      <c r="AC83" s="484"/>
      <c r="AD83" s="478"/>
      <c r="AE83" s="478"/>
      <c r="AF83" s="478"/>
      <c r="AG83" s="478"/>
      <c r="AH83" s="478"/>
      <c r="AI83" s="478"/>
      <c r="AJ83" s="478"/>
      <c r="AK83" s="478"/>
      <c r="AL83" s="478"/>
      <c r="AM83" s="478"/>
      <c r="AN83" s="478"/>
      <c r="AO83" s="478"/>
      <c r="AP83" s="478"/>
      <c r="AQ83" s="478"/>
      <c r="AR83" s="478"/>
      <c r="AS83" s="478"/>
      <c r="AT83" s="478"/>
      <c r="AU83" s="478"/>
      <c r="AV83" s="478"/>
      <c r="AW83" s="479"/>
      <c r="AX83" s="479"/>
      <c r="AY83" s="479"/>
      <c r="AZ83" s="479"/>
      <c r="BA83" s="479"/>
      <c r="BB83" s="480"/>
      <c r="BC83" s="479"/>
      <c r="BD83" s="478"/>
      <c r="BE83" s="478"/>
      <c r="BF83" s="481"/>
    </row>
  </sheetData>
  <mergeCells count="1">
    <mergeCell ref="BG1:BI1"/>
  </mergeCells>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7" tint="0.39997558519241921"/>
  </sheetPr>
  <dimension ref="A1:CD45"/>
  <sheetViews>
    <sheetView showGridLines="0" zoomScale="80" zoomScaleNormal="80" workbookViewId="0">
      <pane ySplit="3" topLeftCell="A33" activePane="bottomLeft" state="frozen"/>
      <selection pane="bottomLeft" activeCell="B33" sqref="B33"/>
    </sheetView>
  </sheetViews>
  <sheetFormatPr defaultRowHeight="12.75" outlineLevelCol="1" x14ac:dyDescent="0.2"/>
  <cols>
    <col min="1" max="1" width="13.85546875" style="67" bestFit="1" customWidth="1"/>
    <col min="2" max="2" width="23.85546875" style="67" bestFit="1" customWidth="1"/>
    <col min="3" max="3" width="18.5703125" style="67" customWidth="1"/>
    <col min="4" max="4" width="19.140625" style="67" customWidth="1"/>
    <col min="5" max="5" width="18.140625" style="97" customWidth="1"/>
    <col min="6" max="6" width="19.140625" style="97" customWidth="1"/>
    <col min="7" max="7" width="23.28515625" style="67" customWidth="1"/>
    <col min="8" max="8" width="37.42578125" style="67" customWidth="1"/>
    <col min="9" max="9" width="14.7109375" style="67" customWidth="1"/>
    <col min="10" max="10" width="17.7109375" style="97" bestFit="1" customWidth="1"/>
    <col min="11" max="11" width="67.42578125" style="97" customWidth="1"/>
    <col min="12" max="12" width="33" style="97" hidden="1" customWidth="1" outlineLevel="1"/>
    <col min="13" max="13" width="33.42578125" style="97" hidden="1" customWidth="1" outlineLevel="1" collapsed="1"/>
    <col min="14" max="14" width="33.42578125" style="97" hidden="1" customWidth="1" outlineLevel="1"/>
    <col min="15" max="15" width="33.85546875" style="97" hidden="1" customWidth="1" outlineLevel="1"/>
    <col min="16" max="16" width="33.85546875" style="97" hidden="1" customWidth="1" outlineLevel="1" collapsed="1"/>
    <col min="17" max="17" width="33.85546875" style="97" hidden="1" customWidth="1" outlineLevel="1"/>
    <col min="18" max="18" width="33.85546875" style="97" hidden="1" customWidth="1" outlineLevel="1" collapsed="1"/>
    <col min="19" max="19" width="33.42578125" style="97" hidden="1" customWidth="1" outlineLevel="1"/>
    <col min="20" max="20" width="33.85546875" style="97" hidden="1" customWidth="1" outlineLevel="1" collapsed="1"/>
    <col min="21" max="22" width="33.42578125" style="97" hidden="1" customWidth="1" outlineLevel="1" collapsed="1"/>
    <col min="23" max="23" width="33.85546875" style="97" hidden="1" customWidth="1" outlineLevel="1" collapsed="1"/>
    <col min="24" max="24" width="33.42578125" style="97" hidden="1" customWidth="1" outlineLevel="1" collapsed="1"/>
    <col min="25" max="27" width="33.85546875" style="97" hidden="1" customWidth="1" outlineLevel="1" collapsed="1"/>
    <col min="28" max="28" width="33.42578125" style="97" hidden="1" customWidth="1" outlineLevel="1" collapsed="1"/>
    <col min="29" max="29" width="33.85546875" style="97" hidden="1" customWidth="1" outlineLevel="1" collapsed="1"/>
    <col min="30" max="30" width="33.42578125" style="97" hidden="1" customWidth="1" outlineLevel="1" collapsed="1"/>
    <col min="31" max="31" width="33" style="97" hidden="1" customWidth="1" outlineLevel="1"/>
    <col min="32" max="32" width="33" style="97" hidden="1" customWidth="1" outlineLevel="1" collapsed="1"/>
    <col min="33" max="33" width="33.42578125" style="97" hidden="1" customWidth="1" outlineLevel="1" collapsed="1"/>
    <col min="34" max="34" width="33.42578125" style="97" hidden="1" customWidth="1" outlineLevel="1"/>
    <col min="35" max="35" width="33.85546875" style="97" hidden="1" customWidth="1" outlineLevel="1" collapsed="1"/>
    <col min="36" max="36" width="35.140625" style="97" hidden="1" customWidth="1" outlineLevel="1" collapsed="1"/>
    <col min="37" max="37" width="35.140625" style="97" hidden="1" customWidth="1" outlineLevel="1"/>
    <col min="38" max="38" width="33.42578125" style="97" hidden="1" customWidth="1" outlineLevel="1" collapsed="1"/>
    <col min="39" max="40" width="33.85546875" style="97" hidden="1" customWidth="1" outlineLevel="1" collapsed="1"/>
    <col min="41" max="43" width="33.42578125" style="97" hidden="1" customWidth="1" outlineLevel="1" collapsed="1"/>
    <col min="44" max="45" width="33.85546875" style="97" hidden="1" customWidth="1" outlineLevel="1" collapsed="1"/>
    <col min="46" max="47" width="33.42578125" style="97" hidden="1" customWidth="1" outlineLevel="1" collapsed="1"/>
    <col min="48" max="48" width="33.85546875" style="97" hidden="1" customWidth="1" outlineLevel="1"/>
    <col min="49" max="49" width="33.42578125" style="97" hidden="1" customWidth="1" outlineLevel="1"/>
    <col min="50" max="50" width="33.42578125" style="97" hidden="1" customWidth="1" outlineLevel="1" collapsed="1"/>
    <col min="51" max="53" width="33.85546875" style="97" hidden="1" customWidth="1" outlineLevel="1" collapsed="1"/>
    <col min="54" max="54" width="33.42578125" style="97" hidden="1" customWidth="1" outlineLevel="1" collapsed="1"/>
    <col min="55" max="57" width="33.85546875" style="97" hidden="1" customWidth="1" outlineLevel="1" collapsed="1"/>
    <col min="58" max="58" width="33.42578125" style="97" hidden="1" customWidth="1" outlineLevel="1" collapsed="1"/>
    <col min="59" max="60" width="33.85546875" style="97" hidden="1" customWidth="1" outlineLevel="1" collapsed="1"/>
    <col min="61" max="61" width="33.42578125" style="97" hidden="1" customWidth="1" outlineLevel="1" collapsed="1"/>
    <col min="62" max="62" width="32.7109375" style="97" hidden="1" customWidth="1" outlineLevel="1" collapsed="1"/>
    <col min="63" max="63" width="33" style="97" hidden="1" customWidth="1" outlineLevel="1" collapsed="1"/>
    <col min="64" max="64" width="33.42578125" style="97" hidden="1" customWidth="1" outlineLevel="1" collapsed="1"/>
    <col min="65" max="65" width="32.7109375" style="97" hidden="1" customWidth="1" outlineLevel="1"/>
    <col min="66" max="66" width="33" style="97" hidden="1" customWidth="1" outlineLevel="1"/>
    <col min="67" max="67" width="32.7109375" style="97" hidden="1" customWidth="1" outlineLevel="1" collapsed="1"/>
    <col min="68" max="69" width="33" style="97" hidden="1" customWidth="1" outlineLevel="1" collapsed="1"/>
    <col min="70" max="70" width="33.42578125" style="97" hidden="1" customWidth="1" outlineLevel="1" collapsed="1"/>
    <col min="71" max="71" width="33" style="97" hidden="1" customWidth="1" outlineLevel="1" collapsed="1"/>
    <col min="72" max="72" width="33.42578125" style="97" hidden="1" customWidth="1" outlineLevel="1" collapsed="1"/>
    <col min="73" max="73" width="41.85546875" style="97" hidden="1" customWidth="1" outlineLevel="1"/>
    <col min="74" max="74" width="9.7109375" style="97" hidden="1" customWidth="1" outlineLevel="1" collapsed="1"/>
    <col min="75" max="75" width="17" style="97" hidden="1" customWidth="1" outlineLevel="1" collapsed="1"/>
    <col min="76" max="76" width="10.7109375" style="97" hidden="1" customWidth="1" outlineLevel="1" collapsed="1"/>
    <col min="77" max="77" width="63.5703125" style="97" customWidth="1" collapsed="1"/>
    <col min="78" max="78" width="47.28515625" style="97" hidden="1" customWidth="1"/>
    <col min="79" max="79" width="15.85546875" style="60" hidden="1" customWidth="1" outlineLevel="1"/>
    <col min="80" max="80" width="13.7109375" style="60" hidden="1" customWidth="1" outlineLevel="1"/>
    <col min="81" max="81" width="12" style="60" hidden="1" customWidth="1" outlineLevel="1"/>
    <col min="82" max="82" width="9.140625" style="60" collapsed="1"/>
    <col min="83" max="16384" width="9.140625" style="60"/>
  </cols>
  <sheetData>
    <row r="1" spans="1:81" x14ac:dyDescent="0.2">
      <c r="CA1" s="930" t="s">
        <v>5058</v>
      </c>
      <c r="CB1" s="931"/>
      <c r="CC1" s="931"/>
    </row>
    <row r="2" spans="1:81" ht="18" customHeight="1" x14ac:dyDescent="0.2">
      <c r="A2" s="24" t="s">
        <v>583</v>
      </c>
      <c r="B2" s="24" t="s">
        <v>0</v>
      </c>
      <c r="C2" s="24" t="s">
        <v>1</v>
      </c>
      <c r="D2" s="24" t="s">
        <v>2</v>
      </c>
      <c r="E2" s="24" t="s">
        <v>8</v>
      </c>
      <c r="F2" s="24" t="s">
        <v>4</v>
      </c>
      <c r="G2" s="24" t="s">
        <v>6</v>
      </c>
      <c r="H2" s="24" t="s">
        <v>2404</v>
      </c>
      <c r="I2" s="24" t="s">
        <v>7</v>
      </c>
      <c r="J2" s="24" t="s">
        <v>634</v>
      </c>
      <c r="K2" s="24" t="s">
        <v>2573</v>
      </c>
      <c r="L2" s="278" t="s">
        <v>3215</v>
      </c>
      <c r="M2" s="278" t="s">
        <v>3240</v>
      </c>
      <c r="N2" s="278" t="s">
        <v>3279</v>
      </c>
      <c r="O2" s="278" t="s">
        <v>3290</v>
      </c>
      <c r="P2" s="278" t="s">
        <v>3299</v>
      </c>
      <c r="Q2" s="278" t="s">
        <v>3314</v>
      </c>
      <c r="R2" s="278" t="s">
        <v>3318</v>
      </c>
      <c r="S2" s="278" t="s">
        <v>3324</v>
      </c>
      <c r="T2" s="278" t="s">
        <v>3349</v>
      </c>
      <c r="U2" s="278" t="s">
        <v>3397</v>
      </c>
      <c r="V2" s="278" t="s">
        <v>3409</v>
      </c>
      <c r="W2" s="278" t="s">
        <v>3494</v>
      </c>
      <c r="X2" s="278" t="s">
        <v>3499</v>
      </c>
      <c r="Y2" s="278" t="s">
        <v>3515</v>
      </c>
      <c r="Z2" s="278" t="s">
        <v>3532</v>
      </c>
      <c r="AA2" s="278" t="s">
        <v>3540</v>
      </c>
      <c r="AB2" s="278" t="s">
        <v>3549</v>
      </c>
      <c r="AC2" s="278" t="s">
        <v>3557</v>
      </c>
      <c r="AD2" s="278" t="s">
        <v>3584</v>
      </c>
      <c r="AE2" s="278" t="s">
        <v>3715</v>
      </c>
      <c r="AF2" s="278" t="s">
        <v>3717</v>
      </c>
      <c r="AG2" s="278" t="s">
        <v>3718</v>
      </c>
      <c r="AH2" s="278" t="s">
        <v>3790</v>
      </c>
      <c r="AI2" s="278" t="s">
        <v>3802</v>
      </c>
      <c r="AJ2" s="278" t="s">
        <v>4827</v>
      </c>
      <c r="AK2" s="278" t="s">
        <v>4828</v>
      </c>
      <c r="AL2" s="278" t="s">
        <v>3835</v>
      </c>
      <c r="AM2" s="278" t="s">
        <v>3840</v>
      </c>
      <c r="AN2" s="278" t="s">
        <v>3862</v>
      </c>
      <c r="AO2" s="278" t="s">
        <v>3879</v>
      </c>
      <c r="AP2" s="278" t="s">
        <v>3887</v>
      </c>
      <c r="AQ2" s="278" t="s">
        <v>3923</v>
      </c>
      <c r="AR2" s="278" t="s">
        <v>3946</v>
      </c>
      <c r="AS2" s="278" t="s">
        <v>4001</v>
      </c>
      <c r="AT2" s="278" t="s">
        <v>4018</v>
      </c>
      <c r="AU2" s="278" t="s">
        <v>4051</v>
      </c>
      <c r="AV2" s="278" t="s">
        <v>4095</v>
      </c>
      <c r="AW2" s="278" t="s">
        <v>4119</v>
      </c>
      <c r="AX2" s="278" t="s">
        <v>4147</v>
      </c>
      <c r="AY2" s="278" t="s">
        <v>4168</v>
      </c>
      <c r="AZ2" s="278" t="s">
        <v>4181</v>
      </c>
      <c r="BA2" s="278" t="s">
        <v>4188</v>
      </c>
      <c r="BB2" s="278" t="s">
        <v>4207</v>
      </c>
      <c r="BC2" s="278" t="s">
        <v>4238</v>
      </c>
      <c r="BD2" s="278" t="s">
        <v>4287</v>
      </c>
      <c r="BE2" s="278" t="s">
        <v>4333</v>
      </c>
      <c r="BF2" s="278" t="s">
        <v>4353</v>
      </c>
      <c r="BG2" s="278" t="s">
        <v>4369</v>
      </c>
      <c r="BH2" s="278" t="s">
        <v>4388</v>
      </c>
      <c r="BI2" s="278" t="s">
        <v>4395</v>
      </c>
      <c r="BJ2" s="278" t="s">
        <v>4424</v>
      </c>
      <c r="BK2" s="278" t="s">
        <v>4432</v>
      </c>
      <c r="BL2" s="278" t="s">
        <v>4451</v>
      </c>
      <c r="BM2" s="278" t="s">
        <v>4472</v>
      </c>
      <c r="BN2" s="278" t="s">
        <v>4487</v>
      </c>
      <c r="BO2" s="278" t="s">
        <v>4510</v>
      </c>
      <c r="BP2" s="278" t="s">
        <v>4522</v>
      </c>
      <c r="BQ2" s="278" t="s">
        <v>4552</v>
      </c>
      <c r="BR2" s="278" t="s">
        <v>4576</v>
      </c>
      <c r="BS2" s="278" t="s">
        <v>4593</v>
      </c>
      <c r="BT2" s="278" t="s">
        <v>4612</v>
      </c>
      <c r="BU2" s="278" t="s">
        <v>4672</v>
      </c>
      <c r="BV2" s="278" t="s">
        <v>4687</v>
      </c>
      <c r="BW2" s="278" t="s">
        <v>4717</v>
      </c>
      <c r="BX2" s="278" t="s">
        <v>4749</v>
      </c>
      <c r="BY2" s="453" t="s">
        <v>4791</v>
      </c>
      <c r="BZ2" s="448" t="s">
        <v>3213</v>
      </c>
      <c r="CA2" s="534" t="s">
        <v>5055</v>
      </c>
      <c r="CB2" s="534" t="s">
        <v>1297</v>
      </c>
      <c r="CC2" s="534" t="s">
        <v>5057</v>
      </c>
    </row>
    <row r="3" spans="1:81" s="63" customFormat="1" ht="104.25" hidden="1" customHeight="1" x14ac:dyDescent="0.2">
      <c r="A3" s="42" t="s">
        <v>1174</v>
      </c>
      <c r="B3" s="72" t="s">
        <v>2009</v>
      </c>
      <c r="C3" s="417" t="s">
        <v>2014</v>
      </c>
      <c r="D3" s="270" t="s">
        <v>2017</v>
      </c>
      <c r="E3" s="36" t="s">
        <v>2013</v>
      </c>
      <c r="F3" s="36" t="s">
        <v>12</v>
      </c>
      <c r="G3" s="418">
        <v>41299</v>
      </c>
      <c r="H3" s="419" t="s">
        <v>2930</v>
      </c>
      <c r="I3" s="360" t="s">
        <v>2923</v>
      </c>
      <c r="J3" s="81" t="s">
        <v>4685</v>
      </c>
      <c r="K3" s="420" t="s">
        <v>3180</v>
      </c>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c r="AP3" s="420"/>
      <c r="AQ3" s="420"/>
      <c r="AR3" s="420"/>
      <c r="AS3" s="420"/>
      <c r="AT3" s="420"/>
      <c r="AU3" s="420"/>
      <c r="AV3" s="420"/>
      <c r="AW3" s="420"/>
      <c r="AX3" s="420"/>
      <c r="AY3" s="420"/>
      <c r="AZ3" s="420"/>
      <c r="BA3" s="420"/>
      <c r="BB3" s="420"/>
      <c r="BC3" s="420"/>
      <c r="BD3" s="420"/>
      <c r="BE3" s="420"/>
      <c r="BF3" s="420"/>
      <c r="BG3" s="354" t="s">
        <v>758</v>
      </c>
      <c r="BH3" s="354" t="s">
        <v>758</v>
      </c>
      <c r="BI3" s="354" t="s">
        <v>758</v>
      </c>
      <c r="BJ3" s="354" t="s">
        <v>758</v>
      </c>
      <c r="BK3" s="354" t="s">
        <v>758</v>
      </c>
      <c r="BL3" s="354" t="s">
        <v>758</v>
      </c>
      <c r="BM3" s="354" t="s">
        <v>758</v>
      </c>
      <c r="BN3" s="354" t="s">
        <v>758</v>
      </c>
      <c r="BO3" s="354" t="s">
        <v>758</v>
      </c>
      <c r="BP3" s="354" t="s">
        <v>758</v>
      </c>
      <c r="BQ3" s="354" t="s">
        <v>758</v>
      </c>
      <c r="BR3" s="354" t="s">
        <v>758</v>
      </c>
      <c r="BS3" s="354" t="s">
        <v>758</v>
      </c>
      <c r="BT3" s="354" t="s">
        <v>758</v>
      </c>
      <c r="BU3" s="354" t="s">
        <v>758</v>
      </c>
      <c r="BV3" s="354"/>
      <c r="BW3" s="354"/>
      <c r="BX3" s="354"/>
      <c r="BY3" s="454"/>
      <c r="BZ3" s="449"/>
    </row>
    <row r="4" spans="1:81" ht="211.5" customHeight="1" x14ac:dyDescent="0.2">
      <c r="A4" s="421" t="s">
        <v>1174</v>
      </c>
      <c r="B4" s="422" t="s">
        <v>1204</v>
      </c>
      <c r="C4" s="422" t="s">
        <v>1738</v>
      </c>
      <c r="D4" s="423" t="s">
        <v>1738</v>
      </c>
      <c r="E4" s="423" t="s">
        <v>1203</v>
      </c>
      <c r="F4" s="423" t="s">
        <v>12</v>
      </c>
      <c r="G4" s="424">
        <v>41530</v>
      </c>
      <c r="H4" s="425" t="s">
        <v>2930</v>
      </c>
      <c r="I4" s="426" t="s">
        <v>2927</v>
      </c>
      <c r="J4" s="426" t="s">
        <v>3083</v>
      </c>
      <c r="K4" s="420" t="s">
        <v>4939</v>
      </c>
      <c r="L4" s="420"/>
      <c r="M4" s="420"/>
      <c r="N4" s="420"/>
      <c r="O4" s="420"/>
      <c r="P4" s="420"/>
      <c r="Q4" s="420"/>
      <c r="R4" s="420"/>
      <c r="S4" s="420"/>
      <c r="T4" s="420"/>
      <c r="U4" s="420"/>
      <c r="V4" s="420"/>
      <c r="W4" s="420"/>
      <c r="X4" s="420"/>
      <c r="Y4" s="420"/>
      <c r="Z4" s="420"/>
      <c r="AA4" s="420"/>
      <c r="AB4" s="420"/>
      <c r="AC4" s="420"/>
      <c r="AD4" s="420"/>
      <c r="AE4" s="420"/>
      <c r="AF4" s="420"/>
      <c r="AG4" s="420"/>
      <c r="AH4" s="420"/>
      <c r="AI4" s="420"/>
      <c r="AJ4" s="420"/>
      <c r="AK4" s="420"/>
      <c r="AL4" s="420"/>
      <c r="AM4" s="420"/>
      <c r="AN4" s="420"/>
      <c r="AO4" s="420"/>
      <c r="AP4" s="420"/>
      <c r="AQ4" s="420"/>
      <c r="AR4" s="420"/>
      <c r="AS4" s="420"/>
      <c r="AT4" s="420"/>
      <c r="AU4" s="420"/>
      <c r="AV4" s="420"/>
      <c r="AW4" s="420"/>
      <c r="AX4" s="420"/>
      <c r="AY4" s="420"/>
      <c r="AZ4" s="420"/>
      <c r="BA4" s="420"/>
      <c r="BB4" s="420"/>
      <c r="BC4" s="420"/>
      <c r="BD4" s="420"/>
      <c r="BE4" s="420"/>
      <c r="BF4" s="420"/>
      <c r="BG4" s="354" t="s">
        <v>758</v>
      </c>
      <c r="BH4" s="354" t="s">
        <v>758</v>
      </c>
      <c r="BI4" s="354" t="s">
        <v>758</v>
      </c>
      <c r="BJ4" s="354" t="s">
        <v>758</v>
      </c>
      <c r="BK4" s="354" t="s">
        <v>758</v>
      </c>
      <c r="BL4" s="354" t="s">
        <v>758</v>
      </c>
      <c r="BM4" s="354" t="s">
        <v>758</v>
      </c>
      <c r="BN4" s="354" t="s">
        <v>758</v>
      </c>
      <c r="BO4" s="354" t="s">
        <v>758</v>
      </c>
      <c r="BP4" s="354" t="s">
        <v>758</v>
      </c>
      <c r="BQ4" s="354" t="s">
        <v>758</v>
      </c>
      <c r="BR4" s="354" t="s">
        <v>758</v>
      </c>
      <c r="BS4" s="354" t="s">
        <v>758</v>
      </c>
      <c r="BT4" s="354" t="s">
        <v>758</v>
      </c>
      <c r="BU4" s="354" t="s">
        <v>758</v>
      </c>
      <c r="BV4" s="354" t="s">
        <v>4689</v>
      </c>
      <c r="BW4" s="354" t="s">
        <v>4689</v>
      </c>
      <c r="BX4" s="354" t="s">
        <v>4689</v>
      </c>
      <c r="BY4" s="354" t="s">
        <v>6588</v>
      </c>
      <c r="BZ4" s="449"/>
      <c r="CA4" s="354" t="s">
        <v>3851</v>
      </c>
      <c r="CB4" s="354" t="s">
        <v>5070</v>
      </c>
      <c r="CC4" s="354" t="s">
        <v>5071</v>
      </c>
    </row>
    <row r="5" spans="1:81" s="63" customFormat="1" ht="75.75" hidden="1" customHeight="1" x14ac:dyDescent="0.2">
      <c r="A5" s="71" t="s">
        <v>1137</v>
      </c>
      <c r="B5" s="42" t="s">
        <v>2810</v>
      </c>
      <c r="C5" s="417" t="s">
        <v>2924</v>
      </c>
      <c r="D5" s="427" t="s">
        <v>2924</v>
      </c>
      <c r="E5" s="36" t="s">
        <v>2804</v>
      </c>
      <c r="F5" s="36" t="s">
        <v>1095</v>
      </c>
      <c r="G5" s="424">
        <v>42754</v>
      </c>
      <c r="H5" s="36" t="s">
        <v>2943</v>
      </c>
      <c r="I5" s="428" t="s">
        <v>2811</v>
      </c>
      <c r="J5" s="81" t="s">
        <v>4685</v>
      </c>
      <c r="K5" s="36" t="s">
        <v>2887</v>
      </c>
      <c r="L5" s="36"/>
      <c r="M5" s="72"/>
      <c r="N5" s="72"/>
      <c r="O5" s="72"/>
      <c r="P5" s="72"/>
      <c r="Q5" s="72"/>
      <c r="R5" s="72"/>
      <c r="S5" s="72"/>
      <c r="T5" s="72"/>
      <c r="U5" s="72"/>
      <c r="V5" s="72"/>
      <c r="W5" s="72"/>
      <c r="X5" s="72"/>
      <c r="Y5" s="72"/>
      <c r="Z5" s="72"/>
      <c r="AA5" s="72"/>
      <c r="AB5" s="72"/>
      <c r="AC5" s="72"/>
      <c r="AD5" s="72"/>
      <c r="AE5" s="72"/>
      <c r="AF5" s="72"/>
      <c r="AG5" s="72"/>
      <c r="AH5" s="72"/>
      <c r="AI5" s="72"/>
      <c r="AJ5" s="72"/>
      <c r="AK5" s="72"/>
      <c r="AL5" s="72"/>
      <c r="AM5" s="72"/>
      <c r="AN5" s="72"/>
      <c r="AO5" s="72"/>
      <c r="AP5" s="72"/>
      <c r="AQ5" s="72"/>
      <c r="AR5" s="72"/>
      <c r="AS5" s="72"/>
      <c r="AT5" s="72"/>
      <c r="AU5" s="72"/>
      <c r="AV5" s="72"/>
      <c r="AW5" s="72"/>
      <c r="AX5" s="72"/>
      <c r="AY5" s="72"/>
      <c r="AZ5" s="72"/>
      <c r="BA5" s="72"/>
      <c r="BB5" s="72"/>
      <c r="BC5" s="72"/>
      <c r="BD5" s="72"/>
      <c r="BE5" s="72"/>
      <c r="BF5" s="72"/>
      <c r="BG5" s="354" t="s">
        <v>758</v>
      </c>
      <c r="BH5" s="354" t="s">
        <v>758</v>
      </c>
      <c r="BI5" s="354" t="s">
        <v>758</v>
      </c>
      <c r="BJ5" s="354" t="s">
        <v>758</v>
      </c>
      <c r="BK5" s="354" t="s">
        <v>758</v>
      </c>
      <c r="BL5" s="354" t="s">
        <v>758</v>
      </c>
      <c r="BM5" s="354" t="s">
        <v>758</v>
      </c>
      <c r="BN5" s="354" t="s">
        <v>758</v>
      </c>
      <c r="BO5" s="354" t="s">
        <v>758</v>
      </c>
      <c r="BP5" s="354" t="s">
        <v>758</v>
      </c>
      <c r="BQ5" s="354" t="s">
        <v>758</v>
      </c>
      <c r="BR5" s="354" t="s">
        <v>758</v>
      </c>
      <c r="BS5" s="354" t="s">
        <v>758</v>
      </c>
      <c r="BT5" s="354" t="s">
        <v>758</v>
      </c>
      <c r="BU5" s="354" t="s">
        <v>758</v>
      </c>
      <c r="BV5" s="354"/>
      <c r="BW5" s="354"/>
      <c r="BX5" s="354"/>
      <c r="BY5" s="496" t="s">
        <v>4922</v>
      </c>
      <c r="BZ5" s="179"/>
      <c r="CA5" s="540"/>
      <c r="CB5" s="540"/>
      <c r="CC5" s="540"/>
    </row>
    <row r="6" spans="1:81" s="61" customFormat="1" ht="83.25" hidden="1" customHeight="1" x14ac:dyDescent="0.2">
      <c r="A6" s="71" t="s">
        <v>1174</v>
      </c>
      <c r="B6" s="72" t="s">
        <v>1519</v>
      </c>
      <c r="C6" s="288" t="s">
        <v>1527</v>
      </c>
      <c r="D6" s="72" t="s">
        <v>1518</v>
      </c>
      <c r="E6" s="72" t="s">
        <v>1520</v>
      </c>
      <c r="F6" s="72" t="s">
        <v>12</v>
      </c>
      <c r="G6" s="418">
        <v>41992</v>
      </c>
      <c r="H6" s="419" t="s">
        <v>2008</v>
      </c>
      <c r="I6" s="360" t="s">
        <v>2928</v>
      </c>
      <c r="J6" s="81" t="s">
        <v>4686</v>
      </c>
      <c r="K6" s="72" t="s">
        <v>2925</v>
      </c>
      <c r="L6" s="72"/>
      <c r="M6" s="72"/>
      <c r="N6" s="72"/>
      <c r="O6" s="72"/>
      <c r="P6" s="72"/>
      <c r="Q6" s="72"/>
      <c r="R6" s="72"/>
      <c r="S6" s="72"/>
      <c r="T6" s="72"/>
      <c r="U6" s="72"/>
      <c r="V6" s="72"/>
      <c r="W6" s="72"/>
      <c r="X6" s="72"/>
      <c r="Y6" s="72"/>
      <c r="Z6" s="72"/>
      <c r="AA6" s="72"/>
      <c r="AB6" s="72"/>
      <c r="AC6" s="72"/>
      <c r="AD6" s="72"/>
      <c r="AE6" s="72"/>
      <c r="AF6" s="72"/>
      <c r="AG6" s="72"/>
      <c r="AH6" s="72"/>
      <c r="AI6" s="72"/>
      <c r="AJ6" s="72"/>
      <c r="AK6" s="72"/>
      <c r="AL6" s="72"/>
      <c r="AM6" s="72"/>
      <c r="AN6" s="72"/>
      <c r="AO6" s="72"/>
      <c r="AP6" s="72"/>
      <c r="AQ6" s="72"/>
      <c r="AR6" s="72"/>
      <c r="AS6" s="72"/>
      <c r="AT6" s="72"/>
      <c r="AU6" s="72"/>
      <c r="AV6" s="72"/>
      <c r="AW6" s="72"/>
      <c r="AX6" s="72"/>
      <c r="AY6" s="72"/>
      <c r="AZ6" s="72"/>
      <c r="BA6" s="72"/>
      <c r="BB6" s="72"/>
      <c r="BC6" s="72"/>
      <c r="BD6" s="72"/>
      <c r="BE6" s="72"/>
      <c r="BF6" s="72"/>
      <c r="BG6" s="354" t="s">
        <v>758</v>
      </c>
      <c r="BH6" s="354" t="s">
        <v>758</v>
      </c>
      <c r="BI6" s="354" t="s">
        <v>758</v>
      </c>
      <c r="BJ6" s="354" t="s">
        <v>758</v>
      </c>
      <c r="BK6" s="354" t="s">
        <v>758</v>
      </c>
      <c r="BL6" s="354" t="s">
        <v>758</v>
      </c>
      <c r="BM6" s="354" t="s">
        <v>758</v>
      </c>
      <c r="BN6" s="354" t="s">
        <v>758</v>
      </c>
      <c r="BO6" s="354" t="s">
        <v>758</v>
      </c>
      <c r="BP6" s="354" t="s">
        <v>758</v>
      </c>
      <c r="BQ6" s="354" t="s">
        <v>758</v>
      </c>
      <c r="BR6" s="354" t="s">
        <v>758</v>
      </c>
      <c r="BS6" s="354" t="s">
        <v>758</v>
      </c>
      <c r="BT6" s="354" t="s">
        <v>758</v>
      </c>
      <c r="BU6" s="354" t="s">
        <v>758</v>
      </c>
      <c r="BV6" s="354"/>
      <c r="BW6" s="354"/>
      <c r="BX6" s="354"/>
      <c r="BY6" s="496" t="s">
        <v>4923</v>
      </c>
      <c r="BZ6" s="179"/>
      <c r="CA6" s="541"/>
      <c r="CB6" s="541"/>
      <c r="CC6" s="541"/>
    </row>
    <row r="7" spans="1:81" s="61" customFormat="1" ht="79.5" hidden="1" customHeight="1" x14ac:dyDescent="0.2">
      <c r="A7" s="71" t="s">
        <v>1174</v>
      </c>
      <c r="B7" s="72" t="s">
        <v>1521</v>
      </c>
      <c r="C7" s="288" t="s">
        <v>1522</v>
      </c>
      <c r="D7" s="72" t="s">
        <v>1522</v>
      </c>
      <c r="E7" s="72" t="s">
        <v>1523</v>
      </c>
      <c r="F7" s="72" t="s">
        <v>12</v>
      </c>
      <c r="G7" s="418">
        <v>41992</v>
      </c>
      <c r="H7" s="419" t="s">
        <v>2008</v>
      </c>
      <c r="I7" s="360" t="s">
        <v>2929</v>
      </c>
      <c r="J7" s="81" t="s">
        <v>4686</v>
      </c>
      <c r="K7" s="72" t="s">
        <v>2926</v>
      </c>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72"/>
      <c r="AR7" s="72"/>
      <c r="AS7" s="72"/>
      <c r="AT7" s="72"/>
      <c r="AU7" s="72"/>
      <c r="AV7" s="72"/>
      <c r="AW7" s="72"/>
      <c r="AX7" s="72"/>
      <c r="AY7" s="72"/>
      <c r="AZ7" s="72"/>
      <c r="BA7" s="72"/>
      <c r="BB7" s="72"/>
      <c r="BC7" s="72"/>
      <c r="BD7" s="72"/>
      <c r="BE7" s="72"/>
      <c r="BF7" s="72"/>
      <c r="BG7" s="354" t="s">
        <v>758</v>
      </c>
      <c r="BH7" s="354" t="s">
        <v>758</v>
      </c>
      <c r="BI7" s="354" t="s">
        <v>758</v>
      </c>
      <c r="BJ7" s="354" t="s">
        <v>758</v>
      </c>
      <c r="BK7" s="354" t="s">
        <v>758</v>
      </c>
      <c r="BL7" s="354" t="s">
        <v>758</v>
      </c>
      <c r="BM7" s="354" t="s">
        <v>758</v>
      </c>
      <c r="BN7" s="354" t="s">
        <v>758</v>
      </c>
      <c r="BO7" s="354" t="s">
        <v>758</v>
      </c>
      <c r="BP7" s="354" t="s">
        <v>758</v>
      </c>
      <c r="BQ7" s="354" t="s">
        <v>758</v>
      </c>
      <c r="BR7" s="354" t="s">
        <v>758</v>
      </c>
      <c r="BS7" s="354" t="s">
        <v>758</v>
      </c>
      <c r="BT7" s="354" t="s">
        <v>758</v>
      </c>
      <c r="BU7" s="354" t="s">
        <v>758</v>
      </c>
      <c r="BV7" s="354"/>
      <c r="BW7" s="354"/>
      <c r="BX7" s="354"/>
      <c r="BY7" s="36" t="s">
        <v>4924</v>
      </c>
      <c r="BZ7" s="179"/>
      <c r="CA7" s="541"/>
      <c r="CB7" s="541"/>
      <c r="CC7" s="541"/>
    </row>
    <row r="8" spans="1:81" s="62" customFormat="1" ht="136.5" hidden="1" customHeight="1" x14ac:dyDescent="0.2">
      <c r="A8" s="71" t="s">
        <v>2018</v>
      </c>
      <c r="B8" s="268" t="s">
        <v>2012</v>
      </c>
      <c r="C8" s="422" t="s">
        <v>2010</v>
      </c>
      <c r="D8" s="72" t="s">
        <v>2019</v>
      </c>
      <c r="E8" s="72" t="s">
        <v>112</v>
      </c>
      <c r="F8" s="72" t="s">
        <v>112</v>
      </c>
      <c r="G8" s="418">
        <v>40287</v>
      </c>
      <c r="H8" s="419" t="s">
        <v>2930</v>
      </c>
      <c r="I8" s="360" t="s">
        <v>2931</v>
      </c>
      <c r="J8" s="81" t="s">
        <v>4685</v>
      </c>
      <c r="K8" s="72" t="s">
        <v>2932</v>
      </c>
      <c r="L8" s="72"/>
      <c r="M8" s="72"/>
      <c r="N8" s="72"/>
      <c r="O8" s="72"/>
      <c r="P8" s="72"/>
      <c r="Q8" s="72"/>
      <c r="R8" s="72"/>
      <c r="S8" s="72"/>
      <c r="T8" s="72"/>
      <c r="U8" s="72"/>
      <c r="V8" s="72"/>
      <c r="W8" s="72"/>
      <c r="X8" s="72"/>
      <c r="Y8" s="72"/>
      <c r="Z8" s="72"/>
      <c r="AA8" s="72"/>
      <c r="AB8" s="72"/>
      <c r="AC8" s="72"/>
      <c r="AD8" s="72"/>
      <c r="AE8" s="72"/>
      <c r="AF8" s="72"/>
      <c r="AG8" s="72"/>
      <c r="AH8" s="72"/>
      <c r="AI8" s="72"/>
      <c r="AJ8" s="72"/>
      <c r="AK8" s="72"/>
      <c r="AL8" s="72"/>
      <c r="AM8" s="72"/>
      <c r="AN8" s="72"/>
      <c r="AO8" s="72"/>
      <c r="AP8" s="72"/>
      <c r="AQ8" s="72"/>
      <c r="AR8" s="72"/>
      <c r="AS8" s="72"/>
      <c r="AT8" s="72"/>
      <c r="AU8" s="72"/>
      <c r="AV8" s="72"/>
      <c r="AW8" s="72"/>
      <c r="AX8" s="72"/>
      <c r="AY8" s="72"/>
      <c r="AZ8" s="72"/>
      <c r="BA8" s="72"/>
      <c r="BB8" s="72"/>
      <c r="BC8" s="72"/>
      <c r="BD8" s="72"/>
      <c r="BE8" s="72"/>
      <c r="BF8" s="72"/>
      <c r="BG8" s="354" t="s">
        <v>758</v>
      </c>
      <c r="BH8" s="354" t="s">
        <v>758</v>
      </c>
      <c r="BI8" s="354" t="s">
        <v>758</v>
      </c>
      <c r="BJ8" s="354" t="s">
        <v>758</v>
      </c>
      <c r="BK8" s="354" t="s">
        <v>758</v>
      </c>
      <c r="BL8" s="354" t="s">
        <v>758</v>
      </c>
      <c r="BM8" s="354" t="s">
        <v>758</v>
      </c>
      <c r="BN8" s="354" t="s">
        <v>758</v>
      </c>
      <c r="BO8" s="354" t="s">
        <v>758</v>
      </c>
      <c r="BP8" s="354" t="s">
        <v>758</v>
      </c>
      <c r="BQ8" s="354" t="s">
        <v>758</v>
      </c>
      <c r="BR8" s="354" t="s">
        <v>758</v>
      </c>
      <c r="BS8" s="354" t="s">
        <v>758</v>
      </c>
      <c r="BT8" s="354" t="s">
        <v>758</v>
      </c>
      <c r="BU8" s="354" t="s">
        <v>758</v>
      </c>
      <c r="BV8" s="354"/>
      <c r="BW8" s="354"/>
      <c r="BX8" s="354"/>
      <c r="BY8" s="454"/>
      <c r="BZ8" s="179"/>
      <c r="CA8" s="542"/>
      <c r="CB8" s="542"/>
      <c r="CC8" s="542"/>
    </row>
    <row r="9" spans="1:81" s="61" customFormat="1" ht="119.25" hidden="1" customHeight="1" x14ac:dyDescent="0.2">
      <c r="A9" s="41" t="s">
        <v>2018</v>
      </c>
      <c r="B9" s="268" t="s">
        <v>2011</v>
      </c>
      <c r="C9" s="203" t="s">
        <v>2016</v>
      </c>
      <c r="D9" s="268" t="s">
        <v>2016</v>
      </c>
      <c r="E9" s="30" t="s">
        <v>2015</v>
      </c>
      <c r="F9" s="29" t="s">
        <v>12</v>
      </c>
      <c r="G9" s="70">
        <v>40424</v>
      </c>
      <c r="H9" s="72" t="s">
        <v>2930</v>
      </c>
      <c r="I9" s="41" t="s">
        <v>2933</v>
      </c>
      <c r="J9" s="30" t="s">
        <v>4220</v>
      </c>
      <c r="K9" s="30" t="s">
        <v>2934</v>
      </c>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54" t="s">
        <v>758</v>
      </c>
      <c r="BH9" s="354" t="s">
        <v>758</v>
      </c>
      <c r="BI9" s="354" t="s">
        <v>758</v>
      </c>
      <c r="BJ9" s="354" t="s">
        <v>758</v>
      </c>
      <c r="BK9" s="354" t="s">
        <v>758</v>
      </c>
      <c r="BL9" s="354" t="s">
        <v>758</v>
      </c>
      <c r="BM9" s="354" t="s">
        <v>758</v>
      </c>
      <c r="BN9" s="354" t="s">
        <v>758</v>
      </c>
      <c r="BO9" s="354" t="s">
        <v>758</v>
      </c>
      <c r="BP9" s="354" t="s">
        <v>758</v>
      </c>
      <c r="BQ9" s="354" t="s">
        <v>758</v>
      </c>
      <c r="BR9" s="354" t="s">
        <v>758</v>
      </c>
      <c r="BS9" s="354" t="s">
        <v>758</v>
      </c>
      <c r="BT9" s="354" t="s">
        <v>758</v>
      </c>
      <c r="BU9" s="354" t="s">
        <v>758</v>
      </c>
      <c r="BV9" s="354"/>
      <c r="BW9" s="354"/>
      <c r="BX9" s="354"/>
      <c r="BY9" s="454"/>
      <c r="BZ9" s="166"/>
      <c r="CA9" s="541"/>
      <c r="CB9" s="541"/>
      <c r="CC9" s="541"/>
    </row>
    <row r="10" spans="1:81" s="61" customFormat="1" ht="33" hidden="1" customHeight="1" x14ac:dyDescent="0.2">
      <c r="A10" s="30" t="s">
        <v>1174</v>
      </c>
      <c r="B10" s="28" t="s">
        <v>2351</v>
      </c>
      <c r="C10" s="203" t="s">
        <v>2016</v>
      </c>
      <c r="D10" s="269" t="s">
        <v>2016</v>
      </c>
      <c r="E10" s="270" t="s">
        <v>2350</v>
      </c>
      <c r="F10" s="270" t="s">
        <v>1554</v>
      </c>
      <c r="G10" s="90">
        <v>42402</v>
      </c>
      <c r="H10" s="28" t="s">
        <v>2936</v>
      </c>
      <c r="I10" s="28" t="s">
        <v>2935</v>
      </c>
      <c r="J10" s="30" t="s">
        <v>4685</v>
      </c>
      <c r="K10" s="30" t="s">
        <v>2942</v>
      </c>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54" t="s">
        <v>758</v>
      </c>
      <c r="BH10" s="354" t="s">
        <v>758</v>
      </c>
      <c r="BI10" s="354" t="s">
        <v>758</v>
      </c>
      <c r="BJ10" s="354" t="s">
        <v>758</v>
      </c>
      <c r="BK10" s="354" t="s">
        <v>758</v>
      </c>
      <c r="BL10" s="354" t="s">
        <v>758</v>
      </c>
      <c r="BM10" s="354" t="s">
        <v>758</v>
      </c>
      <c r="BN10" s="354" t="s">
        <v>758</v>
      </c>
      <c r="BO10" s="354" t="s">
        <v>758</v>
      </c>
      <c r="BP10" s="354" t="s">
        <v>758</v>
      </c>
      <c r="BQ10" s="354" t="s">
        <v>758</v>
      </c>
      <c r="BR10" s="354" t="s">
        <v>758</v>
      </c>
      <c r="BS10" s="354" t="s">
        <v>758</v>
      </c>
      <c r="BT10" s="354" t="s">
        <v>758</v>
      </c>
      <c r="BU10" s="354" t="s">
        <v>758</v>
      </c>
      <c r="BV10" s="354"/>
      <c r="BW10" s="354"/>
      <c r="BX10" s="354"/>
      <c r="BY10" s="454"/>
      <c r="BZ10" s="166"/>
      <c r="CA10" s="541"/>
      <c r="CB10" s="541"/>
      <c r="CC10" s="541"/>
    </row>
    <row r="11" spans="1:81" s="61" customFormat="1" ht="76.5" hidden="1" x14ac:dyDescent="0.2">
      <c r="A11" s="42" t="s">
        <v>1137</v>
      </c>
      <c r="B11" s="40" t="s">
        <v>2358</v>
      </c>
      <c r="C11" s="203" t="s">
        <v>2354</v>
      </c>
      <c r="D11" s="206" t="s">
        <v>2354</v>
      </c>
      <c r="E11" s="28" t="s">
        <v>42</v>
      </c>
      <c r="F11" s="28" t="s">
        <v>2355</v>
      </c>
      <c r="G11" s="93">
        <v>42417</v>
      </c>
      <c r="H11" s="28" t="s">
        <v>2937</v>
      </c>
      <c r="I11" s="40" t="s">
        <v>2938</v>
      </c>
      <c r="J11" s="30" t="s">
        <v>4685</v>
      </c>
      <c r="K11" s="28" t="s">
        <v>2941</v>
      </c>
      <c r="L11" s="28"/>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54" t="s">
        <v>758</v>
      </c>
      <c r="BH11" s="354" t="s">
        <v>758</v>
      </c>
      <c r="BI11" s="354" t="s">
        <v>758</v>
      </c>
      <c r="BJ11" s="354" t="s">
        <v>758</v>
      </c>
      <c r="BK11" s="354" t="s">
        <v>758</v>
      </c>
      <c r="BL11" s="354" t="s">
        <v>758</v>
      </c>
      <c r="BM11" s="354" t="s">
        <v>758</v>
      </c>
      <c r="BN11" s="354" t="s">
        <v>758</v>
      </c>
      <c r="BO11" s="354" t="s">
        <v>758</v>
      </c>
      <c r="BP11" s="354" t="s">
        <v>758</v>
      </c>
      <c r="BQ11" s="354" t="s">
        <v>758</v>
      </c>
      <c r="BR11" s="354" t="s">
        <v>758</v>
      </c>
      <c r="BS11" s="354" t="s">
        <v>758</v>
      </c>
      <c r="BT11" s="354" t="s">
        <v>758</v>
      </c>
      <c r="BU11" s="354" t="s">
        <v>758</v>
      </c>
      <c r="BV11" s="354"/>
      <c r="BW11" s="354"/>
      <c r="BX11" s="354"/>
      <c r="BY11" s="454"/>
      <c r="BZ11" s="166"/>
      <c r="CA11" s="541"/>
      <c r="CB11" s="541"/>
      <c r="CC11" s="541"/>
    </row>
    <row r="12" spans="1:81" s="61" customFormat="1" ht="25.5" hidden="1" x14ac:dyDescent="0.2">
      <c r="A12" s="71" t="s">
        <v>1137</v>
      </c>
      <c r="B12" s="41" t="s">
        <v>2510</v>
      </c>
      <c r="C12" s="104" t="s">
        <v>2511</v>
      </c>
      <c r="D12" s="29" t="s">
        <v>2511</v>
      </c>
      <c r="E12" s="30" t="s">
        <v>318</v>
      </c>
      <c r="F12" s="30" t="s">
        <v>2512</v>
      </c>
      <c r="G12" s="70">
        <v>42488</v>
      </c>
      <c r="H12" s="28" t="s">
        <v>2936</v>
      </c>
      <c r="I12" s="41" t="s">
        <v>2939</v>
      </c>
      <c r="J12" s="30" t="s">
        <v>4685</v>
      </c>
      <c r="K12" s="30" t="s">
        <v>2940</v>
      </c>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54" t="s">
        <v>758</v>
      </c>
      <c r="BH12" s="354" t="s">
        <v>758</v>
      </c>
      <c r="BI12" s="354" t="s">
        <v>758</v>
      </c>
      <c r="BJ12" s="354" t="s">
        <v>758</v>
      </c>
      <c r="BK12" s="354" t="s">
        <v>758</v>
      </c>
      <c r="BL12" s="354" t="s">
        <v>758</v>
      </c>
      <c r="BM12" s="354" t="s">
        <v>758</v>
      </c>
      <c r="BN12" s="354" t="s">
        <v>758</v>
      </c>
      <c r="BO12" s="354" t="s">
        <v>758</v>
      </c>
      <c r="BP12" s="354" t="s">
        <v>758</v>
      </c>
      <c r="BQ12" s="354" t="s">
        <v>758</v>
      </c>
      <c r="BR12" s="354" t="s">
        <v>758</v>
      </c>
      <c r="BS12" s="354" t="s">
        <v>758</v>
      </c>
      <c r="BT12" s="354" t="s">
        <v>758</v>
      </c>
      <c r="BU12" s="354" t="s">
        <v>758</v>
      </c>
      <c r="BV12" s="354"/>
      <c r="BW12" s="354"/>
      <c r="BX12" s="354"/>
      <c r="BY12" s="454"/>
      <c r="BZ12" s="166"/>
      <c r="CA12" s="541"/>
      <c r="CB12" s="541"/>
      <c r="CC12" s="541"/>
    </row>
    <row r="13" spans="1:81" s="61" customFormat="1" ht="58.5" hidden="1" customHeight="1" x14ac:dyDescent="0.2">
      <c r="A13" s="40" t="s">
        <v>1137</v>
      </c>
      <c r="B13" s="40" t="s">
        <v>2796</v>
      </c>
      <c r="C13" s="219" t="s">
        <v>65</v>
      </c>
      <c r="D13" s="40" t="s">
        <v>65</v>
      </c>
      <c r="E13" s="28" t="s">
        <v>2828</v>
      </c>
      <c r="F13" s="28" t="s">
        <v>2793</v>
      </c>
      <c r="G13" s="93">
        <v>42733</v>
      </c>
      <c r="H13" s="28" t="s">
        <v>2937</v>
      </c>
      <c r="I13" s="208" t="s">
        <v>2794</v>
      </c>
      <c r="J13" s="32" t="s">
        <v>4685</v>
      </c>
      <c r="K13" s="28" t="s">
        <v>2968</v>
      </c>
      <c r="L13" s="28"/>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54" t="s">
        <v>758</v>
      </c>
      <c r="BH13" s="354" t="s">
        <v>758</v>
      </c>
      <c r="BI13" s="354" t="s">
        <v>758</v>
      </c>
      <c r="BJ13" s="354" t="s">
        <v>758</v>
      </c>
      <c r="BK13" s="354" t="s">
        <v>758</v>
      </c>
      <c r="BL13" s="354" t="s">
        <v>758</v>
      </c>
      <c r="BM13" s="354" t="s">
        <v>758</v>
      </c>
      <c r="BN13" s="354" t="s">
        <v>758</v>
      </c>
      <c r="BO13" s="354" t="s">
        <v>758</v>
      </c>
      <c r="BP13" s="354" t="s">
        <v>758</v>
      </c>
      <c r="BQ13" s="354" t="s">
        <v>758</v>
      </c>
      <c r="BR13" s="354" t="s">
        <v>758</v>
      </c>
      <c r="BS13" s="354" t="s">
        <v>758</v>
      </c>
      <c r="BT13" s="354" t="s">
        <v>758</v>
      </c>
      <c r="BU13" s="354" t="s">
        <v>758</v>
      </c>
      <c r="BV13" s="354"/>
      <c r="BW13" s="354"/>
      <c r="BX13" s="354"/>
      <c r="BY13" s="454"/>
      <c r="BZ13" s="166"/>
      <c r="CA13" s="541"/>
      <c r="CB13" s="541"/>
      <c r="CC13" s="541"/>
    </row>
    <row r="14" spans="1:81" s="61" customFormat="1" ht="132.75" hidden="1" customHeight="1" x14ac:dyDescent="0.2">
      <c r="A14" s="40" t="s">
        <v>584</v>
      </c>
      <c r="B14" s="40" t="s">
        <v>3133</v>
      </c>
      <c r="C14" s="219" t="s">
        <v>3130</v>
      </c>
      <c r="D14" s="40" t="s">
        <v>3130</v>
      </c>
      <c r="E14" s="28" t="s">
        <v>3131</v>
      </c>
      <c r="F14" s="28" t="s">
        <v>3298</v>
      </c>
      <c r="G14" s="93">
        <v>43053</v>
      </c>
      <c r="H14" s="28" t="s">
        <v>4219</v>
      </c>
      <c r="I14" s="208" t="s">
        <v>3278</v>
      </c>
      <c r="J14" s="32" t="s">
        <v>4220</v>
      </c>
      <c r="K14" s="28" t="s">
        <v>5689</v>
      </c>
      <c r="L14" s="28">
        <v>18</v>
      </c>
      <c r="M14" s="30">
        <v>15</v>
      </c>
      <c r="N14" s="30">
        <v>10</v>
      </c>
      <c r="O14" s="30">
        <v>9</v>
      </c>
      <c r="P14" s="30">
        <v>7</v>
      </c>
      <c r="Q14" s="30">
        <v>7</v>
      </c>
      <c r="R14" s="30">
        <v>7</v>
      </c>
      <c r="S14" s="30">
        <v>7</v>
      </c>
      <c r="T14" s="30" t="s">
        <v>3350</v>
      </c>
      <c r="U14" s="30" t="s">
        <v>3350</v>
      </c>
      <c r="V14" s="30" t="s">
        <v>3350</v>
      </c>
      <c r="W14" s="30" t="s">
        <v>3350</v>
      </c>
      <c r="X14" s="30" t="s">
        <v>3497</v>
      </c>
      <c r="Y14" s="30" t="s">
        <v>3516</v>
      </c>
      <c r="Z14" s="30" t="s">
        <v>3516</v>
      </c>
      <c r="AA14" s="30" t="s">
        <v>3541</v>
      </c>
      <c r="AB14" s="30" t="s">
        <v>3541</v>
      </c>
      <c r="AC14" s="30" t="s">
        <v>3541</v>
      </c>
      <c r="AD14" s="30" t="s">
        <v>3585</v>
      </c>
      <c r="AE14" s="30" t="s">
        <v>3585</v>
      </c>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54" t="s">
        <v>758</v>
      </c>
      <c r="BH14" s="354" t="s">
        <v>758</v>
      </c>
      <c r="BI14" s="354" t="s">
        <v>758</v>
      </c>
      <c r="BJ14" s="354" t="s">
        <v>758</v>
      </c>
      <c r="BK14" s="354" t="s">
        <v>758</v>
      </c>
      <c r="BL14" s="354" t="s">
        <v>758</v>
      </c>
      <c r="BM14" s="354" t="s">
        <v>758</v>
      </c>
      <c r="BN14" s="354" t="s">
        <v>758</v>
      </c>
      <c r="BO14" s="354" t="s">
        <v>758</v>
      </c>
      <c r="BP14" s="354" t="s">
        <v>758</v>
      </c>
      <c r="BQ14" s="354" t="s">
        <v>758</v>
      </c>
      <c r="BR14" s="354" t="s">
        <v>758</v>
      </c>
      <c r="BS14" s="354" t="s">
        <v>758</v>
      </c>
      <c r="BT14" s="354" t="s">
        <v>758</v>
      </c>
      <c r="BU14" s="354" t="s">
        <v>758</v>
      </c>
      <c r="BV14" s="354"/>
      <c r="BW14" s="354"/>
      <c r="BX14" s="354"/>
      <c r="BY14" s="454"/>
      <c r="BZ14" s="450" t="s">
        <v>3517</v>
      </c>
      <c r="CA14" s="541"/>
      <c r="CB14" s="541"/>
      <c r="CC14" s="541"/>
    </row>
    <row r="15" spans="1:81" s="61" customFormat="1" ht="131.25" hidden="1" customHeight="1" x14ac:dyDescent="0.2">
      <c r="A15" s="40" t="s">
        <v>584</v>
      </c>
      <c r="B15" s="28" t="s">
        <v>3204</v>
      </c>
      <c r="C15" s="219" t="s">
        <v>3130</v>
      </c>
      <c r="D15" s="40" t="s">
        <v>3130</v>
      </c>
      <c r="E15" s="28" t="s">
        <v>3131</v>
      </c>
      <c r="F15" s="28" t="s">
        <v>3298</v>
      </c>
      <c r="G15" s="93">
        <v>43060</v>
      </c>
      <c r="H15" s="28" t="s">
        <v>4221</v>
      </c>
      <c r="I15" s="208" t="s">
        <v>3280</v>
      </c>
      <c r="J15" s="32" t="s">
        <v>4220</v>
      </c>
      <c r="K15" s="28" t="s">
        <v>4222</v>
      </c>
      <c r="L15" s="28" t="s">
        <v>3216</v>
      </c>
      <c r="M15" s="28" t="s">
        <v>3216</v>
      </c>
      <c r="N15" s="28" t="s">
        <v>3216</v>
      </c>
      <c r="O15" s="28" t="s">
        <v>3216</v>
      </c>
      <c r="P15" s="28" t="s">
        <v>3216</v>
      </c>
      <c r="Q15" s="72" t="s">
        <v>3216</v>
      </c>
      <c r="R15" s="72" t="s">
        <v>3319</v>
      </c>
      <c r="S15" s="72" t="s">
        <v>3325</v>
      </c>
      <c r="T15" s="72" t="s">
        <v>3351</v>
      </c>
      <c r="U15" s="72" t="s">
        <v>3351</v>
      </c>
      <c r="V15" s="72" t="s">
        <v>3351</v>
      </c>
      <c r="W15" s="72" t="s">
        <v>3351</v>
      </c>
      <c r="X15" s="72" t="s">
        <v>3351</v>
      </c>
      <c r="Y15" s="72" t="s">
        <v>3518</v>
      </c>
      <c r="Z15" s="72" t="s">
        <v>3518</v>
      </c>
      <c r="AA15" s="72" t="s">
        <v>3518</v>
      </c>
      <c r="AB15" s="72" t="s">
        <v>3518</v>
      </c>
      <c r="AC15" s="72" t="s">
        <v>3518</v>
      </c>
      <c r="AD15" s="72" t="s">
        <v>3518</v>
      </c>
      <c r="AE15" s="72" t="s">
        <v>3716</v>
      </c>
      <c r="AF15" s="72"/>
      <c r="AG15" s="72"/>
      <c r="AH15" s="72"/>
      <c r="AI15" s="72"/>
      <c r="AJ15" s="72"/>
      <c r="AK15" s="72"/>
      <c r="AL15" s="72"/>
      <c r="AM15" s="72"/>
      <c r="AN15" s="72"/>
      <c r="AO15" s="72"/>
      <c r="AP15" s="72"/>
      <c r="AQ15" s="72"/>
      <c r="AR15" s="72"/>
      <c r="AS15" s="72"/>
      <c r="AT15" s="72"/>
      <c r="AU15" s="72"/>
      <c r="AV15" s="72"/>
      <c r="AW15" s="72" t="s">
        <v>4134</v>
      </c>
      <c r="AX15" s="72"/>
      <c r="AY15" s="72"/>
      <c r="AZ15" s="72"/>
      <c r="BA15" s="72"/>
      <c r="BB15" s="72"/>
      <c r="BC15" s="72"/>
      <c r="BD15" s="72"/>
      <c r="BE15" s="72"/>
      <c r="BF15" s="72"/>
      <c r="BG15" s="354" t="s">
        <v>758</v>
      </c>
      <c r="BH15" s="354" t="s">
        <v>758</v>
      </c>
      <c r="BI15" s="354" t="s">
        <v>758</v>
      </c>
      <c r="BJ15" s="354" t="s">
        <v>758</v>
      </c>
      <c r="BK15" s="354" t="s">
        <v>758</v>
      </c>
      <c r="BL15" s="354" t="s">
        <v>758</v>
      </c>
      <c r="BM15" s="354" t="s">
        <v>758</v>
      </c>
      <c r="BN15" s="354" t="s">
        <v>758</v>
      </c>
      <c r="BO15" s="354" t="s">
        <v>758</v>
      </c>
      <c r="BP15" s="354" t="s">
        <v>758</v>
      </c>
      <c r="BQ15" s="354" t="s">
        <v>758</v>
      </c>
      <c r="BR15" s="354" t="s">
        <v>758</v>
      </c>
      <c r="BS15" s="354" t="s">
        <v>758</v>
      </c>
      <c r="BT15" s="354" t="s">
        <v>758</v>
      </c>
      <c r="BU15" s="354" t="s">
        <v>758</v>
      </c>
      <c r="BV15" s="354"/>
      <c r="BW15" s="354"/>
      <c r="BX15" s="354"/>
      <c r="BY15" s="454"/>
      <c r="BZ15" s="450">
        <v>43204</v>
      </c>
      <c r="CA15" s="543"/>
      <c r="CB15" s="541"/>
      <c r="CC15" s="541"/>
    </row>
    <row r="16" spans="1:81" s="61" customFormat="1" ht="96" hidden="1" customHeight="1" x14ac:dyDescent="0.2">
      <c r="A16" s="40" t="s">
        <v>1137</v>
      </c>
      <c r="B16" s="28" t="s">
        <v>3282</v>
      </c>
      <c r="C16" s="168" t="s">
        <v>1738</v>
      </c>
      <c r="D16" s="28" t="s">
        <v>1738</v>
      </c>
      <c r="E16" s="28" t="s">
        <v>3192</v>
      </c>
      <c r="F16" s="28" t="s">
        <v>66</v>
      </c>
      <c r="G16" s="93">
        <v>43070</v>
      </c>
      <c r="H16" s="28" t="s">
        <v>3193</v>
      </c>
      <c r="I16" s="208" t="s">
        <v>3281</v>
      </c>
      <c r="J16" s="32" t="s">
        <v>4220</v>
      </c>
      <c r="K16" s="28" t="s">
        <v>3496</v>
      </c>
      <c r="L16" s="28"/>
      <c r="M16" s="30"/>
      <c r="N16" s="30" t="s">
        <v>3283</v>
      </c>
      <c r="O16" s="30" t="s">
        <v>3283</v>
      </c>
      <c r="P16" s="30" t="s">
        <v>3300</v>
      </c>
      <c r="Q16" s="72" t="s">
        <v>3300</v>
      </c>
      <c r="R16" s="72" t="s">
        <v>3320</v>
      </c>
      <c r="S16" s="72" t="s">
        <v>3300</v>
      </c>
      <c r="T16" s="72" t="s">
        <v>3300</v>
      </c>
      <c r="U16" s="72" t="s">
        <v>3300</v>
      </c>
      <c r="V16" s="72" t="s">
        <v>3300</v>
      </c>
      <c r="W16" s="72" t="s">
        <v>3495</v>
      </c>
      <c r="X16" s="72" t="s">
        <v>3498</v>
      </c>
      <c r="Y16" s="72" t="s">
        <v>3498</v>
      </c>
      <c r="Z16" s="72" t="s">
        <v>3498</v>
      </c>
      <c r="AA16" s="72" t="s">
        <v>3542</v>
      </c>
      <c r="AB16" s="72" t="s">
        <v>3542</v>
      </c>
      <c r="AC16" s="72" t="s">
        <v>3542</v>
      </c>
      <c r="AD16" s="72" t="s">
        <v>3586</v>
      </c>
      <c r="AE16" s="72" t="s">
        <v>3586</v>
      </c>
      <c r="AF16" s="72" t="s">
        <v>3586</v>
      </c>
      <c r="AG16" s="72" t="s">
        <v>3586</v>
      </c>
      <c r="AH16" s="72" t="s">
        <v>3586</v>
      </c>
      <c r="AI16" s="72" t="s">
        <v>3586</v>
      </c>
      <c r="AJ16" s="72" t="s">
        <v>3586</v>
      </c>
      <c r="AK16" s="72" t="s">
        <v>3586</v>
      </c>
      <c r="AL16" s="72" t="s">
        <v>3586</v>
      </c>
      <c r="AM16" s="72" t="s">
        <v>3586</v>
      </c>
      <c r="AN16" s="72" t="s">
        <v>3586</v>
      </c>
      <c r="AO16" s="72" t="s">
        <v>3586</v>
      </c>
      <c r="AP16" s="72" t="s">
        <v>3586</v>
      </c>
      <c r="AQ16" s="72" t="s">
        <v>3586</v>
      </c>
      <c r="AR16" s="72" t="s">
        <v>3586</v>
      </c>
      <c r="AS16" s="72" t="s">
        <v>3586</v>
      </c>
      <c r="AT16" s="72" t="s">
        <v>3586</v>
      </c>
      <c r="AU16" s="72" t="s">
        <v>3586</v>
      </c>
      <c r="AV16" s="72" t="s">
        <v>3586</v>
      </c>
      <c r="AW16" s="72" t="s">
        <v>3586</v>
      </c>
      <c r="AX16" s="72" t="s">
        <v>3586</v>
      </c>
      <c r="AY16" s="72"/>
      <c r="AZ16" s="72"/>
      <c r="BA16" s="72"/>
      <c r="BB16" s="72"/>
      <c r="BC16" s="72"/>
      <c r="BD16" s="72"/>
      <c r="BE16" s="72"/>
      <c r="BF16" s="72"/>
      <c r="BG16" s="354" t="s">
        <v>758</v>
      </c>
      <c r="BH16" s="354" t="s">
        <v>758</v>
      </c>
      <c r="BI16" s="354" t="s">
        <v>758</v>
      </c>
      <c r="BJ16" s="354" t="s">
        <v>758</v>
      </c>
      <c r="BK16" s="354" t="s">
        <v>758</v>
      </c>
      <c r="BL16" s="354" t="s">
        <v>758</v>
      </c>
      <c r="BM16" s="354" t="s">
        <v>758</v>
      </c>
      <c r="BN16" s="354" t="s">
        <v>758</v>
      </c>
      <c r="BO16" s="354" t="s">
        <v>758</v>
      </c>
      <c r="BP16" s="354" t="s">
        <v>758</v>
      </c>
      <c r="BQ16" s="354" t="s">
        <v>758</v>
      </c>
      <c r="BR16" s="354" t="s">
        <v>758</v>
      </c>
      <c r="BS16" s="354" t="s">
        <v>758</v>
      </c>
      <c r="BT16" s="354" t="s">
        <v>758</v>
      </c>
      <c r="BU16" s="354" t="s">
        <v>758</v>
      </c>
      <c r="BV16" s="354"/>
      <c r="BW16" s="354"/>
      <c r="BX16" s="354"/>
      <c r="BY16" s="454"/>
      <c r="BZ16" s="166"/>
      <c r="CA16" s="541"/>
      <c r="CB16" s="541"/>
      <c r="CC16" s="541"/>
    </row>
    <row r="17" spans="1:81" s="61" customFormat="1" ht="140.25" hidden="1" customHeight="1" x14ac:dyDescent="0.2">
      <c r="A17" s="41" t="s">
        <v>584</v>
      </c>
      <c r="B17" s="30" t="s">
        <v>3803</v>
      </c>
      <c r="C17" s="196" t="s">
        <v>3130</v>
      </c>
      <c r="D17" s="30" t="s">
        <v>3130</v>
      </c>
      <c r="E17" s="30" t="s">
        <v>3804</v>
      </c>
      <c r="F17" s="30" t="s">
        <v>4218</v>
      </c>
      <c r="G17" s="70">
        <v>43462</v>
      </c>
      <c r="H17" s="28" t="s">
        <v>4221</v>
      </c>
      <c r="I17" s="106" t="s">
        <v>3805</v>
      </c>
      <c r="J17" s="32" t="s">
        <v>4220</v>
      </c>
      <c r="K17" s="30" t="s">
        <v>4603</v>
      </c>
      <c r="L17" s="30"/>
      <c r="M17" s="30"/>
      <c r="N17" s="30"/>
      <c r="O17" s="30"/>
      <c r="P17" s="30"/>
      <c r="Q17" s="72"/>
      <c r="R17" s="72"/>
      <c r="S17" s="72"/>
      <c r="T17" s="72"/>
      <c r="U17" s="72"/>
      <c r="V17" s="72"/>
      <c r="W17" s="72"/>
      <c r="X17" s="72"/>
      <c r="Y17" s="72"/>
      <c r="Z17" s="72"/>
      <c r="AA17" s="72"/>
      <c r="AB17" s="72"/>
      <c r="AC17" s="72"/>
      <c r="AD17" s="72"/>
      <c r="AE17" s="72"/>
      <c r="AF17" s="72"/>
      <c r="AG17" s="72"/>
      <c r="AH17" s="72"/>
      <c r="AI17" s="72" t="s">
        <v>3806</v>
      </c>
      <c r="AJ17" s="72" t="s">
        <v>3806</v>
      </c>
      <c r="AK17" s="72" t="s">
        <v>3806</v>
      </c>
      <c r="AL17" s="72" t="s">
        <v>3806</v>
      </c>
      <c r="AM17" s="72" t="s">
        <v>3841</v>
      </c>
      <c r="AN17" s="72" t="s">
        <v>3841</v>
      </c>
      <c r="AO17" s="72" t="s">
        <v>3841</v>
      </c>
      <c r="AP17" s="72" t="s">
        <v>3841</v>
      </c>
      <c r="AQ17" s="72"/>
      <c r="AR17" s="72" t="s">
        <v>3947</v>
      </c>
      <c r="AS17" s="72" t="s">
        <v>3947</v>
      </c>
      <c r="AT17" s="72" t="s">
        <v>3947</v>
      </c>
      <c r="AU17" s="72" t="s">
        <v>3947</v>
      </c>
      <c r="AV17" s="72" t="s">
        <v>4101</v>
      </c>
      <c r="AW17" s="72" t="s">
        <v>4101</v>
      </c>
      <c r="AX17" s="72" t="s">
        <v>4101</v>
      </c>
      <c r="AY17" s="72" t="s">
        <v>4101</v>
      </c>
      <c r="AZ17" s="72" t="s">
        <v>4101</v>
      </c>
      <c r="BA17" s="72" t="s">
        <v>4101</v>
      </c>
      <c r="BB17" s="72" t="s">
        <v>4101</v>
      </c>
      <c r="BC17" s="72" t="s">
        <v>3947</v>
      </c>
      <c r="BD17" s="72" t="s">
        <v>3947</v>
      </c>
      <c r="BE17" s="72" t="s">
        <v>3947</v>
      </c>
      <c r="BF17" s="72" t="s">
        <v>3947</v>
      </c>
      <c r="BG17" s="72" t="s">
        <v>3947</v>
      </c>
      <c r="BH17" s="72" t="s">
        <v>3947</v>
      </c>
      <c r="BI17" s="72" t="s">
        <v>3947</v>
      </c>
      <c r="BJ17" s="72" t="s">
        <v>3947</v>
      </c>
      <c r="BK17" s="72" t="s">
        <v>3947</v>
      </c>
      <c r="BL17" s="72" t="s">
        <v>3947</v>
      </c>
      <c r="BM17" s="72" t="s">
        <v>3947</v>
      </c>
      <c r="BN17" s="72" t="s">
        <v>3947</v>
      </c>
      <c r="BO17" s="72" t="s">
        <v>3947</v>
      </c>
      <c r="BP17" s="72" t="s">
        <v>3947</v>
      </c>
      <c r="BQ17" s="72" t="s">
        <v>3947</v>
      </c>
      <c r="BR17" s="72" t="s">
        <v>4577</v>
      </c>
      <c r="BS17" s="72" t="s">
        <v>4577</v>
      </c>
      <c r="BT17" s="72" t="s">
        <v>4577</v>
      </c>
      <c r="BU17" s="72" t="s">
        <v>4577</v>
      </c>
      <c r="BV17" s="72" t="s">
        <v>4688</v>
      </c>
      <c r="BW17" s="72" t="s">
        <v>4718</v>
      </c>
      <c r="BX17" s="72"/>
      <c r="BY17" s="179"/>
      <c r="BZ17" s="166"/>
      <c r="CA17" s="541"/>
      <c r="CB17" s="541"/>
      <c r="CC17" s="541"/>
    </row>
    <row r="18" spans="1:81" s="61" customFormat="1" ht="140.25" hidden="1" customHeight="1" x14ac:dyDescent="0.2">
      <c r="A18" s="41" t="s">
        <v>584</v>
      </c>
      <c r="B18" s="40" t="s">
        <v>3133</v>
      </c>
      <c r="C18" s="196" t="s">
        <v>3130</v>
      </c>
      <c r="D18" s="30" t="s">
        <v>3130</v>
      </c>
      <c r="E18" s="30" t="s">
        <v>3804</v>
      </c>
      <c r="F18" s="30" t="s">
        <v>4218</v>
      </c>
      <c r="G18" s="70">
        <v>43462</v>
      </c>
      <c r="H18" s="30" t="s">
        <v>4223</v>
      </c>
      <c r="I18" s="106" t="s">
        <v>4562</v>
      </c>
      <c r="J18" s="32" t="s">
        <v>4220</v>
      </c>
      <c r="K18" s="30" t="s">
        <v>4224</v>
      </c>
      <c r="L18" s="30"/>
      <c r="M18" s="30"/>
      <c r="N18" s="30"/>
      <c r="O18" s="30"/>
      <c r="P18" s="30"/>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t="s">
        <v>4243</v>
      </c>
      <c r="BD18" s="72" t="s">
        <v>4243</v>
      </c>
      <c r="BE18" s="72" t="s">
        <v>4243</v>
      </c>
      <c r="BF18" s="72" t="s">
        <v>4243</v>
      </c>
      <c r="BG18" s="72" t="s">
        <v>4243</v>
      </c>
      <c r="BH18" s="72" t="s">
        <v>4243</v>
      </c>
      <c r="BI18" s="72" t="s">
        <v>4243</v>
      </c>
      <c r="BJ18" s="72" t="s">
        <v>4243</v>
      </c>
      <c r="BK18" s="72" t="s">
        <v>4243</v>
      </c>
      <c r="BL18" s="72" t="s">
        <v>4243</v>
      </c>
      <c r="BM18" s="72" t="s">
        <v>4475</v>
      </c>
      <c r="BN18" s="72" t="s">
        <v>4490</v>
      </c>
      <c r="BO18" s="72" t="s">
        <v>4490</v>
      </c>
      <c r="BP18" s="72" t="s">
        <v>4490</v>
      </c>
      <c r="BQ18" s="354" t="s">
        <v>758</v>
      </c>
      <c r="BR18" s="354" t="s">
        <v>758</v>
      </c>
      <c r="BS18" s="354" t="s">
        <v>758</v>
      </c>
      <c r="BT18" s="354" t="s">
        <v>758</v>
      </c>
      <c r="BU18" s="354" t="s">
        <v>758</v>
      </c>
      <c r="BV18" s="354"/>
      <c r="BW18" s="354"/>
      <c r="BX18" s="354"/>
      <c r="BY18" s="454"/>
      <c r="BZ18" s="166"/>
      <c r="CA18" s="541"/>
      <c r="CB18" s="541"/>
      <c r="CC18" s="541"/>
    </row>
    <row r="19" spans="1:81" s="61" customFormat="1" ht="140.25" hidden="1" customHeight="1" x14ac:dyDescent="0.2">
      <c r="A19" s="41" t="s">
        <v>584</v>
      </c>
      <c r="B19" s="30" t="s">
        <v>3818</v>
      </c>
      <c r="C19" s="196" t="s">
        <v>3819</v>
      </c>
      <c r="D19" s="30" t="s">
        <v>3820</v>
      </c>
      <c r="E19" s="30" t="s">
        <v>3821</v>
      </c>
      <c r="F19" s="30" t="s">
        <v>3858</v>
      </c>
      <c r="G19" s="70">
        <v>43515</v>
      </c>
      <c r="H19" s="30" t="s">
        <v>3823</v>
      </c>
      <c r="I19" s="106" t="s">
        <v>3822</v>
      </c>
      <c r="J19" s="32" t="s">
        <v>4220</v>
      </c>
      <c r="K19" s="30" t="s">
        <v>3839</v>
      </c>
      <c r="L19" s="30"/>
      <c r="M19" s="30"/>
      <c r="N19" s="30"/>
      <c r="O19" s="30"/>
      <c r="P19" s="30"/>
      <c r="Q19" s="72"/>
      <c r="R19" s="72"/>
      <c r="S19" s="72"/>
      <c r="T19" s="72"/>
      <c r="U19" s="72"/>
      <c r="V19" s="72"/>
      <c r="W19" s="72"/>
      <c r="X19" s="72"/>
      <c r="Y19" s="72"/>
      <c r="Z19" s="72"/>
      <c r="AA19" s="72"/>
      <c r="AB19" s="72"/>
      <c r="AC19" s="72"/>
      <c r="AD19" s="72"/>
      <c r="AE19" s="72"/>
      <c r="AF19" s="72"/>
      <c r="AG19" s="72"/>
      <c r="AH19" s="72"/>
      <c r="AI19" s="72"/>
      <c r="AJ19" s="72"/>
      <c r="AK19" s="72" t="s">
        <v>3826</v>
      </c>
      <c r="AL19" s="72" t="s">
        <v>3836</v>
      </c>
      <c r="AM19" s="72" t="s">
        <v>3836</v>
      </c>
      <c r="AN19" s="72" t="s">
        <v>3836</v>
      </c>
      <c r="AO19" s="72" t="s">
        <v>3836</v>
      </c>
      <c r="AP19" s="72" t="s">
        <v>3836</v>
      </c>
      <c r="AQ19" s="72" t="s">
        <v>3836</v>
      </c>
      <c r="AR19" s="72" t="s">
        <v>3836</v>
      </c>
      <c r="AS19" s="72" t="s">
        <v>3836</v>
      </c>
      <c r="AT19" s="72" t="s">
        <v>3836</v>
      </c>
      <c r="AU19" s="72" t="s">
        <v>3836</v>
      </c>
      <c r="AV19" s="72" t="s">
        <v>3836</v>
      </c>
      <c r="AW19" s="72" t="s">
        <v>3836</v>
      </c>
      <c r="AX19" s="72" t="s">
        <v>3836</v>
      </c>
      <c r="AY19" s="72" t="s">
        <v>3836</v>
      </c>
      <c r="AZ19" s="72" t="s">
        <v>3836</v>
      </c>
      <c r="BA19" s="72" t="s">
        <v>3836</v>
      </c>
      <c r="BB19" s="72" t="s">
        <v>3836</v>
      </c>
      <c r="BC19" s="354" t="s">
        <v>758</v>
      </c>
      <c r="BD19" s="354" t="s">
        <v>758</v>
      </c>
      <c r="BE19" s="354" t="s">
        <v>758</v>
      </c>
      <c r="BF19" s="354" t="s">
        <v>758</v>
      </c>
      <c r="BG19" s="354" t="s">
        <v>758</v>
      </c>
      <c r="BH19" s="354" t="s">
        <v>758</v>
      </c>
      <c r="BI19" s="354" t="s">
        <v>758</v>
      </c>
      <c r="BJ19" s="354" t="s">
        <v>758</v>
      </c>
      <c r="BK19" s="354" t="s">
        <v>758</v>
      </c>
      <c r="BL19" s="354" t="s">
        <v>758</v>
      </c>
      <c r="BM19" s="354" t="s">
        <v>758</v>
      </c>
      <c r="BN19" s="354" t="s">
        <v>758</v>
      </c>
      <c r="BO19" s="354" t="s">
        <v>758</v>
      </c>
      <c r="BP19" s="354" t="s">
        <v>758</v>
      </c>
      <c r="BQ19" s="354" t="s">
        <v>758</v>
      </c>
      <c r="BR19" s="354" t="s">
        <v>758</v>
      </c>
      <c r="BS19" s="354" t="s">
        <v>758</v>
      </c>
      <c r="BT19" s="354" t="s">
        <v>758</v>
      </c>
      <c r="BU19" s="354" t="s">
        <v>758</v>
      </c>
      <c r="BV19" s="354"/>
      <c r="BW19" s="354"/>
      <c r="BX19" s="354"/>
      <c r="BY19" s="454"/>
      <c r="BZ19" s="166"/>
      <c r="CA19" s="541"/>
      <c r="CB19" s="541"/>
      <c r="CC19" s="541"/>
    </row>
    <row r="20" spans="1:81" s="61" customFormat="1" ht="82.5" hidden="1" customHeight="1" x14ac:dyDescent="0.2">
      <c r="A20" s="71" t="s">
        <v>584</v>
      </c>
      <c r="B20" s="72" t="s">
        <v>3856</v>
      </c>
      <c r="C20" s="288" t="s">
        <v>65</v>
      </c>
      <c r="D20" s="72" t="s">
        <v>65</v>
      </c>
      <c r="E20" s="72" t="s">
        <v>976</v>
      </c>
      <c r="F20" s="72" t="s">
        <v>3857</v>
      </c>
      <c r="G20" s="359">
        <v>43553</v>
      </c>
      <c r="H20" s="72" t="s">
        <v>3859</v>
      </c>
      <c r="I20" s="360" t="s">
        <v>4372</v>
      </c>
      <c r="J20" s="202" t="s">
        <v>4220</v>
      </c>
      <c r="K20" s="72" t="s">
        <v>4297</v>
      </c>
      <c r="L20" s="72"/>
      <c r="M20" s="72"/>
      <c r="N20" s="72"/>
      <c r="O20" s="72"/>
      <c r="P20" s="72"/>
      <c r="Q20" s="72"/>
      <c r="R20" s="72"/>
      <c r="S20" s="72"/>
      <c r="T20" s="72"/>
      <c r="U20" s="72"/>
      <c r="V20" s="72"/>
      <c r="W20" s="72"/>
      <c r="X20" s="72"/>
      <c r="Y20" s="72"/>
      <c r="Z20" s="72"/>
      <c r="AA20" s="72"/>
      <c r="AB20" s="72"/>
      <c r="AC20" s="72"/>
      <c r="AD20" s="72"/>
      <c r="AE20" s="72"/>
      <c r="AF20" s="72"/>
      <c r="AG20" s="72"/>
      <c r="AH20" s="72"/>
      <c r="AI20" s="72"/>
      <c r="AJ20" s="72"/>
      <c r="AK20" s="72"/>
      <c r="AL20" s="72"/>
      <c r="AM20" s="72"/>
      <c r="AN20" s="72" t="s">
        <v>3864</v>
      </c>
      <c r="AO20" s="72" t="s">
        <v>3864</v>
      </c>
      <c r="AP20" s="72" t="s">
        <v>3864</v>
      </c>
      <c r="AQ20" s="72" t="s">
        <v>3864</v>
      </c>
      <c r="AR20" s="72" t="s">
        <v>3864</v>
      </c>
      <c r="AS20" s="72" t="s">
        <v>3864</v>
      </c>
      <c r="AT20" s="72" t="s">
        <v>3864</v>
      </c>
      <c r="AU20" s="72" t="s">
        <v>3864</v>
      </c>
      <c r="AV20" s="72" t="s">
        <v>3864</v>
      </c>
      <c r="AW20" s="72" t="s">
        <v>3864</v>
      </c>
      <c r="AX20" s="72" t="s">
        <v>3864</v>
      </c>
      <c r="AY20" s="72" t="s">
        <v>3864</v>
      </c>
      <c r="AZ20" s="72" t="s">
        <v>3864</v>
      </c>
      <c r="BA20" s="72" t="s">
        <v>3864</v>
      </c>
      <c r="BB20" s="72" t="s">
        <v>3864</v>
      </c>
      <c r="BC20" s="72" t="s">
        <v>3864</v>
      </c>
      <c r="BD20" s="72" t="s">
        <v>4288</v>
      </c>
      <c r="BE20" s="72" t="s">
        <v>4288</v>
      </c>
      <c r="BF20" s="72" t="s">
        <v>4288</v>
      </c>
      <c r="BG20" s="72" t="s">
        <v>4370</v>
      </c>
      <c r="BH20" s="354" t="s">
        <v>758</v>
      </c>
      <c r="BI20" s="354" t="s">
        <v>758</v>
      </c>
      <c r="BJ20" s="354" t="s">
        <v>758</v>
      </c>
      <c r="BK20" s="354" t="s">
        <v>758</v>
      </c>
      <c r="BL20" s="354" t="s">
        <v>758</v>
      </c>
      <c r="BM20" s="354" t="s">
        <v>758</v>
      </c>
      <c r="BN20" s="354" t="s">
        <v>758</v>
      </c>
      <c r="BO20" s="354" t="s">
        <v>758</v>
      </c>
      <c r="BP20" s="354" t="s">
        <v>758</v>
      </c>
      <c r="BQ20" s="354" t="s">
        <v>758</v>
      </c>
      <c r="BR20" s="354" t="s">
        <v>758</v>
      </c>
      <c r="BS20" s="354" t="s">
        <v>758</v>
      </c>
      <c r="BT20" s="354" t="s">
        <v>758</v>
      </c>
      <c r="BU20" s="354" t="s">
        <v>758</v>
      </c>
      <c r="BV20" s="354"/>
      <c r="BW20" s="354"/>
      <c r="BX20" s="354"/>
      <c r="BY20" s="454"/>
      <c r="BZ20" s="179"/>
      <c r="CA20" s="541"/>
      <c r="CB20" s="541"/>
      <c r="CC20" s="541"/>
    </row>
    <row r="21" spans="1:81" ht="63.75" hidden="1" x14ac:dyDescent="0.2">
      <c r="A21" s="86" t="s">
        <v>1137</v>
      </c>
      <c r="B21" s="87" t="s">
        <v>3922</v>
      </c>
      <c r="C21" s="199" t="s">
        <v>3921</v>
      </c>
      <c r="D21" s="87" t="s">
        <v>3921</v>
      </c>
      <c r="E21" s="87" t="s">
        <v>3920</v>
      </c>
      <c r="F21" s="87" t="s">
        <v>3094</v>
      </c>
      <c r="G21" s="88">
        <v>43592</v>
      </c>
      <c r="H21" s="87" t="s">
        <v>3859</v>
      </c>
      <c r="I21" s="217" t="s">
        <v>4373</v>
      </c>
      <c r="J21" s="202" t="s">
        <v>4220</v>
      </c>
      <c r="K21" s="87" t="s">
        <v>4120</v>
      </c>
      <c r="AO21" s="350"/>
      <c r="AP21" s="350"/>
      <c r="AQ21" s="87" t="s">
        <v>3935</v>
      </c>
      <c r="AR21" s="87" t="s">
        <v>3935</v>
      </c>
      <c r="AS21" s="87" t="s">
        <v>3935</v>
      </c>
      <c r="AT21" s="87" t="s">
        <v>3935</v>
      </c>
      <c r="AU21" s="87" t="s">
        <v>3935</v>
      </c>
      <c r="AV21" s="87" t="s">
        <v>3935</v>
      </c>
      <c r="AW21" s="87" t="s">
        <v>4121</v>
      </c>
      <c r="AX21" s="87" t="s">
        <v>4121</v>
      </c>
      <c r="AY21" s="87" t="s">
        <v>4121</v>
      </c>
      <c r="AZ21" s="87" t="s">
        <v>4121</v>
      </c>
      <c r="BA21" s="87" t="s">
        <v>4121</v>
      </c>
      <c r="BB21" s="87" t="s">
        <v>4121</v>
      </c>
      <c r="BC21" s="354" t="s">
        <v>758</v>
      </c>
      <c r="BD21" s="354" t="s">
        <v>758</v>
      </c>
      <c r="BE21" s="354" t="s">
        <v>758</v>
      </c>
      <c r="BF21" s="354" t="s">
        <v>758</v>
      </c>
      <c r="BG21" s="354" t="s">
        <v>758</v>
      </c>
      <c r="BH21" s="354" t="s">
        <v>758</v>
      </c>
      <c r="BI21" s="354" t="s">
        <v>758</v>
      </c>
      <c r="BJ21" s="354" t="s">
        <v>758</v>
      </c>
      <c r="BK21" s="354" t="s">
        <v>758</v>
      </c>
      <c r="BL21" s="354" t="s">
        <v>758</v>
      </c>
      <c r="BM21" s="354" t="s">
        <v>758</v>
      </c>
      <c r="BN21" s="354" t="s">
        <v>758</v>
      </c>
      <c r="BO21" s="354" t="s">
        <v>758</v>
      </c>
      <c r="BP21" s="354" t="s">
        <v>758</v>
      </c>
      <c r="BQ21" s="354" t="s">
        <v>758</v>
      </c>
      <c r="BR21" s="354" t="s">
        <v>758</v>
      </c>
      <c r="BS21" s="354" t="s">
        <v>758</v>
      </c>
      <c r="BT21" s="354" t="s">
        <v>758</v>
      </c>
      <c r="BU21" s="354" t="s">
        <v>758</v>
      </c>
      <c r="BV21" s="429"/>
      <c r="BW21" s="429"/>
      <c r="BX21" s="429"/>
      <c r="BY21" s="455"/>
      <c r="BZ21" s="451"/>
      <c r="CA21" s="544"/>
      <c r="CB21" s="544"/>
      <c r="CC21" s="544"/>
    </row>
    <row r="22" spans="1:81" ht="128.25" hidden="1" customHeight="1" x14ac:dyDescent="0.2">
      <c r="A22" s="41" t="s">
        <v>584</v>
      </c>
      <c r="B22" s="30" t="s">
        <v>3943</v>
      </c>
      <c r="C22" s="196" t="s">
        <v>3944</v>
      </c>
      <c r="D22" s="30" t="s">
        <v>3944</v>
      </c>
      <c r="E22" s="30" t="s">
        <v>3945</v>
      </c>
      <c r="F22" s="30" t="s">
        <v>12</v>
      </c>
      <c r="G22" s="70">
        <v>43608</v>
      </c>
      <c r="H22" s="30" t="s">
        <v>3859</v>
      </c>
      <c r="I22" s="106" t="s">
        <v>4374</v>
      </c>
      <c r="J22" s="32" t="s">
        <v>4220</v>
      </c>
      <c r="K22" s="72" t="s">
        <v>4189</v>
      </c>
      <c r="L22" s="167"/>
      <c r="M22" s="167"/>
      <c r="N22" s="167"/>
      <c r="O22" s="167"/>
      <c r="P22" s="167"/>
      <c r="Q22" s="167"/>
      <c r="R22" s="167"/>
      <c r="S22" s="167"/>
      <c r="T22" s="167"/>
      <c r="U22" s="167"/>
      <c r="V22" s="167"/>
      <c r="W22" s="167"/>
      <c r="X22" s="167"/>
      <c r="Y22" s="167"/>
      <c r="Z22" s="167"/>
      <c r="AA22" s="167"/>
      <c r="AB22" s="167"/>
      <c r="AC22" s="167"/>
      <c r="AD22" s="167"/>
      <c r="AE22" s="167"/>
      <c r="AF22" s="167"/>
      <c r="AG22" s="167"/>
      <c r="AH22" s="167"/>
      <c r="AI22" s="167"/>
      <c r="AJ22" s="167"/>
      <c r="AK22" s="167"/>
      <c r="AL22" s="167"/>
      <c r="AM22" s="167"/>
      <c r="AN22" s="167"/>
      <c r="AO22" s="167"/>
      <c r="AP22" s="167"/>
      <c r="AQ22" s="30"/>
      <c r="AR22" s="30" t="s">
        <v>3948</v>
      </c>
      <c r="AS22" s="30" t="s">
        <v>3948</v>
      </c>
      <c r="AT22" s="30" t="s">
        <v>3948</v>
      </c>
      <c r="AU22" s="30" t="s">
        <v>3948</v>
      </c>
      <c r="AV22" s="30" t="s">
        <v>4102</v>
      </c>
      <c r="AW22" s="30" t="s">
        <v>4135</v>
      </c>
      <c r="AX22" s="72" t="s">
        <v>4150</v>
      </c>
      <c r="AY22" s="72" t="s">
        <v>4150</v>
      </c>
      <c r="AZ22" s="72" t="s">
        <v>4150</v>
      </c>
      <c r="BA22" s="72" t="s">
        <v>4150</v>
      </c>
      <c r="BB22" s="72" t="s">
        <v>4150</v>
      </c>
      <c r="BC22" s="354" t="s">
        <v>758</v>
      </c>
      <c r="BD22" s="354" t="s">
        <v>758</v>
      </c>
      <c r="BE22" s="354" t="s">
        <v>758</v>
      </c>
      <c r="BF22" s="354" t="s">
        <v>758</v>
      </c>
      <c r="BG22" s="354" t="s">
        <v>758</v>
      </c>
      <c r="BH22" s="354" t="s">
        <v>758</v>
      </c>
      <c r="BI22" s="354" t="s">
        <v>758</v>
      </c>
      <c r="BJ22" s="354" t="s">
        <v>758</v>
      </c>
      <c r="BK22" s="354" t="s">
        <v>758</v>
      </c>
      <c r="BL22" s="354" t="s">
        <v>758</v>
      </c>
      <c r="BM22" s="354" t="s">
        <v>758</v>
      </c>
      <c r="BN22" s="354" t="s">
        <v>758</v>
      </c>
      <c r="BO22" s="354" t="s">
        <v>758</v>
      </c>
      <c r="BP22" s="354" t="s">
        <v>758</v>
      </c>
      <c r="BQ22" s="354" t="s">
        <v>758</v>
      </c>
      <c r="BR22" s="354" t="s">
        <v>758</v>
      </c>
      <c r="BS22" s="354" t="s">
        <v>758</v>
      </c>
      <c r="BT22" s="354" t="s">
        <v>758</v>
      </c>
      <c r="BU22" s="354" t="s">
        <v>758</v>
      </c>
      <c r="BV22" s="354"/>
      <c r="BW22" s="354"/>
      <c r="BX22" s="354"/>
      <c r="BY22" s="454"/>
      <c r="BZ22" s="452"/>
      <c r="CA22" s="544"/>
      <c r="CB22" s="544"/>
      <c r="CC22" s="544"/>
    </row>
    <row r="23" spans="1:81" ht="78" hidden="1" customHeight="1" x14ac:dyDescent="0.2">
      <c r="A23" s="41" t="s">
        <v>1137</v>
      </c>
      <c r="B23" s="30" t="s">
        <v>4136</v>
      </c>
      <c r="C23" s="196" t="s">
        <v>3312</v>
      </c>
      <c r="D23" s="30" t="s">
        <v>3312</v>
      </c>
      <c r="E23" s="30"/>
      <c r="F23" s="30"/>
      <c r="G23" s="70">
        <v>43641</v>
      </c>
      <c r="H23" s="30" t="s">
        <v>3859</v>
      </c>
      <c r="I23" s="106" t="s">
        <v>4375</v>
      </c>
      <c r="J23" s="32" t="s">
        <v>4220</v>
      </c>
      <c r="K23" s="30" t="s">
        <v>4580</v>
      </c>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30"/>
      <c r="AR23" s="30"/>
      <c r="AS23" s="30"/>
      <c r="AT23" s="30"/>
      <c r="AU23" s="30"/>
      <c r="AV23" s="30"/>
      <c r="AW23" s="30" t="s">
        <v>4137</v>
      </c>
      <c r="AX23" s="30" t="s">
        <v>4137</v>
      </c>
      <c r="AY23" s="30" t="s">
        <v>4137</v>
      </c>
      <c r="AZ23" s="30" t="s">
        <v>4137</v>
      </c>
      <c r="BA23" s="30" t="s">
        <v>4137</v>
      </c>
      <c r="BB23" s="30" t="s">
        <v>4137</v>
      </c>
      <c r="BC23" s="30" t="s">
        <v>4137</v>
      </c>
      <c r="BD23" s="30" t="s">
        <v>4137</v>
      </c>
      <c r="BE23" s="30" t="s">
        <v>4137</v>
      </c>
      <c r="BF23" s="30" t="s">
        <v>4137</v>
      </c>
      <c r="BG23" s="30" t="s">
        <v>4137</v>
      </c>
      <c r="BH23" s="30" t="s">
        <v>4137</v>
      </c>
      <c r="BI23" s="30" t="s">
        <v>4137</v>
      </c>
      <c r="BJ23" s="30" t="s">
        <v>4137</v>
      </c>
      <c r="BK23" s="30" t="s">
        <v>4137</v>
      </c>
      <c r="BL23" s="30" t="s">
        <v>4137</v>
      </c>
      <c r="BM23" s="30" t="s">
        <v>4137</v>
      </c>
      <c r="BN23" s="30" t="s">
        <v>4137</v>
      </c>
      <c r="BO23" s="30" t="s">
        <v>4137</v>
      </c>
      <c r="BP23" s="30" t="s">
        <v>4137</v>
      </c>
      <c r="BQ23" s="30" t="s">
        <v>4137</v>
      </c>
      <c r="BR23" s="30" t="s">
        <v>4137</v>
      </c>
      <c r="BS23" s="30" t="s">
        <v>4597</v>
      </c>
      <c r="BT23" s="354" t="s">
        <v>758</v>
      </c>
      <c r="BU23" s="354" t="s">
        <v>758</v>
      </c>
      <c r="BV23" s="354"/>
      <c r="BW23" s="354"/>
      <c r="BX23" s="354"/>
      <c r="BY23" s="454"/>
      <c r="BZ23" s="452"/>
      <c r="CA23" s="544"/>
      <c r="CB23" s="544"/>
      <c r="CC23" s="544"/>
    </row>
    <row r="24" spans="1:81" ht="122.25" hidden="1" customHeight="1" x14ac:dyDescent="0.2">
      <c r="A24" s="41" t="s">
        <v>584</v>
      </c>
      <c r="B24" s="30" t="s">
        <v>4170</v>
      </c>
      <c r="C24" s="196" t="s">
        <v>3130</v>
      </c>
      <c r="D24" s="30" t="s">
        <v>3130</v>
      </c>
      <c r="E24" s="30" t="s">
        <v>769</v>
      </c>
      <c r="F24" s="28" t="s">
        <v>3298</v>
      </c>
      <c r="G24" s="70">
        <v>43635</v>
      </c>
      <c r="H24" s="30" t="s">
        <v>4225</v>
      </c>
      <c r="I24" s="106" t="s">
        <v>4376</v>
      </c>
      <c r="J24" s="32" t="s">
        <v>4220</v>
      </c>
      <c r="K24" s="30" t="s">
        <v>5787</v>
      </c>
      <c r="L24" s="167"/>
      <c r="M24" s="167"/>
      <c r="N24" s="167"/>
      <c r="O24" s="167"/>
      <c r="P24" s="167"/>
      <c r="Q24" s="167"/>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30"/>
      <c r="AR24" s="30"/>
      <c r="AS24" s="30"/>
      <c r="AT24" s="30"/>
      <c r="AU24" s="30"/>
      <c r="AV24" s="30"/>
      <c r="AW24" s="30" t="s">
        <v>4138</v>
      </c>
      <c r="AX24" s="30" t="s">
        <v>4138</v>
      </c>
      <c r="AY24" s="30" t="s">
        <v>4138</v>
      </c>
      <c r="AZ24" s="30" t="s">
        <v>4138</v>
      </c>
      <c r="BA24" s="30" t="s">
        <v>4227</v>
      </c>
      <c r="BB24" s="30" t="s">
        <v>4226</v>
      </c>
      <c r="BC24" s="30" t="s">
        <v>4244</v>
      </c>
      <c r="BD24" s="30" t="s">
        <v>4289</v>
      </c>
      <c r="BE24" s="30" t="s">
        <v>4335</v>
      </c>
      <c r="BF24" s="30" t="s">
        <v>4335</v>
      </c>
      <c r="BG24" s="30" t="s">
        <v>4371</v>
      </c>
      <c r="BH24" s="30" t="s">
        <v>4391</v>
      </c>
      <c r="BI24" s="30" t="s">
        <v>4391</v>
      </c>
      <c r="BJ24" s="30" t="s">
        <v>4391</v>
      </c>
      <c r="BK24" s="30" t="s">
        <v>4439</v>
      </c>
      <c r="BL24" s="30" t="s">
        <v>4439</v>
      </c>
      <c r="BM24" s="30" t="s">
        <v>4439</v>
      </c>
      <c r="BN24" s="30" t="s">
        <v>4439</v>
      </c>
      <c r="BO24" s="30" t="s">
        <v>4509</v>
      </c>
      <c r="BP24" s="30" t="s">
        <v>4509</v>
      </c>
      <c r="BQ24" s="30" t="s">
        <v>4553</v>
      </c>
      <c r="BR24" s="30" t="s">
        <v>4578</v>
      </c>
      <c r="BS24" s="354" t="s">
        <v>758</v>
      </c>
      <c r="BT24" s="354" t="s">
        <v>758</v>
      </c>
      <c r="BU24" s="354" t="s">
        <v>758</v>
      </c>
      <c r="BV24" s="354"/>
      <c r="BW24" s="354"/>
      <c r="BX24" s="354"/>
      <c r="BY24" s="454"/>
      <c r="BZ24" s="452"/>
      <c r="CA24" s="544"/>
      <c r="CB24" s="544"/>
      <c r="CC24" s="544"/>
    </row>
    <row r="25" spans="1:81" ht="78" hidden="1" customHeight="1" x14ac:dyDescent="0.2">
      <c r="A25" s="41" t="s">
        <v>584</v>
      </c>
      <c r="B25" s="30" t="s">
        <v>3133</v>
      </c>
      <c r="C25" s="196" t="s">
        <v>3130</v>
      </c>
      <c r="D25" s="30" t="s">
        <v>3130</v>
      </c>
      <c r="E25" s="30" t="s">
        <v>769</v>
      </c>
      <c r="F25" s="28" t="s">
        <v>3298</v>
      </c>
      <c r="G25" s="70">
        <v>43658</v>
      </c>
      <c r="H25" s="30" t="s">
        <v>4133</v>
      </c>
      <c r="I25" s="106" t="s">
        <v>4377</v>
      </c>
      <c r="J25" s="32" t="s">
        <v>4220</v>
      </c>
      <c r="K25" s="30" t="s">
        <v>4217</v>
      </c>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30"/>
      <c r="AR25" s="30"/>
      <c r="AS25" s="30"/>
      <c r="AT25" s="30"/>
      <c r="AU25" s="30"/>
      <c r="AV25" s="30"/>
      <c r="AW25" s="30"/>
      <c r="AX25" s="30"/>
      <c r="AY25" s="30" t="s">
        <v>4171</v>
      </c>
      <c r="AZ25" s="30" t="s">
        <v>4171</v>
      </c>
      <c r="BA25" s="30" t="s">
        <v>4171</v>
      </c>
      <c r="BB25" s="30" t="s">
        <v>4210</v>
      </c>
      <c r="BC25" s="30" t="s">
        <v>4210</v>
      </c>
      <c r="BD25" s="30" t="s">
        <v>4210</v>
      </c>
      <c r="BE25" s="30" t="s">
        <v>4210</v>
      </c>
      <c r="BF25" s="30" t="s">
        <v>4210</v>
      </c>
      <c r="BG25" s="30" t="s">
        <v>4210</v>
      </c>
      <c r="BH25" s="30" t="s">
        <v>4210</v>
      </c>
      <c r="BI25" s="30" t="s">
        <v>4210</v>
      </c>
      <c r="BJ25" s="30" t="s">
        <v>4210</v>
      </c>
      <c r="BK25" s="30" t="s">
        <v>4210</v>
      </c>
      <c r="BL25" s="30" t="s">
        <v>4210</v>
      </c>
      <c r="BM25" s="30" t="s">
        <v>4476</v>
      </c>
      <c r="BN25" s="30" t="s">
        <v>4491</v>
      </c>
      <c r="BO25" s="30" t="s">
        <v>4491</v>
      </c>
      <c r="BP25" s="30" t="s">
        <v>4491</v>
      </c>
      <c r="BQ25" s="354" t="s">
        <v>758</v>
      </c>
      <c r="BR25" s="354" t="s">
        <v>758</v>
      </c>
      <c r="BS25" s="354" t="s">
        <v>758</v>
      </c>
      <c r="BT25" s="354" t="s">
        <v>758</v>
      </c>
      <c r="BU25" s="354" t="s">
        <v>758</v>
      </c>
      <c r="BV25" s="354"/>
      <c r="BW25" s="354"/>
      <c r="BX25" s="354"/>
      <c r="BY25" s="454"/>
      <c r="BZ25" s="452"/>
      <c r="CA25" s="544"/>
      <c r="CB25" s="544"/>
      <c r="CC25" s="544"/>
    </row>
    <row r="26" spans="1:81" ht="78" hidden="1" customHeight="1" x14ac:dyDescent="0.2">
      <c r="A26" s="41" t="s">
        <v>1137</v>
      </c>
      <c r="B26" s="30" t="s">
        <v>4559</v>
      </c>
      <c r="C26" s="196" t="s">
        <v>3921</v>
      </c>
      <c r="D26" s="30" t="s">
        <v>3921</v>
      </c>
      <c r="E26" s="30" t="s">
        <v>3920</v>
      </c>
      <c r="F26" s="28" t="s">
        <v>112</v>
      </c>
      <c r="G26" s="70">
        <v>43798</v>
      </c>
      <c r="H26" s="30" t="s">
        <v>4560</v>
      </c>
      <c r="I26" s="106" t="s">
        <v>4561</v>
      </c>
      <c r="J26" s="32" t="s">
        <v>4685</v>
      </c>
      <c r="K26" s="30" t="s">
        <v>4649</v>
      </c>
      <c r="L26" s="167"/>
      <c r="M26" s="167"/>
      <c r="N26" s="167"/>
      <c r="O26" s="167"/>
      <c r="P26" s="167"/>
      <c r="Q26" s="167"/>
      <c r="R26" s="167"/>
      <c r="S26" s="167"/>
      <c r="T26" s="167"/>
      <c r="U26" s="167"/>
      <c r="V26" s="167"/>
      <c r="W26" s="167"/>
      <c r="X26" s="167"/>
      <c r="Y26" s="167"/>
      <c r="Z26" s="167"/>
      <c r="AA26" s="167"/>
      <c r="AB26" s="167"/>
      <c r="AC26" s="167"/>
      <c r="AD26" s="167"/>
      <c r="AE26" s="167"/>
      <c r="AF26" s="167"/>
      <c r="AG26" s="167"/>
      <c r="AH26" s="167"/>
      <c r="AI26" s="167"/>
      <c r="AJ26" s="167"/>
      <c r="AK26" s="167"/>
      <c r="AL26" s="167"/>
      <c r="AM26" s="167"/>
      <c r="AN26" s="167"/>
      <c r="AO26" s="167"/>
      <c r="AP26" s="167"/>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54"/>
      <c r="BR26" s="354" t="s">
        <v>4579</v>
      </c>
      <c r="BS26" s="354" t="s">
        <v>4579</v>
      </c>
      <c r="BT26" s="354" t="s">
        <v>4579</v>
      </c>
      <c r="BU26" s="354" t="s">
        <v>4673</v>
      </c>
      <c r="BV26" s="354"/>
      <c r="BW26" s="354"/>
      <c r="BX26" s="354"/>
      <c r="BY26" s="454"/>
      <c r="BZ26" s="452"/>
      <c r="CA26" s="544"/>
      <c r="CB26" s="544"/>
      <c r="CC26" s="544"/>
    </row>
    <row r="27" spans="1:81" ht="153" hidden="1" x14ac:dyDescent="0.2">
      <c r="A27" s="41" t="s">
        <v>584</v>
      </c>
      <c r="B27" s="30" t="s">
        <v>4583</v>
      </c>
      <c r="C27" s="196" t="s">
        <v>1740</v>
      </c>
      <c r="D27" s="30" t="s">
        <v>1740</v>
      </c>
      <c r="E27" s="30" t="s">
        <v>4581</v>
      </c>
      <c r="F27" s="28" t="s">
        <v>685</v>
      </c>
      <c r="G27" s="70">
        <v>43808</v>
      </c>
      <c r="H27" s="30" t="s">
        <v>4582</v>
      </c>
      <c r="I27" s="106" t="s">
        <v>4584</v>
      </c>
      <c r="J27" s="32" t="s">
        <v>4685</v>
      </c>
      <c r="K27" s="30" t="s">
        <v>4947</v>
      </c>
      <c r="L27" s="167"/>
      <c r="M27" s="167"/>
      <c r="N27" s="167"/>
      <c r="O27" s="167"/>
      <c r="P27" s="167"/>
      <c r="Q27" s="167"/>
      <c r="R27" s="167"/>
      <c r="S27" s="167"/>
      <c r="T27" s="167"/>
      <c r="U27" s="167"/>
      <c r="V27" s="167"/>
      <c r="W27" s="167"/>
      <c r="X27" s="167"/>
      <c r="Y27" s="167"/>
      <c r="Z27" s="167"/>
      <c r="AA27" s="167"/>
      <c r="AB27" s="167"/>
      <c r="AC27" s="167"/>
      <c r="AD27" s="167"/>
      <c r="AE27" s="167"/>
      <c r="AF27" s="167"/>
      <c r="AG27" s="167"/>
      <c r="AH27" s="167"/>
      <c r="AI27" s="167"/>
      <c r="AJ27" s="167"/>
      <c r="AK27" s="167"/>
      <c r="AL27" s="167"/>
      <c r="AM27" s="167"/>
      <c r="AN27" s="167"/>
      <c r="AO27" s="167"/>
      <c r="AP27" s="167"/>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54"/>
      <c r="BR27" s="354"/>
      <c r="BS27" s="354" t="s">
        <v>4598</v>
      </c>
      <c r="BT27" s="354" t="s">
        <v>4598</v>
      </c>
      <c r="BU27" s="354" t="s">
        <v>4650</v>
      </c>
      <c r="BV27" s="354" t="s">
        <v>4650</v>
      </c>
      <c r="BW27" s="354" t="s">
        <v>4650</v>
      </c>
      <c r="BX27" s="354" t="s">
        <v>4750</v>
      </c>
      <c r="BY27" s="496" t="s">
        <v>5185</v>
      </c>
      <c r="BZ27" s="452"/>
      <c r="CA27" s="544"/>
      <c r="CB27" s="544"/>
      <c r="CC27" s="544"/>
    </row>
    <row r="28" spans="1:81" ht="190.5" hidden="1" customHeight="1" x14ac:dyDescent="0.2">
      <c r="A28" s="41" t="s">
        <v>584</v>
      </c>
      <c r="B28" s="30" t="s">
        <v>4601</v>
      </c>
      <c r="C28" s="196" t="s">
        <v>4599</v>
      </c>
      <c r="D28" s="30" t="s">
        <v>4599</v>
      </c>
      <c r="E28" s="30" t="s">
        <v>4600</v>
      </c>
      <c r="F28" s="28" t="s">
        <v>3454</v>
      </c>
      <c r="G28" s="70">
        <v>43812</v>
      </c>
      <c r="H28" s="30" t="s">
        <v>4582</v>
      </c>
      <c r="I28" s="106" t="s">
        <v>4602</v>
      </c>
      <c r="J28" s="32" t="s">
        <v>4685</v>
      </c>
      <c r="K28" s="30" t="s">
        <v>4895</v>
      </c>
      <c r="L28" s="167"/>
      <c r="M28" s="167"/>
      <c r="N28" s="167"/>
      <c r="O28" s="167"/>
      <c r="P28" s="167"/>
      <c r="Q28" s="167"/>
      <c r="R28" s="167"/>
      <c r="S28" s="167"/>
      <c r="T28" s="167"/>
      <c r="U28" s="167"/>
      <c r="V28" s="167"/>
      <c r="W28" s="167"/>
      <c r="X28" s="167"/>
      <c r="Y28" s="167"/>
      <c r="Z28" s="167"/>
      <c r="AA28" s="167"/>
      <c r="AB28" s="167"/>
      <c r="AC28" s="167"/>
      <c r="AD28" s="167"/>
      <c r="AE28" s="167"/>
      <c r="AF28" s="167"/>
      <c r="AG28" s="167"/>
      <c r="AH28" s="167"/>
      <c r="AI28" s="167"/>
      <c r="AJ28" s="167"/>
      <c r="AK28" s="167"/>
      <c r="AL28" s="167"/>
      <c r="AM28" s="167"/>
      <c r="AN28" s="167"/>
      <c r="AO28" s="167"/>
      <c r="AP28" s="167"/>
      <c r="AQ28" s="30"/>
      <c r="AR28" s="30"/>
      <c r="AS28" s="30"/>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54"/>
      <c r="BR28" s="354"/>
      <c r="BS28" s="354"/>
      <c r="BT28" s="354" t="s">
        <v>4618</v>
      </c>
      <c r="BU28" s="354" t="s">
        <v>4650</v>
      </c>
      <c r="BV28" s="354" t="s">
        <v>4650</v>
      </c>
      <c r="BW28" s="354" t="s">
        <v>4650</v>
      </c>
      <c r="BX28" s="354" t="s">
        <v>4751</v>
      </c>
      <c r="BY28" s="454" t="s">
        <v>4896</v>
      </c>
      <c r="BZ28" s="452"/>
      <c r="CA28" s="544"/>
      <c r="CB28" s="544"/>
      <c r="CC28" s="544"/>
    </row>
    <row r="29" spans="1:81" s="431" customFormat="1" ht="21.75" hidden="1" customHeight="1" x14ac:dyDescent="0.2">
      <c r="A29" s="30" t="s">
        <v>584</v>
      </c>
      <c r="B29" s="30" t="s">
        <v>4715</v>
      </c>
      <c r="C29" s="196" t="s">
        <v>4713</v>
      </c>
      <c r="D29" s="30" t="s">
        <v>4713</v>
      </c>
      <c r="E29" s="30" t="s">
        <v>4714</v>
      </c>
      <c r="F29" s="30" t="s">
        <v>685</v>
      </c>
      <c r="G29" s="73">
        <v>43853</v>
      </c>
      <c r="H29" s="30" t="s">
        <v>4582</v>
      </c>
      <c r="I29" s="30" t="s">
        <v>4716</v>
      </c>
      <c r="J29" s="30" t="s">
        <v>4685</v>
      </c>
      <c r="K29" s="30" t="s">
        <v>4850</v>
      </c>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c r="BV29" s="30"/>
      <c r="BW29" s="30" t="s">
        <v>4719</v>
      </c>
      <c r="BX29" s="30" t="s">
        <v>4752</v>
      </c>
      <c r="BY29" s="454" t="s">
        <v>4854</v>
      </c>
      <c r="BZ29" s="166"/>
      <c r="CA29" s="545"/>
      <c r="CB29" s="545"/>
      <c r="CC29" s="545"/>
    </row>
    <row r="30" spans="1:81" ht="153" hidden="1" x14ac:dyDescent="0.2">
      <c r="A30" s="466" t="s">
        <v>1137</v>
      </c>
      <c r="B30" s="467" t="s">
        <v>4863</v>
      </c>
      <c r="C30" s="468" t="s">
        <v>4864</v>
      </c>
      <c r="D30" s="467" t="s">
        <v>4864</v>
      </c>
      <c r="E30" s="467" t="s">
        <v>4865</v>
      </c>
      <c r="F30" s="467" t="s">
        <v>2583</v>
      </c>
      <c r="G30" s="469">
        <v>43889</v>
      </c>
      <c r="H30" s="467" t="s">
        <v>4866</v>
      </c>
      <c r="I30" s="470" t="s">
        <v>4867</v>
      </c>
      <c r="J30" s="471" t="s">
        <v>4685</v>
      </c>
      <c r="K30" s="30" t="s">
        <v>4962</v>
      </c>
      <c r="L30" s="472"/>
      <c r="M30" s="472"/>
      <c r="N30" s="472"/>
      <c r="O30" s="472"/>
      <c r="P30" s="472"/>
      <c r="Q30" s="472"/>
      <c r="R30" s="472"/>
      <c r="S30" s="472"/>
      <c r="T30" s="472"/>
      <c r="U30" s="472"/>
      <c r="V30" s="472"/>
      <c r="W30" s="472"/>
      <c r="X30" s="472"/>
      <c r="Y30" s="472"/>
      <c r="Z30" s="472"/>
      <c r="AA30" s="472"/>
      <c r="AB30" s="472"/>
      <c r="AC30" s="472"/>
      <c r="AD30" s="472"/>
      <c r="AE30" s="472"/>
      <c r="AF30" s="472"/>
      <c r="AG30" s="472"/>
      <c r="AH30" s="472"/>
      <c r="AI30" s="472"/>
      <c r="AJ30" s="472"/>
      <c r="AK30" s="472"/>
      <c r="AL30" s="472"/>
      <c r="AM30" s="472"/>
      <c r="AN30" s="472"/>
      <c r="AO30" s="472"/>
      <c r="AP30" s="472"/>
      <c r="AQ30" s="467"/>
      <c r="AR30" s="467"/>
      <c r="AS30" s="467"/>
      <c r="AT30" s="467"/>
      <c r="AU30" s="467"/>
      <c r="AV30" s="467"/>
      <c r="AW30" s="467"/>
      <c r="AX30" s="467"/>
      <c r="AY30" s="467"/>
      <c r="AZ30" s="467"/>
      <c r="BA30" s="467"/>
      <c r="BB30" s="467"/>
      <c r="BC30" s="467"/>
      <c r="BD30" s="467"/>
      <c r="BE30" s="467"/>
      <c r="BF30" s="467"/>
      <c r="BG30" s="467"/>
      <c r="BH30" s="467"/>
      <c r="BI30" s="467"/>
      <c r="BJ30" s="467"/>
      <c r="BK30" s="467"/>
      <c r="BL30" s="467"/>
      <c r="BM30" s="467"/>
      <c r="BN30" s="467"/>
      <c r="BO30" s="467"/>
      <c r="BP30" s="467"/>
      <c r="BQ30" s="473"/>
      <c r="BR30" s="473"/>
      <c r="BS30" s="473"/>
      <c r="BT30" s="473"/>
      <c r="BU30" s="473"/>
      <c r="BV30" s="473"/>
      <c r="BW30" s="473"/>
      <c r="BX30" s="473"/>
      <c r="BY30" s="496" t="s">
        <v>4961</v>
      </c>
      <c r="BZ30" s="474"/>
      <c r="CA30" s="544"/>
      <c r="CB30" s="544"/>
      <c r="CC30" s="544"/>
    </row>
    <row r="31" spans="1:81" ht="204" hidden="1" x14ac:dyDescent="0.2">
      <c r="A31" s="41" t="s">
        <v>584</v>
      </c>
      <c r="B31" s="488" t="s">
        <v>4898</v>
      </c>
      <c r="C31" s="168" t="s">
        <v>4899</v>
      </c>
      <c r="D31" s="488" t="s">
        <v>4900</v>
      </c>
      <c r="E31" s="488" t="s">
        <v>4901</v>
      </c>
      <c r="F31" s="488" t="s">
        <v>12</v>
      </c>
      <c r="G31" s="489">
        <v>43914</v>
      </c>
      <c r="H31" s="488" t="s">
        <v>4582</v>
      </c>
      <c r="I31" s="490" t="s">
        <v>4902</v>
      </c>
      <c r="J31" s="491" t="s">
        <v>4685</v>
      </c>
      <c r="K31" s="28" t="s">
        <v>5200</v>
      </c>
      <c r="L31" s="493"/>
      <c r="M31" s="493"/>
      <c r="N31" s="493"/>
      <c r="O31" s="493"/>
      <c r="P31" s="493"/>
      <c r="Q31" s="493"/>
      <c r="R31" s="493"/>
      <c r="S31" s="493"/>
      <c r="T31" s="493"/>
      <c r="U31" s="493"/>
      <c r="V31" s="493"/>
      <c r="W31" s="493"/>
      <c r="X31" s="493"/>
      <c r="Y31" s="493"/>
      <c r="Z31" s="493"/>
      <c r="AA31" s="493"/>
      <c r="AB31" s="493"/>
      <c r="AC31" s="493"/>
      <c r="AD31" s="493"/>
      <c r="AE31" s="493"/>
      <c r="AF31" s="493"/>
      <c r="AG31" s="493"/>
      <c r="AH31" s="493"/>
      <c r="AI31" s="493"/>
      <c r="AJ31" s="493"/>
      <c r="AK31" s="493"/>
      <c r="AL31" s="493"/>
      <c r="AM31" s="493"/>
      <c r="AN31" s="493"/>
      <c r="AO31" s="493"/>
      <c r="AP31" s="493"/>
      <c r="AQ31" s="492"/>
      <c r="AR31" s="492"/>
      <c r="AS31" s="492"/>
      <c r="AT31" s="492"/>
      <c r="AU31" s="492"/>
      <c r="AV31" s="492"/>
      <c r="AW31" s="492"/>
      <c r="AX31" s="492"/>
      <c r="AY31" s="492"/>
      <c r="AZ31" s="492"/>
      <c r="BA31" s="492"/>
      <c r="BB31" s="492"/>
      <c r="BC31" s="492"/>
      <c r="BD31" s="492"/>
      <c r="BE31" s="492"/>
      <c r="BF31" s="492"/>
      <c r="BG31" s="492"/>
      <c r="BH31" s="492"/>
      <c r="BI31" s="492"/>
      <c r="BJ31" s="492"/>
      <c r="BK31" s="492"/>
      <c r="BL31" s="492"/>
      <c r="BM31" s="492"/>
      <c r="BN31" s="492"/>
      <c r="BO31" s="492"/>
      <c r="BP31" s="492"/>
      <c r="BQ31" s="494"/>
      <c r="BR31" s="494"/>
      <c r="BS31" s="494"/>
      <c r="BT31" s="494"/>
      <c r="BU31" s="494"/>
      <c r="BV31" s="494"/>
      <c r="BW31" s="494"/>
      <c r="BX31" s="494"/>
      <c r="BY31" s="36" t="s">
        <v>5201</v>
      </c>
      <c r="BZ31" s="536"/>
      <c r="CA31" s="354" t="s">
        <v>3851</v>
      </c>
      <c r="CB31" s="354" t="s">
        <v>5070</v>
      </c>
      <c r="CC31" s="354" t="s">
        <v>5071</v>
      </c>
    </row>
    <row r="32" spans="1:81" ht="127.5" hidden="1" customHeight="1" x14ac:dyDescent="0.2">
      <c r="A32" s="41" t="s">
        <v>584</v>
      </c>
      <c r="B32" s="30" t="s">
        <v>4976</v>
      </c>
      <c r="C32" s="196" t="s">
        <v>5251</v>
      </c>
      <c r="D32" s="30" t="s">
        <v>5251</v>
      </c>
      <c r="E32" s="30" t="s">
        <v>4977</v>
      </c>
      <c r="F32" s="30" t="s">
        <v>1095</v>
      </c>
      <c r="G32" s="510">
        <v>43966</v>
      </c>
      <c r="H32" s="30" t="s">
        <v>4975</v>
      </c>
      <c r="I32" s="106" t="s">
        <v>5044</v>
      </c>
      <c r="J32" s="511" t="s">
        <v>4685</v>
      </c>
      <c r="K32" s="30" t="s">
        <v>5302</v>
      </c>
      <c r="L32" s="514"/>
      <c r="M32" s="513"/>
      <c r="N32" s="513"/>
      <c r="O32" s="513"/>
      <c r="P32" s="513"/>
      <c r="Q32" s="513"/>
      <c r="R32" s="513"/>
      <c r="S32" s="513"/>
      <c r="T32" s="513"/>
      <c r="U32" s="513"/>
      <c r="V32" s="513"/>
      <c r="W32" s="513"/>
      <c r="X32" s="513"/>
      <c r="Y32" s="513"/>
      <c r="Z32" s="513"/>
      <c r="AA32" s="513"/>
      <c r="AB32" s="513"/>
      <c r="AC32" s="513"/>
      <c r="AD32" s="513"/>
      <c r="AE32" s="513"/>
      <c r="AF32" s="513"/>
      <c r="AG32" s="513"/>
      <c r="AH32" s="513"/>
      <c r="AI32" s="513"/>
      <c r="AJ32" s="513"/>
      <c r="AK32" s="513"/>
      <c r="AL32" s="513"/>
      <c r="AM32" s="513"/>
      <c r="AN32" s="513"/>
      <c r="AO32" s="513"/>
      <c r="AP32" s="513"/>
      <c r="AQ32" s="512"/>
      <c r="AR32" s="512"/>
      <c r="AS32" s="512"/>
      <c r="AT32" s="512"/>
      <c r="AU32" s="512"/>
      <c r="AV32" s="512"/>
      <c r="AW32" s="512"/>
      <c r="AX32" s="512"/>
      <c r="AY32" s="512"/>
      <c r="AZ32" s="512"/>
      <c r="BA32" s="512"/>
      <c r="BB32" s="512"/>
      <c r="BC32" s="512"/>
      <c r="BD32" s="512"/>
      <c r="BE32" s="512"/>
      <c r="BF32" s="512"/>
      <c r="BG32" s="512"/>
      <c r="BH32" s="512"/>
      <c r="BI32" s="512"/>
      <c r="BJ32" s="512"/>
      <c r="BK32" s="512"/>
      <c r="BL32" s="512"/>
      <c r="BM32" s="512"/>
      <c r="BN32" s="512"/>
      <c r="BO32" s="512"/>
      <c r="BP32" s="512"/>
      <c r="BQ32" s="502"/>
      <c r="BR32" s="502"/>
      <c r="BS32" s="502"/>
      <c r="BT32" s="502"/>
      <c r="BU32" s="502"/>
      <c r="BV32" s="502"/>
      <c r="BW32" s="502"/>
      <c r="BX32" s="502"/>
      <c r="BY32" s="72" t="s">
        <v>5303</v>
      </c>
      <c r="BZ32" s="537"/>
      <c r="CA32" s="354" t="s">
        <v>3851</v>
      </c>
      <c r="CB32" s="354" t="s">
        <v>5070</v>
      </c>
      <c r="CC32" s="354" t="s">
        <v>5071</v>
      </c>
    </row>
    <row r="33" spans="1:81" ht="301.5" customHeight="1" x14ac:dyDescent="0.2">
      <c r="A33" s="508" t="s">
        <v>584</v>
      </c>
      <c r="B33" s="30" t="s">
        <v>5004</v>
      </c>
      <c r="C33" s="509" t="s">
        <v>5006</v>
      </c>
      <c r="D33" s="30" t="s">
        <v>5005</v>
      </c>
      <c r="E33" s="30" t="s">
        <v>5009</v>
      </c>
      <c r="F33" s="30" t="s">
        <v>5010</v>
      </c>
      <c r="G33" s="510">
        <v>43973</v>
      </c>
      <c r="H33" s="30" t="s">
        <v>5007</v>
      </c>
      <c r="I33" s="106" t="s">
        <v>5008</v>
      </c>
      <c r="J33" s="511" t="s">
        <v>3038</v>
      </c>
      <c r="K33" s="30" t="s">
        <v>6488</v>
      </c>
      <c r="L33" s="514"/>
      <c r="M33" s="513"/>
      <c r="N33" s="513"/>
      <c r="O33" s="513"/>
      <c r="P33" s="513"/>
      <c r="Q33" s="513"/>
      <c r="R33" s="513"/>
      <c r="S33" s="513"/>
      <c r="T33" s="513"/>
      <c r="U33" s="513"/>
      <c r="V33" s="513"/>
      <c r="W33" s="513"/>
      <c r="X33" s="513"/>
      <c r="Y33" s="513"/>
      <c r="Z33" s="513"/>
      <c r="AA33" s="513"/>
      <c r="AB33" s="513"/>
      <c r="AC33" s="513"/>
      <c r="AD33" s="513"/>
      <c r="AE33" s="513"/>
      <c r="AF33" s="513"/>
      <c r="AG33" s="513"/>
      <c r="AH33" s="513"/>
      <c r="AI33" s="513"/>
      <c r="AJ33" s="513"/>
      <c r="AK33" s="513"/>
      <c r="AL33" s="513"/>
      <c r="AM33" s="513"/>
      <c r="AN33" s="513"/>
      <c r="AO33" s="513"/>
      <c r="AP33" s="513"/>
      <c r="AQ33" s="512"/>
      <c r="AR33" s="512"/>
      <c r="AS33" s="512"/>
      <c r="AT33" s="512"/>
      <c r="AU33" s="512"/>
      <c r="AV33" s="512"/>
      <c r="AW33" s="512"/>
      <c r="AX33" s="512"/>
      <c r="AY33" s="512"/>
      <c r="AZ33" s="512"/>
      <c r="BA33" s="512"/>
      <c r="BB33" s="512"/>
      <c r="BC33" s="512"/>
      <c r="BD33" s="512"/>
      <c r="BE33" s="512"/>
      <c r="BF33" s="512"/>
      <c r="BG33" s="512"/>
      <c r="BH33" s="512"/>
      <c r="BI33" s="512"/>
      <c r="BJ33" s="512"/>
      <c r="BK33" s="512"/>
      <c r="BL33" s="512"/>
      <c r="BM33" s="512"/>
      <c r="BN33" s="512"/>
      <c r="BO33" s="512"/>
      <c r="BP33" s="512"/>
      <c r="BQ33" s="502"/>
      <c r="BR33" s="502"/>
      <c r="BS33" s="502"/>
      <c r="BT33" s="502"/>
      <c r="BU33" s="502"/>
      <c r="BV33" s="502"/>
      <c r="BW33" s="502"/>
      <c r="BX33" s="502"/>
      <c r="BY33" s="30" t="s">
        <v>6589</v>
      </c>
      <c r="BZ33" s="537"/>
      <c r="CA33" s="354" t="s">
        <v>3851</v>
      </c>
      <c r="CB33" s="354" t="s">
        <v>5081</v>
      </c>
      <c r="CC33" s="354" t="s">
        <v>5082</v>
      </c>
    </row>
    <row r="34" spans="1:81" ht="63.75" hidden="1" x14ac:dyDescent="0.2">
      <c r="A34" s="517" t="s">
        <v>584</v>
      </c>
      <c r="B34" s="30" t="s">
        <v>5040</v>
      </c>
      <c r="C34" s="509" t="s">
        <v>5037</v>
      </c>
      <c r="D34" s="30" t="s">
        <v>5039</v>
      </c>
      <c r="E34" s="524">
        <v>0.05</v>
      </c>
      <c r="F34" s="30" t="s">
        <v>5038</v>
      </c>
      <c r="G34" s="519">
        <v>44005</v>
      </c>
      <c r="H34" s="518" t="s">
        <v>4975</v>
      </c>
      <c r="I34" s="106" t="s">
        <v>5041</v>
      </c>
      <c r="J34" s="32" t="s">
        <v>4685</v>
      </c>
      <c r="K34" s="30" t="s">
        <v>5206</v>
      </c>
      <c r="L34" s="523"/>
      <c r="M34" s="521"/>
      <c r="N34" s="521"/>
      <c r="O34" s="521"/>
      <c r="P34" s="521"/>
      <c r="Q34" s="521"/>
      <c r="R34" s="521"/>
      <c r="S34" s="521"/>
      <c r="T34" s="521"/>
      <c r="U34" s="521"/>
      <c r="V34" s="521"/>
      <c r="W34" s="521"/>
      <c r="X34" s="521"/>
      <c r="Y34" s="521"/>
      <c r="Z34" s="521"/>
      <c r="AA34" s="521"/>
      <c r="AB34" s="521"/>
      <c r="AC34" s="521"/>
      <c r="AD34" s="521"/>
      <c r="AE34" s="521"/>
      <c r="AF34" s="521"/>
      <c r="AG34" s="521"/>
      <c r="AH34" s="521"/>
      <c r="AI34" s="521"/>
      <c r="AJ34" s="521"/>
      <c r="AK34" s="521"/>
      <c r="AL34" s="521"/>
      <c r="AM34" s="521"/>
      <c r="AN34" s="521"/>
      <c r="AO34" s="521"/>
      <c r="AP34" s="521"/>
      <c r="AQ34" s="520"/>
      <c r="AR34" s="520"/>
      <c r="AS34" s="520"/>
      <c r="AT34" s="520"/>
      <c r="AU34" s="520"/>
      <c r="AV34" s="520"/>
      <c r="AW34" s="520"/>
      <c r="AX34" s="520"/>
      <c r="AY34" s="520"/>
      <c r="AZ34" s="520"/>
      <c r="BA34" s="520"/>
      <c r="BB34" s="520"/>
      <c r="BC34" s="520"/>
      <c r="BD34" s="520"/>
      <c r="BE34" s="520"/>
      <c r="BF34" s="520"/>
      <c r="BG34" s="520"/>
      <c r="BH34" s="520"/>
      <c r="BI34" s="520"/>
      <c r="BJ34" s="520"/>
      <c r="BK34" s="520"/>
      <c r="BL34" s="520"/>
      <c r="BM34" s="520"/>
      <c r="BN34" s="520"/>
      <c r="BO34" s="520"/>
      <c r="BP34" s="520"/>
      <c r="BQ34" s="522"/>
      <c r="BR34" s="522"/>
      <c r="BS34" s="522"/>
      <c r="BT34" s="522"/>
      <c r="BU34" s="522"/>
      <c r="BV34" s="522"/>
      <c r="BW34" s="522"/>
      <c r="BX34" s="522"/>
      <c r="BY34" s="72" t="s">
        <v>5210</v>
      </c>
      <c r="BZ34" s="538"/>
      <c r="CA34" s="354" t="s">
        <v>3851</v>
      </c>
      <c r="CB34" s="354" t="s">
        <v>5070</v>
      </c>
      <c r="CC34" s="354" t="s">
        <v>5071</v>
      </c>
    </row>
    <row r="35" spans="1:81" ht="89.25" hidden="1" x14ac:dyDescent="0.2">
      <c r="A35" s="525" t="s">
        <v>1137</v>
      </c>
      <c r="B35" s="526" t="s">
        <v>5049</v>
      </c>
      <c r="C35" s="196" t="s">
        <v>5050</v>
      </c>
      <c r="D35" s="30" t="s">
        <v>5050</v>
      </c>
      <c r="E35" s="526" t="s">
        <v>318</v>
      </c>
      <c r="F35" s="526" t="s">
        <v>5052</v>
      </c>
      <c r="G35" s="527">
        <v>44011</v>
      </c>
      <c r="H35" s="30" t="s">
        <v>4866</v>
      </c>
      <c r="I35" s="528" t="s">
        <v>5051</v>
      </c>
      <c r="J35" s="535" t="s">
        <v>4685</v>
      </c>
      <c r="K35" s="30" t="s">
        <v>5176</v>
      </c>
      <c r="L35" s="533"/>
      <c r="M35" s="530"/>
      <c r="N35" s="530"/>
      <c r="O35" s="530"/>
      <c r="P35" s="530"/>
      <c r="Q35" s="530"/>
      <c r="R35" s="530"/>
      <c r="S35" s="530"/>
      <c r="T35" s="530"/>
      <c r="U35" s="530"/>
      <c r="V35" s="530"/>
      <c r="W35" s="530"/>
      <c r="X35" s="530"/>
      <c r="Y35" s="530"/>
      <c r="Z35" s="530"/>
      <c r="AA35" s="530"/>
      <c r="AB35" s="530"/>
      <c r="AC35" s="530"/>
      <c r="AD35" s="530"/>
      <c r="AE35" s="530"/>
      <c r="AF35" s="530"/>
      <c r="AG35" s="530"/>
      <c r="AH35" s="530"/>
      <c r="AI35" s="530"/>
      <c r="AJ35" s="530"/>
      <c r="AK35" s="530"/>
      <c r="AL35" s="530"/>
      <c r="AM35" s="530"/>
      <c r="AN35" s="530"/>
      <c r="AO35" s="530"/>
      <c r="AP35" s="530"/>
      <c r="AQ35" s="529"/>
      <c r="AR35" s="529"/>
      <c r="AS35" s="529"/>
      <c r="AT35" s="529"/>
      <c r="AU35" s="529"/>
      <c r="AV35" s="529"/>
      <c r="AW35" s="529"/>
      <c r="AX35" s="529"/>
      <c r="AY35" s="529"/>
      <c r="AZ35" s="529"/>
      <c r="BA35" s="529"/>
      <c r="BB35" s="529"/>
      <c r="BC35" s="529"/>
      <c r="BD35" s="529"/>
      <c r="BE35" s="529"/>
      <c r="BF35" s="529"/>
      <c r="BG35" s="529"/>
      <c r="BH35" s="529"/>
      <c r="BI35" s="529"/>
      <c r="BJ35" s="529"/>
      <c r="BK35" s="529"/>
      <c r="BL35" s="529"/>
      <c r="BM35" s="529"/>
      <c r="BN35" s="529"/>
      <c r="BO35" s="529"/>
      <c r="BP35" s="529"/>
      <c r="BQ35" s="531"/>
      <c r="BR35" s="531"/>
      <c r="BS35" s="531"/>
      <c r="BT35" s="531"/>
      <c r="BU35" s="531"/>
      <c r="BV35" s="531"/>
      <c r="BW35" s="531"/>
      <c r="BX35" s="532"/>
      <c r="BY35" s="72" t="s">
        <v>5153</v>
      </c>
      <c r="BZ35" s="539"/>
      <c r="CA35" s="354" t="s">
        <v>3851</v>
      </c>
      <c r="CB35" s="354" t="s">
        <v>5070</v>
      </c>
      <c r="CC35" s="354" t="s">
        <v>5071</v>
      </c>
    </row>
    <row r="36" spans="1:81" ht="162.75" hidden="1" customHeight="1" x14ac:dyDescent="0.2">
      <c r="A36" s="549" t="s">
        <v>584</v>
      </c>
      <c r="B36" s="87" t="s">
        <v>5087</v>
      </c>
      <c r="C36" s="199" t="s">
        <v>5086</v>
      </c>
      <c r="D36" s="87" t="s">
        <v>5086</v>
      </c>
      <c r="E36" s="550" t="s">
        <v>5084</v>
      </c>
      <c r="F36" s="550" t="s">
        <v>5085</v>
      </c>
      <c r="G36" s="551">
        <v>44000</v>
      </c>
      <c r="H36" s="550" t="s">
        <v>4975</v>
      </c>
      <c r="I36" s="217" t="s">
        <v>5088</v>
      </c>
      <c r="J36" s="552" t="s">
        <v>4685</v>
      </c>
      <c r="K36" s="87" t="s">
        <v>5182</v>
      </c>
      <c r="L36" s="553"/>
      <c r="M36" s="553"/>
      <c r="N36" s="553"/>
      <c r="O36" s="553"/>
      <c r="P36" s="553"/>
      <c r="Q36" s="553"/>
      <c r="R36" s="553"/>
      <c r="S36" s="553"/>
      <c r="T36" s="553"/>
      <c r="U36" s="553"/>
      <c r="V36" s="553"/>
      <c r="W36" s="553"/>
      <c r="X36" s="553"/>
      <c r="Y36" s="553"/>
      <c r="Z36" s="553"/>
      <c r="AA36" s="553"/>
      <c r="AB36" s="553"/>
      <c r="AC36" s="553"/>
      <c r="AD36" s="553"/>
      <c r="AE36" s="553"/>
      <c r="AF36" s="553"/>
      <c r="AG36" s="553"/>
      <c r="AH36" s="553"/>
      <c r="AI36" s="553"/>
      <c r="AJ36" s="553"/>
      <c r="AK36" s="553"/>
      <c r="AL36" s="553"/>
      <c r="AM36" s="553"/>
      <c r="AN36" s="553"/>
      <c r="AO36" s="553"/>
      <c r="AP36" s="553"/>
      <c r="AQ36" s="550"/>
      <c r="AR36" s="550"/>
      <c r="AS36" s="550"/>
      <c r="AT36" s="550"/>
      <c r="AU36" s="550"/>
      <c r="AV36" s="550"/>
      <c r="AW36" s="550"/>
      <c r="AX36" s="550"/>
      <c r="AY36" s="550"/>
      <c r="AZ36" s="550"/>
      <c r="BA36" s="550"/>
      <c r="BB36" s="550"/>
      <c r="BC36" s="550"/>
      <c r="BD36" s="550"/>
      <c r="BE36" s="550"/>
      <c r="BF36" s="550"/>
      <c r="BG36" s="550"/>
      <c r="BH36" s="550"/>
      <c r="BI36" s="550"/>
      <c r="BJ36" s="550"/>
      <c r="BK36" s="550"/>
      <c r="BL36" s="550"/>
      <c r="BM36" s="550"/>
      <c r="BN36" s="550"/>
      <c r="BO36" s="550"/>
      <c r="BP36" s="550"/>
      <c r="BQ36" s="554"/>
      <c r="BR36" s="554"/>
      <c r="BS36" s="554"/>
      <c r="BT36" s="554"/>
      <c r="BU36" s="554"/>
      <c r="BV36" s="554"/>
      <c r="BW36" s="554"/>
      <c r="BX36" s="554"/>
      <c r="BY36" s="443" t="s">
        <v>5186</v>
      </c>
      <c r="BZ36" s="555"/>
      <c r="CA36" s="354" t="s">
        <v>3851</v>
      </c>
      <c r="CB36" s="354" t="s">
        <v>5070</v>
      </c>
      <c r="CC36" s="354" t="s">
        <v>5071</v>
      </c>
    </row>
    <row r="37" spans="1:81" ht="38.25" customHeight="1" x14ac:dyDescent="0.2">
      <c r="A37" s="41" t="s">
        <v>584</v>
      </c>
      <c r="B37" s="30" t="s">
        <v>3133</v>
      </c>
      <c r="C37" s="196" t="s">
        <v>5149</v>
      </c>
      <c r="D37" s="30" t="s">
        <v>5147</v>
      </c>
      <c r="E37" s="30" t="s">
        <v>5149</v>
      </c>
      <c r="F37" s="30" t="s">
        <v>5148</v>
      </c>
      <c r="G37" s="584">
        <v>44042</v>
      </c>
      <c r="H37" s="30" t="s">
        <v>5146</v>
      </c>
      <c r="I37" s="106" t="s">
        <v>5145</v>
      </c>
      <c r="J37" s="32" t="s">
        <v>4220</v>
      </c>
      <c r="K37" s="30" t="s">
        <v>5444</v>
      </c>
      <c r="L37" s="572"/>
      <c r="M37" s="572"/>
      <c r="N37" s="572"/>
      <c r="O37" s="572"/>
      <c r="P37" s="572"/>
      <c r="Q37" s="572"/>
      <c r="R37" s="572"/>
      <c r="S37" s="572"/>
      <c r="T37" s="572"/>
      <c r="U37" s="572"/>
      <c r="V37" s="572"/>
      <c r="W37" s="572"/>
      <c r="X37" s="572"/>
      <c r="Y37" s="572"/>
      <c r="Z37" s="572"/>
      <c r="AA37" s="572"/>
      <c r="AB37" s="572"/>
      <c r="AC37" s="572"/>
      <c r="AD37" s="572"/>
      <c r="AE37" s="572"/>
      <c r="AF37" s="572"/>
      <c r="AG37" s="572"/>
      <c r="AH37" s="572"/>
      <c r="AI37" s="572"/>
      <c r="AJ37" s="572"/>
      <c r="AK37" s="572"/>
      <c r="AL37" s="572"/>
      <c r="AM37" s="572"/>
      <c r="AN37" s="572"/>
      <c r="AO37" s="572"/>
      <c r="AP37" s="572"/>
      <c r="AQ37" s="571"/>
      <c r="AR37" s="571"/>
      <c r="AS37" s="571"/>
      <c r="AT37" s="571"/>
      <c r="AU37" s="571"/>
      <c r="AV37" s="571"/>
      <c r="AW37" s="571"/>
      <c r="AX37" s="571"/>
      <c r="AY37" s="571"/>
      <c r="AZ37" s="571"/>
      <c r="BA37" s="571"/>
      <c r="BB37" s="571"/>
      <c r="BC37" s="571"/>
      <c r="BD37" s="571"/>
      <c r="BE37" s="571"/>
      <c r="BF37" s="571"/>
      <c r="BG37" s="571"/>
      <c r="BH37" s="571"/>
      <c r="BI37" s="571"/>
      <c r="BJ37" s="571"/>
      <c r="BK37" s="571"/>
      <c r="BL37" s="571"/>
      <c r="BM37" s="571"/>
      <c r="BN37" s="571"/>
      <c r="BO37" s="571"/>
      <c r="BP37" s="571"/>
      <c r="BQ37" s="568"/>
      <c r="BR37" s="568"/>
      <c r="BS37" s="568"/>
      <c r="BT37" s="568"/>
      <c r="BU37" s="568"/>
      <c r="BV37" s="568"/>
      <c r="BW37" s="568"/>
      <c r="BX37" s="568"/>
      <c r="BY37" s="72" t="s">
        <v>5737</v>
      </c>
      <c r="BZ37" s="586"/>
      <c r="CA37" s="544"/>
      <c r="CB37" s="544"/>
      <c r="CC37" s="544"/>
    </row>
    <row r="38" spans="1:81" ht="30.75" customHeight="1" x14ac:dyDescent="0.2">
      <c r="A38" s="94" t="s">
        <v>584</v>
      </c>
      <c r="B38" s="96" t="s">
        <v>3803</v>
      </c>
      <c r="C38" s="689" t="s">
        <v>5149</v>
      </c>
      <c r="D38" s="96" t="s">
        <v>5147</v>
      </c>
      <c r="E38" s="96" t="s">
        <v>5149</v>
      </c>
      <c r="F38" s="96" t="s">
        <v>5148</v>
      </c>
      <c r="G38" s="690">
        <v>44049</v>
      </c>
      <c r="H38" s="96" t="s">
        <v>5151</v>
      </c>
      <c r="I38" s="691" t="s">
        <v>5157</v>
      </c>
      <c r="J38" s="692" t="s">
        <v>4220</v>
      </c>
      <c r="K38" s="96" t="s">
        <v>5562</v>
      </c>
      <c r="L38" s="581"/>
      <c r="M38" s="579"/>
      <c r="N38" s="579"/>
      <c r="O38" s="579"/>
      <c r="P38" s="579"/>
      <c r="Q38" s="579"/>
      <c r="R38" s="579"/>
      <c r="S38" s="579"/>
      <c r="T38" s="579"/>
      <c r="U38" s="579"/>
      <c r="V38" s="579"/>
      <c r="W38" s="579"/>
      <c r="X38" s="579"/>
      <c r="Y38" s="579"/>
      <c r="Z38" s="579"/>
      <c r="AA38" s="579"/>
      <c r="AB38" s="579"/>
      <c r="AC38" s="579"/>
      <c r="AD38" s="579"/>
      <c r="AE38" s="579"/>
      <c r="AF38" s="579"/>
      <c r="AG38" s="579"/>
      <c r="AH38" s="579"/>
      <c r="AI38" s="579"/>
      <c r="AJ38" s="579"/>
      <c r="AK38" s="579"/>
      <c r="AL38" s="579"/>
      <c r="AM38" s="579"/>
      <c r="AN38" s="579"/>
      <c r="AO38" s="579"/>
      <c r="AP38" s="579"/>
      <c r="AQ38" s="578"/>
      <c r="AR38" s="578"/>
      <c r="AS38" s="578"/>
      <c r="AT38" s="578"/>
      <c r="AU38" s="578"/>
      <c r="AV38" s="578"/>
      <c r="AW38" s="578"/>
      <c r="AX38" s="578"/>
      <c r="AY38" s="578"/>
      <c r="AZ38" s="578"/>
      <c r="BA38" s="578"/>
      <c r="BB38" s="578"/>
      <c r="BC38" s="578"/>
      <c r="BD38" s="578"/>
      <c r="BE38" s="578"/>
      <c r="BF38" s="578"/>
      <c r="BG38" s="578"/>
      <c r="BH38" s="578"/>
      <c r="BI38" s="578"/>
      <c r="BJ38" s="578"/>
      <c r="BK38" s="578"/>
      <c r="BL38" s="578"/>
      <c r="BM38" s="578"/>
      <c r="BN38" s="578"/>
      <c r="BO38" s="578"/>
      <c r="BP38" s="578"/>
      <c r="BQ38" s="580"/>
      <c r="BR38" s="580"/>
      <c r="BS38" s="580"/>
      <c r="BT38" s="580"/>
      <c r="BU38" s="580"/>
      <c r="BV38" s="580"/>
      <c r="BW38" s="580"/>
      <c r="BX38" s="580"/>
      <c r="BY38" s="427" t="s">
        <v>5657</v>
      </c>
      <c r="BZ38" s="577"/>
      <c r="CA38" s="582"/>
      <c r="CB38" s="582"/>
      <c r="CC38" s="582"/>
    </row>
    <row r="39" spans="1:81" ht="108.75" customHeight="1" x14ac:dyDescent="0.2">
      <c r="A39" s="573" t="s">
        <v>584</v>
      </c>
      <c r="B39" s="574" t="s">
        <v>5177</v>
      </c>
      <c r="C39" s="575" t="s">
        <v>5006</v>
      </c>
      <c r="D39" s="574" t="s">
        <v>5005</v>
      </c>
      <c r="E39" s="574" t="s">
        <v>5009</v>
      </c>
      <c r="F39" s="574" t="s">
        <v>5010</v>
      </c>
      <c r="G39" s="576">
        <v>44050</v>
      </c>
      <c r="H39" s="583" t="s">
        <v>5152</v>
      </c>
      <c r="I39" s="208" t="s">
        <v>6001</v>
      </c>
      <c r="J39" s="585" t="s">
        <v>3083</v>
      </c>
      <c r="K39" s="574"/>
      <c r="L39" s="581"/>
      <c r="M39" s="579"/>
      <c r="N39" s="579"/>
      <c r="O39" s="579"/>
      <c r="P39" s="579"/>
      <c r="Q39" s="579"/>
      <c r="R39" s="579"/>
      <c r="S39" s="579"/>
      <c r="T39" s="579"/>
      <c r="U39" s="579"/>
      <c r="V39" s="579"/>
      <c r="W39" s="579"/>
      <c r="X39" s="579"/>
      <c r="Y39" s="579"/>
      <c r="Z39" s="579"/>
      <c r="AA39" s="579"/>
      <c r="AB39" s="579"/>
      <c r="AC39" s="579"/>
      <c r="AD39" s="579"/>
      <c r="AE39" s="579"/>
      <c r="AF39" s="579"/>
      <c r="AG39" s="579"/>
      <c r="AH39" s="579"/>
      <c r="AI39" s="579"/>
      <c r="AJ39" s="579"/>
      <c r="AK39" s="579"/>
      <c r="AL39" s="579"/>
      <c r="AM39" s="579"/>
      <c r="AN39" s="579"/>
      <c r="AO39" s="579"/>
      <c r="AP39" s="579"/>
      <c r="AQ39" s="578"/>
      <c r="AR39" s="578"/>
      <c r="AS39" s="578"/>
      <c r="AT39" s="578"/>
      <c r="AU39" s="578"/>
      <c r="AV39" s="578"/>
      <c r="AW39" s="578"/>
      <c r="AX39" s="578"/>
      <c r="AY39" s="578"/>
      <c r="AZ39" s="578"/>
      <c r="BA39" s="578"/>
      <c r="BB39" s="578"/>
      <c r="BC39" s="578"/>
      <c r="BD39" s="578"/>
      <c r="BE39" s="578"/>
      <c r="BF39" s="578"/>
      <c r="BG39" s="578"/>
      <c r="BH39" s="578"/>
      <c r="BI39" s="578"/>
      <c r="BJ39" s="578"/>
      <c r="BK39" s="578"/>
      <c r="BL39" s="578"/>
      <c r="BM39" s="578"/>
      <c r="BN39" s="578"/>
      <c r="BO39" s="578"/>
      <c r="BP39" s="578"/>
      <c r="BQ39" s="580"/>
      <c r="BR39" s="580"/>
      <c r="BS39" s="580"/>
      <c r="BT39" s="580"/>
      <c r="BU39" s="580"/>
      <c r="BV39" s="580"/>
      <c r="BW39" s="580"/>
      <c r="BX39" s="580"/>
      <c r="BY39" s="36" t="s">
        <v>6590</v>
      </c>
      <c r="BZ39" s="577"/>
      <c r="CA39" s="354" t="s">
        <v>3851</v>
      </c>
      <c r="CB39" s="354" t="s">
        <v>5081</v>
      </c>
      <c r="CC39" s="354" t="s">
        <v>5265</v>
      </c>
    </row>
    <row r="40" spans="1:81" ht="101.25" customHeight="1" x14ac:dyDescent="0.2">
      <c r="A40" s="573" t="s">
        <v>584</v>
      </c>
      <c r="B40" s="30" t="s">
        <v>5300</v>
      </c>
      <c r="C40" s="196" t="s">
        <v>112</v>
      </c>
      <c r="D40" s="30" t="s">
        <v>5250</v>
      </c>
      <c r="E40" s="30" t="s">
        <v>3192</v>
      </c>
      <c r="F40" s="30" t="s">
        <v>1454</v>
      </c>
      <c r="G40" s="70">
        <v>44113</v>
      </c>
      <c r="H40" s="30" t="s">
        <v>3296</v>
      </c>
      <c r="I40" s="106" t="s">
        <v>5643</v>
      </c>
      <c r="J40" s="585" t="s">
        <v>3256</v>
      </c>
      <c r="K40" s="30" t="s">
        <v>6110</v>
      </c>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c r="AJ40" s="350"/>
      <c r="AK40" s="350"/>
      <c r="AL40" s="350"/>
      <c r="AM40" s="350"/>
      <c r="AN40" s="350"/>
      <c r="AO40" s="350"/>
      <c r="AP40" s="350"/>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9"/>
      <c r="BR40" s="89"/>
      <c r="BS40" s="89"/>
      <c r="BT40" s="89"/>
      <c r="BU40" s="89"/>
      <c r="BV40" s="89"/>
      <c r="BW40" s="89"/>
      <c r="BX40" s="89"/>
      <c r="BY40" s="72" t="s">
        <v>6591</v>
      </c>
      <c r="BZ40" s="167"/>
      <c r="CA40" s="429" t="s">
        <v>3851</v>
      </c>
      <c r="CB40" s="429" t="s">
        <v>5081</v>
      </c>
      <c r="CC40" s="627" t="s">
        <v>5082</v>
      </c>
    </row>
    <row r="41" spans="1:81" ht="89.25" x14ac:dyDescent="0.2">
      <c r="A41" s="565" t="s">
        <v>584</v>
      </c>
      <c r="B41" s="30" t="s">
        <v>6111</v>
      </c>
      <c r="C41" s="196" t="s">
        <v>112</v>
      </c>
      <c r="D41" s="619" t="s">
        <v>1738</v>
      </c>
      <c r="E41" s="619" t="s">
        <v>3192</v>
      </c>
      <c r="F41" s="30" t="s">
        <v>1454</v>
      </c>
      <c r="G41" s="620">
        <v>44138</v>
      </c>
      <c r="H41" s="30" t="s">
        <v>5301</v>
      </c>
      <c r="I41" s="106" t="s">
        <v>5679</v>
      </c>
      <c r="J41" s="585" t="s">
        <v>2867</v>
      </c>
      <c r="K41" s="619"/>
      <c r="L41" s="625"/>
      <c r="M41" s="623"/>
      <c r="N41" s="623"/>
      <c r="O41" s="623"/>
      <c r="P41" s="623"/>
      <c r="Q41" s="623"/>
      <c r="R41" s="623"/>
      <c r="S41" s="623"/>
      <c r="T41" s="623"/>
      <c r="U41" s="623"/>
      <c r="V41" s="623"/>
      <c r="W41" s="623"/>
      <c r="X41" s="623"/>
      <c r="Y41" s="623"/>
      <c r="Z41" s="623"/>
      <c r="AA41" s="623"/>
      <c r="AB41" s="623"/>
      <c r="AC41" s="623"/>
      <c r="AD41" s="623"/>
      <c r="AE41" s="623"/>
      <c r="AF41" s="623"/>
      <c r="AG41" s="623"/>
      <c r="AH41" s="623"/>
      <c r="AI41" s="623"/>
      <c r="AJ41" s="623"/>
      <c r="AK41" s="623"/>
      <c r="AL41" s="623"/>
      <c r="AM41" s="623"/>
      <c r="AN41" s="623"/>
      <c r="AO41" s="623"/>
      <c r="AP41" s="623"/>
      <c r="AQ41" s="622"/>
      <c r="AR41" s="622"/>
      <c r="AS41" s="622"/>
      <c r="AT41" s="622"/>
      <c r="AU41" s="622"/>
      <c r="AV41" s="622"/>
      <c r="AW41" s="622"/>
      <c r="AX41" s="622"/>
      <c r="AY41" s="622"/>
      <c r="AZ41" s="622"/>
      <c r="BA41" s="622"/>
      <c r="BB41" s="622"/>
      <c r="BC41" s="622"/>
      <c r="BD41" s="622"/>
      <c r="BE41" s="622"/>
      <c r="BF41" s="622"/>
      <c r="BG41" s="622"/>
      <c r="BH41" s="622"/>
      <c r="BI41" s="622"/>
      <c r="BJ41" s="622"/>
      <c r="BK41" s="622"/>
      <c r="BL41" s="622"/>
      <c r="BM41" s="622"/>
      <c r="BN41" s="622"/>
      <c r="BO41" s="622"/>
      <c r="BP41" s="622"/>
      <c r="BQ41" s="624"/>
      <c r="BR41" s="624"/>
      <c r="BS41" s="624"/>
      <c r="BT41" s="624"/>
      <c r="BU41" s="624"/>
      <c r="BV41" s="624"/>
      <c r="BW41" s="624"/>
      <c r="BX41" s="624"/>
      <c r="BY41" s="72" t="s">
        <v>6592</v>
      </c>
      <c r="BZ41" s="621"/>
      <c r="CA41" s="354" t="s">
        <v>3851</v>
      </c>
      <c r="CB41" s="354" t="s">
        <v>5081</v>
      </c>
      <c r="CC41" s="627" t="s">
        <v>5082</v>
      </c>
    </row>
    <row r="42" spans="1:81" ht="39.75" hidden="1" customHeight="1" x14ac:dyDescent="0.2">
      <c r="A42" s="41" t="s">
        <v>1137</v>
      </c>
      <c r="B42" s="628" t="s">
        <v>5309</v>
      </c>
      <c r="C42" s="196" t="s">
        <v>112</v>
      </c>
      <c r="D42" s="30" t="s">
        <v>5310</v>
      </c>
      <c r="E42" s="30" t="s">
        <v>79</v>
      </c>
      <c r="F42" s="30" t="s">
        <v>3454</v>
      </c>
      <c r="G42" s="629">
        <v>44145</v>
      </c>
      <c r="H42" s="30" t="s">
        <v>5311</v>
      </c>
      <c r="I42" s="630" t="s">
        <v>5312</v>
      </c>
      <c r="J42" s="585" t="s">
        <v>4685</v>
      </c>
      <c r="K42" s="30" t="s">
        <v>5474</v>
      </c>
      <c r="L42" s="635"/>
      <c r="M42" s="633"/>
      <c r="N42" s="633"/>
      <c r="O42" s="633"/>
      <c r="P42" s="633"/>
      <c r="Q42" s="633"/>
      <c r="R42" s="633"/>
      <c r="S42" s="633"/>
      <c r="T42" s="633"/>
      <c r="U42" s="633"/>
      <c r="V42" s="633"/>
      <c r="W42" s="633"/>
      <c r="X42" s="633"/>
      <c r="Y42" s="633"/>
      <c r="Z42" s="633"/>
      <c r="AA42" s="633"/>
      <c r="AB42" s="633"/>
      <c r="AC42" s="633"/>
      <c r="AD42" s="633"/>
      <c r="AE42" s="633"/>
      <c r="AF42" s="633"/>
      <c r="AG42" s="633"/>
      <c r="AH42" s="633"/>
      <c r="AI42" s="633"/>
      <c r="AJ42" s="633"/>
      <c r="AK42" s="633"/>
      <c r="AL42" s="633"/>
      <c r="AM42" s="633"/>
      <c r="AN42" s="633"/>
      <c r="AO42" s="633"/>
      <c r="AP42" s="633"/>
      <c r="AQ42" s="632"/>
      <c r="AR42" s="632"/>
      <c r="AS42" s="632"/>
      <c r="AT42" s="632"/>
      <c r="AU42" s="632"/>
      <c r="AV42" s="632"/>
      <c r="AW42" s="632"/>
      <c r="AX42" s="632"/>
      <c r="AY42" s="632"/>
      <c r="AZ42" s="632"/>
      <c r="BA42" s="632"/>
      <c r="BB42" s="632"/>
      <c r="BC42" s="632"/>
      <c r="BD42" s="632"/>
      <c r="BE42" s="632"/>
      <c r="BF42" s="632"/>
      <c r="BG42" s="632"/>
      <c r="BH42" s="632"/>
      <c r="BI42" s="632"/>
      <c r="BJ42" s="632"/>
      <c r="BK42" s="632"/>
      <c r="BL42" s="632"/>
      <c r="BM42" s="632"/>
      <c r="BN42" s="632"/>
      <c r="BO42" s="632"/>
      <c r="BP42" s="632"/>
      <c r="BQ42" s="634"/>
      <c r="BR42" s="634"/>
      <c r="BS42" s="634"/>
      <c r="BT42" s="634"/>
      <c r="BU42" s="634"/>
      <c r="BV42" s="634"/>
      <c r="BW42" s="634"/>
      <c r="BX42" s="634"/>
      <c r="BY42" s="72" t="s">
        <v>5459</v>
      </c>
      <c r="BZ42" s="631"/>
      <c r="CA42" s="544"/>
      <c r="CB42" s="544"/>
      <c r="CC42" s="544"/>
    </row>
    <row r="43" spans="1:81" ht="63.75" x14ac:dyDescent="0.2">
      <c r="A43" s="41" t="s">
        <v>1137</v>
      </c>
      <c r="B43" s="30" t="s">
        <v>5980</v>
      </c>
      <c r="C43" s="196" t="s">
        <v>5978</v>
      </c>
      <c r="D43" s="30" t="s">
        <v>5978</v>
      </c>
      <c r="E43" s="30" t="s">
        <v>4336</v>
      </c>
      <c r="F43" s="30" t="s">
        <v>879</v>
      </c>
      <c r="G43" s="70">
        <v>44379</v>
      </c>
      <c r="H43" s="30" t="s">
        <v>5311</v>
      </c>
      <c r="I43" s="106" t="s">
        <v>5979</v>
      </c>
      <c r="J43" s="32" t="s">
        <v>2867</v>
      </c>
      <c r="K43" s="30"/>
      <c r="L43" s="350"/>
      <c r="M43" s="350"/>
      <c r="N43" s="350"/>
      <c r="O43" s="350"/>
      <c r="P43" s="350"/>
      <c r="Q43" s="350"/>
      <c r="R43" s="350"/>
      <c r="S43" s="350"/>
      <c r="T43" s="350"/>
      <c r="U43" s="350"/>
      <c r="V43" s="350"/>
      <c r="W43" s="350"/>
      <c r="X43" s="350"/>
      <c r="Y43" s="350"/>
      <c r="Z43" s="350"/>
      <c r="AA43" s="350"/>
      <c r="AB43" s="350"/>
      <c r="AC43" s="350"/>
      <c r="AD43" s="350"/>
      <c r="AE43" s="350"/>
      <c r="AF43" s="350"/>
      <c r="AG43" s="350"/>
      <c r="AH43" s="350"/>
      <c r="AI43" s="350"/>
      <c r="AJ43" s="350"/>
      <c r="AK43" s="350"/>
      <c r="AL43" s="350"/>
      <c r="AM43" s="350"/>
      <c r="AN43" s="350"/>
      <c r="AO43" s="350"/>
      <c r="AP43" s="350"/>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9"/>
      <c r="BR43" s="89"/>
      <c r="BS43" s="89"/>
      <c r="BT43" s="89"/>
      <c r="BU43" s="89"/>
      <c r="BV43" s="89"/>
      <c r="BW43" s="89"/>
      <c r="BX43" s="89"/>
      <c r="BY43" s="72" t="s">
        <v>6593</v>
      </c>
      <c r="BZ43" s="451"/>
      <c r="CA43" s="354"/>
      <c r="CB43" s="544"/>
      <c r="CC43" s="544"/>
    </row>
    <row r="44" spans="1:81" ht="63.75" x14ac:dyDescent="0.2">
      <c r="A44" s="41" t="s">
        <v>1137</v>
      </c>
      <c r="B44" s="30" t="s">
        <v>6013</v>
      </c>
      <c r="C44" s="196" t="s">
        <v>6011</v>
      </c>
      <c r="D44" s="30" t="s">
        <v>6011</v>
      </c>
      <c r="E44" s="30" t="s">
        <v>6012</v>
      </c>
      <c r="F44" s="30" t="s">
        <v>1133</v>
      </c>
      <c r="G44" s="70">
        <v>44396</v>
      </c>
      <c r="H44" s="30" t="s">
        <v>4866</v>
      </c>
      <c r="I44" s="106" t="s">
        <v>6014</v>
      </c>
      <c r="J44" s="32" t="s">
        <v>2867</v>
      </c>
      <c r="K44" s="30"/>
      <c r="L44" s="350"/>
      <c r="M44" s="350"/>
      <c r="N44" s="350"/>
      <c r="O44" s="350"/>
      <c r="P44" s="350"/>
      <c r="Q44" s="350"/>
      <c r="R44" s="350"/>
      <c r="S44" s="350"/>
      <c r="T44" s="350"/>
      <c r="U44" s="350"/>
      <c r="V44" s="350"/>
      <c r="W44" s="350"/>
      <c r="X44" s="350"/>
      <c r="Y44" s="350"/>
      <c r="Z44" s="350"/>
      <c r="AA44" s="350"/>
      <c r="AB44" s="350"/>
      <c r="AC44" s="350"/>
      <c r="AD44" s="350"/>
      <c r="AE44" s="350"/>
      <c r="AF44" s="350"/>
      <c r="AG44" s="350"/>
      <c r="AH44" s="350"/>
      <c r="AI44" s="350"/>
      <c r="AJ44" s="350"/>
      <c r="AK44" s="350"/>
      <c r="AL44" s="350"/>
      <c r="AM44" s="350"/>
      <c r="AN44" s="350"/>
      <c r="AO44" s="350"/>
      <c r="AP44" s="350"/>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9"/>
      <c r="BR44" s="89"/>
      <c r="BS44" s="89"/>
      <c r="BT44" s="89"/>
      <c r="BU44" s="89"/>
      <c r="BV44" s="89"/>
      <c r="BW44" s="89"/>
      <c r="BX44" s="89"/>
      <c r="BY44" s="72" t="s">
        <v>6594</v>
      </c>
      <c r="BZ44" s="451"/>
      <c r="CA44" s="544"/>
      <c r="CB44" s="544"/>
      <c r="CC44" s="544"/>
    </row>
    <row r="45" spans="1:81" ht="25.5" x14ac:dyDescent="0.2">
      <c r="A45" s="41" t="s">
        <v>1137</v>
      </c>
      <c r="B45" s="297" t="s">
        <v>5998</v>
      </c>
      <c r="C45" s="314" t="s">
        <v>5995</v>
      </c>
      <c r="D45" s="297" t="s">
        <v>5995</v>
      </c>
      <c r="E45" s="773" t="s">
        <v>414</v>
      </c>
      <c r="F45" s="87" t="s">
        <v>685</v>
      </c>
      <c r="G45" s="88">
        <v>44413</v>
      </c>
      <c r="H45" s="87" t="s">
        <v>4866</v>
      </c>
      <c r="I45" s="217" t="s">
        <v>6285</v>
      </c>
      <c r="J45" s="32" t="s">
        <v>2867</v>
      </c>
      <c r="K45" s="87"/>
      <c r="L45" s="350"/>
      <c r="M45" s="350"/>
      <c r="N45" s="350"/>
      <c r="O45" s="350"/>
      <c r="P45" s="350"/>
      <c r="Q45" s="350"/>
      <c r="R45" s="350"/>
      <c r="S45" s="350"/>
      <c r="T45" s="350"/>
      <c r="U45" s="350"/>
      <c r="V45" s="350"/>
      <c r="W45" s="350"/>
      <c r="X45" s="350"/>
      <c r="Y45" s="350"/>
      <c r="Z45" s="350"/>
      <c r="AA45" s="350"/>
      <c r="AB45" s="350"/>
      <c r="AC45" s="350"/>
      <c r="AD45" s="350"/>
      <c r="AE45" s="350"/>
      <c r="AF45" s="350"/>
      <c r="AG45" s="350"/>
      <c r="AH45" s="350"/>
      <c r="AI45" s="350"/>
      <c r="AJ45" s="350"/>
      <c r="AK45" s="350"/>
      <c r="AL45" s="350"/>
      <c r="AM45" s="350"/>
      <c r="AN45" s="350"/>
      <c r="AO45" s="350"/>
      <c r="AP45" s="350"/>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9"/>
      <c r="BR45" s="89"/>
      <c r="BS45" s="89"/>
      <c r="BT45" s="89"/>
      <c r="BU45" s="89"/>
      <c r="BV45" s="89"/>
      <c r="BW45" s="89"/>
      <c r="BX45" s="89"/>
      <c r="BY45" s="443"/>
      <c r="BZ45" s="451"/>
    </row>
  </sheetData>
  <mergeCells count="1">
    <mergeCell ref="CA1:CC1"/>
  </mergeCells>
  <conditionalFormatting sqref="A34:B35 D34:K35 A36:K39 B41 G41:H41 D41:E41 D42:I42 A42:B42 K41:K42 A44:K44 A46:K1048576 F45:K45 A45 A3:K33">
    <cfRule type="expression" dxfId="190" priority="69">
      <formula>$J3="Aprovado"</formula>
    </cfRule>
    <cfRule type="expression" dxfId="189" priority="70">
      <formula>$J2="Reprovado"</formula>
    </cfRule>
    <cfRule type="expression" dxfId="188" priority="71">
      <formula>$J3="Cancelado"</formula>
    </cfRule>
    <cfRule type="expression" dxfId="187" priority="72">
      <formula>$J3="Finalizado"</formula>
    </cfRule>
  </conditionalFormatting>
  <conditionalFormatting sqref="A31:K31">
    <cfRule type="expression" dxfId="186" priority="2169">
      <formula>$J31="Aprovado"</formula>
    </cfRule>
    <cfRule type="expression" dxfId="185" priority="2170">
      <formula>$J29="Reprovado"</formula>
    </cfRule>
    <cfRule type="expression" dxfId="184" priority="2171">
      <formula>$J31="Cancelado"</formula>
    </cfRule>
    <cfRule type="expression" dxfId="183" priority="2172">
      <formula>$J31="Finalizado"</formula>
    </cfRule>
  </conditionalFormatting>
  <conditionalFormatting sqref="C34">
    <cfRule type="expression" dxfId="182" priority="65">
      <formula>$J34="Aprovado"</formula>
    </cfRule>
    <cfRule type="expression" dxfId="181" priority="66">
      <formula>$J33="Reprovado"</formula>
    </cfRule>
    <cfRule type="expression" dxfId="180" priority="67">
      <formula>$J34="Cancelado"</formula>
    </cfRule>
    <cfRule type="expression" dxfId="179" priority="68">
      <formula>$J34="Finalizado"</formula>
    </cfRule>
  </conditionalFormatting>
  <conditionalFormatting sqref="C35">
    <cfRule type="expression" dxfId="178" priority="53">
      <formula>$J35="Aprovado"</formula>
    </cfRule>
    <cfRule type="expression" dxfId="177" priority="54">
      <formula>$J34="Reprovado"</formula>
    </cfRule>
    <cfRule type="expression" dxfId="176" priority="55">
      <formula>$J35="Cancelado"</formula>
    </cfRule>
    <cfRule type="expression" dxfId="175" priority="56">
      <formula>$J35="Finalizado"</formula>
    </cfRule>
  </conditionalFormatting>
  <conditionalFormatting sqref="B40 D40:I40 K40">
    <cfRule type="expression" dxfId="174" priority="3567">
      <formula>$J40="Aprovado"</formula>
    </cfRule>
    <cfRule type="expression" dxfId="173" priority="3568">
      <formula>#REF!="Reprovado"</formula>
    </cfRule>
    <cfRule type="expression" dxfId="172" priority="3569">
      <formula>$J40="Cancelado"</formula>
    </cfRule>
    <cfRule type="expression" dxfId="171" priority="3570">
      <formula>$J40="Finalizado"</formula>
    </cfRule>
  </conditionalFormatting>
  <conditionalFormatting sqref="J40">
    <cfRule type="expression" dxfId="170" priority="49">
      <formula>$J40="Aprovado"</formula>
    </cfRule>
    <cfRule type="expression" dxfId="169" priority="50">
      <formula>$J39="Reprovado"</formula>
    </cfRule>
    <cfRule type="expression" dxfId="168" priority="51">
      <formula>$J40="Cancelado"</formula>
    </cfRule>
    <cfRule type="expression" dxfId="167" priority="52">
      <formula>$J40="Finalizado"</formula>
    </cfRule>
  </conditionalFormatting>
  <conditionalFormatting sqref="A40">
    <cfRule type="expression" dxfId="166" priority="45">
      <formula>$J40="Aprovado"</formula>
    </cfRule>
    <cfRule type="expression" dxfId="165" priority="46">
      <formula>$J39="Reprovado"</formula>
    </cfRule>
    <cfRule type="expression" dxfId="164" priority="47">
      <formula>$J40="Cancelado"</formula>
    </cfRule>
    <cfRule type="expression" dxfId="163" priority="48">
      <formula>$J40="Finalizado"</formula>
    </cfRule>
  </conditionalFormatting>
  <conditionalFormatting sqref="A41">
    <cfRule type="expression" dxfId="162" priority="41">
      <formula>$J41="Aprovado"</formula>
    </cfRule>
    <cfRule type="expression" dxfId="161" priority="42">
      <formula>$J40="Reprovado"</formula>
    </cfRule>
    <cfRule type="expression" dxfId="160" priority="43">
      <formula>$J41="Cancelado"</formula>
    </cfRule>
    <cfRule type="expression" dxfId="159" priority="44">
      <formula>$J41="Finalizado"</formula>
    </cfRule>
  </conditionalFormatting>
  <conditionalFormatting sqref="F41">
    <cfRule type="expression" dxfId="158" priority="37">
      <formula>$J41="Aprovado"</formula>
    </cfRule>
    <cfRule type="expression" dxfId="157" priority="38">
      <formula>#REF!="Reprovado"</formula>
    </cfRule>
    <cfRule type="expression" dxfId="156" priority="39">
      <formula>$J41="Cancelado"</formula>
    </cfRule>
    <cfRule type="expression" dxfId="155" priority="40">
      <formula>$J41="Finalizado"</formula>
    </cfRule>
  </conditionalFormatting>
  <conditionalFormatting sqref="J41">
    <cfRule type="expression" dxfId="154" priority="33">
      <formula>$J41="Aprovado"</formula>
    </cfRule>
    <cfRule type="expression" dxfId="153" priority="34">
      <formula>$J40="Reprovado"</formula>
    </cfRule>
    <cfRule type="expression" dxfId="152" priority="35">
      <formula>$J41="Cancelado"</formula>
    </cfRule>
    <cfRule type="expression" dxfId="151" priority="36">
      <formula>$J41="Finalizado"</formula>
    </cfRule>
  </conditionalFormatting>
  <conditionalFormatting sqref="J42">
    <cfRule type="expression" dxfId="150" priority="29">
      <formula>$J42="Aprovado"</formula>
    </cfRule>
    <cfRule type="expression" dxfId="149" priority="30">
      <formula>$J41="Reprovado"</formula>
    </cfRule>
    <cfRule type="expression" dxfId="148" priority="31">
      <formula>$J42="Cancelado"</formula>
    </cfRule>
    <cfRule type="expression" dxfId="147" priority="32">
      <formula>$J42="Finalizado"</formula>
    </cfRule>
  </conditionalFormatting>
  <conditionalFormatting sqref="I41">
    <cfRule type="expression" dxfId="146" priority="9">
      <formula>$J41="Aprovado"</formula>
    </cfRule>
    <cfRule type="expression" dxfId="145" priority="10">
      <formula>#REF!="Reprovado"</formula>
    </cfRule>
    <cfRule type="expression" dxfId="144" priority="11">
      <formula>$J41="Cancelado"</formula>
    </cfRule>
    <cfRule type="expression" dxfId="143" priority="12">
      <formula>$J41="Finalizado"</formula>
    </cfRule>
  </conditionalFormatting>
  <conditionalFormatting sqref="A43:K43">
    <cfRule type="expression" dxfId="142" priority="8772">
      <formula>$J43="Aprovado"</formula>
    </cfRule>
    <cfRule type="expression" dxfId="141" priority="8773">
      <formula>#REF!="Reprovado"</formula>
    </cfRule>
    <cfRule type="expression" dxfId="140" priority="8774">
      <formula>$J43="Cancelado"</formula>
    </cfRule>
    <cfRule type="expression" dxfId="139" priority="8775">
      <formula>$J43="Finalizado"</formula>
    </cfRule>
  </conditionalFormatting>
  <conditionalFormatting sqref="BY33">
    <cfRule type="expression" dxfId="138" priority="1">
      <formula>$J33="Aprovado"</formula>
    </cfRule>
    <cfRule type="expression" dxfId="137" priority="2">
      <formula>$J32="Reprovado"</formula>
    </cfRule>
    <cfRule type="expression" dxfId="136" priority="3">
      <formula>$J33="Cancelado"</formula>
    </cfRule>
    <cfRule type="expression" dxfId="135" priority="4">
      <formula>$J33="Finalizado"</formula>
    </cfRule>
  </conditionalFormatting>
  <dataValidations count="1">
    <dataValidation type="list" allowBlank="1" showInputMessage="1" showErrorMessage="1" sqref="J3:J1048576">
      <formula1>"Aguardando análise, Em análise, Finalizado, Aprovado, Cancelado, Em exigência, Exigência cumprida"</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tabColor theme="9" tint="0.39997558519241921"/>
  </sheetPr>
  <dimension ref="A1:P45"/>
  <sheetViews>
    <sheetView showGridLines="0" zoomScale="80" zoomScaleNormal="80" workbookViewId="0">
      <pane xSplit="2" ySplit="1" topLeftCell="M37" activePane="bottomRight" state="frozen"/>
      <selection pane="topRight" activeCell="C1" sqref="C1"/>
      <selection pane="bottomLeft" activeCell="A2" sqref="A2"/>
      <selection pane="bottomRight" activeCell="P42" sqref="P42"/>
    </sheetView>
  </sheetViews>
  <sheetFormatPr defaultRowHeight="12.75" outlineLevelCol="1" x14ac:dyDescent="0.2"/>
  <cols>
    <col min="1" max="1" width="24.140625" style="439" customWidth="1"/>
    <col min="2" max="2" width="14.85546875" style="169" customWidth="1"/>
    <col min="3" max="3" width="20.5703125" style="169" customWidth="1"/>
    <col min="4" max="4" width="18.140625" style="169" customWidth="1"/>
    <col min="5" max="5" width="17.28515625" style="169" customWidth="1"/>
    <col min="6" max="6" width="24.85546875" style="169" customWidth="1"/>
    <col min="7" max="7" width="26" style="442" bestFit="1" customWidth="1"/>
    <col min="8" max="8" width="35.85546875" style="442" customWidth="1"/>
    <col min="9" max="9" width="23.28515625" style="442" customWidth="1"/>
    <col min="10" max="10" width="20" style="442" bestFit="1" customWidth="1"/>
    <col min="11" max="11" width="16.42578125" style="442" customWidth="1"/>
    <col min="12" max="12" width="33" style="169" customWidth="1"/>
    <col min="13" max="13" width="92.85546875" style="442" customWidth="1"/>
    <col min="14" max="14" width="14" style="442" customWidth="1"/>
    <col min="15" max="15" width="18.42578125" style="442" hidden="1" customWidth="1" outlineLevel="1"/>
    <col min="16" max="16" width="54.42578125" style="439" customWidth="1" collapsed="1"/>
    <col min="17" max="16384" width="9.140625" style="439"/>
  </cols>
  <sheetData>
    <row r="1" spans="1:16" s="67" customFormat="1" ht="38.25" x14ac:dyDescent="0.2">
      <c r="A1" s="24" t="s">
        <v>2524</v>
      </c>
      <c r="B1" s="25" t="s">
        <v>1</v>
      </c>
      <c r="C1" s="25" t="s">
        <v>2</v>
      </c>
      <c r="D1" s="25" t="s">
        <v>8</v>
      </c>
      <c r="E1" s="25" t="s">
        <v>3</v>
      </c>
      <c r="F1" s="25" t="s">
        <v>4</v>
      </c>
      <c r="G1" s="25" t="s">
        <v>5</v>
      </c>
      <c r="H1" s="25" t="s">
        <v>3354</v>
      </c>
      <c r="I1" s="26" t="s">
        <v>6</v>
      </c>
      <c r="J1" s="26" t="s">
        <v>0</v>
      </c>
      <c r="K1" s="27" t="s">
        <v>7</v>
      </c>
      <c r="L1" s="27" t="s">
        <v>634</v>
      </c>
      <c r="M1" s="353" t="s">
        <v>2573</v>
      </c>
      <c r="N1" s="515" t="s">
        <v>5017</v>
      </c>
      <c r="O1" s="515" t="s">
        <v>5016</v>
      </c>
      <c r="P1" s="351" t="s">
        <v>5027</v>
      </c>
    </row>
    <row r="2" spans="1:16" s="317" customFormat="1" ht="189" hidden="1" customHeight="1" x14ac:dyDescent="0.2">
      <c r="A2" s="36" t="s">
        <v>1137</v>
      </c>
      <c r="B2" s="36" t="s">
        <v>2577</v>
      </c>
      <c r="C2" s="72" t="s">
        <v>2576</v>
      </c>
      <c r="D2" s="72" t="s">
        <v>2575</v>
      </c>
      <c r="E2" s="72" t="s">
        <v>1393</v>
      </c>
      <c r="F2" s="72" t="s">
        <v>24</v>
      </c>
      <c r="G2" s="72" t="s">
        <v>2362</v>
      </c>
      <c r="H2" s="72" t="s">
        <v>3561</v>
      </c>
      <c r="I2" s="437">
        <v>42382</v>
      </c>
      <c r="J2" s="437"/>
      <c r="K2" s="81">
        <v>1158451163</v>
      </c>
      <c r="L2" s="81" t="s">
        <v>3352</v>
      </c>
      <c r="M2" s="72" t="s">
        <v>2578</v>
      </c>
      <c r="N2" s="72"/>
      <c r="O2" s="72"/>
      <c r="P2" s="445"/>
    </row>
    <row r="3" spans="1:16" s="317" customFormat="1" ht="306" hidden="1" x14ac:dyDescent="0.2">
      <c r="A3" s="36" t="s">
        <v>584</v>
      </c>
      <c r="B3" s="36" t="s">
        <v>2360</v>
      </c>
      <c r="C3" s="36" t="s">
        <v>2353</v>
      </c>
      <c r="D3" s="36" t="s">
        <v>2525</v>
      </c>
      <c r="E3" s="36" t="s">
        <v>1162</v>
      </c>
      <c r="F3" s="36" t="s">
        <v>879</v>
      </c>
      <c r="G3" s="72" t="s">
        <v>2362</v>
      </c>
      <c r="H3" s="72" t="s">
        <v>3561</v>
      </c>
      <c r="I3" s="438">
        <v>42416</v>
      </c>
      <c r="J3" s="437"/>
      <c r="K3" s="303" t="s">
        <v>2363</v>
      </c>
      <c r="L3" s="81" t="s">
        <v>3352</v>
      </c>
      <c r="M3" s="437" t="s">
        <v>3353</v>
      </c>
      <c r="N3" s="437"/>
      <c r="O3" s="437"/>
      <c r="P3" s="445"/>
    </row>
    <row r="4" spans="1:16" ht="64.5" hidden="1" customHeight="1" x14ac:dyDescent="0.2">
      <c r="A4" s="36" t="s">
        <v>1137</v>
      </c>
      <c r="B4" s="36" t="s">
        <v>4461</v>
      </c>
      <c r="C4" s="36" t="s">
        <v>4466</v>
      </c>
      <c r="D4" s="36" t="s">
        <v>112</v>
      </c>
      <c r="E4" s="36" t="s">
        <v>4462</v>
      </c>
      <c r="F4" s="36" t="s">
        <v>112</v>
      </c>
      <c r="G4" s="42" t="s">
        <v>4739</v>
      </c>
      <c r="H4" s="71" t="s">
        <v>112</v>
      </c>
      <c r="I4" s="440">
        <v>42461</v>
      </c>
      <c r="J4" s="71">
        <v>2016059</v>
      </c>
      <c r="K4" s="42" t="s">
        <v>112</v>
      </c>
      <c r="L4" s="72" t="s">
        <v>3352</v>
      </c>
      <c r="M4" s="72" t="s">
        <v>4742</v>
      </c>
      <c r="N4" s="72"/>
      <c r="O4" s="72"/>
      <c r="P4" s="441"/>
    </row>
    <row r="5" spans="1:16" ht="97.5" hidden="1" customHeight="1" x14ac:dyDescent="0.2">
      <c r="A5" s="36" t="s">
        <v>1137</v>
      </c>
      <c r="B5" s="36" t="s">
        <v>4461</v>
      </c>
      <c r="C5" s="36" t="s">
        <v>4468</v>
      </c>
      <c r="D5" s="36" t="s">
        <v>112</v>
      </c>
      <c r="E5" s="36" t="s">
        <v>4462</v>
      </c>
      <c r="F5" s="36" t="s">
        <v>112</v>
      </c>
      <c r="G5" s="42" t="s">
        <v>4739</v>
      </c>
      <c r="H5" s="71" t="s">
        <v>112</v>
      </c>
      <c r="I5" s="440">
        <v>42472</v>
      </c>
      <c r="J5" s="71">
        <v>2015064</v>
      </c>
      <c r="K5" s="42" t="s">
        <v>112</v>
      </c>
      <c r="L5" s="72" t="s">
        <v>3352</v>
      </c>
      <c r="M5" s="72" t="s">
        <v>4740</v>
      </c>
      <c r="N5" s="72"/>
      <c r="O5" s="72"/>
      <c r="P5" s="441"/>
    </row>
    <row r="6" spans="1:16" ht="25.5" hidden="1" x14ac:dyDescent="0.2">
      <c r="A6" s="36" t="s">
        <v>1137</v>
      </c>
      <c r="B6" s="36" t="s">
        <v>2526</v>
      </c>
      <c r="C6" s="36" t="s">
        <v>2519</v>
      </c>
      <c r="D6" s="36" t="s">
        <v>2520</v>
      </c>
      <c r="E6" s="36" t="s">
        <v>1393</v>
      </c>
      <c r="F6" s="36" t="s">
        <v>2521</v>
      </c>
      <c r="G6" s="36" t="s">
        <v>2362</v>
      </c>
      <c r="H6" s="72" t="s">
        <v>3561</v>
      </c>
      <c r="I6" s="438">
        <v>42493</v>
      </c>
      <c r="J6" s="437"/>
      <c r="K6" s="303" t="s">
        <v>2523</v>
      </c>
      <c r="L6" s="81" t="s">
        <v>3352</v>
      </c>
      <c r="M6" s="437" t="s">
        <v>2660</v>
      </c>
      <c r="N6" s="437"/>
      <c r="O6" s="437"/>
      <c r="P6" s="441"/>
    </row>
    <row r="7" spans="1:16" ht="235.5" hidden="1" customHeight="1" x14ac:dyDescent="0.2">
      <c r="A7" s="36" t="s">
        <v>1137</v>
      </c>
      <c r="B7" s="36" t="s">
        <v>4461</v>
      </c>
      <c r="C7" s="36" t="s">
        <v>4467</v>
      </c>
      <c r="D7" s="36" t="s">
        <v>112</v>
      </c>
      <c r="E7" s="72" t="s">
        <v>4462</v>
      </c>
      <c r="F7" s="36" t="s">
        <v>112</v>
      </c>
      <c r="G7" s="42" t="s">
        <v>4739</v>
      </c>
      <c r="H7" s="71" t="s">
        <v>112</v>
      </c>
      <c r="I7" s="440">
        <v>42578</v>
      </c>
      <c r="J7" s="359" t="s">
        <v>112</v>
      </c>
      <c r="K7" s="42" t="s">
        <v>112</v>
      </c>
      <c r="L7" s="72" t="s">
        <v>3352</v>
      </c>
      <c r="M7" s="72" t="s">
        <v>4741</v>
      </c>
      <c r="N7" s="72"/>
      <c r="O7" s="72"/>
      <c r="P7" s="441"/>
    </row>
    <row r="8" spans="1:16" ht="115.5" hidden="1" customHeight="1" x14ac:dyDescent="0.2">
      <c r="A8" s="36" t="s">
        <v>1137</v>
      </c>
      <c r="B8" s="36" t="s">
        <v>3558</v>
      </c>
      <c r="C8" s="36" t="s">
        <v>2787</v>
      </c>
      <c r="D8" s="36" t="s">
        <v>2337</v>
      </c>
      <c r="E8" s="36" t="s">
        <v>1394</v>
      </c>
      <c r="F8" s="36" t="s">
        <v>2788</v>
      </c>
      <c r="G8" s="36" t="s">
        <v>2362</v>
      </c>
      <c r="H8" s="72" t="s">
        <v>3559</v>
      </c>
      <c r="I8" s="438">
        <v>42727</v>
      </c>
      <c r="J8" s="437"/>
      <c r="K8" s="303" t="s">
        <v>3534</v>
      </c>
      <c r="L8" s="81" t="s">
        <v>3827</v>
      </c>
      <c r="M8" s="72" t="s">
        <v>3563</v>
      </c>
      <c r="N8" s="72"/>
      <c r="O8" s="72"/>
      <c r="P8" s="441"/>
    </row>
    <row r="9" spans="1:16" ht="120.75" hidden="1" customHeight="1" x14ac:dyDescent="0.2">
      <c r="A9" s="36" t="s">
        <v>1137</v>
      </c>
      <c r="B9" s="36" t="s">
        <v>2846</v>
      </c>
      <c r="C9" s="36" t="s">
        <v>2845</v>
      </c>
      <c r="D9" s="36" t="s">
        <v>414</v>
      </c>
      <c r="E9" s="36" t="s">
        <v>1393</v>
      </c>
      <c r="F9" s="36" t="s">
        <v>2847</v>
      </c>
      <c r="G9" s="36" t="s">
        <v>2362</v>
      </c>
      <c r="H9" s="72" t="s">
        <v>3358</v>
      </c>
      <c r="I9" s="438">
        <v>42769</v>
      </c>
      <c r="J9" s="437"/>
      <c r="K9" s="303" t="s">
        <v>2961</v>
      </c>
      <c r="L9" s="81" t="s">
        <v>3352</v>
      </c>
      <c r="M9" s="72" t="s">
        <v>3596</v>
      </c>
      <c r="N9" s="72"/>
      <c r="O9" s="72"/>
      <c r="P9" s="441"/>
    </row>
    <row r="10" spans="1:16" ht="117" hidden="1" customHeight="1" x14ac:dyDescent="0.2">
      <c r="A10" s="36" t="s">
        <v>1137</v>
      </c>
      <c r="B10" s="36" t="s">
        <v>2957</v>
      </c>
      <c r="C10" s="36" t="s">
        <v>2958</v>
      </c>
      <c r="D10" s="36" t="s">
        <v>2959</v>
      </c>
      <c r="E10" s="36" t="s">
        <v>1162</v>
      </c>
      <c r="F10" s="36" t="s">
        <v>641</v>
      </c>
      <c r="G10" s="36" t="s">
        <v>2362</v>
      </c>
      <c r="H10" s="72" t="s">
        <v>3355</v>
      </c>
      <c r="I10" s="438">
        <v>42851</v>
      </c>
      <c r="J10" s="437"/>
      <c r="K10" s="303" t="s">
        <v>2960</v>
      </c>
      <c r="L10" s="81" t="s">
        <v>3352</v>
      </c>
      <c r="M10" s="72" t="s">
        <v>3503</v>
      </c>
      <c r="N10" s="72"/>
      <c r="O10" s="72"/>
      <c r="P10" s="441"/>
    </row>
    <row r="11" spans="1:16" ht="76.5" hidden="1" x14ac:dyDescent="0.2">
      <c r="A11" s="36" t="s">
        <v>1137</v>
      </c>
      <c r="B11" s="36" t="s">
        <v>3043</v>
      </c>
      <c r="C11" s="36" t="s">
        <v>3041</v>
      </c>
      <c r="D11" s="36" t="s">
        <v>3042</v>
      </c>
      <c r="E11" s="36" t="s">
        <v>11</v>
      </c>
      <c r="F11" s="36" t="s">
        <v>3050</v>
      </c>
      <c r="G11" s="36" t="s">
        <v>2362</v>
      </c>
      <c r="H11" s="72" t="s">
        <v>3356</v>
      </c>
      <c r="I11" s="440">
        <v>42943</v>
      </c>
      <c r="J11" s="359"/>
      <c r="K11" s="42">
        <v>1567403177</v>
      </c>
      <c r="L11" s="72" t="s">
        <v>3352</v>
      </c>
      <c r="M11" s="72" t="s">
        <v>3533</v>
      </c>
      <c r="N11" s="72"/>
      <c r="O11" s="72"/>
      <c r="P11" s="441"/>
    </row>
    <row r="12" spans="1:16" ht="153" customHeight="1" x14ac:dyDescent="0.2">
      <c r="A12" s="36" t="s">
        <v>1137</v>
      </c>
      <c r="B12" s="36" t="s">
        <v>3044</v>
      </c>
      <c r="C12" s="36" t="s">
        <v>3045</v>
      </c>
      <c r="D12" s="36" t="s">
        <v>839</v>
      </c>
      <c r="E12" s="36" t="s">
        <v>454</v>
      </c>
      <c r="F12" s="36" t="s">
        <v>3049</v>
      </c>
      <c r="G12" s="36" t="s">
        <v>2362</v>
      </c>
      <c r="H12" s="72" t="s">
        <v>3356</v>
      </c>
      <c r="I12" s="440">
        <v>42943</v>
      </c>
      <c r="J12" s="359" t="s">
        <v>4690</v>
      </c>
      <c r="K12" s="42">
        <v>1567254179</v>
      </c>
      <c r="L12" s="81" t="s">
        <v>3554</v>
      </c>
      <c r="M12" s="72" t="s">
        <v>5114</v>
      </c>
      <c r="N12" s="72" t="s">
        <v>5018</v>
      </c>
      <c r="O12" s="72" t="s">
        <v>5015</v>
      </c>
      <c r="P12" s="281" t="s">
        <v>6596</v>
      </c>
    </row>
    <row r="13" spans="1:16" ht="29.25" hidden="1" customHeight="1" x14ac:dyDescent="0.2">
      <c r="A13" s="36" t="s">
        <v>1137</v>
      </c>
      <c r="B13" s="36" t="s">
        <v>3271</v>
      </c>
      <c r="C13" s="36" t="s">
        <v>3046</v>
      </c>
      <c r="D13" s="36" t="s">
        <v>3047</v>
      </c>
      <c r="E13" s="36" t="s">
        <v>454</v>
      </c>
      <c r="F13" s="36" t="s">
        <v>3048</v>
      </c>
      <c r="G13" s="36" t="s">
        <v>2362</v>
      </c>
      <c r="H13" s="72" t="s">
        <v>3357</v>
      </c>
      <c r="I13" s="440">
        <v>42948</v>
      </c>
      <c r="J13" s="359" t="s">
        <v>4691</v>
      </c>
      <c r="K13" s="42">
        <v>1601072178</v>
      </c>
      <c r="L13" s="81" t="s">
        <v>3827</v>
      </c>
      <c r="M13" s="72" t="s">
        <v>4640</v>
      </c>
      <c r="N13" s="72"/>
      <c r="O13" s="72"/>
      <c r="P13" s="281" t="s">
        <v>4879</v>
      </c>
    </row>
    <row r="14" spans="1:16" ht="30.75" hidden="1" customHeight="1" x14ac:dyDescent="0.2">
      <c r="A14" s="36" t="s">
        <v>1137</v>
      </c>
      <c r="B14" s="36" t="s">
        <v>3272</v>
      </c>
      <c r="C14" s="36" t="s">
        <v>3273</v>
      </c>
      <c r="D14" s="36" t="s">
        <v>3274</v>
      </c>
      <c r="E14" s="72" t="s">
        <v>454</v>
      </c>
      <c r="F14" s="329" t="s">
        <v>3098</v>
      </c>
      <c r="G14" s="36" t="s">
        <v>2362</v>
      </c>
      <c r="H14" s="36" t="s">
        <v>3364</v>
      </c>
      <c r="I14" s="440">
        <v>43116</v>
      </c>
      <c r="J14" s="359"/>
      <c r="K14" s="303" t="s">
        <v>3348</v>
      </c>
      <c r="L14" s="81" t="s">
        <v>3352</v>
      </c>
      <c r="M14" s="72" t="s">
        <v>3486</v>
      </c>
      <c r="N14" s="72"/>
      <c r="O14" s="72"/>
      <c r="P14" s="281" t="s">
        <v>4880</v>
      </c>
    </row>
    <row r="15" spans="1:16" ht="36.75" hidden="1" customHeight="1" x14ac:dyDescent="0.2">
      <c r="A15" s="36" t="s">
        <v>1137</v>
      </c>
      <c r="B15" s="36" t="s">
        <v>3344</v>
      </c>
      <c r="C15" s="36" t="s">
        <v>3343</v>
      </c>
      <c r="D15" s="36" t="s">
        <v>3345</v>
      </c>
      <c r="E15" s="72" t="s">
        <v>454</v>
      </c>
      <c r="F15" s="36" t="s">
        <v>3346</v>
      </c>
      <c r="G15" s="72" t="s">
        <v>2362</v>
      </c>
      <c r="H15" s="36" t="s">
        <v>3363</v>
      </c>
      <c r="I15" s="440">
        <v>43139</v>
      </c>
      <c r="J15" s="359"/>
      <c r="K15" s="303" t="s">
        <v>3347</v>
      </c>
      <c r="L15" s="81" t="s">
        <v>3352</v>
      </c>
      <c r="M15" s="72" t="s">
        <v>3487</v>
      </c>
      <c r="N15" s="72"/>
      <c r="O15" s="72"/>
      <c r="P15" s="72" t="s">
        <v>4881</v>
      </c>
    </row>
    <row r="16" spans="1:16" ht="129.75" customHeight="1" x14ac:dyDescent="0.2">
      <c r="A16" s="36" t="s">
        <v>1137</v>
      </c>
      <c r="B16" s="36" t="s">
        <v>3338</v>
      </c>
      <c r="C16" s="36" t="s">
        <v>3339</v>
      </c>
      <c r="D16" s="36" t="s">
        <v>3340</v>
      </c>
      <c r="E16" s="72" t="s">
        <v>11</v>
      </c>
      <c r="F16" s="36" t="s">
        <v>3341</v>
      </c>
      <c r="G16" s="72" t="s">
        <v>2362</v>
      </c>
      <c r="H16" s="36" t="s">
        <v>3560</v>
      </c>
      <c r="I16" s="183">
        <v>43194</v>
      </c>
      <c r="J16" s="281" t="s">
        <v>4693</v>
      </c>
      <c r="K16" s="303" t="s">
        <v>3342</v>
      </c>
      <c r="L16" s="81" t="s">
        <v>3554</v>
      </c>
      <c r="M16" s="72" t="s">
        <v>5115</v>
      </c>
      <c r="N16" s="72" t="s">
        <v>5018</v>
      </c>
      <c r="O16" s="281" t="s">
        <v>4991</v>
      </c>
      <c r="P16" s="281" t="s">
        <v>6597</v>
      </c>
    </row>
    <row r="17" spans="1:16" ht="167.25" customHeight="1" x14ac:dyDescent="0.2">
      <c r="A17" s="36" t="s">
        <v>1137</v>
      </c>
      <c r="B17" s="36" t="s">
        <v>3550</v>
      </c>
      <c r="C17" s="36" t="s">
        <v>3553</v>
      </c>
      <c r="D17" s="36" t="s">
        <v>3552</v>
      </c>
      <c r="E17" s="72" t="s">
        <v>11</v>
      </c>
      <c r="F17" s="36" t="s">
        <v>3551</v>
      </c>
      <c r="G17" s="72" t="s">
        <v>2362</v>
      </c>
      <c r="H17" s="36" t="s">
        <v>3555</v>
      </c>
      <c r="I17" s="183">
        <v>43328</v>
      </c>
      <c r="J17" s="281" t="s">
        <v>4694</v>
      </c>
      <c r="K17" s="303" t="s">
        <v>3556</v>
      </c>
      <c r="L17" s="81" t="s">
        <v>3554</v>
      </c>
      <c r="M17" s="72" t="s">
        <v>5116</v>
      </c>
      <c r="N17" s="72" t="s">
        <v>5018</v>
      </c>
      <c r="O17" s="281" t="s">
        <v>4992</v>
      </c>
      <c r="P17" s="281" t="s">
        <v>6598</v>
      </c>
    </row>
    <row r="18" spans="1:16" ht="89.25" hidden="1" x14ac:dyDescent="0.2">
      <c r="A18" s="36" t="s">
        <v>584</v>
      </c>
      <c r="B18" s="36" t="s">
        <v>3126</v>
      </c>
      <c r="C18" s="36" t="s">
        <v>3126</v>
      </c>
      <c r="D18" s="36" t="s">
        <v>3567</v>
      </c>
      <c r="E18" s="72" t="s">
        <v>3570</v>
      </c>
      <c r="F18" s="36" t="s">
        <v>3566</v>
      </c>
      <c r="G18" s="72" t="s">
        <v>3572</v>
      </c>
      <c r="H18" s="36" t="s">
        <v>3565</v>
      </c>
      <c r="I18" s="183">
        <v>43347</v>
      </c>
      <c r="J18" s="281"/>
      <c r="K18" s="303" t="s">
        <v>3564</v>
      </c>
      <c r="L18" s="81" t="s">
        <v>3827</v>
      </c>
      <c r="M18" s="72" t="s">
        <v>4211</v>
      </c>
      <c r="N18" s="72"/>
      <c r="O18" s="461" t="s">
        <v>4882</v>
      </c>
      <c r="P18" s="441"/>
    </row>
    <row r="19" spans="1:16" ht="293.25" hidden="1" x14ac:dyDescent="0.2">
      <c r="A19" s="36" t="s">
        <v>1137</v>
      </c>
      <c r="B19" s="36" t="s">
        <v>3744</v>
      </c>
      <c r="C19" s="36" t="s">
        <v>2707</v>
      </c>
      <c r="D19" s="36" t="s">
        <v>3745</v>
      </c>
      <c r="E19" s="72" t="s">
        <v>3746</v>
      </c>
      <c r="F19" s="36" t="s">
        <v>3747</v>
      </c>
      <c r="G19" s="72" t="s">
        <v>2362</v>
      </c>
      <c r="H19" s="36" t="s">
        <v>3753</v>
      </c>
      <c r="I19" s="183">
        <v>43395</v>
      </c>
      <c r="J19" s="281"/>
      <c r="K19" s="303" t="s">
        <v>3748</v>
      </c>
      <c r="L19" s="81" t="s">
        <v>3827</v>
      </c>
      <c r="M19" s="72" t="s">
        <v>4173</v>
      </c>
      <c r="N19" s="72"/>
      <c r="O19" s="281" t="s">
        <v>4883</v>
      </c>
      <c r="P19" s="441"/>
    </row>
    <row r="20" spans="1:16" ht="89.25" hidden="1" x14ac:dyDescent="0.2">
      <c r="A20" s="36" t="s">
        <v>1137</v>
      </c>
      <c r="B20" s="36" t="s">
        <v>3749</v>
      </c>
      <c r="C20" s="36" t="s">
        <v>3750</v>
      </c>
      <c r="D20" s="36" t="s">
        <v>3751</v>
      </c>
      <c r="E20" s="72" t="s">
        <v>3746</v>
      </c>
      <c r="F20" s="36" t="s">
        <v>3752</v>
      </c>
      <c r="G20" s="72" t="s">
        <v>2362</v>
      </c>
      <c r="H20" s="36" t="s">
        <v>3754</v>
      </c>
      <c r="I20" s="183">
        <v>43447</v>
      </c>
      <c r="J20" s="281"/>
      <c r="K20" s="303" t="s">
        <v>3755</v>
      </c>
      <c r="L20" s="81" t="s">
        <v>3352</v>
      </c>
      <c r="M20" s="72" t="s">
        <v>4359</v>
      </c>
      <c r="N20" s="89"/>
      <c r="O20" s="447" t="s">
        <v>4884</v>
      </c>
      <c r="P20" s="441"/>
    </row>
    <row r="21" spans="1:16" ht="126.75" customHeight="1" x14ac:dyDescent="0.2">
      <c r="A21" s="36" t="s">
        <v>1137</v>
      </c>
      <c r="B21" s="36" t="s">
        <v>3756</v>
      </c>
      <c r="C21" s="36" t="s">
        <v>3757</v>
      </c>
      <c r="D21" s="36" t="s">
        <v>3758</v>
      </c>
      <c r="E21" s="72" t="s">
        <v>3746</v>
      </c>
      <c r="F21" s="36" t="s">
        <v>3759</v>
      </c>
      <c r="G21" s="72" t="s">
        <v>2362</v>
      </c>
      <c r="H21" s="36" t="s">
        <v>3760</v>
      </c>
      <c r="I21" s="183">
        <v>43454</v>
      </c>
      <c r="J21" s="281" t="s">
        <v>4695</v>
      </c>
      <c r="K21" s="303" t="s">
        <v>3761</v>
      </c>
      <c r="L21" s="81" t="s">
        <v>3554</v>
      </c>
      <c r="M21" s="72" t="s">
        <v>5117</v>
      </c>
      <c r="N21" s="72" t="s">
        <v>5018</v>
      </c>
      <c r="O21" s="72" t="s">
        <v>4993</v>
      </c>
      <c r="P21" s="281" t="s">
        <v>6480</v>
      </c>
    </row>
    <row r="22" spans="1:16" ht="51" hidden="1" x14ac:dyDescent="0.2">
      <c r="A22" s="36" t="s">
        <v>1137</v>
      </c>
      <c r="B22" s="36" t="s">
        <v>3791</v>
      </c>
      <c r="C22" s="36" t="s">
        <v>3792</v>
      </c>
      <c r="D22" s="36" t="s">
        <v>3793</v>
      </c>
      <c r="E22" s="72" t="s">
        <v>3746</v>
      </c>
      <c r="F22" s="36" t="s">
        <v>66</v>
      </c>
      <c r="G22" s="72" t="s">
        <v>2362</v>
      </c>
      <c r="H22" s="36" t="s">
        <v>3794</v>
      </c>
      <c r="I22" s="183">
        <v>43494</v>
      </c>
      <c r="J22" s="281"/>
      <c r="K22" s="303" t="s">
        <v>3795</v>
      </c>
      <c r="L22" s="81" t="s">
        <v>3827</v>
      </c>
      <c r="M22" s="72" t="s">
        <v>3994</v>
      </c>
      <c r="N22" s="72"/>
      <c r="O22" s="441"/>
      <c r="P22" s="441"/>
    </row>
    <row r="23" spans="1:16" ht="51" hidden="1" x14ac:dyDescent="0.2">
      <c r="A23" s="36" t="s">
        <v>1137</v>
      </c>
      <c r="B23" s="36" t="s">
        <v>112</v>
      </c>
      <c r="C23" s="36" t="s">
        <v>4162</v>
      </c>
      <c r="D23" s="36" t="s">
        <v>4163</v>
      </c>
      <c r="E23" s="72" t="s">
        <v>112</v>
      </c>
      <c r="F23" s="36" t="s">
        <v>879</v>
      </c>
      <c r="G23" s="72" t="s">
        <v>2362</v>
      </c>
      <c r="H23" s="36" t="s">
        <v>4164</v>
      </c>
      <c r="I23" s="183">
        <v>43514</v>
      </c>
      <c r="J23" s="281" t="s">
        <v>112</v>
      </c>
      <c r="K23" s="303" t="s">
        <v>4161</v>
      </c>
      <c r="L23" s="81" t="s">
        <v>3352</v>
      </c>
      <c r="M23" s="72" t="s">
        <v>4165</v>
      </c>
      <c r="N23" s="72"/>
      <c r="O23" s="441"/>
      <c r="P23" s="441"/>
    </row>
    <row r="24" spans="1:16" ht="38.25" hidden="1" x14ac:dyDescent="0.2">
      <c r="A24" s="42" t="s">
        <v>1137</v>
      </c>
      <c r="B24" s="36" t="s">
        <v>3813</v>
      </c>
      <c r="C24" s="36" t="s">
        <v>4465</v>
      </c>
      <c r="D24" s="36" t="s">
        <v>112</v>
      </c>
      <c r="E24" s="72" t="s">
        <v>4464</v>
      </c>
      <c r="F24" s="36" t="s">
        <v>112</v>
      </c>
      <c r="G24" s="71" t="s">
        <v>4739</v>
      </c>
      <c r="H24" s="42" t="s">
        <v>4460</v>
      </c>
      <c r="I24" s="440">
        <v>43515</v>
      </c>
      <c r="J24" s="71">
        <v>2019010</v>
      </c>
      <c r="K24" s="42" t="s">
        <v>112</v>
      </c>
      <c r="L24" s="72" t="s">
        <v>3352</v>
      </c>
      <c r="M24" s="72" t="s">
        <v>4743</v>
      </c>
      <c r="N24" s="72"/>
      <c r="O24" s="441"/>
      <c r="P24" s="441"/>
    </row>
    <row r="25" spans="1:16" ht="2.25" hidden="1" customHeight="1" x14ac:dyDescent="0.2">
      <c r="A25" s="42" t="s">
        <v>1137</v>
      </c>
      <c r="B25" s="36" t="s">
        <v>4461</v>
      </c>
      <c r="C25" s="36" t="s">
        <v>4463</v>
      </c>
      <c r="D25" s="36" t="s">
        <v>112</v>
      </c>
      <c r="E25" s="72" t="s">
        <v>4462</v>
      </c>
      <c r="F25" s="36" t="s">
        <v>112</v>
      </c>
      <c r="G25" s="42" t="s">
        <v>4739</v>
      </c>
      <c r="H25" s="36" t="s">
        <v>4460</v>
      </c>
      <c r="I25" s="183">
        <v>43675</v>
      </c>
      <c r="J25" s="72">
        <v>2019049</v>
      </c>
      <c r="K25" s="42" t="s">
        <v>112</v>
      </c>
      <c r="L25" s="36" t="s">
        <v>4746</v>
      </c>
      <c r="M25" s="36" t="s">
        <v>4745</v>
      </c>
      <c r="N25" s="72"/>
      <c r="O25" s="441"/>
      <c r="P25" s="441"/>
    </row>
    <row r="26" spans="1:16" ht="129.75" hidden="1" customHeight="1" x14ac:dyDescent="0.2">
      <c r="A26" s="36" t="s">
        <v>1137</v>
      </c>
      <c r="B26" s="36" t="s">
        <v>4228</v>
      </c>
      <c r="C26" s="36" t="s">
        <v>4229</v>
      </c>
      <c r="D26" s="36" t="s">
        <v>4230</v>
      </c>
      <c r="E26" s="72" t="s">
        <v>3746</v>
      </c>
      <c r="F26" s="36" t="s">
        <v>879</v>
      </c>
      <c r="G26" s="36" t="s">
        <v>2362</v>
      </c>
      <c r="H26" s="36" t="s">
        <v>4231</v>
      </c>
      <c r="I26" s="183">
        <v>43684</v>
      </c>
      <c r="J26" s="281"/>
      <c r="K26" s="303" t="s">
        <v>4232</v>
      </c>
      <c r="L26" s="303" t="s">
        <v>4746</v>
      </c>
      <c r="M26" s="36" t="s">
        <v>4868</v>
      </c>
      <c r="N26" s="72"/>
      <c r="O26" s="475"/>
      <c r="P26" s="441"/>
    </row>
    <row r="27" spans="1:16" ht="128.25" hidden="1" customHeight="1" x14ac:dyDescent="0.2">
      <c r="A27" s="36" t="s">
        <v>1137</v>
      </c>
      <c r="B27" s="36" t="s">
        <v>4228</v>
      </c>
      <c r="C27" s="36" t="s">
        <v>4229</v>
      </c>
      <c r="D27" s="36" t="s">
        <v>4233</v>
      </c>
      <c r="E27" s="72" t="s">
        <v>3746</v>
      </c>
      <c r="F27" s="36" t="s">
        <v>1571</v>
      </c>
      <c r="G27" s="72" t="s">
        <v>2362</v>
      </c>
      <c r="H27" s="36" t="s">
        <v>4231</v>
      </c>
      <c r="I27" s="183">
        <v>43684</v>
      </c>
      <c r="J27" s="281"/>
      <c r="K27" s="303" t="s">
        <v>4232</v>
      </c>
      <c r="L27" s="303" t="s">
        <v>4746</v>
      </c>
      <c r="M27" s="36" t="s">
        <v>4868</v>
      </c>
      <c r="N27" s="72"/>
      <c r="O27" s="475"/>
      <c r="P27" s="441"/>
    </row>
    <row r="28" spans="1:16" ht="255" x14ac:dyDescent="0.2">
      <c r="A28" s="36" t="s">
        <v>1137</v>
      </c>
      <c r="B28" s="36" t="s">
        <v>3271</v>
      </c>
      <c r="C28" s="72" t="s">
        <v>4290</v>
      </c>
      <c r="D28" s="72" t="s">
        <v>4291</v>
      </c>
      <c r="E28" s="72" t="s">
        <v>3746</v>
      </c>
      <c r="F28" s="72" t="s">
        <v>4292</v>
      </c>
      <c r="G28" s="72" t="s">
        <v>2362</v>
      </c>
      <c r="H28" s="72" t="s">
        <v>4293</v>
      </c>
      <c r="I28" s="281">
        <v>43707</v>
      </c>
      <c r="J28" s="281" t="s">
        <v>4692</v>
      </c>
      <c r="K28" s="81" t="s">
        <v>5874</v>
      </c>
      <c r="L28" s="81" t="s">
        <v>3554</v>
      </c>
      <c r="M28" s="72" t="s">
        <v>5207</v>
      </c>
      <c r="N28" s="72" t="s">
        <v>5018</v>
      </c>
      <c r="O28" s="281" t="s">
        <v>4994</v>
      </c>
      <c r="P28" s="281" t="s">
        <v>6599</v>
      </c>
    </row>
    <row r="29" spans="1:16" ht="280.5" x14ac:dyDescent="0.2">
      <c r="A29" s="179" t="s">
        <v>1137</v>
      </c>
      <c r="B29" s="72" t="s">
        <v>4635</v>
      </c>
      <c r="C29" s="72" t="s">
        <v>4633</v>
      </c>
      <c r="D29" s="72" t="s">
        <v>4634</v>
      </c>
      <c r="E29" s="72" t="s">
        <v>3746</v>
      </c>
      <c r="F29" s="72" t="s">
        <v>4638</v>
      </c>
      <c r="G29" s="72" t="s">
        <v>2362</v>
      </c>
      <c r="H29" s="72" t="s">
        <v>4639</v>
      </c>
      <c r="I29" s="281">
        <v>43880</v>
      </c>
      <c r="J29" s="460" t="s">
        <v>4855</v>
      </c>
      <c r="K29" s="72" t="s">
        <v>4856</v>
      </c>
      <c r="L29" s="72" t="s">
        <v>3554</v>
      </c>
      <c r="M29" s="72" t="s">
        <v>5669</v>
      </c>
      <c r="N29" s="72" t="s">
        <v>5018</v>
      </c>
      <c r="O29" s="281" t="s">
        <v>4995</v>
      </c>
      <c r="P29" s="281" t="s">
        <v>6481</v>
      </c>
    </row>
    <row r="30" spans="1:16" ht="242.25" x14ac:dyDescent="0.2">
      <c r="A30" s="179" t="s">
        <v>1137</v>
      </c>
      <c r="B30" s="72" t="s">
        <v>4636</v>
      </c>
      <c r="C30" s="72" t="s">
        <v>4627</v>
      </c>
      <c r="D30" s="72" t="s">
        <v>4628</v>
      </c>
      <c r="E30" s="72" t="s">
        <v>3746</v>
      </c>
      <c r="F30" s="72" t="s">
        <v>4629</v>
      </c>
      <c r="G30" s="72" t="s">
        <v>2362</v>
      </c>
      <c r="H30" s="72" t="s">
        <v>4639</v>
      </c>
      <c r="I30" s="281">
        <v>43880</v>
      </c>
      <c r="J30" s="281" t="s">
        <v>4853</v>
      </c>
      <c r="K30" s="81" t="s">
        <v>5656</v>
      </c>
      <c r="L30" s="72" t="s">
        <v>3554</v>
      </c>
      <c r="M30" s="72" t="s">
        <v>5118</v>
      </c>
      <c r="N30" s="72" t="s">
        <v>5018</v>
      </c>
      <c r="O30" s="461" t="s">
        <v>4996</v>
      </c>
      <c r="P30" s="281" t="s">
        <v>6600</v>
      </c>
    </row>
    <row r="31" spans="1:16" s="442" customFormat="1" ht="331.5" hidden="1" x14ac:dyDescent="0.2">
      <c r="A31" s="72" t="s">
        <v>1137</v>
      </c>
      <c r="B31" s="72" t="s">
        <v>4641</v>
      </c>
      <c r="C31" s="72" t="s">
        <v>4443</v>
      </c>
      <c r="D31" s="72" t="s">
        <v>4444</v>
      </c>
      <c r="E31" s="72" t="s">
        <v>3746</v>
      </c>
      <c r="F31" s="72" t="s">
        <v>4445</v>
      </c>
      <c r="G31" s="72" t="s">
        <v>2362</v>
      </c>
      <c r="H31" s="72" t="s">
        <v>4446</v>
      </c>
      <c r="I31" s="281">
        <v>43760</v>
      </c>
      <c r="J31" s="281" t="s">
        <v>4696</v>
      </c>
      <c r="K31" s="81" t="s">
        <v>4447</v>
      </c>
      <c r="L31" s="81" t="s">
        <v>3352</v>
      </c>
      <c r="M31" s="72" t="s">
        <v>5255</v>
      </c>
      <c r="N31" s="72" t="s">
        <v>5018</v>
      </c>
      <c r="O31" s="281" t="s">
        <v>4997</v>
      </c>
      <c r="P31" s="281" t="s">
        <v>5252</v>
      </c>
    </row>
    <row r="32" spans="1:16" s="442" customFormat="1" ht="38.25" hidden="1" x14ac:dyDescent="0.2">
      <c r="A32" s="71" t="s">
        <v>1137</v>
      </c>
      <c r="B32" s="72" t="s">
        <v>3561</v>
      </c>
      <c r="C32" s="72" t="s">
        <v>4503</v>
      </c>
      <c r="D32" s="72" t="s">
        <v>112</v>
      </c>
      <c r="E32" s="72" t="s">
        <v>4462</v>
      </c>
      <c r="F32" s="72" t="s">
        <v>112</v>
      </c>
      <c r="G32" s="71" t="s">
        <v>4739</v>
      </c>
      <c r="H32" s="72" t="s">
        <v>4504</v>
      </c>
      <c r="I32" s="281">
        <v>43774</v>
      </c>
      <c r="J32" s="72">
        <v>2019086</v>
      </c>
      <c r="K32" s="71" t="s">
        <v>112</v>
      </c>
      <c r="L32" s="72" t="s">
        <v>3352</v>
      </c>
      <c r="M32" s="72" t="s">
        <v>4744</v>
      </c>
      <c r="N32" s="72"/>
      <c r="O32" s="441"/>
      <c r="P32" s="71"/>
    </row>
    <row r="33" spans="1:16" s="442" customFormat="1" ht="242.25" x14ac:dyDescent="0.2">
      <c r="A33" s="89" t="s">
        <v>1137</v>
      </c>
      <c r="B33" s="89" t="s">
        <v>4637</v>
      </c>
      <c r="C33" s="89" t="s">
        <v>4630</v>
      </c>
      <c r="D33" s="89" t="s">
        <v>4631</v>
      </c>
      <c r="E33" s="89" t="s">
        <v>3746</v>
      </c>
      <c r="F33" s="89" t="s">
        <v>66</v>
      </c>
      <c r="G33" s="89" t="s">
        <v>2362</v>
      </c>
      <c r="H33" s="89" t="s">
        <v>4632</v>
      </c>
      <c r="I33" s="446">
        <v>43867</v>
      </c>
      <c r="J33" s="446" t="s">
        <v>4789</v>
      </c>
      <c r="K33" s="516" t="s">
        <v>5028</v>
      </c>
      <c r="L33" s="89" t="s">
        <v>3554</v>
      </c>
      <c r="M33" s="89" t="s">
        <v>5119</v>
      </c>
      <c r="N33" s="72" t="s">
        <v>5018</v>
      </c>
      <c r="O33" s="447" t="s">
        <v>4998</v>
      </c>
      <c r="P33" s="281" t="s">
        <v>6595</v>
      </c>
    </row>
    <row r="34" spans="1:16" ht="69" hidden="1" customHeight="1" x14ac:dyDescent="0.2">
      <c r="A34" s="89" t="s">
        <v>1137</v>
      </c>
      <c r="B34" s="89" t="s">
        <v>4903</v>
      </c>
      <c r="C34" s="479" t="s">
        <v>4904</v>
      </c>
      <c r="D34" s="479" t="s">
        <v>4905</v>
      </c>
      <c r="E34" s="72" t="s">
        <v>11</v>
      </c>
      <c r="F34" s="479" t="s">
        <v>4906</v>
      </c>
      <c r="G34" s="479" t="s">
        <v>4955</v>
      </c>
      <c r="H34" s="89" t="s">
        <v>4954</v>
      </c>
      <c r="I34" s="495">
        <v>43915</v>
      </c>
      <c r="J34" s="446" t="s">
        <v>4907</v>
      </c>
      <c r="K34" s="479" t="s">
        <v>4999</v>
      </c>
      <c r="L34" s="89" t="s">
        <v>5212</v>
      </c>
      <c r="M34" s="89" t="s">
        <v>5256</v>
      </c>
      <c r="N34" s="89"/>
      <c r="O34" s="447" t="s">
        <v>5000</v>
      </c>
      <c r="P34" s="281" t="s">
        <v>5211</v>
      </c>
    </row>
    <row r="35" spans="1:16" ht="38.25" hidden="1" x14ac:dyDescent="0.2">
      <c r="A35" s="89" t="s">
        <v>1137</v>
      </c>
      <c r="B35" s="502" t="s">
        <v>4964</v>
      </c>
      <c r="C35" s="502" t="s">
        <v>4964</v>
      </c>
      <c r="D35" s="502" t="s">
        <v>112</v>
      </c>
      <c r="E35" s="502" t="s">
        <v>1394</v>
      </c>
      <c r="F35" s="502" t="s">
        <v>112</v>
      </c>
      <c r="G35" s="502" t="s">
        <v>4739</v>
      </c>
      <c r="H35" s="502" t="s">
        <v>4963</v>
      </c>
      <c r="I35" s="503">
        <v>43933</v>
      </c>
      <c r="J35" s="479">
        <v>2020032</v>
      </c>
      <c r="K35" s="89" t="s">
        <v>112</v>
      </c>
      <c r="L35" s="502" t="s">
        <v>3352</v>
      </c>
      <c r="M35" s="89" t="s">
        <v>5156</v>
      </c>
      <c r="N35" s="502"/>
      <c r="O35" s="447" t="s">
        <v>112</v>
      </c>
      <c r="P35" s="281" t="s">
        <v>112</v>
      </c>
    </row>
    <row r="36" spans="1:16" ht="76.5" x14ac:dyDescent="0.2">
      <c r="A36" s="504" t="s">
        <v>1137</v>
      </c>
      <c r="B36" s="504" t="s">
        <v>4969</v>
      </c>
      <c r="C36" s="504" t="s">
        <v>4965</v>
      </c>
      <c r="D36" s="504" t="s">
        <v>4966</v>
      </c>
      <c r="E36" s="504" t="s">
        <v>454</v>
      </c>
      <c r="F36" s="504" t="s">
        <v>4967</v>
      </c>
      <c r="G36" s="505" t="s">
        <v>2362</v>
      </c>
      <c r="H36" s="504" t="s">
        <v>4968</v>
      </c>
      <c r="I36" s="506">
        <v>43930</v>
      </c>
      <c r="J36" s="506" t="s">
        <v>112</v>
      </c>
      <c r="K36" s="505" t="s">
        <v>112</v>
      </c>
      <c r="L36" s="505" t="s">
        <v>3554</v>
      </c>
      <c r="M36" s="36" t="s">
        <v>5120</v>
      </c>
      <c r="N36" s="72" t="s">
        <v>5018</v>
      </c>
      <c r="O36" s="447" t="s">
        <v>112</v>
      </c>
      <c r="P36" s="281" t="s">
        <v>112</v>
      </c>
    </row>
    <row r="37" spans="1:16" ht="63.75" x14ac:dyDescent="0.2">
      <c r="A37" s="504" t="s">
        <v>1137</v>
      </c>
      <c r="B37" s="504" t="s">
        <v>4970</v>
      </c>
      <c r="C37" s="504" t="s">
        <v>4971</v>
      </c>
      <c r="D37" s="504" t="s">
        <v>414</v>
      </c>
      <c r="E37" s="504" t="s">
        <v>11</v>
      </c>
      <c r="F37" s="504" t="s">
        <v>66</v>
      </c>
      <c r="G37" s="504" t="s">
        <v>2362</v>
      </c>
      <c r="H37" s="504" t="s">
        <v>4972</v>
      </c>
      <c r="I37" s="507">
        <v>43964</v>
      </c>
      <c r="J37" s="446" t="s">
        <v>112</v>
      </c>
      <c r="K37" s="504" t="s">
        <v>112</v>
      </c>
      <c r="L37" s="504" t="s">
        <v>3554</v>
      </c>
      <c r="M37" s="504" t="s">
        <v>5121</v>
      </c>
      <c r="N37" s="72" t="s">
        <v>5018</v>
      </c>
      <c r="O37" s="447" t="s">
        <v>112</v>
      </c>
      <c r="P37" s="281" t="s">
        <v>112</v>
      </c>
    </row>
    <row r="38" spans="1:16" ht="38.25" x14ac:dyDescent="0.2">
      <c r="A38" s="89" t="s">
        <v>584</v>
      </c>
      <c r="B38" s="89" t="s">
        <v>5417</v>
      </c>
      <c r="C38" s="89" t="s">
        <v>5418</v>
      </c>
      <c r="D38" s="89" t="s">
        <v>5419</v>
      </c>
      <c r="E38" s="89" t="s">
        <v>105</v>
      </c>
      <c r="F38" s="89" t="s">
        <v>5420</v>
      </c>
      <c r="G38" s="89" t="s">
        <v>3572</v>
      </c>
      <c r="H38" s="89" t="s">
        <v>5421</v>
      </c>
      <c r="I38" s="446">
        <v>44182</v>
      </c>
      <c r="J38" s="446" t="s">
        <v>112</v>
      </c>
      <c r="K38" s="504" t="s">
        <v>112</v>
      </c>
      <c r="L38" s="504" t="s">
        <v>3554</v>
      </c>
      <c r="M38" s="89"/>
      <c r="N38" s="89"/>
      <c r="O38" s="89"/>
      <c r="P38" s="281" t="s">
        <v>112</v>
      </c>
    </row>
    <row r="39" spans="1:16" ht="69" customHeight="1" x14ac:dyDescent="0.2">
      <c r="A39" s="89" t="s">
        <v>584</v>
      </c>
      <c r="B39" s="89" t="s">
        <v>5682</v>
      </c>
      <c r="C39" s="89" t="s">
        <v>5680</v>
      </c>
      <c r="D39" s="89" t="s">
        <v>5681</v>
      </c>
      <c r="E39" s="89" t="s">
        <v>454</v>
      </c>
      <c r="F39" s="89" t="s">
        <v>3098</v>
      </c>
      <c r="G39" s="89" t="s">
        <v>3572</v>
      </c>
      <c r="H39" s="89" t="s">
        <v>5421</v>
      </c>
      <c r="I39" s="446">
        <v>44272</v>
      </c>
      <c r="J39" s="446" t="s">
        <v>112</v>
      </c>
      <c r="K39" s="89" t="s">
        <v>112</v>
      </c>
      <c r="L39" s="89" t="s">
        <v>3554</v>
      </c>
      <c r="M39" s="89"/>
      <c r="N39" s="89"/>
      <c r="O39" s="89"/>
      <c r="P39" s="446" t="s">
        <v>112</v>
      </c>
    </row>
    <row r="40" spans="1:16" ht="39.75" hidden="1" customHeight="1" x14ac:dyDescent="0.2">
      <c r="A40" s="72" t="s">
        <v>1137</v>
      </c>
      <c r="B40" s="798" t="s">
        <v>5755</v>
      </c>
      <c r="C40" s="798" t="s">
        <v>3182</v>
      </c>
      <c r="D40" s="798" t="s">
        <v>5758</v>
      </c>
      <c r="E40" s="798" t="s">
        <v>454</v>
      </c>
      <c r="F40" s="798" t="s">
        <v>3468</v>
      </c>
      <c r="G40" s="798" t="s">
        <v>2362</v>
      </c>
      <c r="H40" s="798" t="s">
        <v>5760</v>
      </c>
      <c r="I40" s="799">
        <v>44306</v>
      </c>
      <c r="J40" s="460" t="s">
        <v>5811</v>
      </c>
      <c r="K40" s="798">
        <v>1508667214</v>
      </c>
      <c r="L40" s="798" t="s">
        <v>3352</v>
      </c>
      <c r="M40" s="798" t="s">
        <v>5757</v>
      </c>
      <c r="N40" s="798"/>
      <c r="O40" s="800"/>
      <c r="P40" s="72" t="s">
        <v>5975</v>
      </c>
    </row>
    <row r="41" spans="1:16" ht="39.75" hidden="1" customHeight="1" x14ac:dyDescent="0.2">
      <c r="A41" s="89" t="s">
        <v>1137</v>
      </c>
      <c r="B41" s="89" t="s">
        <v>5756</v>
      </c>
      <c r="C41" s="89" t="s">
        <v>3182</v>
      </c>
      <c r="D41" s="89" t="s">
        <v>5759</v>
      </c>
      <c r="E41" s="804" t="s">
        <v>454</v>
      </c>
      <c r="F41" s="89" t="s">
        <v>54</v>
      </c>
      <c r="G41" s="361" t="s">
        <v>2362</v>
      </c>
      <c r="H41" s="361" t="s">
        <v>5760</v>
      </c>
      <c r="I41" s="805">
        <v>44306</v>
      </c>
      <c r="J41" s="806" t="s">
        <v>5810</v>
      </c>
      <c r="K41" s="361">
        <v>1513588218</v>
      </c>
      <c r="L41" s="89" t="s">
        <v>3352</v>
      </c>
      <c r="M41" s="804" t="s">
        <v>5757</v>
      </c>
      <c r="N41" s="361"/>
      <c r="P41" s="89" t="s">
        <v>5976</v>
      </c>
    </row>
    <row r="42" spans="1:16" ht="63.75" x14ac:dyDescent="0.2">
      <c r="A42" s="72" t="s">
        <v>1137</v>
      </c>
      <c r="B42" s="72" t="s">
        <v>5796</v>
      </c>
      <c r="C42" s="72" t="s">
        <v>5797</v>
      </c>
      <c r="D42" s="72" t="s">
        <v>511</v>
      </c>
      <c r="E42" s="72" t="s">
        <v>454</v>
      </c>
      <c r="F42" s="72" t="s">
        <v>3759</v>
      </c>
      <c r="G42" s="72" t="s">
        <v>5798</v>
      </c>
      <c r="H42" s="71" t="s">
        <v>5800</v>
      </c>
      <c r="I42" s="359">
        <v>44321</v>
      </c>
      <c r="J42" s="801" t="s">
        <v>5809</v>
      </c>
      <c r="K42" s="71">
        <v>1732964217</v>
      </c>
      <c r="L42" s="72" t="s">
        <v>3554</v>
      </c>
      <c r="M42" s="71"/>
      <c r="N42" s="71"/>
      <c r="O42" s="71"/>
      <c r="P42" s="72" t="s">
        <v>6602</v>
      </c>
    </row>
    <row r="43" spans="1:16" ht="51" hidden="1" x14ac:dyDescent="0.2">
      <c r="A43" s="72" t="s">
        <v>1137</v>
      </c>
      <c r="B43" s="72" t="s">
        <v>5802</v>
      </c>
      <c r="C43" s="72" t="s">
        <v>5801</v>
      </c>
      <c r="D43" s="72" t="s">
        <v>5803</v>
      </c>
      <c r="E43" s="72" t="s">
        <v>454</v>
      </c>
      <c r="F43" s="72" t="s">
        <v>3098</v>
      </c>
      <c r="G43" s="72" t="s">
        <v>5798</v>
      </c>
      <c r="H43" s="71" t="s">
        <v>5800</v>
      </c>
      <c r="I43" s="359">
        <v>44321</v>
      </c>
      <c r="J43" s="801" t="s">
        <v>5808</v>
      </c>
      <c r="K43" s="71">
        <v>1733197218</v>
      </c>
      <c r="L43" s="71" t="s">
        <v>4596</v>
      </c>
      <c r="M43" s="72" t="s">
        <v>6035</v>
      </c>
      <c r="N43" s="71"/>
      <c r="O43" s="71"/>
      <c r="P43" s="807" t="s">
        <v>6034</v>
      </c>
    </row>
    <row r="44" spans="1:16" ht="63.75" x14ac:dyDescent="0.2">
      <c r="A44" s="72" t="s">
        <v>1137</v>
      </c>
      <c r="B44" s="72" t="s">
        <v>5911</v>
      </c>
      <c r="C44" s="72" t="s">
        <v>5812</v>
      </c>
      <c r="D44" s="72" t="s">
        <v>5813</v>
      </c>
      <c r="E44" s="72" t="s">
        <v>454</v>
      </c>
      <c r="F44" s="72" t="s">
        <v>3098</v>
      </c>
      <c r="G44" s="72" t="s">
        <v>2362</v>
      </c>
      <c r="H44" s="72" t="s">
        <v>5760</v>
      </c>
      <c r="I44" s="281">
        <v>44320</v>
      </c>
      <c r="J44" s="72" t="s">
        <v>5814</v>
      </c>
      <c r="K44" s="72">
        <v>1714434215</v>
      </c>
      <c r="L44" s="72" t="s">
        <v>3554</v>
      </c>
      <c r="M44" s="71"/>
      <c r="N44" s="71"/>
      <c r="O44" s="71"/>
      <c r="P44" s="807" t="s">
        <v>6601</v>
      </c>
    </row>
    <row r="45" spans="1:16" ht="51" hidden="1" x14ac:dyDescent="0.2">
      <c r="A45" s="72" t="s">
        <v>1137</v>
      </c>
      <c r="B45" s="72" t="s">
        <v>5906</v>
      </c>
      <c r="C45" s="72" t="s">
        <v>5839</v>
      </c>
      <c r="D45" s="72" t="s">
        <v>735</v>
      </c>
      <c r="E45" s="72" t="s">
        <v>454</v>
      </c>
      <c r="F45" s="72" t="s">
        <v>3098</v>
      </c>
      <c r="G45" s="72" t="s">
        <v>2362</v>
      </c>
      <c r="H45" s="72" t="s">
        <v>5840</v>
      </c>
      <c r="I45" s="281">
        <v>44266</v>
      </c>
      <c r="J45" s="72" t="s">
        <v>5841</v>
      </c>
      <c r="K45" s="72" t="s">
        <v>5842</v>
      </c>
      <c r="L45" s="72" t="s">
        <v>3352</v>
      </c>
      <c r="M45" s="71"/>
      <c r="N45" s="71"/>
      <c r="O45" s="71"/>
      <c r="P45" s="72" t="s">
        <v>5888</v>
      </c>
    </row>
  </sheetData>
  <conditionalFormatting sqref="A36:L37 A2:O15 A16:N35 A38:O38 A40:O1048576">
    <cfRule type="expression" dxfId="52" priority="37">
      <formula>$L2="CANCELADO"</formula>
    </cfRule>
    <cfRule type="expression" dxfId="51" priority="38">
      <formula>$L2="SOLICITAÇÃO RECUSADA"</formula>
    </cfRule>
    <cfRule type="expression" dxfId="50" priority="39">
      <formula>$L2="INCLUÍDO NA LISTA"</formula>
    </cfRule>
  </conditionalFormatting>
  <conditionalFormatting sqref="M37">
    <cfRule type="expression" dxfId="49" priority="2181">
      <formula>$L36="CANCELADO"</formula>
    </cfRule>
    <cfRule type="expression" dxfId="48" priority="2182">
      <formula>$L36="SOLICITAÇÃO RECUSADA"</formula>
    </cfRule>
    <cfRule type="expression" dxfId="47" priority="2183">
      <formula>$L36="INCLUÍDO NA LISTA"</formula>
    </cfRule>
  </conditionalFormatting>
  <conditionalFormatting sqref="N36">
    <cfRule type="expression" dxfId="46" priority="34">
      <formula>$L36="CANCELADO"</formula>
    </cfRule>
    <cfRule type="expression" dxfId="45" priority="35">
      <formula>$L36="SOLICITAÇÃO RECUSADA"</formula>
    </cfRule>
    <cfRule type="expression" dxfId="44" priority="36">
      <formula>$L36="INCLUÍDO NA LISTA"</formula>
    </cfRule>
  </conditionalFormatting>
  <conditionalFormatting sqref="N37">
    <cfRule type="expression" dxfId="43" priority="31">
      <formula>$L37="CANCELADO"</formula>
    </cfRule>
    <cfRule type="expression" dxfId="42" priority="32">
      <formula>$L37="SOLICITAÇÃO RECUSADA"</formula>
    </cfRule>
    <cfRule type="expression" dxfId="41" priority="33">
      <formula>$L37="INCLUÍDO NA LISTA"</formula>
    </cfRule>
  </conditionalFormatting>
  <conditionalFormatting sqref="A39:O39">
    <cfRule type="expression" dxfId="40" priority="28">
      <formula>$L39="CANCELADO"</formula>
    </cfRule>
    <cfRule type="expression" dxfId="39" priority="29">
      <formula>$L39="SOLICITAÇÃO RECUSADA"</formula>
    </cfRule>
    <cfRule type="expression" dxfId="38" priority="30">
      <formula>$L39="INCLUÍDO NA LISTA"</formula>
    </cfRule>
  </conditionalFormatting>
  <dataValidations count="1">
    <dataValidation type="list" allowBlank="1" showInputMessage="1" showErrorMessage="1" sqref="L2:L42 L44:L1048576">
      <formula1>"INCLUÍDO NA LISTA, AGUARDANDO PARECER, PARECER POSITIVO, SERÁ INCLUÍDO EM PRÓXIMA PUBLICAÇÃO, SOLICITAÇÃO RECUSADA, CANCELADO, MEDICAMENTO EM FASE DE ADEQUAÇÃO"</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Formulas!$L$2:$L$4</xm:f>
          </x14:formula1>
          <xm:sqref>G2:G41 G44:G1048576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tabColor rgb="FFC8ACB0"/>
  </sheetPr>
  <dimension ref="A1:Q5"/>
  <sheetViews>
    <sheetView showGridLines="0" zoomScale="80" zoomScaleNormal="80" workbookViewId="0">
      <selection activeCell="F5" sqref="F5"/>
    </sheetView>
  </sheetViews>
  <sheetFormatPr defaultRowHeight="12.75" outlineLevelCol="1" x14ac:dyDescent="0.2"/>
  <cols>
    <col min="1" max="1" width="16.140625" customWidth="1"/>
    <col min="2" max="2" width="12.140625" customWidth="1"/>
    <col min="3" max="3" width="19" customWidth="1"/>
    <col min="4" max="4" width="20.7109375" customWidth="1"/>
    <col min="5" max="5" width="17.7109375" style="546" customWidth="1"/>
    <col min="6" max="6" width="22.42578125" customWidth="1"/>
    <col min="7" max="7" width="33.42578125" customWidth="1"/>
    <col min="8" max="8" width="13.140625" customWidth="1"/>
    <col min="9" max="9" width="14.5703125" customWidth="1"/>
    <col min="10" max="10" width="17" customWidth="1"/>
    <col min="11" max="11" width="16.28515625" customWidth="1"/>
    <col min="12" max="12" width="14.85546875" customWidth="1"/>
    <col min="13" max="13" width="17.28515625" bestFit="1" customWidth="1"/>
    <col min="14" max="14" width="12.7109375" hidden="1" customWidth="1" outlineLevel="1"/>
    <col min="15" max="15" width="17.28515625" hidden="1" customWidth="1" outlineLevel="1"/>
    <col min="16" max="16" width="18.5703125" hidden="1" customWidth="1" outlineLevel="1"/>
    <col min="17" max="17" width="9.140625" collapsed="1"/>
  </cols>
  <sheetData>
    <row r="1" spans="1:16" ht="16.5" customHeight="1" x14ac:dyDescent="0.2">
      <c r="N1" s="932" t="s">
        <v>5058</v>
      </c>
      <c r="O1" s="933"/>
      <c r="P1" s="933"/>
    </row>
    <row r="2" spans="1:16" ht="31.5" customHeight="1" x14ac:dyDescent="0.2">
      <c r="A2" s="653" t="s">
        <v>583</v>
      </c>
      <c r="B2" s="654" t="s">
        <v>3796</v>
      </c>
      <c r="C2" s="654" t="s">
        <v>0</v>
      </c>
      <c r="D2" s="654" t="s">
        <v>1</v>
      </c>
      <c r="E2" s="654" t="s">
        <v>2</v>
      </c>
      <c r="F2" s="654" t="s">
        <v>4604</v>
      </c>
      <c r="G2" s="654" t="s">
        <v>5</v>
      </c>
      <c r="H2" s="654" t="s">
        <v>6</v>
      </c>
      <c r="I2" s="654" t="s">
        <v>7</v>
      </c>
      <c r="J2" s="654" t="s">
        <v>634</v>
      </c>
      <c r="K2" s="654" t="s">
        <v>4266</v>
      </c>
      <c r="L2" s="655" t="s">
        <v>1957</v>
      </c>
      <c r="M2" s="656" t="s">
        <v>4698</v>
      </c>
      <c r="N2" s="657" t="s">
        <v>5055</v>
      </c>
      <c r="O2" s="658" t="s">
        <v>1297</v>
      </c>
      <c r="P2" s="547" t="s">
        <v>5057</v>
      </c>
    </row>
    <row r="3" spans="1:16" ht="114.75" customHeight="1" x14ac:dyDescent="0.2">
      <c r="A3" s="874" t="s">
        <v>584</v>
      </c>
      <c r="B3" s="639" t="s">
        <v>3798</v>
      </c>
      <c r="C3" s="661" t="s">
        <v>5572</v>
      </c>
      <c r="D3" s="659" t="s">
        <v>5573</v>
      </c>
      <c r="E3" s="660" t="s">
        <v>5573</v>
      </c>
      <c r="F3" s="660" t="s">
        <v>5574</v>
      </c>
      <c r="G3" s="660" t="s">
        <v>5385</v>
      </c>
      <c r="H3" s="640">
        <v>44250</v>
      </c>
      <c r="I3" s="662" t="s">
        <v>5575</v>
      </c>
      <c r="J3" s="660" t="s">
        <v>6603</v>
      </c>
      <c r="K3" s="641"/>
      <c r="L3" s="639"/>
      <c r="M3" s="660" t="s">
        <v>6290</v>
      </c>
      <c r="N3" s="642" t="s">
        <v>5387</v>
      </c>
      <c r="O3" s="611" t="s">
        <v>5386</v>
      </c>
      <c r="P3" s="652" t="s">
        <v>5388</v>
      </c>
    </row>
    <row r="4" spans="1:16" ht="99.75" customHeight="1" x14ac:dyDescent="0.2">
      <c r="A4" s="861" t="s">
        <v>584</v>
      </c>
      <c r="B4" s="639" t="s">
        <v>3798</v>
      </c>
      <c r="C4" s="862" t="s">
        <v>5923</v>
      </c>
      <c r="D4" s="822" t="s">
        <v>5922</v>
      </c>
      <c r="E4" s="822" t="s">
        <v>5922</v>
      </c>
      <c r="F4" s="822" t="s">
        <v>5921</v>
      </c>
      <c r="G4" s="822" t="s">
        <v>5876</v>
      </c>
      <c r="H4" s="863">
        <v>44364</v>
      </c>
      <c r="I4" s="823" t="s">
        <v>5924</v>
      </c>
      <c r="J4" s="864" t="s">
        <v>6604</v>
      </c>
      <c r="K4" s="823"/>
      <c r="L4" s="822"/>
      <c r="M4" s="822" t="s">
        <v>6033</v>
      </c>
      <c r="N4" s="642" t="s">
        <v>5387</v>
      </c>
      <c r="O4" s="611" t="s">
        <v>5879</v>
      </c>
      <c r="P4" s="652" t="s">
        <v>5880</v>
      </c>
    </row>
    <row r="5" spans="1:16" ht="114.75" x14ac:dyDescent="0.2">
      <c r="A5" s="861" t="s">
        <v>1137</v>
      </c>
      <c r="B5" s="639" t="s">
        <v>3798</v>
      </c>
      <c r="C5" s="862" t="s">
        <v>6176</v>
      </c>
      <c r="D5" s="822" t="s">
        <v>2845</v>
      </c>
      <c r="E5" s="822" t="s">
        <v>2845</v>
      </c>
      <c r="F5" s="822" t="s">
        <v>6177</v>
      </c>
      <c r="G5" s="822" t="s">
        <v>6178</v>
      </c>
      <c r="H5" s="863">
        <v>44362</v>
      </c>
      <c r="I5" s="823" t="s">
        <v>6179</v>
      </c>
      <c r="J5" s="864" t="s">
        <v>6605</v>
      </c>
      <c r="K5" s="823"/>
      <c r="L5" s="822"/>
      <c r="M5" s="822" t="s">
        <v>6033</v>
      </c>
      <c r="N5" s="890"/>
    </row>
  </sheetData>
  <mergeCells count="1">
    <mergeCell ref="N1:P1"/>
  </mergeCells>
  <dataValidations count="1">
    <dataValidation type="list" allowBlank="1" showInputMessage="1" showErrorMessage="1" sqref="J6:J1048576">
      <formula1>"Aguardando Análise, Aguardando inspeção, Em análise, Cancelado, Deferido, Indeferido"</formula1>
    </dataValidation>
  </dataValidations>
  <pageMargins left="0.511811024" right="0.511811024" top="0.78740157499999996" bottom="0.78740157499999996" header="0.31496062000000002" footer="0.31496062000000002"/>
  <pageSetup paperSize="9"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Formulas!$A$2:$A$3</xm:f>
          </x14:formula1>
          <xm:sqref>A3:A1048576</xm:sqref>
        </x14:dataValidation>
        <x14:dataValidation type="list" allowBlank="1" showInputMessage="1" showErrorMessage="1">
          <x14:formula1>
            <xm:f>Formulas!$B$2:$B$4</xm:f>
          </x14:formula1>
          <xm:sqref>B3:B1048576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tabColor theme="0" tint="-0.499984740745262"/>
  </sheetPr>
  <dimension ref="A1:N45"/>
  <sheetViews>
    <sheetView showGridLines="0" zoomScale="90" zoomScaleNormal="90" workbookViewId="0">
      <pane ySplit="1" topLeftCell="A35" activePane="bottomLeft" state="frozen"/>
      <selection activeCell="I3" sqref="I3"/>
      <selection pane="bottomLeft" activeCell="E4" sqref="E4"/>
    </sheetView>
  </sheetViews>
  <sheetFormatPr defaultColWidth="9.140625" defaultRowHeight="12.75" x14ac:dyDescent="0.2"/>
  <cols>
    <col min="1" max="1" width="13.140625" style="67" customWidth="1"/>
    <col min="2" max="2" width="20.85546875" style="67" bestFit="1" customWidth="1"/>
    <col min="3" max="3" width="16" style="97" customWidth="1"/>
    <col min="4" max="4" width="15.42578125" style="97" customWidth="1"/>
    <col min="5" max="5" width="16.140625" style="67" customWidth="1"/>
    <col min="6" max="6" width="11" style="67" customWidth="1"/>
    <col min="7" max="7" width="15.140625" style="97" customWidth="1"/>
    <col min="8" max="8" width="19.5703125" style="67" customWidth="1"/>
    <col min="9" max="9" width="39.28515625" style="67" customWidth="1"/>
    <col min="10" max="10" width="13.140625" style="67" customWidth="1"/>
    <col min="11" max="11" width="15.5703125" style="67" customWidth="1"/>
    <col min="12" max="12" width="16.85546875" style="97" customWidth="1"/>
    <col min="13" max="13" width="16.42578125" style="67" customWidth="1"/>
    <col min="14" max="14" width="44" style="95" customWidth="1"/>
    <col min="15" max="16384" width="9.140625" style="67"/>
  </cols>
  <sheetData>
    <row r="1" spans="1:14" ht="25.5" x14ac:dyDescent="0.2">
      <c r="A1" s="66" t="s">
        <v>583</v>
      </c>
      <c r="B1" s="66" t="s">
        <v>0</v>
      </c>
      <c r="C1" s="66" t="s">
        <v>1</v>
      </c>
      <c r="D1" s="66" t="s">
        <v>2</v>
      </c>
      <c r="E1" s="66" t="s">
        <v>8</v>
      </c>
      <c r="F1" s="66" t="s">
        <v>3</v>
      </c>
      <c r="G1" s="66" t="s">
        <v>4</v>
      </c>
      <c r="H1" s="66">
        <v>10750</v>
      </c>
      <c r="I1" s="66" t="s">
        <v>1323</v>
      </c>
      <c r="J1" s="66" t="s">
        <v>6</v>
      </c>
      <c r="K1" s="66" t="s">
        <v>7</v>
      </c>
      <c r="L1" s="66" t="s">
        <v>1321</v>
      </c>
      <c r="M1" s="66" t="s">
        <v>1322</v>
      </c>
      <c r="N1" s="66" t="s">
        <v>1356</v>
      </c>
    </row>
    <row r="2" spans="1:14" ht="75" customHeight="1" x14ac:dyDescent="0.2">
      <c r="A2" s="68" t="s">
        <v>585</v>
      </c>
      <c r="B2" s="69" t="s">
        <v>312</v>
      </c>
      <c r="C2" s="29" t="s">
        <v>300</v>
      </c>
      <c r="D2" s="29" t="s">
        <v>291</v>
      </c>
      <c r="E2" s="29" t="s">
        <v>292</v>
      </c>
      <c r="F2" s="29" t="s">
        <v>11</v>
      </c>
      <c r="G2" s="29" t="s">
        <v>18</v>
      </c>
      <c r="H2" s="30" t="s">
        <v>1240</v>
      </c>
      <c r="I2" s="30" t="s">
        <v>1355</v>
      </c>
      <c r="J2" s="70">
        <v>40871</v>
      </c>
      <c r="K2" s="41" t="s">
        <v>1324</v>
      </c>
      <c r="L2" s="30" t="s">
        <v>1357</v>
      </c>
      <c r="M2" s="30" t="s">
        <v>1325</v>
      </c>
      <c r="N2" s="30" t="s">
        <v>1326</v>
      </c>
    </row>
    <row r="3" spans="1:14" ht="72" customHeight="1" x14ac:dyDescent="0.2">
      <c r="A3" s="68" t="s">
        <v>585</v>
      </c>
      <c r="B3" s="29" t="s">
        <v>222</v>
      </c>
      <c r="C3" s="29" t="s">
        <v>220</v>
      </c>
      <c r="D3" s="29" t="s">
        <v>220</v>
      </c>
      <c r="E3" s="29" t="s">
        <v>120</v>
      </c>
      <c r="F3" s="29" t="s">
        <v>16</v>
      </c>
      <c r="G3" s="29" t="s">
        <v>685</v>
      </c>
      <c r="H3" s="30" t="s">
        <v>1240</v>
      </c>
      <c r="I3" s="30" t="s">
        <v>1355</v>
      </c>
      <c r="J3" s="70">
        <v>40679</v>
      </c>
      <c r="K3" s="41" t="s">
        <v>1327</v>
      </c>
      <c r="L3" s="30" t="s">
        <v>1516</v>
      </c>
      <c r="M3" s="30" t="s">
        <v>1328</v>
      </c>
      <c r="N3" s="41"/>
    </row>
    <row r="4" spans="1:14" ht="78" customHeight="1" x14ac:dyDescent="0.2">
      <c r="A4" s="68" t="s">
        <v>585</v>
      </c>
      <c r="B4" s="29" t="s">
        <v>250</v>
      </c>
      <c r="C4" s="29" t="s">
        <v>254</v>
      </c>
      <c r="D4" s="29" t="s">
        <v>254</v>
      </c>
      <c r="E4" s="29" t="s">
        <v>257</v>
      </c>
      <c r="F4" s="29" t="s">
        <v>16</v>
      </c>
      <c r="G4" s="29" t="s">
        <v>12</v>
      </c>
      <c r="H4" s="30" t="s">
        <v>1240</v>
      </c>
      <c r="I4" s="30" t="s">
        <v>1355</v>
      </c>
      <c r="J4" s="70">
        <v>40743</v>
      </c>
      <c r="K4" s="41" t="s">
        <v>1329</v>
      </c>
      <c r="L4" s="30" t="s">
        <v>1516</v>
      </c>
      <c r="M4" s="30" t="s">
        <v>1330</v>
      </c>
      <c r="N4" s="41"/>
    </row>
    <row r="5" spans="1:14" ht="78.75" customHeight="1" x14ac:dyDescent="0.2">
      <c r="A5" s="68" t="s">
        <v>585</v>
      </c>
      <c r="B5" s="69" t="s">
        <v>310</v>
      </c>
      <c r="C5" s="29" t="s">
        <v>297</v>
      </c>
      <c r="D5" s="29" t="s">
        <v>297</v>
      </c>
      <c r="E5" s="29" t="s">
        <v>299</v>
      </c>
      <c r="F5" s="29" t="s">
        <v>16</v>
      </c>
      <c r="G5" s="29" t="s">
        <v>18</v>
      </c>
      <c r="H5" s="30" t="s">
        <v>1240</v>
      </c>
      <c r="I5" s="30" t="s">
        <v>1355</v>
      </c>
      <c r="J5" s="70">
        <v>40871</v>
      </c>
      <c r="K5" s="71" t="s">
        <v>1331</v>
      </c>
      <c r="L5" s="30" t="s">
        <v>1357</v>
      </c>
      <c r="M5" s="72" t="s">
        <v>1325</v>
      </c>
      <c r="N5" s="30" t="s">
        <v>1326</v>
      </c>
    </row>
    <row r="6" spans="1:14" ht="65.25" customHeight="1" x14ac:dyDescent="0.2">
      <c r="A6" s="68" t="s">
        <v>585</v>
      </c>
      <c r="B6" s="69" t="s">
        <v>280</v>
      </c>
      <c r="C6" s="29" t="s">
        <v>270</v>
      </c>
      <c r="D6" s="29" t="s">
        <v>270</v>
      </c>
      <c r="E6" s="29" t="s">
        <v>272</v>
      </c>
      <c r="F6" s="29" t="s">
        <v>16</v>
      </c>
      <c r="G6" s="29" t="s">
        <v>1286</v>
      </c>
      <c r="H6" s="30" t="s">
        <v>1240</v>
      </c>
      <c r="I6" s="30" t="s">
        <v>1355</v>
      </c>
      <c r="J6" s="73" t="s">
        <v>2949</v>
      </c>
      <c r="K6" s="72" t="s">
        <v>1332</v>
      </c>
      <c r="L6" s="30" t="s">
        <v>1358</v>
      </c>
      <c r="M6" s="72" t="s">
        <v>1333</v>
      </c>
      <c r="N6" s="30" t="s">
        <v>1334</v>
      </c>
    </row>
    <row r="7" spans="1:14" ht="90" customHeight="1" x14ac:dyDescent="0.2">
      <c r="A7" s="68" t="s">
        <v>585</v>
      </c>
      <c r="B7" s="69" t="s">
        <v>344</v>
      </c>
      <c r="C7" s="29" t="s">
        <v>335</v>
      </c>
      <c r="D7" s="29" t="s">
        <v>335</v>
      </c>
      <c r="E7" s="29" t="s">
        <v>343</v>
      </c>
      <c r="F7" s="29" t="s">
        <v>16</v>
      </c>
      <c r="G7" s="29" t="s">
        <v>12</v>
      </c>
      <c r="H7" s="30" t="s">
        <v>1240</v>
      </c>
      <c r="I7" s="30" t="s">
        <v>1355</v>
      </c>
      <c r="J7" s="70">
        <v>40912</v>
      </c>
      <c r="K7" s="71" t="s">
        <v>1335</v>
      </c>
      <c r="L7" s="30" t="s">
        <v>1357</v>
      </c>
      <c r="M7" s="72" t="s">
        <v>1336</v>
      </c>
      <c r="N7" s="30" t="s">
        <v>1337</v>
      </c>
    </row>
    <row r="8" spans="1:14" ht="90" customHeight="1" x14ac:dyDescent="0.2">
      <c r="A8" s="68" t="s">
        <v>585</v>
      </c>
      <c r="B8" s="69" t="s">
        <v>434</v>
      </c>
      <c r="C8" s="74" t="s">
        <v>433</v>
      </c>
      <c r="D8" s="74" t="s">
        <v>433</v>
      </c>
      <c r="E8" s="74" t="s">
        <v>360</v>
      </c>
      <c r="F8" s="29" t="s">
        <v>16</v>
      </c>
      <c r="G8" s="29" t="s">
        <v>12</v>
      </c>
      <c r="H8" s="30" t="s">
        <v>1240</v>
      </c>
      <c r="I8" s="30" t="s">
        <v>1355</v>
      </c>
      <c r="J8" s="70">
        <v>41353</v>
      </c>
      <c r="K8" s="41" t="s">
        <v>1338</v>
      </c>
      <c r="L8" s="30" t="s">
        <v>1339</v>
      </c>
      <c r="M8" s="72" t="s">
        <v>1340</v>
      </c>
      <c r="N8" s="41" t="s">
        <v>1341</v>
      </c>
    </row>
    <row r="9" spans="1:14" ht="90" customHeight="1" x14ac:dyDescent="0.2">
      <c r="A9" s="43" t="s">
        <v>585</v>
      </c>
      <c r="B9" s="75" t="s">
        <v>1182</v>
      </c>
      <c r="C9" s="76" t="s">
        <v>1181</v>
      </c>
      <c r="D9" s="76" t="s">
        <v>1181</v>
      </c>
      <c r="E9" s="75" t="s">
        <v>1183</v>
      </c>
      <c r="F9" s="75" t="s">
        <v>16</v>
      </c>
      <c r="G9" s="75" t="s">
        <v>685</v>
      </c>
      <c r="H9" s="30" t="s">
        <v>1240</v>
      </c>
      <c r="I9" s="30" t="s">
        <v>1355</v>
      </c>
      <c r="J9" s="70">
        <v>41506</v>
      </c>
      <c r="K9" s="71" t="s">
        <v>1342</v>
      </c>
      <c r="L9" s="72" t="s">
        <v>1516</v>
      </c>
      <c r="M9" s="72" t="s">
        <v>2111</v>
      </c>
      <c r="N9" s="41"/>
    </row>
    <row r="10" spans="1:14" ht="90" customHeight="1" x14ac:dyDescent="0.2">
      <c r="A10" s="68" t="s">
        <v>585</v>
      </c>
      <c r="B10" s="29" t="s">
        <v>622</v>
      </c>
      <c r="C10" s="74" t="s">
        <v>507</v>
      </c>
      <c r="D10" s="74" t="s">
        <v>507</v>
      </c>
      <c r="E10" s="29" t="s">
        <v>605</v>
      </c>
      <c r="F10" s="29" t="s">
        <v>16</v>
      </c>
      <c r="G10" s="29" t="s">
        <v>66</v>
      </c>
      <c r="H10" s="30" t="s">
        <v>1240</v>
      </c>
      <c r="I10" s="30" t="s">
        <v>1355</v>
      </c>
      <c r="J10" s="70">
        <v>41337</v>
      </c>
      <c r="K10" s="71" t="s">
        <v>1343</v>
      </c>
      <c r="L10" s="30" t="s">
        <v>1426</v>
      </c>
      <c r="M10" s="41"/>
      <c r="N10" s="41"/>
    </row>
    <row r="11" spans="1:14" ht="90" customHeight="1" x14ac:dyDescent="0.2">
      <c r="A11" s="30" t="s">
        <v>585</v>
      </c>
      <c r="B11" s="41" t="s">
        <v>1270</v>
      </c>
      <c r="C11" s="196" t="s">
        <v>1269</v>
      </c>
      <c r="D11" s="30" t="s">
        <v>1269</v>
      </c>
      <c r="E11" s="41" t="s">
        <v>1271</v>
      </c>
      <c r="F11" s="41" t="s">
        <v>16</v>
      </c>
      <c r="G11" s="30" t="s">
        <v>18</v>
      </c>
      <c r="H11" s="30" t="s">
        <v>1240</v>
      </c>
      <c r="I11" s="30" t="s">
        <v>1355</v>
      </c>
      <c r="J11" s="70">
        <v>41631</v>
      </c>
      <c r="K11" s="71" t="s">
        <v>1344</v>
      </c>
      <c r="L11" s="72" t="s">
        <v>1516</v>
      </c>
      <c r="M11" s="41"/>
      <c r="N11" s="41"/>
    </row>
    <row r="12" spans="1:14" ht="90" customHeight="1" x14ac:dyDescent="0.2">
      <c r="A12" s="68" t="s">
        <v>585</v>
      </c>
      <c r="B12" s="69" t="s">
        <v>365</v>
      </c>
      <c r="C12" s="104" t="s">
        <v>65</v>
      </c>
      <c r="D12" s="29" t="s">
        <v>65</v>
      </c>
      <c r="E12" s="29" t="s">
        <v>366</v>
      </c>
      <c r="F12" s="29" t="s">
        <v>16</v>
      </c>
      <c r="G12" s="30" t="s">
        <v>1369</v>
      </c>
      <c r="H12" s="30" t="s">
        <v>1240</v>
      </c>
      <c r="I12" s="30" t="s">
        <v>1355</v>
      </c>
      <c r="J12" s="73" t="s">
        <v>1345</v>
      </c>
      <c r="K12" s="72" t="s">
        <v>1346</v>
      </c>
      <c r="L12" s="30" t="s">
        <v>1359</v>
      </c>
      <c r="M12" s="30" t="s">
        <v>1347</v>
      </c>
      <c r="N12" s="30" t="s">
        <v>1348</v>
      </c>
    </row>
    <row r="13" spans="1:14" ht="90" customHeight="1" x14ac:dyDescent="0.2">
      <c r="A13" s="43" t="s">
        <v>585</v>
      </c>
      <c r="B13" s="75" t="s">
        <v>1179</v>
      </c>
      <c r="C13" s="271" t="s">
        <v>1164</v>
      </c>
      <c r="D13" s="76" t="s">
        <v>1164</v>
      </c>
      <c r="E13" s="43" t="s">
        <v>1168</v>
      </c>
      <c r="F13" s="43" t="s">
        <v>16</v>
      </c>
      <c r="G13" s="43" t="s">
        <v>685</v>
      </c>
      <c r="H13" s="75" t="s">
        <v>1240</v>
      </c>
      <c r="I13" s="75" t="s">
        <v>1355</v>
      </c>
      <c r="J13" s="77">
        <v>41509</v>
      </c>
      <c r="K13" s="78" t="s">
        <v>1349</v>
      </c>
      <c r="L13" s="75" t="s">
        <v>1516</v>
      </c>
      <c r="M13" s="30" t="s">
        <v>1350</v>
      </c>
      <c r="N13" s="41" t="s">
        <v>1351</v>
      </c>
    </row>
    <row r="14" spans="1:14" ht="90" customHeight="1" x14ac:dyDescent="0.2">
      <c r="A14" s="41" t="s">
        <v>585</v>
      </c>
      <c r="B14" s="41" t="s">
        <v>1239</v>
      </c>
      <c r="C14" s="196" t="s">
        <v>1235</v>
      </c>
      <c r="D14" s="30" t="s">
        <v>1235</v>
      </c>
      <c r="E14" s="30" t="s">
        <v>1238</v>
      </c>
      <c r="F14" s="41" t="s">
        <v>16</v>
      </c>
      <c r="G14" s="29" t="s">
        <v>12</v>
      </c>
      <c r="H14" s="30" t="s">
        <v>1240</v>
      </c>
      <c r="I14" s="30" t="s">
        <v>1355</v>
      </c>
      <c r="J14" s="70">
        <v>41591</v>
      </c>
      <c r="K14" s="41" t="s">
        <v>1241</v>
      </c>
      <c r="L14" s="30" t="s">
        <v>1734</v>
      </c>
      <c r="M14" s="30" t="s">
        <v>2113</v>
      </c>
      <c r="N14" s="30" t="s">
        <v>2112</v>
      </c>
    </row>
    <row r="15" spans="1:14" ht="90" customHeight="1" x14ac:dyDescent="0.2">
      <c r="A15" s="41" t="s">
        <v>585</v>
      </c>
      <c r="B15" s="41" t="s">
        <v>247</v>
      </c>
      <c r="C15" s="196" t="s">
        <v>440</v>
      </c>
      <c r="D15" s="30" t="s">
        <v>248</v>
      </c>
      <c r="E15" s="41" t="s">
        <v>255</v>
      </c>
      <c r="F15" s="41" t="s">
        <v>16</v>
      </c>
      <c r="G15" s="29" t="s">
        <v>12</v>
      </c>
      <c r="H15" s="30" t="s">
        <v>1240</v>
      </c>
      <c r="I15" s="30" t="s">
        <v>1355</v>
      </c>
      <c r="J15" s="70">
        <v>40743</v>
      </c>
      <c r="K15" s="41" t="s">
        <v>1352</v>
      </c>
      <c r="L15" s="30" t="s">
        <v>1357</v>
      </c>
      <c r="M15" s="30" t="s">
        <v>1330</v>
      </c>
      <c r="N15" s="30" t="s">
        <v>1353</v>
      </c>
    </row>
    <row r="16" spans="1:14" ht="90" customHeight="1" x14ac:dyDescent="0.2">
      <c r="A16" s="68" t="s">
        <v>585</v>
      </c>
      <c r="B16" s="29" t="s">
        <v>252</v>
      </c>
      <c r="C16" s="104" t="s">
        <v>439</v>
      </c>
      <c r="D16" s="29" t="s">
        <v>253</v>
      </c>
      <c r="E16" s="29" t="s">
        <v>256</v>
      </c>
      <c r="F16" s="29" t="s">
        <v>16</v>
      </c>
      <c r="G16" s="29" t="s">
        <v>12</v>
      </c>
      <c r="H16" s="30" t="s">
        <v>1240</v>
      </c>
      <c r="I16" s="30" t="s">
        <v>1355</v>
      </c>
      <c r="J16" s="70">
        <v>40737</v>
      </c>
      <c r="K16" s="71" t="s">
        <v>1354</v>
      </c>
      <c r="L16" s="30" t="s">
        <v>1357</v>
      </c>
      <c r="M16" s="30" t="s">
        <v>1330</v>
      </c>
      <c r="N16" s="30" t="s">
        <v>1353</v>
      </c>
    </row>
    <row r="17" spans="1:14" ht="90" customHeight="1" x14ac:dyDescent="0.2">
      <c r="A17" s="68" t="s">
        <v>585</v>
      </c>
      <c r="B17" s="69" t="s">
        <v>303</v>
      </c>
      <c r="C17" s="104" t="s">
        <v>291</v>
      </c>
      <c r="D17" s="29" t="s">
        <v>291</v>
      </c>
      <c r="E17" s="29" t="s">
        <v>292</v>
      </c>
      <c r="F17" s="29" t="s">
        <v>16</v>
      </c>
      <c r="G17" s="29" t="s">
        <v>18</v>
      </c>
      <c r="H17" s="30" t="s">
        <v>1240</v>
      </c>
      <c r="I17" s="30" t="s">
        <v>1355</v>
      </c>
      <c r="J17" s="74">
        <v>40871</v>
      </c>
      <c r="K17" s="71" t="s">
        <v>1324</v>
      </c>
      <c r="L17" s="30" t="s">
        <v>1357</v>
      </c>
      <c r="M17" s="30" t="s">
        <v>1325</v>
      </c>
      <c r="N17" s="30" t="s">
        <v>1353</v>
      </c>
    </row>
    <row r="18" spans="1:14" ht="90" customHeight="1" x14ac:dyDescent="0.2">
      <c r="A18" s="68" t="s">
        <v>1174</v>
      </c>
      <c r="B18" s="44" t="s">
        <v>1204</v>
      </c>
      <c r="C18" s="195" t="s">
        <v>1202</v>
      </c>
      <c r="D18" s="44" t="s">
        <v>1202</v>
      </c>
      <c r="E18" s="44" t="s">
        <v>1203</v>
      </c>
      <c r="F18" s="44" t="s">
        <v>454</v>
      </c>
      <c r="G18" s="29" t="s">
        <v>12</v>
      </c>
      <c r="H18" s="44" t="s">
        <v>1362</v>
      </c>
      <c r="I18" s="30" t="s">
        <v>1355</v>
      </c>
      <c r="J18" s="79">
        <v>41677</v>
      </c>
      <c r="K18" s="44" t="s">
        <v>2029</v>
      </c>
      <c r="L18" s="72" t="s">
        <v>1516</v>
      </c>
      <c r="M18" s="44"/>
      <c r="N18" s="44"/>
    </row>
    <row r="19" spans="1:14" ht="90" customHeight="1" x14ac:dyDescent="0.2">
      <c r="A19" s="44" t="s">
        <v>585</v>
      </c>
      <c r="B19" s="80" t="s">
        <v>1361</v>
      </c>
      <c r="C19" s="196" t="s">
        <v>1138</v>
      </c>
      <c r="D19" s="30" t="s">
        <v>1311</v>
      </c>
      <c r="E19" s="44" t="s">
        <v>1312</v>
      </c>
      <c r="F19" s="41" t="s">
        <v>11</v>
      </c>
      <c r="G19" s="30" t="s">
        <v>66</v>
      </c>
      <c r="H19" s="45" t="s">
        <v>1360</v>
      </c>
      <c r="I19" s="30" t="s">
        <v>1355</v>
      </c>
      <c r="J19" s="79">
        <v>41670</v>
      </c>
      <c r="K19" s="81" t="s">
        <v>1955</v>
      </c>
      <c r="L19" s="72" t="s">
        <v>1516</v>
      </c>
      <c r="M19" s="44"/>
      <c r="N19" s="44"/>
    </row>
    <row r="20" spans="1:14" ht="90" customHeight="1" x14ac:dyDescent="0.2">
      <c r="A20" s="30" t="s">
        <v>1137</v>
      </c>
      <c r="B20" s="30" t="s">
        <v>1434</v>
      </c>
      <c r="C20" s="196" t="s">
        <v>1435</v>
      </c>
      <c r="D20" s="30" t="s">
        <v>1435</v>
      </c>
      <c r="E20" s="30" t="s">
        <v>697</v>
      </c>
      <c r="F20" s="30" t="s">
        <v>1394</v>
      </c>
      <c r="G20" s="30" t="s">
        <v>795</v>
      </c>
      <c r="H20" s="30" t="s">
        <v>1442</v>
      </c>
      <c r="I20" s="30" t="s">
        <v>1355</v>
      </c>
      <c r="J20" s="73">
        <v>41981</v>
      </c>
      <c r="K20" s="30" t="s">
        <v>1956</v>
      </c>
      <c r="L20" s="72" t="s">
        <v>1516</v>
      </c>
      <c r="M20" s="30"/>
      <c r="N20" s="82"/>
    </row>
    <row r="21" spans="1:14" ht="90" customHeight="1" x14ac:dyDescent="0.2">
      <c r="A21" s="30" t="s">
        <v>1137</v>
      </c>
      <c r="B21" s="30" t="s">
        <v>622</v>
      </c>
      <c r="C21" s="196" t="s">
        <v>1463</v>
      </c>
      <c r="D21" s="30" t="s">
        <v>1463</v>
      </c>
      <c r="E21" s="30" t="s">
        <v>605</v>
      </c>
      <c r="F21" s="30" t="s">
        <v>16</v>
      </c>
      <c r="G21" s="30" t="s">
        <v>685</v>
      </c>
      <c r="H21" s="30" t="s">
        <v>1442</v>
      </c>
      <c r="I21" s="30" t="s">
        <v>1511</v>
      </c>
      <c r="J21" s="73">
        <v>41985</v>
      </c>
      <c r="K21" s="73" t="s">
        <v>1512</v>
      </c>
      <c r="L21" s="72" t="s">
        <v>1516</v>
      </c>
      <c r="M21" s="83"/>
      <c r="N21" s="41"/>
    </row>
    <row r="22" spans="1:14" ht="90" customHeight="1" x14ac:dyDescent="0.2">
      <c r="A22" s="30" t="s">
        <v>1137</v>
      </c>
      <c r="B22" s="30" t="s">
        <v>1510</v>
      </c>
      <c r="C22" s="196" t="s">
        <v>1451</v>
      </c>
      <c r="D22" s="30" t="s">
        <v>1452</v>
      </c>
      <c r="E22" s="30" t="s">
        <v>1455</v>
      </c>
      <c r="F22" s="30" t="s">
        <v>16</v>
      </c>
      <c r="G22" s="30" t="s">
        <v>1042</v>
      </c>
      <c r="H22" s="30" t="s">
        <v>1524</v>
      </c>
      <c r="I22" s="30" t="s">
        <v>1511</v>
      </c>
      <c r="J22" s="70">
        <v>42037</v>
      </c>
      <c r="K22" s="41" t="s">
        <v>1525</v>
      </c>
      <c r="L22" s="30" t="s">
        <v>1516</v>
      </c>
      <c r="M22" s="30" t="s">
        <v>1735</v>
      </c>
      <c r="N22" s="41"/>
    </row>
    <row r="23" spans="1:14" ht="90" customHeight="1" x14ac:dyDescent="0.2">
      <c r="A23" s="30" t="s">
        <v>1137</v>
      </c>
      <c r="B23" s="30" t="s">
        <v>1468</v>
      </c>
      <c r="C23" s="196" t="s">
        <v>1732</v>
      </c>
      <c r="D23" s="30" t="s">
        <v>1732</v>
      </c>
      <c r="E23" s="30" t="s">
        <v>51</v>
      </c>
      <c r="F23" s="30" t="s">
        <v>16</v>
      </c>
      <c r="G23" s="29" t="s">
        <v>12</v>
      </c>
      <c r="H23" s="30" t="s">
        <v>1524</v>
      </c>
      <c r="I23" s="30" t="s">
        <v>1747</v>
      </c>
      <c r="J23" s="70">
        <v>42051</v>
      </c>
      <c r="K23" s="41" t="s">
        <v>1733</v>
      </c>
      <c r="L23" s="30" t="s">
        <v>1734</v>
      </c>
      <c r="M23" s="30" t="s">
        <v>1735</v>
      </c>
      <c r="N23" s="30" t="s">
        <v>1736</v>
      </c>
    </row>
    <row r="24" spans="1:14" ht="90" customHeight="1" x14ac:dyDescent="0.2">
      <c r="A24" s="30" t="s">
        <v>1174</v>
      </c>
      <c r="B24" s="30" t="s">
        <v>1204</v>
      </c>
      <c r="C24" s="196" t="s">
        <v>1738</v>
      </c>
      <c r="D24" s="30" t="s">
        <v>1738</v>
      </c>
      <c r="E24" s="30" t="s">
        <v>1739</v>
      </c>
      <c r="F24" s="30" t="s">
        <v>16</v>
      </c>
      <c r="G24" s="29" t="s">
        <v>12</v>
      </c>
      <c r="H24" s="30" t="s">
        <v>1524</v>
      </c>
      <c r="I24" s="30" t="s">
        <v>1742</v>
      </c>
      <c r="J24" s="70">
        <v>42054</v>
      </c>
      <c r="K24" s="41" t="s">
        <v>1743</v>
      </c>
      <c r="L24" s="30" t="s">
        <v>1734</v>
      </c>
      <c r="M24" s="30" t="s">
        <v>1735</v>
      </c>
      <c r="N24" s="30" t="s">
        <v>1746</v>
      </c>
    </row>
    <row r="25" spans="1:14" ht="90" customHeight="1" x14ac:dyDescent="0.2">
      <c r="A25" s="30" t="s">
        <v>1174</v>
      </c>
      <c r="B25" s="30" t="s">
        <v>1737</v>
      </c>
      <c r="C25" s="196" t="s">
        <v>1740</v>
      </c>
      <c r="D25" s="30" t="s">
        <v>1740</v>
      </c>
      <c r="E25" s="30" t="s">
        <v>1520</v>
      </c>
      <c r="F25" s="30" t="s">
        <v>16</v>
      </c>
      <c r="G25" s="29" t="s">
        <v>12</v>
      </c>
      <c r="H25" s="30" t="s">
        <v>1524</v>
      </c>
      <c r="I25" s="30" t="s">
        <v>1742</v>
      </c>
      <c r="J25" s="70">
        <v>42054</v>
      </c>
      <c r="K25" s="41" t="s">
        <v>1744</v>
      </c>
      <c r="L25" s="30" t="s">
        <v>1734</v>
      </c>
      <c r="M25" s="30" t="s">
        <v>1735</v>
      </c>
      <c r="N25" s="30" t="s">
        <v>1746</v>
      </c>
    </row>
    <row r="26" spans="1:14" ht="90" customHeight="1" x14ac:dyDescent="0.2">
      <c r="A26" s="30" t="s">
        <v>1174</v>
      </c>
      <c r="B26" s="30" t="s">
        <v>1521</v>
      </c>
      <c r="C26" s="196" t="s">
        <v>1522</v>
      </c>
      <c r="D26" s="30" t="s">
        <v>1522</v>
      </c>
      <c r="E26" s="30" t="s">
        <v>1741</v>
      </c>
      <c r="F26" s="30" t="s">
        <v>16</v>
      </c>
      <c r="G26" s="29" t="s">
        <v>12</v>
      </c>
      <c r="H26" s="30" t="s">
        <v>1524</v>
      </c>
      <c r="I26" s="30" t="s">
        <v>1742</v>
      </c>
      <c r="J26" s="70">
        <v>42054</v>
      </c>
      <c r="K26" s="41" t="s">
        <v>1745</v>
      </c>
      <c r="L26" s="30" t="s">
        <v>1734</v>
      </c>
      <c r="M26" s="30" t="s">
        <v>1735</v>
      </c>
      <c r="N26" s="30" t="s">
        <v>1746</v>
      </c>
    </row>
    <row r="27" spans="1:14" ht="90" customHeight="1" x14ac:dyDescent="0.2">
      <c r="A27" s="30" t="s">
        <v>1137</v>
      </c>
      <c r="B27" s="30" t="s">
        <v>1401</v>
      </c>
      <c r="C27" s="196" t="s">
        <v>1402</v>
      </c>
      <c r="D27" s="30" t="s">
        <v>1402</v>
      </c>
      <c r="E27" s="30" t="s">
        <v>1403</v>
      </c>
      <c r="F27" s="30" t="s">
        <v>16</v>
      </c>
      <c r="G27" s="29" t="s">
        <v>12</v>
      </c>
      <c r="H27" s="30" t="s">
        <v>1442</v>
      </c>
      <c r="I27" s="30" t="s">
        <v>1355</v>
      </c>
      <c r="J27" s="73">
        <v>41940</v>
      </c>
      <c r="K27" s="30" t="s">
        <v>1509</v>
      </c>
      <c r="L27" s="30" t="s">
        <v>1516</v>
      </c>
      <c r="M27" s="83"/>
      <c r="N27" s="30"/>
    </row>
    <row r="28" spans="1:14" ht="90" customHeight="1" x14ac:dyDescent="0.2">
      <c r="A28" s="30" t="s">
        <v>1137</v>
      </c>
      <c r="B28" s="30" t="s">
        <v>1470</v>
      </c>
      <c r="C28" s="196" t="s">
        <v>1465</v>
      </c>
      <c r="D28" s="30" t="s">
        <v>1465</v>
      </c>
      <c r="E28" s="30" t="s">
        <v>1513</v>
      </c>
      <c r="F28" s="30" t="s">
        <v>16</v>
      </c>
      <c r="G28" s="30" t="s">
        <v>66</v>
      </c>
      <c r="H28" s="30" t="s">
        <v>1442</v>
      </c>
      <c r="I28" s="30" t="s">
        <v>1355</v>
      </c>
      <c r="J28" s="73">
        <v>42026</v>
      </c>
      <c r="K28" s="30" t="s">
        <v>1515</v>
      </c>
      <c r="L28" s="30" t="s">
        <v>1516</v>
      </c>
      <c r="M28" s="30"/>
      <c r="N28" s="30"/>
    </row>
    <row r="29" spans="1:14" ht="90" customHeight="1" x14ac:dyDescent="0.2">
      <c r="A29" s="84" t="s">
        <v>1137</v>
      </c>
      <c r="B29" s="41" t="s">
        <v>1707</v>
      </c>
      <c r="C29" s="196" t="s">
        <v>65</v>
      </c>
      <c r="D29" s="30" t="s">
        <v>65</v>
      </c>
      <c r="E29" s="41" t="s">
        <v>51</v>
      </c>
      <c r="F29" s="41" t="s">
        <v>16</v>
      </c>
      <c r="G29" s="30" t="s">
        <v>1369</v>
      </c>
      <c r="H29" s="30" t="s">
        <v>1442</v>
      </c>
      <c r="I29" s="30" t="s">
        <v>1708</v>
      </c>
      <c r="J29" s="70">
        <v>41232</v>
      </c>
      <c r="K29" s="41" t="s">
        <v>1944</v>
      </c>
      <c r="L29" s="30" t="s">
        <v>1734</v>
      </c>
      <c r="M29" s="30" t="s">
        <v>1946</v>
      </c>
      <c r="N29" s="30" t="s">
        <v>1945</v>
      </c>
    </row>
    <row r="30" spans="1:14" ht="90" customHeight="1" x14ac:dyDescent="0.2">
      <c r="A30" s="85" t="s">
        <v>1137</v>
      </c>
      <c r="B30" s="86" t="s">
        <v>1480</v>
      </c>
      <c r="C30" s="199" t="s">
        <v>1481</v>
      </c>
      <c r="D30" s="87" t="s">
        <v>1481</v>
      </c>
      <c r="E30" s="86" t="s">
        <v>414</v>
      </c>
      <c r="F30" s="86" t="s">
        <v>16</v>
      </c>
      <c r="G30" s="28" t="s">
        <v>685</v>
      </c>
      <c r="H30" s="87" t="s">
        <v>1442</v>
      </c>
      <c r="I30" s="87" t="s">
        <v>1511</v>
      </c>
      <c r="J30" s="88">
        <v>42089</v>
      </c>
      <c r="K30" s="86" t="s">
        <v>1748</v>
      </c>
      <c r="L30" s="30" t="s">
        <v>1516</v>
      </c>
      <c r="M30" s="87" t="s">
        <v>2108</v>
      </c>
      <c r="N30" s="86"/>
    </row>
    <row r="31" spans="1:14" ht="90" customHeight="1" x14ac:dyDescent="0.2">
      <c r="A31" s="84" t="s">
        <v>1137</v>
      </c>
      <c r="B31" s="41" t="s">
        <v>1995</v>
      </c>
      <c r="C31" s="196" t="s">
        <v>2030</v>
      </c>
      <c r="D31" s="30" t="s">
        <v>2030</v>
      </c>
      <c r="E31" s="30" t="s">
        <v>1996</v>
      </c>
      <c r="F31" s="41" t="s">
        <v>16</v>
      </c>
      <c r="G31" s="28" t="s">
        <v>685</v>
      </c>
      <c r="H31" s="30" t="s">
        <v>1442</v>
      </c>
      <c r="I31" s="30" t="s">
        <v>1708</v>
      </c>
      <c r="J31" s="70">
        <v>42187</v>
      </c>
      <c r="K31" s="41" t="s">
        <v>1994</v>
      </c>
      <c r="L31" s="30" t="s">
        <v>1516</v>
      </c>
      <c r="M31" s="30" t="s">
        <v>2041</v>
      </c>
      <c r="N31" s="41"/>
    </row>
    <row r="32" spans="1:14" ht="77.25" customHeight="1" x14ac:dyDescent="0.2">
      <c r="A32" s="85" t="s">
        <v>1137</v>
      </c>
      <c r="B32" s="89" t="s">
        <v>1469</v>
      </c>
      <c r="C32" s="199" t="s">
        <v>2053</v>
      </c>
      <c r="D32" s="87" t="s">
        <v>2053</v>
      </c>
      <c r="E32" s="87" t="s">
        <v>1441</v>
      </c>
      <c r="F32" s="86" t="s">
        <v>16</v>
      </c>
      <c r="G32" s="87" t="s">
        <v>2054</v>
      </c>
      <c r="H32" s="87" t="s">
        <v>2055</v>
      </c>
      <c r="I32" s="87" t="s">
        <v>2057</v>
      </c>
      <c r="J32" s="88">
        <v>42226</v>
      </c>
      <c r="K32" s="86" t="s">
        <v>2056</v>
      </c>
      <c r="L32" s="30" t="s">
        <v>1734</v>
      </c>
      <c r="M32" s="87" t="s">
        <v>2110</v>
      </c>
      <c r="N32" s="87" t="s">
        <v>2109</v>
      </c>
    </row>
    <row r="33" spans="1:14" ht="108.75" customHeight="1" x14ac:dyDescent="0.2">
      <c r="A33" s="36" t="s">
        <v>584</v>
      </c>
      <c r="B33" s="28" t="s">
        <v>2201</v>
      </c>
      <c r="C33" s="168" t="s">
        <v>2202</v>
      </c>
      <c r="D33" s="28" t="s">
        <v>2204</v>
      </c>
      <c r="E33" s="28" t="s">
        <v>2205</v>
      </c>
      <c r="F33" s="28" t="s">
        <v>11</v>
      </c>
      <c r="G33" s="28" t="s">
        <v>685</v>
      </c>
      <c r="H33" s="28" t="s">
        <v>2055</v>
      </c>
      <c r="I33" s="28" t="s">
        <v>2206</v>
      </c>
      <c r="J33" s="90">
        <v>42335</v>
      </c>
      <c r="K33" s="28" t="s">
        <v>2203</v>
      </c>
      <c r="L33" s="91" t="s">
        <v>1339</v>
      </c>
      <c r="M33" s="91" t="s">
        <v>2775</v>
      </c>
      <c r="N33" s="91" t="s">
        <v>2343</v>
      </c>
    </row>
    <row r="34" spans="1:14" ht="122.25" customHeight="1" x14ac:dyDescent="0.2">
      <c r="A34" s="92" t="s">
        <v>1137</v>
      </c>
      <c r="B34" s="92" t="s">
        <v>2593</v>
      </c>
      <c r="C34" s="168" t="s">
        <v>2556</v>
      </c>
      <c r="D34" s="28" t="s">
        <v>2556</v>
      </c>
      <c r="E34" s="28" t="s">
        <v>2592</v>
      </c>
      <c r="F34" s="40" t="s">
        <v>16</v>
      </c>
      <c r="G34" s="29" t="s">
        <v>12</v>
      </c>
      <c r="H34" s="28" t="s">
        <v>2595</v>
      </c>
      <c r="I34" s="28" t="s">
        <v>2596</v>
      </c>
      <c r="J34" s="93">
        <v>42555</v>
      </c>
      <c r="K34" s="40" t="s">
        <v>2594</v>
      </c>
      <c r="L34" s="28" t="s">
        <v>1516</v>
      </c>
      <c r="M34" s="91" t="s">
        <v>2651</v>
      </c>
      <c r="N34" s="28" t="s">
        <v>2652</v>
      </c>
    </row>
    <row r="35" spans="1:14" s="95" customFormat="1" ht="129.75" customHeight="1" x14ac:dyDescent="0.2">
      <c r="A35" s="40" t="s">
        <v>1137</v>
      </c>
      <c r="B35" s="94" t="s">
        <v>2645</v>
      </c>
      <c r="C35" s="168" t="s">
        <v>2621</v>
      </c>
      <c r="D35" s="28" t="s">
        <v>2621</v>
      </c>
      <c r="E35" s="40" t="s">
        <v>25</v>
      </c>
      <c r="F35" s="40" t="s">
        <v>16</v>
      </c>
      <c r="G35" s="28" t="s">
        <v>685</v>
      </c>
      <c r="H35" s="28" t="s">
        <v>2595</v>
      </c>
      <c r="I35" s="28" t="s">
        <v>2668</v>
      </c>
      <c r="J35" s="93">
        <v>42613</v>
      </c>
      <c r="K35" s="40" t="s">
        <v>2662</v>
      </c>
      <c r="L35" s="28" t="s">
        <v>1516</v>
      </c>
      <c r="M35" s="28" t="s">
        <v>2774</v>
      </c>
      <c r="N35" s="40"/>
    </row>
    <row r="36" spans="1:14" ht="127.5" x14ac:dyDescent="0.2">
      <c r="A36" s="40" t="s">
        <v>1137</v>
      </c>
      <c r="B36" s="94" t="s">
        <v>2644</v>
      </c>
      <c r="C36" s="229" t="s">
        <v>2622</v>
      </c>
      <c r="D36" s="96" t="s">
        <v>2623</v>
      </c>
      <c r="E36" s="28" t="s">
        <v>2401</v>
      </c>
      <c r="F36" s="45" t="s">
        <v>1394</v>
      </c>
      <c r="G36" s="96" t="s">
        <v>2583</v>
      </c>
      <c r="H36" s="28" t="s">
        <v>2595</v>
      </c>
      <c r="I36" s="28" t="s">
        <v>2667</v>
      </c>
      <c r="J36" s="93">
        <v>42618</v>
      </c>
      <c r="K36" s="40" t="s">
        <v>2669</v>
      </c>
      <c r="L36" s="30" t="s">
        <v>1734</v>
      </c>
      <c r="M36" s="28" t="s">
        <v>2776</v>
      </c>
      <c r="N36" s="28" t="s">
        <v>2773</v>
      </c>
    </row>
    <row r="37" spans="1:14" ht="112.5" customHeight="1" x14ac:dyDescent="0.2">
      <c r="A37" s="40" t="s">
        <v>584</v>
      </c>
      <c r="B37" s="94" t="s">
        <v>3133</v>
      </c>
      <c r="C37" s="229" t="s">
        <v>3130</v>
      </c>
      <c r="D37" s="96" t="s">
        <v>3130</v>
      </c>
      <c r="E37" s="28" t="s">
        <v>3131</v>
      </c>
      <c r="F37" s="45" t="s">
        <v>3295</v>
      </c>
      <c r="G37" s="28" t="s">
        <v>3132</v>
      </c>
      <c r="H37" s="28" t="s">
        <v>3296</v>
      </c>
      <c r="I37" s="319" t="s">
        <v>3562</v>
      </c>
      <c r="J37" s="93">
        <v>43143</v>
      </c>
      <c r="K37" s="28" t="s">
        <v>3297</v>
      </c>
      <c r="L37" s="30" t="s">
        <v>1516</v>
      </c>
      <c r="M37" s="28"/>
      <c r="N37" s="28"/>
    </row>
    <row r="45" spans="1:14" x14ac:dyDescent="0.2">
      <c r="C45" s="67"/>
      <c r="G45" s="67"/>
    </row>
  </sheetData>
  <sheetProtection autoFilter="0"/>
  <autoFilter ref="A1:N36"/>
  <conditionalFormatting sqref="F1 D1 H1:N1">
    <cfRule type="expression" dxfId="1" priority="2" stopIfTrue="1">
      <formula>NA()</formula>
    </cfRule>
  </conditionalFormatting>
  <conditionalFormatting sqref="I1">
    <cfRule type="expression" dxfId="0" priority="1" stopIfTrue="1">
      <formula>NA()</formula>
    </cfRule>
  </conditionalFormatting>
  <hyperlinks>
    <hyperlink ref="H33" r:id="rId1"/>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3</vt:i4>
      </vt:variant>
    </vt:vector>
  </HeadingPairs>
  <TitlesOfParts>
    <vt:vector size="12" baseType="lpstr">
      <vt:lpstr>Formulas</vt:lpstr>
      <vt:lpstr>PROT</vt:lpstr>
      <vt:lpstr>DEF</vt:lpstr>
      <vt:lpstr>ENCER e INDEF</vt:lpstr>
      <vt:lpstr>CANCELAMENTOS</vt:lpstr>
      <vt:lpstr>SEG_EFIC</vt:lpstr>
      <vt:lpstr>INC LISTAS</vt:lpstr>
      <vt:lpstr>CBPF</vt:lpstr>
      <vt:lpstr>PRIORIZ</vt:lpstr>
      <vt:lpstr>CANCELAMENTOS!Area_de_impressao</vt:lpstr>
      <vt:lpstr>DEF!Area_de_impressao</vt:lpstr>
      <vt:lpstr>'ENCER e INDEF'!Area_de_impressao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2021-03-04T17:18:43Z</dcterms:created>
  <dcterms:modified xsi:type="dcterms:W3CDTF">2021-08-31T19:36:05Z</dcterms:modified>
</cp:coreProperties>
</file>