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1600" windowHeight="9735"/>
  </bookViews>
  <sheets>
    <sheet name="Entrada" sheetId="1" r:id="rId1"/>
    <sheet name="Cabeçalho" sheetId="11" state="hidden" r:id="rId2"/>
    <sheet name="Grafico_Dados" sheetId="30" state="hidden" r:id="rId3"/>
  </sheets>
  <definedNames>
    <definedName name="SegmentaçãodeDados_Conta">#N/A</definedName>
    <definedName name="SegmentaçãodeDados_Idade">#N/A</definedName>
    <definedName name="SegmentaçãodeDados_Matrícula">#N/A</definedName>
    <definedName name="SegmentaçãodeDados_Matrícula1">#N/A</definedName>
    <definedName name="SegmentaçãodeDados_Matrícula2">#N/A</definedName>
    <definedName name="SegmentaçãodeDados_RG">#N/A</definedName>
    <definedName name="SegmentaçãodeDados_Título_de_Eleitor">#N/A</definedName>
  </definedNames>
  <calcPr calcId="152511"/>
  <pivotCaches>
    <pivotCache cacheId="9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0" l="1"/>
  <c r="E4" i="30"/>
  <c r="A4" i="30" l="1"/>
  <c r="K5" i="30" l="1"/>
  <c r="B4" i="30"/>
  <c r="L5" i="30"/>
</calcChain>
</file>

<file path=xl/sharedStrings.xml><?xml version="1.0" encoding="utf-8"?>
<sst xmlns="http://schemas.openxmlformats.org/spreadsheetml/2006/main" count="220" uniqueCount="206">
  <si>
    <t>PNE</t>
  </si>
  <si>
    <t>CBO</t>
  </si>
  <si>
    <t>RG</t>
  </si>
  <si>
    <t>CPF</t>
  </si>
  <si>
    <t>CTPS</t>
  </si>
  <si>
    <t>PIS</t>
  </si>
  <si>
    <t>CNH</t>
  </si>
  <si>
    <t>UF</t>
  </si>
  <si>
    <t>CEP</t>
  </si>
  <si>
    <t>Ano/mês de competência</t>
  </si>
  <si>
    <t>Matrícula</t>
  </si>
  <si>
    <t>Status da ocupação</t>
  </si>
  <si>
    <t>Ad</t>
  </si>
  <si>
    <t>Posição</t>
  </si>
  <si>
    <t>Grupo de Empregado</t>
  </si>
  <si>
    <t>Subgrupo de Empregado</t>
  </si>
  <si>
    <t>Empresa</t>
  </si>
  <si>
    <t>Descrição Empresa</t>
  </si>
  <si>
    <t>Código área de RH</t>
  </si>
  <si>
    <t>Descrição área de RH</t>
  </si>
  <si>
    <t>Código da Subarea de RH</t>
  </si>
  <si>
    <t>Descrição da Subarea de RH</t>
  </si>
  <si>
    <t>Quota Aprendiz</t>
  </si>
  <si>
    <t>Local Físico</t>
  </si>
  <si>
    <t>Nome</t>
  </si>
  <si>
    <t>Nome de guerra</t>
  </si>
  <si>
    <t>Código Unid. Organiz.</t>
  </si>
  <si>
    <t>Abreviação Unid. Org.</t>
  </si>
  <si>
    <t>Descrição Unid. Org.</t>
  </si>
  <si>
    <t>Divisão</t>
  </si>
  <si>
    <t>Centro de Custo</t>
  </si>
  <si>
    <t>Descrição Centro de Custo</t>
  </si>
  <si>
    <t>Código Unid. Org. Superior</t>
  </si>
  <si>
    <t>Abreviação Unid. Org. Superior</t>
  </si>
  <si>
    <t>Descrição Unid. Org. Superior</t>
  </si>
  <si>
    <t>Nome Gestor imediato</t>
  </si>
  <si>
    <t>Código Nível Hierárquico</t>
  </si>
  <si>
    <t>Abreviatura Nível Hierárquico</t>
  </si>
  <si>
    <t>Descrição Nível Hierárquico</t>
  </si>
  <si>
    <t>Código Tipo de Unidade</t>
  </si>
  <si>
    <t>Abreviação Tipo de Unidade</t>
  </si>
  <si>
    <t>Descrição Tipo de Unidade</t>
  </si>
  <si>
    <t>Código Wclass Subárea</t>
  </si>
  <si>
    <t>Descrição Wclass Subárea</t>
  </si>
  <si>
    <t>Código Wclass Área</t>
  </si>
  <si>
    <t>Descrição Wclass Área</t>
  </si>
  <si>
    <t>Código Wclass Local</t>
  </si>
  <si>
    <t>Descrição Wclass Local</t>
  </si>
  <si>
    <t>Data de Admissão</t>
  </si>
  <si>
    <t>Tempo de empresa</t>
  </si>
  <si>
    <t>Tempo em empresas do grupo</t>
  </si>
  <si>
    <t>Data de Nascimento</t>
  </si>
  <si>
    <t>Idade</t>
  </si>
  <si>
    <t>Tempo de Contribuição em Plano de Saúde</t>
  </si>
  <si>
    <t>Nacionalidade</t>
  </si>
  <si>
    <t>Cidade</t>
  </si>
  <si>
    <t>País</t>
  </si>
  <si>
    <t>Naturalizado</t>
  </si>
  <si>
    <t>Sexo</t>
  </si>
  <si>
    <t>Aposentado</t>
  </si>
  <si>
    <t>Nº Benefício Aposentadoria</t>
  </si>
  <si>
    <t>Estado civil</t>
  </si>
  <si>
    <t>Raça</t>
  </si>
  <si>
    <t>Instrução</t>
  </si>
  <si>
    <t>Código Cargo</t>
  </si>
  <si>
    <t>Abreviação Cargo</t>
  </si>
  <si>
    <t>Descrição Cargo</t>
  </si>
  <si>
    <t>Motivo Cargo</t>
  </si>
  <si>
    <t>Ano/mês no cargo</t>
  </si>
  <si>
    <t>Jornada mês</t>
  </si>
  <si>
    <t>Organograma Gerencia</t>
  </si>
  <si>
    <t>Organograma Gerencia Executiva</t>
  </si>
  <si>
    <t>Organograma Diretoria</t>
  </si>
  <si>
    <t>Organograma Conselho</t>
  </si>
  <si>
    <t>Organograma Vice Presidência</t>
  </si>
  <si>
    <t>Organograma Presidência</t>
  </si>
  <si>
    <t>Salário Mensalizado</t>
  </si>
  <si>
    <t>Salário Contratual</t>
  </si>
  <si>
    <t>Salário Nominal</t>
  </si>
  <si>
    <t>Remuneração Bruta</t>
  </si>
  <si>
    <t>Tipo de tarifa (Código)</t>
  </si>
  <si>
    <t>Tipo de Tarifa</t>
  </si>
  <si>
    <t>Nível</t>
  </si>
  <si>
    <t>Grupo Salarial</t>
  </si>
  <si>
    <t>Ano/mês último aumento</t>
  </si>
  <si>
    <t>Motivo último aumento</t>
  </si>
  <si>
    <t>Valor último aumento</t>
  </si>
  <si>
    <t>Percentual reajuste último aumento</t>
  </si>
  <si>
    <t>Tempo no salário (sem ACT)</t>
  </si>
  <si>
    <t>Afastamento</t>
  </si>
  <si>
    <t>Sindicalizado</t>
  </si>
  <si>
    <t>Órgão Expedidor</t>
  </si>
  <si>
    <t>Data de Emissão</t>
  </si>
  <si>
    <t>Série</t>
  </si>
  <si>
    <t>Categoria CNH</t>
  </si>
  <si>
    <t>Dt. Inicio Validade CNH</t>
  </si>
  <si>
    <t>Validade CNH</t>
  </si>
  <si>
    <t>Número Conselho Regional</t>
  </si>
  <si>
    <t>Nome Conselho Regional</t>
  </si>
  <si>
    <t>Sigla Conselho Regional</t>
  </si>
  <si>
    <t>Título de Eleitor</t>
  </si>
  <si>
    <t>Zona Título de Eleitor  </t>
  </si>
  <si>
    <t>Seção Eleitoral</t>
  </si>
  <si>
    <t>UF de expedição</t>
  </si>
  <si>
    <t>Certificado reservista  </t>
  </si>
  <si>
    <t>Espécie</t>
  </si>
  <si>
    <t>Categoria</t>
  </si>
  <si>
    <t>Endereço</t>
  </si>
  <si>
    <t>Número</t>
  </si>
  <si>
    <t>Complemento</t>
  </si>
  <si>
    <t>Bairro</t>
  </si>
  <si>
    <t>Telefone residencial</t>
  </si>
  <si>
    <t>Telefone celular</t>
  </si>
  <si>
    <t>Telefone recado</t>
  </si>
  <si>
    <t>Banco</t>
  </si>
  <si>
    <t>Agencia</t>
  </si>
  <si>
    <t>Conta</t>
  </si>
  <si>
    <t>Data demissão</t>
  </si>
  <si>
    <t>Motivo demissão</t>
  </si>
  <si>
    <t>Justificativa de demissão</t>
  </si>
  <si>
    <t>Ramo1</t>
  </si>
  <si>
    <t>Família de Cargo</t>
  </si>
  <si>
    <t>Ramo2</t>
  </si>
  <si>
    <t>Ramo4</t>
  </si>
  <si>
    <t>Nível do Cargo</t>
  </si>
  <si>
    <t>Salário normal</t>
  </si>
  <si>
    <t>Salário férias</t>
  </si>
  <si>
    <t>Salários horas extras</t>
  </si>
  <si>
    <t>Salário banco de horas</t>
  </si>
  <si>
    <t>Salário Outros</t>
  </si>
  <si>
    <t>Qtde horas extras</t>
  </si>
  <si>
    <t>Qtde banco de horas</t>
  </si>
  <si>
    <t>Valor PLR</t>
  </si>
  <si>
    <t>Valor 13 salário</t>
  </si>
  <si>
    <t>Valor INSS</t>
  </si>
  <si>
    <t>Valor FGTS</t>
  </si>
  <si>
    <t>Valor Indenização</t>
  </si>
  <si>
    <t>Valor Periculosidade</t>
  </si>
  <si>
    <t>Valor Insalubridade</t>
  </si>
  <si>
    <t>Valor Contribuição Sindical</t>
  </si>
  <si>
    <t>Assistência médica Duratex</t>
  </si>
  <si>
    <t>Assistência médica funcionário</t>
  </si>
  <si>
    <t>Assistência odontológica Duratex</t>
  </si>
  <si>
    <t>Assistência odontológica funcionário</t>
  </si>
  <si>
    <t>Farmácia Duratex</t>
  </si>
  <si>
    <t>Farmácia funcionário</t>
  </si>
  <si>
    <t>Restaurante Duratex</t>
  </si>
  <si>
    <t>Restaurante Funcionário</t>
  </si>
  <si>
    <t>Fundação Plano CD Duratex</t>
  </si>
  <si>
    <t>Fundação Plano CD Funcionário</t>
  </si>
  <si>
    <t>Fundação Plano BD Duratex</t>
  </si>
  <si>
    <t>Vale transporte Duratex</t>
  </si>
  <si>
    <t>Vale transporte funcionário</t>
  </si>
  <si>
    <t>Fretado Duratex</t>
  </si>
  <si>
    <t>Fretado funcionário</t>
  </si>
  <si>
    <t>Ticket Duratex</t>
  </si>
  <si>
    <t>Ticket funcionário</t>
  </si>
  <si>
    <t>Cesta básica Duratex</t>
  </si>
  <si>
    <t>Cesta básica funcionário</t>
  </si>
  <si>
    <t>Seguro de vida Duratex</t>
  </si>
  <si>
    <t>Seguro de vida funcionário</t>
  </si>
  <si>
    <t>Vacina Duratex</t>
  </si>
  <si>
    <t>Vacina funcionário</t>
  </si>
  <si>
    <t>Auxílio doença Duratex</t>
  </si>
  <si>
    <t>Auxílio creche Duratex</t>
  </si>
  <si>
    <t>Auxílio funeral Duratex</t>
  </si>
  <si>
    <t>Brinquedos Duratex</t>
  </si>
  <si>
    <t>Cesta de natal Duratex</t>
  </si>
  <si>
    <t>Honorário especial diretor</t>
  </si>
  <si>
    <t>Honorário complementar diretor</t>
  </si>
  <si>
    <t>Participção estat cons</t>
  </si>
  <si>
    <t>Gratificação especial</t>
  </si>
  <si>
    <t>Súmula 90</t>
  </si>
  <si>
    <t>Outros Benefícios Duratex</t>
  </si>
  <si>
    <t>Outros Benefícios Funcionário</t>
  </si>
  <si>
    <t>Encargos de férias</t>
  </si>
  <si>
    <t>Email</t>
  </si>
  <si>
    <t>Ramal</t>
  </si>
  <si>
    <t>User ID</t>
  </si>
  <si>
    <t>Empr</t>
  </si>
  <si>
    <t>ÁrRH</t>
  </si>
  <si>
    <t>Área de recursos humanos</t>
  </si>
  <si>
    <t>UnidOrg.</t>
  </si>
  <si>
    <t>Unidade organizacional</t>
  </si>
  <si>
    <t>Nº pess.</t>
  </si>
  <si>
    <t>Nº pessoal</t>
  </si>
  <si>
    <t>GT</t>
  </si>
  <si>
    <t>Status de empregado para geren</t>
  </si>
  <si>
    <t>Conferencia Admissão</t>
  </si>
  <si>
    <t>Data Inicio</t>
  </si>
  <si>
    <t>Data Fim</t>
  </si>
  <si>
    <t>Obs.:</t>
  </si>
  <si>
    <t>1 - Informe o periodo no qual deseja analisar, com "." em vez de "/".</t>
  </si>
  <si>
    <t>29.10.2020</t>
  </si>
  <si>
    <t>2 - esteja com o SAP aberto na janela Easy Access (entrada de transação)</t>
  </si>
  <si>
    <t>3 - Aperte em executar.</t>
  </si>
  <si>
    <t>Contagem de Matrícula</t>
  </si>
  <si>
    <t>Contagem de Conta</t>
  </si>
  <si>
    <t>Contagem de Título de Eleitor</t>
  </si>
  <si>
    <t>Matricula</t>
  </si>
  <si>
    <t>Sem Titulo De Eleitor</t>
  </si>
  <si>
    <t>Conta Bancaria Não Cadastrado</t>
  </si>
  <si>
    <t>Contagem de RG</t>
  </si>
  <si>
    <t>RG Faltando</t>
  </si>
  <si>
    <t>01.10.2020</t>
  </si>
  <si>
    <t>31.10.2020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</si>
</sst>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7/relationships/slicerCache" Target="slicerCaches/slicerCache7.xml"/><Relationship Id="rId5" Type="http://schemas.microsoft.com/office/2007/relationships/slicerCache" Target="slicerCaches/slicerCache1.xml"/><Relationship Id="rId15" Type="http://schemas.openxmlformats.org/officeDocument/2006/relationships/calcChain" Target="calcChain.xml"/><Relationship Id="rId10" Type="http://schemas.microsoft.com/office/2007/relationships/slicerCache" Target="slicerCaches/slicerCache6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Grafico_Dados!$A$3:$B$3</c:f>
              <c:strCache>
                <c:ptCount val="2"/>
                <c:pt idx="0">
                  <c:v>Matricula</c:v>
                </c:pt>
                <c:pt idx="1">
                  <c:v>Conta Bancaria Não Cadastrado</c:v>
                </c:pt>
              </c:strCache>
            </c:strRef>
          </c:cat>
          <c:val>
            <c:numRef>
              <c:f>Grafico_Dados!$A$4:$B$4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Grafico_Dados!$D$3:$E$3</c:f>
              <c:strCache>
                <c:ptCount val="2"/>
                <c:pt idx="0">
                  <c:v>Sem Titulo De Eleitor</c:v>
                </c:pt>
                <c:pt idx="1">
                  <c:v>Matricula</c:v>
                </c:pt>
              </c:strCache>
            </c:strRef>
          </c:cat>
          <c:val>
            <c:numRef>
              <c:f>Grafico_Dados!$D$4:$E$4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Grafico_Dados!$K$4:$L$4</c:f>
              <c:strCache>
                <c:ptCount val="2"/>
                <c:pt idx="0">
                  <c:v>RG Faltando</c:v>
                </c:pt>
                <c:pt idx="1">
                  <c:v>Matricula</c:v>
                </c:pt>
              </c:strCache>
            </c:strRef>
          </c:cat>
          <c:val>
            <c:numRef>
              <c:f>Grafico_Dados!$K$5:$L$5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11</xdr:row>
          <xdr:rowOff>0</xdr:rowOff>
        </xdr:from>
        <xdr:to>
          <xdr:col>13</xdr:col>
          <xdr:colOff>419100</xdr:colOff>
          <xdr:row>12</xdr:row>
          <xdr:rowOff>19050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11</xdr:row>
          <xdr:rowOff>0</xdr:rowOff>
        </xdr:from>
        <xdr:to>
          <xdr:col>18</xdr:col>
          <xdr:colOff>0</xdr:colOff>
          <xdr:row>12</xdr:row>
          <xdr:rowOff>19050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13</xdr:row>
          <xdr:rowOff>123825</xdr:rowOff>
        </xdr:from>
        <xdr:to>
          <xdr:col>16</xdr:col>
          <xdr:colOff>95250</xdr:colOff>
          <xdr:row>15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247650</xdr:colOff>
      <xdr:row>0</xdr:row>
      <xdr:rowOff>0</xdr:rowOff>
    </xdr:from>
    <xdr:to>
      <xdr:col>16</xdr:col>
      <xdr:colOff>485775</xdr:colOff>
      <xdr:row>5</xdr:row>
      <xdr:rowOff>18250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67"/>
        <a:stretch/>
      </xdr:blipFill>
      <xdr:spPr bwMode="auto">
        <a:xfrm>
          <a:off x="4476750" y="0"/>
          <a:ext cx="4505325" cy="970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13</xdr:row>
      <xdr:rowOff>9525</xdr:rowOff>
    </xdr:from>
    <xdr:to>
      <xdr:col>0</xdr:col>
      <xdr:colOff>1343025</xdr:colOff>
      <xdr:row>26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trícul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rícul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2486025"/>
              <a:ext cx="1228725" cy="24955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1352550</xdr:colOff>
      <xdr:row>13</xdr:row>
      <xdr:rowOff>9525</xdr:rowOff>
    </xdr:from>
    <xdr:to>
      <xdr:col>1</xdr:col>
      <xdr:colOff>1104900</xdr:colOff>
      <xdr:row>26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nt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2550" y="2486025"/>
              <a:ext cx="1220321" cy="2505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238126</xdr:colOff>
      <xdr:row>13</xdr:row>
      <xdr:rowOff>19050</xdr:rowOff>
    </xdr:from>
    <xdr:to>
      <xdr:col>3</xdr:col>
      <xdr:colOff>1285876</xdr:colOff>
      <xdr:row>26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trícul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rícu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49950" y="2495550"/>
              <a:ext cx="1350308" cy="2505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1247775</xdr:colOff>
      <xdr:row>13</xdr:row>
      <xdr:rowOff>19050</xdr:rowOff>
    </xdr:from>
    <xdr:to>
      <xdr:col>4</xdr:col>
      <xdr:colOff>744141</xdr:colOff>
      <xdr:row>26</xdr:row>
      <xdr:rowOff>59532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Idad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2157" y="2495550"/>
              <a:ext cx="1356543" cy="25169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771525</xdr:colOff>
      <xdr:row>13</xdr:row>
      <xdr:rowOff>19050</xdr:rowOff>
    </xdr:from>
    <xdr:to>
      <xdr:col>6</xdr:col>
      <xdr:colOff>246529</xdr:colOff>
      <xdr:row>26</xdr:row>
      <xdr:rowOff>78441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Título de Eleit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ítulo de Elei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6084" y="2495549"/>
              <a:ext cx="1375977" cy="25616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3</xdr:col>
      <xdr:colOff>400051</xdr:colOff>
      <xdr:row>12</xdr:row>
      <xdr:rowOff>163325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190503</xdr:colOff>
      <xdr:row>0</xdr:row>
      <xdr:rowOff>0</xdr:rowOff>
    </xdr:from>
    <xdr:to>
      <xdr:col>6</xdr:col>
      <xdr:colOff>321610</xdr:colOff>
      <xdr:row>13</xdr:row>
      <xdr:rowOff>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12</xdr:col>
      <xdr:colOff>167914</xdr:colOff>
      <xdr:row>13</xdr:row>
      <xdr:rowOff>156882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293660</xdr:colOff>
      <xdr:row>13</xdr:row>
      <xdr:rowOff>182971</xdr:rowOff>
    </xdr:from>
    <xdr:to>
      <xdr:col>11</xdr:col>
      <xdr:colOff>33094</xdr:colOff>
      <xdr:row>27</xdr:row>
      <xdr:rowOff>38905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atrícul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rícul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56660" y="2659471"/>
              <a:ext cx="1397905" cy="25229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1121118</xdr:colOff>
      <xdr:row>13</xdr:row>
      <xdr:rowOff>182973</xdr:rowOff>
    </xdr:from>
    <xdr:to>
      <xdr:col>11</xdr:col>
      <xdr:colOff>1422831</xdr:colOff>
      <xdr:row>27</xdr:row>
      <xdr:rowOff>52003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RG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89236" y="2659473"/>
              <a:ext cx="1421741" cy="2536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ellington Juvenal Ferreira Fonseca" refreshedDate="44120.706155439817" createdVersion="5" refreshedVersion="5" minRefreshableVersion="3" recordCount="425">
  <cacheSource type="worksheet">
    <worksheetSource ref="A1:GH1048576" sheet="Base_Consolidada"/>
  </cacheSource>
  <cacheFields count="190">
    <cacheField name="Ano/mês de competência" numFmtId="0">
      <sharedItems containsString="0" containsBlank="1" containsNumber="1" containsInteger="1" minValue="102020" maxValue="102020"/>
    </cacheField>
    <cacheField name="Matrícula" numFmtId="0">
      <sharedItems containsString="0" containsBlank="1" containsNumber="1" containsInteger="1" minValue="10084396" maxValue="10084876" count="425">
        <n v="10084396"/>
        <n v="10084397"/>
        <n v="10084398"/>
        <n v="10084399"/>
        <n v="10084400"/>
        <n v="10084401"/>
        <n v="10084402"/>
        <n v="10084403"/>
        <n v="10084404"/>
        <n v="10084405"/>
        <n v="10084406"/>
        <n v="10084407"/>
        <n v="10084408"/>
        <n v="10084409"/>
        <n v="10084410"/>
        <n v="10084411"/>
        <n v="10084412"/>
        <n v="10084413"/>
        <n v="10084415"/>
        <n v="10084416"/>
        <n v="10084417"/>
        <n v="10084418"/>
        <n v="10084419"/>
        <n v="10084420"/>
        <n v="10084421"/>
        <n v="10084422"/>
        <n v="10084423"/>
        <n v="10084425"/>
        <n v="10084427"/>
        <n v="10084428"/>
        <n v="10084429"/>
        <n v="10084430"/>
        <n v="10084431"/>
        <n v="10084432"/>
        <n v="10084433"/>
        <n v="10084435"/>
        <n v="10084436"/>
        <n v="10084437"/>
        <n v="10084438"/>
        <n v="10084439"/>
        <n v="10084440"/>
        <n v="10084441"/>
        <n v="10084442"/>
        <n v="10084443"/>
        <n v="10084444"/>
        <n v="10084445"/>
        <n v="10084446"/>
        <n v="10084447"/>
        <n v="10084448"/>
        <n v="10084450"/>
        <n v="10084451"/>
        <n v="10084452"/>
        <n v="10084453"/>
        <n v="10084454"/>
        <n v="10084455"/>
        <n v="10084456"/>
        <n v="10084457"/>
        <n v="10084458"/>
        <n v="10084459"/>
        <n v="10084460"/>
        <n v="10084461"/>
        <n v="10084463"/>
        <n v="10084464"/>
        <n v="10084465"/>
        <n v="10084467"/>
        <n v="10084468"/>
        <n v="10084469"/>
        <n v="10084470"/>
        <n v="10084471"/>
        <n v="10084472"/>
        <n v="10084473"/>
        <n v="10084474"/>
        <n v="10084475"/>
        <n v="10084477"/>
        <n v="10084479"/>
        <n v="10084480"/>
        <n v="10084481"/>
        <n v="10084482"/>
        <n v="10084483"/>
        <n v="10084485"/>
        <n v="10084486"/>
        <n v="10084487"/>
        <n v="10084488"/>
        <n v="10084489"/>
        <n v="10084490"/>
        <n v="10084491"/>
        <n v="10084492"/>
        <n v="10084493"/>
        <n v="10084494"/>
        <n v="10084495"/>
        <n v="10084496"/>
        <n v="10084497"/>
        <n v="10084498"/>
        <n v="10084499"/>
        <n v="10084500"/>
        <n v="10084501"/>
        <n v="10084503"/>
        <n v="10084504"/>
        <n v="10084505"/>
        <n v="10084506"/>
        <n v="10084507"/>
        <n v="10084508"/>
        <n v="10084509"/>
        <n v="10084510"/>
        <n v="10084511"/>
        <n v="10084512"/>
        <n v="10084513"/>
        <n v="10084514"/>
        <n v="10084515"/>
        <n v="10084516"/>
        <n v="10084518"/>
        <n v="10084519"/>
        <n v="10084520"/>
        <n v="10084521"/>
        <n v="10084522"/>
        <n v="10084523"/>
        <n v="10084524"/>
        <n v="10084525"/>
        <n v="10084526"/>
        <n v="10084527"/>
        <n v="10084528"/>
        <n v="10084529"/>
        <n v="10084530"/>
        <n v="10084531"/>
        <n v="10084532"/>
        <n v="10084533"/>
        <n v="10084534"/>
        <n v="10084535"/>
        <n v="10084536"/>
        <n v="10084537"/>
        <n v="10084538"/>
        <n v="10084539"/>
        <n v="10084540"/>
        <n v="10084541"/>
        <n v="10084542"/>
        <n v="10084543"/>
        <n v="10084544"/>
        <n v="10084545"/>
        <n v="10084546"/>
        <n v="10084547"/>
        <n v="10084548"/>
        <n v="10084549"/>
        <n v="10084550"/>
        <n v="10084552"/>
        <n v="10084554"/>
        <n v="10084555"/>
        <n v="10084556"/>
        <n v="10084557"/>
        <n v="10084558"/>
        <n v="10084559"/>
        <n v="10084560"/>
        <n v="10084561"/>
        <n v="10084562"/>
        <n v="10084563"/>
        <n v="10084564"/>
        <n v="10084565"/>
        <n v="10084566"/>
        <n v="10084567"/>
        <n v="10084568"/>
        <n v="10084569"/>
        <n v="10084570"/>
        <n v="10084571"/>
        <n v="10084572"/>
        <n v="10084573"/>
        <n v="10084574"/>
        <n v="10084575"/>
        <n v="10084576"/>
        <n v="10084577"/>
        <n v="10084578"/>
        <n v="10084579"/>
        <n v="10084580"/>
        <n v="10084581"/>
        <n v="10084582"/>
        <n v="10084583"/>
        <n v="10084584"/>
        <n v="10084586"/>
        <n v="10084587"/>
        <n v="10084588"/>
        <n v="10084591"/>
        <n v="10084592"/>
        <n v="10084593"/>
        <n v="10084594"/>
        <n v="10084595"/>
        <n v="10084596"/>
        <n v="10084597"/>
        <n v="10084598"/>
        <n v="10084599"/>
        <n v="10084600"/>
        <n v="10084601"/>
        <n v="10084602"/>
        <n v="10084603"/>
        <n v="10084605"/>
        <n v="10084607"/>
        <n v="10084608"/>
        <n v="10084609"/>
        <n v="10084611"/>
        <n v="10084612"/>
        <n v="10084613"/>
        <n v="10084614"/>
        <n v="10084615"/>
        <n v="10084616"/>
        <n v="10084617"/>
        <n v="10084618"/>
        <n v="10084620"/>
        <n v="10084621"/>
        <n v="10084622"/>
        <n v="10084623"/>
        <n v="10084624"/>
        <n v="10084625"/>
        <n v="10084626"/>
        <n v="10084628"/>
        <n v="10084629"/>
        <n v="10084630"/>
        <n v="10084631"/>
        <n v="10084632"/>
        <n v="10084633"/>
        <n v="10084634"/>
        <n v="10084635"/>
        <n v="10084636"/>
        <n v="10084637"/>
        <n v="10084638"/>
        <n v="10084640"/>
        <n v="10084641"/>
        <n v="10084643"/>
        <n v="10084645"/>
        <n v="10084646"/>
        <n v="10084647"/>
        <n v="10084648"/>
        <n v="10084650"/>
        <n v="10084651"/>
        <n v="10084652"/>
        <n v="10084654"/>
        <n v="10084655"/>
        <n v="10084656"/>
        <n v="10084658"/>
        <n v="10084659"/>
        <n v="10084660"/>
        <n v="10084661"/>
        <n v="10084662"/>
        <n v="10084663"/>
        <n v="10084664"/>
        <n v="10084665"/>
        <n v="10084666"/>
        <n v="10084667"/>
        <n v="10084668"/>
        <n v="10084669"/>
        <n v="10084670"/>
        <n v="10084671"/>
        <n v="10084672"/>
        <n v="10084673"/>
        <n v="10084674"/>
        <n v="10084675"/>
        <n v="10084677"/>
        <n v="10084679"/>
        <n v="10084680"/>
        <n v="10084681"/>
        <n v="10084682"/>
        <n v="10084683"/>
        <n v="10084685"/>
        <n v="10084686"/>
        <n v="10084687"/>
        <n v="10084688"/>
        <n v="10084689"/>
        <n v="10084690"/>
        <n v="10084691"/>
        <n v="10084692"/>
        <n v="10084693"/>
        <n v="10084695"/>
        <n v="10084696"/>
        <n v="10084698"/>
        <n v="10084699"/>
        <n v="10084700"/>
        <n v="10084701"/>
        <n v="10084702"/>
        <n v="10084703"/>
        <n v="10084704"/>
        <n v="10084706"/>
        <n v="10084708"/>
        <n v="10084709"/>
        <n v="10084710"/>
        <n v="10084711"/>
        <n v="10084714"/>
        <n v="10084715"/>
        <n v="10084717"/>
        <n v="10084718"/>
        <n v="10084719"/>
        <n v="10084720"/>
        <n v="10084721"/>
        <n v="10084722"/>
        <n v="10084723"/>
        <n v="10084724"/>
        <n v="10084725"/>
        <n v="10084726"/>
        <n v="10084727"/>
        <n v="10084729"/>
        <n v="10084730"/>
        <n v="10084732"/>
        <n v="10084733"/>
        <n v="10084734"/>
        <n v="10084735"/>
        <n v="10084736"/>
        <n v="10084738"/>
        <n v="10084739"/>
        <n v="10084740"/>
        <n v="10084741"/>
        <n v="10084742"/>
        <n v="10084743"/>
        <n v="10084744"/>
        <n v="10084745"/>
        <n v="10084746"/>
        <n v="10084747"/>
        <n v="10084748"/>
        <n v="10084749"/>
        <n v="10084750"/>
        <n v="10084751"/>
        <n v="10084752"/>
        <n v="10084753"/>
        <n v="10084755"/>
        <n v="10084756"/>
        <n v="10084757"/>
        <n v="10084758"/>
        <n v="10084759"/>
        <n v="10084761"/>
        <n v="10084762"/>
        <n v="10084763"/>
        <n v="10084764"/>
        <n v="10084765"/>
        <n v="10084766"/>
        <n v="10084767"/>
        <n v="10084768"/>
        <n v="10084769"/>
        <n v="10084770"/>
        <n v="10084772"/>
        <n v="10084773"/>
        <n v="10084774"/>
        <n v="10084775"/>
        <n v="10084776"/>
        <n v="10084777"/>
        <n v="10084778"/>
        <n v="10084779"/>
        <n v="10084780"/>
        <n v="10084781"/>
        <n v="10084782"/>
        <n v="10084783"/>
        <n v="10084784"/>
        <n v="10084785"/>
        <n v="10084786"/>
        <n v="10084787"/>
        <n v="10084789"/>
        <n v="10084790"/>
        <n v="10084791"/>
        <n v="10084792"/>
        <n v="10084793"/>
        <n v="10084794"/>
        <n v="10084795"/>
        <n v="10084796"/>
        <n v="10084797"/>
        <n v="10084798"/>
        <n v="10084799"/>
        <n v="10084800"/>
        <n v="10084801"/>
        <n v="10084802"/>
        <n v="10084803"/>
        <n v="10084804"/>
        <n v="10084805"/>
        <n v="10084806"/>
        <n v="10084807"/>
        <n v="10084808"/>
        <n v="10084809"/>
        <n v="10084810"/>
        <n v="10084811"/>
        <n v="10084813"/>
        <n v="10084816"/>
        <n v="10084817"/>
        <n v="10084818"/>
        <n v="10084820"/>
        <n v="10084821"/>
        <n v="10084823"/>
        <n v="10084824"/>
        <n v="10084825"/>
        <n v="10084826"/>
        <n v="10084827"/>
        <n v="10084828"/>
        <n v="10084829"/>
        <n v="10084831"/>
        <n v="10084834"/>
        <n v="10084835"/>
        <n v="10084836"/>
        <n v="10084837"/>
        <n v="10084838"/>
        <n v="10084839"/>
        <n v="10084840"/>
        <n v="10084843"/>
        <n v="10084844"/>
        <n v="10084845"/>
        <n v="10084846"/>
        <n v="10084847"/>
        <n v="10084848"/>
        <n v="10084849"/>
        <n v="10084850"/>
        <n v="10084851"/>
        <n v="10084852"/>
        <n v="10084853"/>
        <n v="10084855"/>
        <n v="10084856"/>
        <n v="10084857"/>
        <n v="10084858"/>
        <n v="10084859"/>
        <n v="10084860"/>
        <n v="10084861"/>
        <n v="10084862"/>
        <n v="10084863"/>
        <n v="10084864"/>
        <n v="10084865"/>
        <n v="10084866"/>
        <n v="10084867"/>
        <n v="10084868"/>
        <n v="10084869"/>
        <n v="10084870"/>
        <n v="10084871"/>
        <n v="10084872"/>
        <n v="10084873"/>
        <n v="10084875"/>
        <n v="10084876"/>
        <m/>
      </sharedItems>
    </cacheField>
    <cacheField name="Status da ocupação" numFmtId="0">
      <sharedItems containsBlank="1"/>
    </cacheField>
    <cacheField name="Ad" numFmtId="0">
      <sharedItems containsBlank="1"/>
    </cacheField>
    <cacheField name="Posição" numFmtId="0">
      <sharedItems containsString="0" containsBlank="1" containsNumber="1" containsInteger="1" minValue="30004657" maxValue="99999999"/>
    </cacheField>
    <cacheField name="Grupo de Empregado" numFmtId="0">
      <sharedItems containsBlank="1"/>
    </cacheField>
    <cacheField name="Subgrupo de Empregado" numFmtId="0">
      <sharedItems containsBlank="1"/>
    </cacheField>
    <cacheField name="Empresa" numFmtId="0">
      <sharedItems containsBlank="1"/>
    </cacheField>
    <cacheField name="Descrição Empresa" numFmtId="0">
      <sharedItems containsBlank="1"/>
    </cacheField>
    <cacheField name="Código área de RH" numFmtId="0">
      <sharedItems containsString="0" containsBlank="1" containsNumber="1" containsInteger="1" minValue="1" maxValue="147"/>
    </cacheField>
    <cacheField name="Descrição área de RH" numFmtId="0">
      <sharedItems containsBlank="1"/>
    </cacheField>
    <cacheField name="Código da Subarea de RH" numFmtId="0">
      <sharedItems containsString="0" containsBlank="1" containsNumber="1" containsInteger="1" minValue="1" maxValue="147"/>
    </cacheField>
    <cacheField name="Descrição da Subarea de RH" numFmtId="0">
      <sharedItems containsBlank="1"/>
    </cacheField>
    <cacheField name="Quota Aprendiz" numFmtId="0">
      <sharedItems containsBlank="1"/>
    </cacheField>
    <cacheField name="Local Físico" numFmtId="0">
      <sharedItems containsBlank="1"/>
    </cacheField>
    <cacheField name="Nome" numFmtId="0">
      <sharedItems containsBlank="1"/>
    </cacheField>
    <cacheField name="Nome de guerra" numFmtId="0">
      <sharedItems containsBlank="1"/>
    </cacheField>
    <cacheField name="Código Unid. Organiz." numFmtId="0">
      <sharedItems containsString="0" containsBlank="1" containsNumber="1" containsInteger="1" minValue="10000103" maxValue="10008978"/>
    </cacheField>
    <cacheField name="Abreviação Unid. Org." numFmtId="0">
      <sharedItems containsBlank="1"/>
    </cacheField>
    <cacheField name="Descrição Unid. Org." numFmtId="0">
      <sharedItems containsBlank="1"/>
    </cacheField>
    <cacheField name="Divisão" numFmtId="0">
      <sharedItems containsBlank="1"/>
    </cacheField>
    <cacheField name="Centro de Custo" numFmtId="0">
      <sharedItems containsBlank="1"/>
    </cacheField>
    <cacheField name="Descrição Centro de Custo" numFmtId="0">
      <sharedItems containsBlank="1"/>
    </cacheField>
    <cacheField name="Código Unid. Org. Superior" numFmtId="0">
      <sharedItems containsString="0" containsBlank="1" containsNumber="1" containsInteger="1" minValue="10000054" maxValue="10008950"/>
    </cacheField>
    <cacheField name="Abreviação Unid. Org. Superior" numFmtId="0">
      <sharedItems containsBlank="1"/>
    </cacheField>
    <cacheField name="Descrição Unid. Org. Superior" numFmtId="0">
      <sharedItems containsBlank="1"/>
    </cacheField>
    <cacheField name="Nome Gestor imediato" numFmtId="0">
      <sharedItems containsBlank="1"/>
    </cacheField>
    <cacheField name="Código Nível Hierárquico" numFmtId="0">
      <sharedItems containsString="0" containsBlank="1" containsNumber="1" containsInteger="1" minValue="10000050" maxValue="10000080"/>
    </cacheField>
    <cacheField name="Abreviatura Nível Hierárquico" numFmtId="0">
      <sharedItems containsBlank="1"/>
    </cacheField>
    <cacheField name="Descrição Nível Hierárquico" numFmtId="0">
      <sharedItems containsBlank="1"/>
    </cacheField>
    <cacheField name="Código Tipo de Unidade" numFmtId="0">
      <sharedItems containsString="0" containsBlank="1" containsNumber="1" containsInteger="1" minValue="10000002" maxValue="10000025"/>
    </cacheField>
    <cacheField name="Abreviação Tipo de Unidade" numFmtId="0">
      <sharedItems containsBlank="1"/>
    </cacheField>
    <cacheField name="Descrição Tipo de Unidade" numFmtId="0">
      <sharedItems containsBlank="1"/>
    </cacheField>
    <cacheField name="Código Wclass Subárea" numFmtId="0">
      <sharedItems containsString="0" containsBlank="1" containsNumber="1" containsInteger="1" minValue="10000100" maxValue="10000108"/>
    </cacheField>
    <cacheField name="Descrição Wclass Subárea" numFmtId="0">
      <sharedItems containsBlank="1"/>
    </cacheField>
    <cacheField name="Código Wclass Área" numFmtId="0">
      <sharedItems containsString="0" containsBlank="1" containsNumber="1" containsInteger="1" minValue="10000101" maxValue="10000136"/>
    </cacheField>
    <cacheField name="Descrição Wclass Área" numFmtId="0">
      <sharedItems containsBlank="1"/>
    </cacheField>
    <cacheField name="Código Wclass Local" numFmtId="0">
      <sharedItems containsString="0" containsBlank="1" containsNumber="1" containsInteger="1" minValue="10000201" maxValue="10000201"/>
    </cacheField>
    <cacheField name="Descrição Wclass Local" numFmtId="0">
      <sharedItems containsBlank="1"/>
    </cacheField>
    <cacheField name="Data de Admissão" numFmtId="0">
      <sharedItems containsDate="1" containsBlank="1" containsMixedTypes="1" minDate="2020-01-10T00:00:00" maxDate="2020-08-11T00:00:00"/>
    </cacheField>
    <cacheField name="Tempo de empresa" numFmtId="0">
      <sharedItems containsString="0" containsBlank="1" containsNumber="1" containsInteger="1" minValue="0" maxValue="0"/>
    </cacheField>
    <cacheField name="Tempo em empresas do grupo" numFmtId="0">
      <sharedItems containsNonDate="0" containsString="0" containsBlank="1"/>
    </cacheField>
    <cacheField name="Data de Nascimento" numFmtId="0">
      <sharedItems containsDate="1" containsBlank="1" containsMixedTypes="1" minDate="1970-07-03T00:00:00" maxDate="2002-11-09T00:00:00"/>
    </cacheField>
    <cacheField name="Idade" numFmtId="0">
      <sharedItems containsString="0" containsBlank="1" containsNumber="1" containsInteger="1" minValue="18" maxValue="55" count="36">
        <n v="33"/>
        <n v="55"/>
        <n v="26"/>
        <n v="34"/>
        <n v="25"/>
        <n v="42"/>
        <n v="38"/>
        <n v="24"/>
        <n v="40"/>
        <n v="32"/>
        <n v="45"/>
        <n v="28"/>
        <n v="31"/>
        <n v="21"/>
        <n v="46"/>
        <n v="47"/>
        <n v="27"/>
        <n v="41"/>
        <n v="23"/>
        <n v="43"/>
        <n v="39"/>
        <n v="35"/>
        <n v="44"/>
        <n v="50"/>
        <n v="19"/>
        <n v="49"/>
        <n v="18"/>
        <n v="29"/>
        <n v="22"/>
        <n v="48"/>
        <n v="30"/>
        <n v="37"/>
        <n v="20"/>
        <n v="52"/>
        <n v="36"/>
        <m/>
      </sharedItems>
    </cacheField>
    <cacheField name="Tempo de Contribuição em Plano de Saúde" numFmtId="0">
      <sharedItems containsNonDate="0" containsString="0" containsBlank="1"/>
    </cacheField>
    <cacheField name="Nacionalidade" numFmtId="0">
      <sharedItems containsBlank="1"/>
    </cacheField>
    <cacheField name="Cidade" numFmtId="0">
      <sharedItems containsBlank="1"/>
    </cacheField>
    <cacheField name="UF" numFmtId="0">
      <sharedItems containsBlank="1"/>
    </cacheField>
    <cacheField name="País" numFmtId="0">
      <sharedItems containsBlank="1"/>
    </cacheField>
    <cacheField name="Naturalizado" numFmtId="0">
      <sharedItems containsBlank="1"/>
    </cacheField>
    <cacheField name="Sexo" numFmtId="0">
      <sharedItems containsBlank="1"/>
    </cacheField>
    <cacheField name="Aposentado" numFmtId="0">
      <sharedItems containsBlank="1"/>
    </cacheField>
    <cacheField name="Nº Benefício Aposentadoria" numFmtId="0">
      <sharedItems containsNonDate="0" containsString="0" containsBlank="1"/>
    </cacheField>
    <cacheField name="Estado civil" numFmtId="0">
      <sharedItems containsBlank="1"/>
    </cacheField>
    <cacheField name="Raça" numFmtId="0">
      <sharedItems containsBlank="1"/>
    </cacheField>
    <cacheField name="Instrução" numFmtId="0">
      <sharedItems containsBlank="1"/>
    </cacheField>
    <cacheField name="PNE" numFmtId="0">
      <sharedItems containsBlank="1"/>
    </cacheField>
    <cacheField name="Código Cargo" numFmtId="0">
      <sharedItems containsString="0" containsBlank="1" containsNumber="1" containsInteger="1" minValue="20002229" maxValue="22003459"/>
    </cacheField>
    <cacheField name="Abreviação Cargo" numFmtId="0">
      <sharedItems containsBlank="1"/>
    </cacheField>
    <cacheField name="Descrição Cargo" numFmtId="0">
      <sharedItems containsBlank="1"/>
    </cacheField>
    <cacheField name="CBO" numFmtId="0">
      <sharedItems containsString="0" containsBlank="1" containsNumber="1" containsInteger="1" minValue="141205" maxValue="999999"/>
    </cacheField>
    <cacheField name="Motivo Cargo" numFmtId="0">
      <sharedItems containsBlank="1"/>
    </cacheField>
    <cacheField name="Ano/mês no cargo" numFmtId="0">
      <sharedItems containsNonDate="0" containsDate="1" containsString="0" containsBlank="1" minDate="2020-10-01T00:00:00" maxDate="2020-10-02T00:00:00"/>
    </cacheField>
    <cacheField name="Jornada mês" numFmtId="0">
      <sharedItems containsBlank="1"/>
    </cacheField>
    <cacheField name="Organograma Gerencia" numFmtId="0">
      <sharedItems containsBlank="1"/>
    </cacheField>
    <cacheField name="Organograma Gerencia Executiva" numFmtId="0">
      <sharedItems containsBlank="1"/>
    </cacheField>
    <cacheField name="Organograma Diretoria" numFmtId="0">
      <sharedItems containsBlank="1"/>
    </cacheField>
    <cacheField name="Organograma Conselho" numFmtId="0">
      <sharedItems containsBlank="1"/>
    </cacheField>
    <cacheField name="Organograma Vice Presidência" numFmtId="0">
      <sharedItems containsBlank="1"/>
    </cacheField>
    <cacheField name="Organograma Presidência" numFmtId="0">
      <sharedItems containsBlank="1"/>
    </cacheField>
    <cacheField name="Salário Mensalizado" numFmtId="0">
      <sharedItems containsBlank="1"/>
    </cacheField>
    <cacheField name="Salário Contratual" numFmtId="0">
      <sharedItems containsBlank="1"/>
    </cacheField>
    <cacheField name="Salário Nominal" numFmtId="0">
      <sharedItems containsBlank="1"/>
    </cacheField>
    <cacheField name="Remuneração Bruta" numFmtId="0">
      <sharedItems containsBlank="1"/>
    </cacheField>
    <cacheField name="Tipo de tarifa (Código)" numFmtId="0">
      <sharedItems containsBlank="1"/>
    </cacheField>
    <cacheField name="Tipo de Tarifa" numFmtId="0">
      <sharedItems containsBlank="1"/>
    </cacheField>
    <cacheField name="Nível" numFmtId="0">
      <sharedItems containsString="0" containsBlank="1" containsNumber="1" containsInteger="1" minValue="1" maxValue="25"/>
    </cacheField>
    <cacheField name="Grupo Salarial" numFmtId="0">
      <sharedItems containsBlank="1"/>
    </cacheField>
    <cacheField name="Ano/mês último aumento" numFmtId="0">
      <sharedItems containsNonDate="0" containsDate="1" containsString="0" containsBlank="1" minDate="2020-10-01T00:00:00" maxDate="2020-10-02T00:00:00"/>
    </cacheField>
    <cacheField name="Motivo último aumento" numFmtId="0">
      <sharedItems containsBlank="1"/>
    </cacheField>
    <cacheField name="Valor último aumento" numFmtId="0">
      <sharedItems containsBlank="1"/>
    </cacheField>
    <cacheField name="Percentual reajuste último aumento" numFmtId="0">
      <sharedItems containsBlank="1"/>
    </cacheField>
    <cacheField name="Tempo no salário (sem ACT)" numFmtId="0">
      <sharedItems containsString="0" containsBlank="1" containsNumber="1" containsInteger="1" minValue="1" maxValue="1"/>
    </cacheField>
    <cacheField name="Afastamento" numFmtId="0">
      <sharedItems containsBlank="1"/>
    </cacheField>
    <cacheField name="Sindicalizado" numFmtId="0">
      <sharedItems containsBlank="1"/>
    </cacheField>
    <cacheField name="RG" numFmtId="0">
      <sharedItems containsBlank="1" containsMixedTypes="1" containsNumber="1" containsInteger="1" minValue="1186334" maxValue="2006009238204" count="425">
        <s v="MG_15754841"/>
        <s v="M3978425"/>
        <n v="460511555"/>
        <n v="405557218"/>
        <s v="45 210 9188"/>
        <n v="486589341"/>
        <n v="309260826"/>
        <s v="42723010X"/>
        <n v="454355592"/>
        <n v="33278274"/>
        <n v="14895219"/>
        <n v="1186334"/>
        <n v="15262946"/>
        <n v="14216970"/>
        <n v="395861834"/>
        <n v="17179784"/>
        <s v="MG10141497"/>
        <n v="267389668"/>
        <s v="44385077X"/>
        <n v="529584360"/>
        <n v="230302919"/>
        <n v="257329791"/>
        <n v="451508981"/>
        <s v="29838789X"/>
        <n v="394322617"/>
        <n v="400653539"/>
        <n v="282592829"/>
        <n v="412059022"/>
        <n v="279333018"/>
        <n v="458711615"/>
        <s v="32814535X"/>
        <n v="54128616"/>
        <n v="477418259"/>
        <n v="522374955"/>
        <n v="358250080"/>
        <n v="423954544"/>
        <n v="6296438"/>
        <n v="5800474"/>
        <n v="20205773"/>
        <n v="543423414"/>
        <n v="545756686"/>
        <n v="405474672"/>
        <n v="432503626"/>
        <n v="1537369"/>
        <n v="34160744"/>
        <n v="31711391"/>
        <n v="30302625"/>
        <n v="30290961"/>
        <n v="1335623"/>
        <n v="35511346"/>
        <n v="36304824"/>
        <n v="34144480"/>
        <n v="3599982093"/>
        <n v="35660945"/>
        <n v="34008225"/>
        <n v="33318301"/>
        <n v="35256818"/>
        <n v="70146926"/>
        <n v="458327347"/>
        <n v="272154878"/>
        <n v="451906032"/>
        <n v="406503187"/>
        <n v="41229404"/>
        <n v="446737100"/>
        <n v="376352280"/>
        <n v="349918405"/>
        <n v="231194511"/>
        <n v="295098818"/>
        <n v="420167572"/>
        <n v="7779148"/>
        <n v="7949419"/>
        <n v="8813772"/>
        <n v="8120585"/>
        <n v="6566838"/>
        <n v="6913878"/>
        <n v="8632411"/>
        <n v="407188964"/>
        <n v="7400791"/>
        <s v="46374469X"/>
        <n v="497493378"/>
        <n v="333675010"/>
        <n v="8059272"/>
        <n v="412131912"/>
        <n v="4630764"/>
        <n v="541650154"/>
        <n v="650357929"/>
        <n v="6829173"/>
        <n v="7899586"/>
        <n v="7249500"/>
        <n v="334216965"/>
        <n v="585442800"/>
        <n v="525376689"/>
        <n v="9264298"/>
        <n v="566437983"/>
        <n v="528080714"/>
        <n v="21273570"/>
        <n v="10386838"/>
        <s v="38125835X"/>
        <n v="10257507"/>
        <n v="9311260"/>
        <n v="438280660"/>
        <n v="462433365"/>
        <n v="9355748"/>
        <n v="9598086"/>
        <n v="501966262"/>
        <n v="10049872"/>
        <n v="9774056"/>
        <s v="25870696Ã—"/>
        <n v="8749453"/>
        <n v="420608394"/>
        <n v="9671086"/>
        <n v="10121328"/>
        <n v="10646923"/>
        <n v="4101153801"/>
        <n v="9110703"/>
        <n v="268545704"/>
        <n v="570753636"/>
        <n v="531893984"/>
        <s v="MG19127626"/>
        <n v="554240099"/>
        <n v="22078712"/>
        <n v="485858705"/>
        <n v="562068570"/>
        <n v="10710871"/>
        <n v="8432007"/>
        <n v="540639965"/>
        <n v="568870682"/>
        <s v="MG23721014"/>
        <n v="394994875"/>
        <n v="8977983"/>
        <n v="528080702"/>
        <n v="9839663"/>
        <n v="546417796"/>
        <n v="10529024"/>
        <n v="10140155"/>
        <n v="10553145"/>
        <n v="10685972"/>
        <n v="81617672"/>
        <n v="1245992803"/>
        <n v="291152122"/>
        <n v="224802991"/>
        <n v="203411947"/>
        <n v="293535837"/>
        <n v="313659120"/>
        <n v="217761345"/>
        <n v="257610634"/>
        <n v="328428370"/>
        <n v="281938167"/>
        <n v="299438713"/>
        <n v="265669614"/>
        <n v="252204920"/>
        <n v="307486100"/>
        <n v="2006009238204"/>
        <n v="130726508"/>
        <n v="205512684"/>
        <n v="265375584"/>
        <s v="44967275X"/>
        <n v="331809230"/>
        <n v="330790286"/>
        <n v="448339316"/>
        <n v="645767037"/>
        <n v="429520773"/>
        <n v="477638533"/>
        <n v="589942426"/>
        <n v="129133218"/>
        <n v="500853824"/>
        <n v="8123346846"/>
        <n v="8120966571"/>
        <n v="4081375381"/>
        <n v="9096026951"/>
        <n v="30537320"/>
        <n v="479781333"/>
        <n v="274906783"/>
        <n v="301982385"/>
        <n v="302052288"/>
        <n v="9034507"/>
        <n v="8931475"/>
        <n v="8487319"/>
        <n v="211042106"/>
        <n v="7160549"/>
        <n v="4904082"/>
        <n v="6804058"/>
        <n v="8384282"/>
        <n v="7697639"/>
        <n v="406996337"/>
        <n v="402144971"/>
        <n v="422327396"/>
        <n v="529359236"/>
        <n v="487692172"/>
        <s v="32249266X"/>
        <n v="490228951"/>
        <n v="545958283"/>
        <n v="292138104"/>
        <n v="241445352"/>
        <n v="580568155"/>
        <n v="605745870"/>
        <n v="580754765"/>
        <n v="490356436"/>
        <n v="603186877"/>
        <n v="286492659"/>
        <s v="48217478X"/>
        <n v="458471124"/>
        <n v="412131985"/>
        <n v="6662534"/>
        <n v="9526454"/>
        <n v="9120165"/>
        <n v="237859579"/>
        <n v="8669964"/>
        <n v="3787057"/>
        <n v="9796081"/>
        <n v="334433745"/>
        <n v="561449442"/>
        <n v="8087056"/>
        <n v="423015230"/>
        <n v="546720523"/>
        <n v="5139100"/>
        <s v="56524758X"/>
        <n v="523583928"/>
        <n v="8893474"/>
        <n v="576951870"/>
        <n v="8383951"/>
        <n v="9888303"/>
        <n v="578224720"/>
        <n v="254289721"/>
        <n v="263228850"/>
        <n v="599114605"/>
        <n v="533773428"/>
        <s v="MG21351811"/>
        <s v="58769354X"/>
        <n v="345197616"/>
        <s v="56939465X"/>
        <n v="457080887"/>
        <n v="375345917"/>
        <n v="498107310"/>
        <n v="307935401"/>
        <n v="80022077"/>
        <s v="16665730X"/>
        <n v="8307624"/>
        <n v="5674113"/>
        <n v="8435614"/>
        <n v="10060051"/>
        <n v="9146307"/>
        <n v="9632316"/>
        <n v="6467318"/>
        <n v="7612017"/>
        <n v="7278746"/>
        <n v="8758304"/>
        <n v="9514726"/>
        <n v="10309021"/>
        <n v="5337998"/>
        <n v="6891206"/>
        <n v="564622163"/>
        <n v="6865243"/>
        <n v="7192608"/>
        <n v="9505396"/>
        <n v="6546227"/>
        <n v="7418938"/>
        <n v="6257339"/>
        <n v="422764905"/>
        <n v="426969893"/>
        <n v="426870153"/>
        <n v="491062485"/>
        <n v="235490210"/>
        <n v="20527810"/>
        <n v="138324524"/>
        <n v="409563249"/>
        <n v="323871744"/>
        <n v="524014188"/>
        <n v="532436131"/>
        <s v="49361347X"/>
        <n v="4376043"/>
        <n v="484984196"/>
        <n v="383332485"/>
        <n v="446765351"/>
        <s v="MG23188029"/>
        <n v="237298934"/>
        <n v="20590370"/>
        <n v="9775239"/>
        <n v="9699932"/>
        <n v="7715611"/>
        <n v="340295090"/>
        <n v="9637509"/>
        <n v="8504844"/>
        <n v="8717465"/>
        <n v="4255591"/>
        <n v="8339110"/>
        <n v="9747373"/>
        <n v="3358563"/>
        <n v="3552452"/>
        <n v="4158931"/>
        <n v="2971933"/>
        <n v="3033361"/>
        <n v="4090108"/>
        <n v="3466233"/>
        <n v="3650116"/>
        <n v="4168947"/>
        <n v="8922717"/>
        <n v="10181272"/>
        <n v="8670173"/>
        <n v="9095463"/>
        <n v="3847444"/>
        <n v="449386004"/>
        <n v="382409000"/>
        <n v="37853651"/>
        <n v="20256850"/>
        <n v="36484342"/>
        <n v="35117206"/>
        <n v="32987480"/>
        <n v="38017695"/>
        <n v="36494801"/>
        <n v="34938800"/>
        <n v="70684847"/>
        <n v="31941257"/>
        <n v="31411886"/>
        <n v="36157490"/>
        <n v="35381078"/>
        <n v="35955910"/>
        <n v="2099834261"/>
        <n v="8233895"/>
        <n v="6546319"/>
        <n v="7276554"/>
        <n v="107629941"/>
        <n v="497075532"/>
        <n v="11709758"/>
        <n v="29022983"/>
        <n v="36447692"/>
        <n v="565459843"/>
        <n v="22203005"/>
        <n v="324897170"/>
        <n v="499122446"/>
        <n v="446055220"/>
        <n v="571486113"/>
        <s v="MG18740522"/>
        <n v="36142140"/>
        <n v="307108831"/>
        <n v="395562120"/>
        <n v="36989622"/>
        <n v="38235587"/>
        <n v="38576775"/>
        <n v="1453978"/>
        <n v="34637354"/>
        <n v="37884948"/>
        <n v="34736557"/>
        <n v="24336130"/>
        <n v="410519352"/>
        <n v="36032220"/>
        <n v="34107649"/>
        <n v="36073296"/>
        <n v="36007447"/>
        <n v="70806870"/>
        <n v="37648616"/>
        <n v="37765884"/>
        <n v="37563980"/>
        <n v="37837753"/>
        <n v="34325867"/>
        <n v="34903615"/>
        <n v="36379719"/>
        <n v="35043440"/>
        <n v="36359394"/>
        <n v="35046562"/>
        <n v="35647663"/>
        <n v="37054120"/>
        <n v="37252801"/>
        <n v="35669306"/>
        <n v="38927985"/>
        <n v="35447737"/>
        <n v="36007552"/>
        <n v="38764350"/>
        <n v="37358871"/>
        <n v="35714182"/>
        <n v="38970139"/>
        <n v="70237751"/>
        <n v="26060841"/>
        <n v="37201174"/>
        <n v="35323302"/>
        <n v="34438327"/>
        <n v="34688528"/>
        <n v="36577480"/>
        <n v="36938785"/>
        <n v="37817973"/>
        <n v="40482316"/>
        <n v="36787060"/>
        <n v="37694103"/>
        <n v="34011560"/>
        <n v="4394198"/>
        <n v="4504261"/>
        <n v="4378406"/>
        <n v="4346364"/>
        <n v="4291772"/>
        <n v="70704929"/>
        <n v="37812742"/>
        <n v="34726624"/>
        <n v="546439408"/>
        <n v="498067944"/>
        <n v="35593601"/>
        <n v="556289730"/>
        <n v="571479017"/>
        <n v="589126878"/>
        <n v="35397004"/>
        <n v="36112631"/>
        <n v="480144953"/>
        <n v="581049706"/>
        <n v="606559802"/>
        <n v="36824925"/>
        <n v="37501062"/>
        <n v="34983201"/>
        <n v="70986053"/>
        <n v="38651378"/>
        <n v="36040029"/>
        <n v="38217732"/>
        <n v="34066420"/>
        <n v="32004885"/>
        <n v="38403439"/>
        <n v="36867934"/>
        <n v="34503196"/>
        <n v="35701501"/>
        <n v="36206407"/>
        <n v="37986724"/>
        <n v="96172937"/>
        <n v="207601428"/>
        <n v="242687895"/>
        <n v="4489311"/>
        <n v="3140527"/>
        <n v="1531388"/>
        <m/>
      </sharedItems>
    </cacheField>
    <cacheField name="Órgão Expedidor" numFmtId="0">
      <sharedItems containsNonDate="0" containsString="0" containsBlank="1"/>
    </cacheField>
    <cacheField name="Data de Emissão" numFmtId="0">
      <sharedItems containsDate="1" containsBlank="1" containsMixedTypes="1" minDate="1979-03-02T00:00:00" maxDate="2020-12-04T00:00:00"/>
    </cacheField>
    <cacheField name="UF2" numFmtId="0">
      <sharedItems containsBlank="1"/>
    </cacheField>
    <cacheField name="CPF" numFmtId="0">
      <sharedItems containsBlank="1"/>
    </cacheField>
    <cacheField name="CTPS" numFmtId="0">
      <sharedItems containsBlank="1" containsMixedTypes="1" containsNumber="1" containsInteger="1" minValue="1064" maxValue="9967263"/>
    </cacheField>
    <cacheField name="Série" numFmtId="0">
      <sharedItems containsBlank="1" containsMixedTypes="1" containsNumber="1" containsInteger="1" minValue="3" maxValue="8659"/>
    </cacheField>
    <cacheField name="Data de Emissão2" numFmtId="0">
      <sharedItems containsDate="1" containsBlank="1" containsMixedTypes="1" minDate="1986-03-03T00:00:00" maxDate="2020-11-04T00:00:00"/>
    </cacheField>
    <cacheField name="UF3" numFmtId="0">
      <sharedItems containsBlank="1"/>
    </cacheField>
    <cacheField name="PIS" numFmtId="0">
      <sharedItems containsString="0" containsBlank="1" containsNumber="1" containsInteger="1" minValue="11778887311" maxValue="26881396382"/>
    </cacheField>
    <cacheField name="Data de Emissão3" numFmtId="0">
      <sharedItems containsNonDate="0" containsString="0" containsBlank="1"/>
    </cacheField>
    <cacheField name="CNH" numFmtId="0">
      <sharedItems containsString="0" containsBlank="1" containsNumber="1" containsInteger="1" minValue="1725546068" maxValue="6268316444"/>
    </cacheField>
    <cacheField name="Categoria CNH" numFmtId="0">
      <sharedItems containsBlank="1"/>
    </cacheField>
    <cacheField name="Data de Emissão4" numFmtId="0">
      <sharedItems containsDate="1" containsBlank="1" containsMixedTypes="1" minDate="2015-12-08T00:00:00" maxDate="2020-05-04T00:00:00"/>
    </cacheField>
    <cacheField name="Dt. Inicio Validade CNH" numFmtId="0">
      <sharedItems containsDate="1" containsBlank="1" containsMixedTypes="1" minDate="2015-12-08T00:00:00" maxDate="2020-07-11T00:00:00"/>
    </cacheField>
    <cacheField name="Validade CNH" numFmtId="0">
      <sharedItems containsDate="1" containsBlank="1" containsMixedTypes="1" minDate="2021-03-02T00:00:00" maxDate="2022-11-02T00:00:00"/>
    </cacheField>
    <cacheField name="Número Conselho Regional" numFmtId="0">
      <sharedItems containsNonDate="0" containsString="0" containsBlank="1"/>
    </cacheField>
    <cacheField name="Nome Conselho Regional" numFmtId="0">
      <sharedItems containsNonDate="0" containsString="0" containsBlank="1"/>
    </cacheField>
    <cacheField name="Sigla Conselho Regional" numFmtId="0">
      <sharedItems containsNonDate="0" containsString="0" containsBlank="1"/>
    </cacheField>
    <cacheField name="Título de Eleitor" numFmtId="0">
      <sharedItems containsString="0" containsBlank="1" containsNumber="1" containsInteger="1" minValue="14347862151" maxValue="462912360116" count="398">
        <n v="162564930272"/>
        <n v="26091470205"/>
        <n v="396716090116"/>
        <n v="357562030183"/>
        <n v="332519420124"/>
        <n v="400544870132"/>
        <n v="233281490159"/>
        <n v="304335450124"/>
        <n v="413997190175"/>
        <n v="183503660108"/>
        <n v="155933830230"/>
        <n v="14347862151"/>
        <n v="185016170213"/>
        <n v="158392190213"/>
        <n v="442944760141"/>
        <n v="200292570299"/>
        <n v="99797890256"/>
        <n v="179021650167"/>
        <n v="403205790141"/>
        <n v="327022710108"/>
        <n v="192329110116"/>
        <n v="217146020132"/>
        <n v="312951580124"/>
        <n v="307336640167"/>
        <n v="425677480167"/>
        <n v="325727280175"/>
        <n v="279349200132"/>
        <n v="356078080167"/>
        <n v="264864740132"/>
        <n v="372986670167"/>
        <n v="287490590191"/>
        <n v="30777921759"/>
        <n v="419893550159"/>
        <n v="81270590531"/>
        <n v="318680670108"/>
        <n v="360232570141"/>
        <n v="57987050906"/>
        <n v="55244490914"/>
        <n v="162046030116"/>
        <n v="449550090159"/>
        <n v="441871580159"/>
        <n v="406693910191"/>
        <n v="398520830167"/>
        <n v="18077042186"/>
        <n v="25681942100"/>
        <n v="24651222127"/>
        <n v="21837572100"/>
        <n v="14674992186"/>
        <n v="19980941597"/>
        <n v="25249652178"/>
        <n v="29409022100"/>
        <n v="28174382100"/>
        <n v="29414132100"/>
        <n v="29067742100"/>
        <n v="23605592160"/>
        <n v="25647642143"/>
        <n v="24800572100"/>
        <n v="28732722135"/>
        <n v="363589140175"/>
        <n v="259656790183"/>
        <n v="365178730108"/>
        <n v="291518070191"/>
        <n v="390054450132"/>
        <n v="367364590108"/>
        <n v="432656240132"/>
        <n v="281247210183"/>
        <n v="205128100167"/>
        <n v="293239970159"/>
        <n v="413616630116"/>
        <n v="79641330841"/>
        <n v="85762170825"/>
        <n v="84670050833"/>
        <n v="82482430884"/>
        <n v="59659460876"/>
        <n v="63919140817"/>
        <n v="81888850868"/>
        <n v="397113350183"/>
        <n v="71609000884"/>
        <n v="365677340159"/>
        <n v="420519490116"/>
        <n v="36657840809"/>
        <n v="77411300876"/>
        <n v="311205280132"/>
        <n v="41766550850"/>
        <n v="445325070116"/>
        <n v="77348861198"/>
        <n v="56535840884"/>
        <n v="80810470809"/>
        <m/>
        <n v="259763360159"/>
        <n v="441876490183"/>
        <n v="435956160175"/>
        <n v="93433370892"/>
        <n v="441715530124"/>
        <n v="418032470159"/>
        <n v="215365330205"/>
        <n v="98421990892"/>
        <n v="428445640116"/>
        <n v="95646760809"/>
        <n v="94847030876"/>
        <n v="307310120141"/>
        <n v="390785860159"/>
        <n v="96031060892"/>
        <n v="94749830833"/>
        <n v="427336720141"/>
        <n v="100006000000"/>
        <n v="94848070868"/>
        <n v="269487420159"/>
        <n v="94847090868"/>
        <n v="93681810809"/>
        <n v="100860030868"/>
        <n v="97161550817"/>
        <n v="196791820116"/>
        <n v="98854840841"/>
        <n v="234622870132"/>
        <n v="99570250841"/>
        <n v="218788000000"/>
        <n v="223531910205"/>
        <n v="409114400159"/>
        <n v="453208930124"/>
        <n v="98462940868"/>
        <n v="94600800850"/>
        <n v="441879860116"/>
        <n v="462912360116"/>
        <n v="225732440213"/>
        <n v="422507240159"/>
        <n v="96018370825"/>
        <n v="99015820809"/>
        <n v="438822210183"/>
        <n v="99903580809"/>
        <n v="74267380388"/>
        <n v="107388360370"/>
        <n v="168176010370"/>
        <n v="160613830337"/>
        <n v="116475590353"/>
        <n v="164499720353"/>
        <n v="174146080361"/>
        <n v="173750160388"/>
        <n v="152590590353"/>
        <n v="173734720337"/>
        <n v="153942180353"/>
        <n v="171869220329"/>
        <n v="151447690310"/>
        <n v="172284660302"/>
        <n v="168177710345"/>
        <n v="77482660728"/>
        <n v="110063410345"/>
        <n v="110047690396"/>
        <n v="165849000329"/>
        <n v="371029440191"/>
        <n v="316402730175"/>
        <n v="299040450132"/>
        <n v="404201860159"/>
        <n v="41590700884"/>
        <n v="331877990167"/>
        <n v="320765040116"/>
        <n v="438409850108"/>
        <n v="177401010108"/>
        <n v="443991960116"/>
        <n v="121150940418"/>
        <n v="110105950485"/>
        <n v="111558630485"/>
        <n v="22644902135"/>
        <n v="387706020108"/>
        <n v="161053600329"/>
        <n v="168229540345"/>
        <n v="263879310132"/>
        <n v="88896090892"/>
        <n v="86212610833"/>
        <n v="89582580868"/>
        <n v="130653050353"/>
        <n v="72579680841"/>
        <n v="45052530809"/>
        <n v="71757570809"/>
        <n v="87102320833"/>
        <n v="78681960809"/>
        <n v="395846570191"/>
        <n v="363590300175"/>
        <n v="404459690124"/>
        <n v="417061560116"/>
        <n v="341172860132"/>
        <n v="340800600175"/>
        <n v="406695670191"/>
        <n v="453192410167"/>
        <n v="167890230396"/>
        <n v="137685600329"/>
        <n v="33691881163"/>
        <n v="60131240612"/>
        <n v="451155870141"/>
        <n v="397779120175"/>
        <n v="456473230183"/>
        <n v="214503380116"/>
        <n v="384617770183"/>
        <n v="356684470141"/>
        <n v="314374410183"/>
        <n v="61864680841"/>
        <n v="97501220809"/>
        <n v="91717350833"/>
        <n v="274712190191"/>
        <n v="83855500850"/>
        <n v="71325891112"/>
        <n v="96766650841"/>
        <n v="293740170183"/>
        <n v="452038380132"/>
        <n v="80557290850"/>
        <n v="411176140159"/>
        <n v="51762830884"/>
        <n v="352725510167"/>
        <n v="447425540141"/>
        <n v="90526390825"/>
        <n v="451155050108"/>
        <n v="83403090841"/>
        <n v="96756680833"/>
        <n v="457441540124"/>
        <n v="272417350116"/>
        <n v="149595620302"/>
        <n v="431352460116"/>
        <n v="206931660221"/>
        <n v="272456890167"/>
        <n v="409167490159"/>
        <n v="272968050167"/>
        <n v="76411460604"/>
        <n v="152328180116"/>
        <n v="79197410884"/>
        <n v="61829000850"/>
        <n v="82554300876"/>
        <n v="96856830817"/>
        <n v="93503550850"/>
        <n v="97638550825"/>
        <n v="68205390825"/>
        <n v="75983050825"/>
        <n v="76731420817"/>
        <n v="88406670892"/>
        <n v="97638130876"/>
        <n v="97496520892"/>
        <n v="44462670809"/>
        <n v="66020180825"/>
        <n v="99843200809"/>
        <n v="70954510884"/>
        <n v="70523130841"/>
        <n v="89231600809"/>
        <n v="76720330809"/>
        <n v="60926560825"/>
        <n v="48726290809"/>
        <n v="357239250132"/>
        <n v="348092730132"/>
        <n v="405007280116"/>
        <n v="398723590116"/>
        <n v="210903590175"/>
        <n v="31043921856"/>
        <n v="109926560604"/>
        <n v="396867730116"/>
        <n v="217797690159"/>
        <n v="431526110175"/>
        <n v="420311800175"/>
        <n v="389206220191"/>
        <n v="48492711201"/>
        <n v="139806900531"/>
        <n v="437391210132"/>
        <n v="340808590141"/>
        <n v="63033501104"/>
        <n v="263949180141"/>
        <n v="214832630256"/>
        <n v="93578060876"/>
        <n v="94395250809"/>
        <n v="84510430892"/>
        <n v="291826320167"/>
        <n v="97240450817"/>
        <n v="80181520809"/>
        <n v="81255520876"/>
        <n v="36507360892"/>
        <n v="83853730817"/>
        <n v="93057040809"/>
        <n v="26489420825"/>
        <n v="39142081260"/>
        <n v="46167111201"/>
        <n v="33453731201"/>
        <n v="34056221201"/>
        <n v="47569241279"/>
        <n v="42651171244"/>
        <n v="43340071252"/>
        <n v="46790011228"/>
        <n v="81009610850"/>
        <n v="80852170833"/>
        <n v="89576150825"/>
        <n v="90532400868"/>
        <n v="43283861210"/>
        <n v="427161160191"/>
        <n v="413886750116"/>
        <n v="27966812100"/>
        <n v="22347482186"/>
        <n v="26619722151"/>
        <n v="25612012186"/>
        <n v="27593352151"/>
        <n v="45317781708"/>
        <n v="26825692143"/>
        <n v="25645832186"/>
        <n v="27277032186"/>
        <n v="23374252100"/>
        <n v="20284922160"/>
        <n v="27589282151"/>
        <n v="28085432143"/>
        <n v="28750932143"/>
        <n v="154323600582"/>
        <n v="80821450868"/>
        <n v="58273720876"/>
        <n v="64560250825"/>
        <n v="104860250310"/>
        <n v="425161140159"/>
        <n v="192946650205"/>
        <n v="27202962186"/>
        <n v="29046862160"/>
        <n v="447250100183"/>
        <n v="234622350116"/>
        <n v="95828890230"/>
        <n v="143881500272"/>
        <n v="358164290108"/>
        <n v="135979660582"/>
        <n v="197298370213"/>
        <n v="28188352178"/>
        <n v="214500260183"/>
        <n v="420523630141"/>
        <n v="29554982151"/>
        <n v="28185222160"/>
        <n v="29048412194"/>
        <n v="19733862100"/>
        <n v="28908502135"/>
        <n v="29376092127"/>
        <n v="25876782135"/>
        <n v="26478082100"/>
        <n v="273903450141"/>
        <n v="28788642186"/>
        <n v="28806652143"/>
        <n v="27538292100"/>
        <n v="27591362100"/>
        <n v="29024922178"/>
        <n v="28795272100"/>
        <n v="29163932151"/>
        <n v="29464612178"/>
        <n v="28726792100"/>
        <n v="27701182127"/>
        <n v="27551642143"/>
        <n v="28851342100"/>
        <n v="28727032178"/>
        <n v="27566952119"/>
        <n v="28587712151"/>
        <n v="28817462100"/>
        <n v="28513182151"/>
        <n v="29049082135"/>
        <n v="28608392194"/>
        <n v="28782022100"/>
        <n v="29412532160"/>
        <n v="29381872186"/>
        <n v="28913072186"/>
        <n v="27893132186"/>
        <n v="29423512119"/>
        <n v="29058712160"/>
        <n v="29408092119"/>
        <n v="28910512160"/>
        <n v="28605332100"/>
        <n v="28782082194"/>
        <n v="28931192100"/>
        <n v="28745112160"/>
        <n v="29156022151"/>
        <n v="28516932119"/>
        <n v="46516461287"/>
        <n v="49129461252"/>
        <n v="48631651252"/>
        <n v="47486991260"/>
        <n v="47678351260"/>
        <n v="28826982119"/>
        <n v="422511180183"/>
        <n v="453190880108"/>
        <n v="427572110183"/>
        <n v="441160940183"/>
        <n v="28623362135"/>
        <n v="404016490191"/>
        <n v="103764160507"/>
        <n v="330371040159"/>
        <n v="29288482178"/>
        <n v="28855982119"/>
        <n v="27196072100"/>
        <n v="29423362186"/>
        <n v="28620342186"/>
        <n v="27744952178"/>
        <n v="29418772119"/>
        <n v="29381932127"/>
        <n v="28722032151"/>
        <n v="29035542160"/>
        <n v="28592372194"/>
        <n v="28297792127"/>
        <n v="28141752100"/>
        <n v="90962770302"/>
        <n v="123769380388"/>
        <n v="147760640302"/>
        <n v="47685901252"/>
        <n v="33472391244"/>
        <n v="18640631201"/>
      </sharedItems>
    </cacheField>
    <cacheField name="Zona Título de Eleitor  " numFmtId="0">
      <sharedItems containsString="0" containsBlank="1" containsNumber="1" containsInteger="1" minValue="1" maxValue="424"/>
    </cacheField>
    <cacheField name="Seção Eleitoral" numFmtId="0">
      <sharedItems containsString="0" containsBlank="1" containsNumber="1" containsInteger="1" minValue="2" maxValue="645"/>
    </cacheField>
    <cacheField name="Data de Emissão5" numFmtId="0">
      <sharedItems containsDate="1" containsBlank="1" containsMixedTypes="1" minDate="1987-02-05T00:00:00" maxDate="2020-12-10T00:00:00"/>
    </cacheField>
    <cacheField name="UF de expedição" numFmtId="0">
      <sharedItems containsBlank="1"/>
    </cacheField>
    <cacheField name="Certificado reservista  " numFmtId="0">
      <sharedItems containsBlank="1" containsMixedTypes="1" containsNumber="1" containsInteger="1" minValue="1" maxValue="992101004205"/>
    </cacheField>
    <cacheField name="Espécie" numFmtId="0">
      <sharedItems containsNonDate="0" containsString="0" containsBlank="1"/>
    </cacheField>
    <cacheField name="Categoria" numFmtId="0">
      <sharedItems containsNonDate="0" containsString="0" containsBlank="1"/>
    </cacheField>
    <cacheField name="UF4" numFmtId="0">
      <sharedItems containsNonDate="0" containsString="0" containsBlank="1"/>
    </cacheField>
    <cacheField name="Endereço" numFmtId="0">
      <sharedItems containsBlank="1"/>
    </cacheField>
    <cacheField name="Número" numFmtId="0">
      <sharedItems containsString="0" containsBlank="1" containsNumber="1" containsInteger="1" minValue="1" maxValue="9300"/>
    </cacheField>
    <cacheField name="Complemento" numFmtId="0">
      <sharedItems containsBlank="1"/>
    </cacheField>
    <cacheField name="Bairro" numFmtId="0">
      <sharedItems containsBlank="1"/>
    </cacheField>
    <cacheField name="Cidade2" numFmtId="0">
      <sharedItems containsBlank="1"/>
    </cacheField>
    <cacheField name="UF5" numFmtId="0">
      <sharedItems containsBlank="1"/>
    </cacheField>
    <cacheField name="CEP" numFmtId="0">
      <sharedItems containsBlank="1"/>
    </cacheField>
    <cacheField name="Telefone residencial" numFmtId="0">
      <sharedItems containsNonDate="0" containsString="0" containsBlank="1"/>
    </cacheField>
    <cacheField name="Telefone celular" numFmtId="0">
      <sharedItems containsString="0" containsBlank="1" containsNumber="1" containsInteger="1" minValue="11930992691" maxValue="85996789804"/>
    </cacheField>
    <cacheField name="Telefone recado" numFmtId="0">
      <sharedItems containsNonDate="0" containsString="0" containsBlank="1"/>
    </cacheField>
    <cacheField name="Banco" numFmtId="0">
      <sharedItems containsString="0" containsBlank="1" containsNumber="1" containsInteger="1" minValue="1" maxValue="341"/>
    </cacheField>
    <cacheField name="Agencia" numFmtId="0">
      <sharedItems containsString="0" containsBlank="1" containsNumber="1" containsInteger="1" minValue="10" maxValue="9895"/>
    </cacheField>
    <cacheField name="Conta" numFmtId="0">
      <sharedItems containsBlank="1" containsMixedTypes="1" containsNumber="1" containsInteger="1" minValue="2938685" maxValue="3078381" count="425">
        <s v="15040 0"/>
        <s v="40186 9"/>
        <s v="16247 7"/>
        <s v="33032 1"/>
        <s v="03453 4"/>
        <s v="03448 4"/>
        <s v="33491 9"/>
        <s v="03513 5"/>
        <s v="01775 2"/>
        <s v="13211 8"/>
        <s v="09904 5"/>
        <s v="35126 5"/>
        <s v="37812 9"/>
        <s v="17937 7"/>
        <s v="03478 1"/>
        <s v="36272 7"/>
        <s v="14672 1"/>
        <s v="19818 9"/>
        <s v="30358 5"/>
        <s v="31248 0"/>
        <s v="63917 9"/>
        <s v="03588 7"/>
        <s v="22471 9"/>
        <s v="03640 6"/>
        <s v="03605 9"/>
        <s v="03602 6"/>
        <s v="03701 6"/>
        <s v="32844 7"/>
        <s v="03685 0"/>
        <s v="03576 2"/>
        <s v="91914 8"/>
        <s v="03614 1"/>
        <s v="03601 8"/>
        <s v="00614 9"/>
        <s v="23964 8"/>
        <s v="36356 7"/>
        <s v="52714 6"/>
        <s v="23684 7"/>
        <s v="34715 6"/>
        <s v="31838 6"/>
        <s v="11123 6"/>
        <s v="12148 2"/>
        <s v="10609 8"/>
        <s v="21794 7"/>
        <s v="79017 2"/>
        <s v="37918 5"/>
        <s v="36080 3"/>
        <s v="35166 1"/>
        <s v="63514 6"/>
        <s v="21730 1"/>
        <s v="78933 1"/>
        <s v="78959 6"/>
        <s v="78944 8"/>
        <s v="78953 9"/>
        <s v="35985 4"/>
        <s v="21589 0"/>
        <s v="21733 5"/>
        <s v="78918 2"/>
        <s v="06228 5"/>
        <s v="04334 0"/>
        <s v="06233 5"/>
        <s v="34449 4"/>
        <s v="39070 9"/>
        <s v="01275 0"/>
        <s v="07105 1"/>
        <s v="54564 8"/>
        <s v="47250 4"/>
        <s v="03203 1"/>
        <s v="19413 3"/>
        <s v="40607 8"/>
        <s v="06741 3"/>
        <s v="06784 3"/>
        <s v="08041 4"/>
        <s v="06745 4"/>
        <s v="06752 0"/>
        <s v="06730 6"/>
        <s v="42080 2"/>
        <s v="37550 5"/>
        <s v="08007 2"/>
        <s v="37512 8"/>
        <s v="06381 0"/>
        <s v="80976 7"/>
        <s v="37549 0"/>
        <s v="06793 4"/>
        <s v="75198 2"/>
        <s v="06224 4"/>
        <s v="07378 1"/>
        <s v="06664 7"/>
        <s v="54168 3"/>
        <s v="95600 1"/>
        <s v="29287 4"/>
        <s v="06223 6"/>
        <s v="94903 5"/>
        <s v="06208 7"/>
        <s v="06220 2"/>
        <s v="06222 8"/>
        <s v="06881 7"/>
        <s v="95586 2"/>
        <s v="06880 9"/>
        <s v="08526 4"/>
        <s v="02459 8"/>
        <s v="23495 5"/>
        <s v="08559 5"/>
        <s v="98099 8"/>
        <s v="13558 0"/>
        <s v="08614 8"/>
        <s v="08585 0"/>
        <s v="28393 9"/>
        <s v="08581 9"/>
        <s v="06238 4"/>
        <s v="08599 1"/>
        <s v="51640 5"/>
        <s v="08612 2"/>
        <s v="03207 0"/>
        <s v="06529 2"/>
        <s v="08438 1"/>
        <s v="23509 2"/>
        <s v="61889 7"/>
        <s v="06226 9"/>
        <s v="06167 5"/>
        <s v="71096 2"/>
        <s v="06219 4"/>
        <s v="06178 2"/>
        <s v="33772 3"/>
        <s v="40902 7"/>
        <s v="06214 5"/>
        <s v="29267 6"/>
        <s v="06209 5"/>
        <s v="36485 6"/>
        <s v="06530 0"/>
        <s v="06221 0"/>
        <s v="06872 6"/>
        <s v="06237 6"/>
        <s v="06870 0"/>
        <s v="06889 0"/>
        <s v="08591 8"/>
        <s v="98941 8"/>
        <s v="44885 5"/>
        <s v="44906 9"/>
        <s v="41337 1"/>
        <s v="21431 4"/>
        <s v="23731 7"/>
        <s v="59237 8"/>
        <s v="41177 0"/>
        <s v="45755 5"/>
        <s v="46280 3"/>
        <s v="45785 2"/>
        <s v="73911 0"/>
        <s v="43250 9"/>
        <s v="21238 3"/>
        <s v="24023 8"/>
        <s v="41318 1"/>
        <s v="29146 4"/>
        <s v="18085 3"/>
        <s v="12514 7"/>
        <s v="74073 8"/>
        <s v="08370 9"/>
        <s v="06731 0"/>
        <s v="57373 3"/>
        <s v="38472 3"/>
        <s v="13597 6"/>
        <s v="02291 1"/>
        <s v="02297 8"/>
        <s v="02025 3"/>
        <s v="17393 0"/>
        <s v="02292 9"/>
        <n v="3078381"/>
        <n v="3074883"/>
        <n v="3077787"/>
        <n v="2938685"/>
        <s v="36126 4"/>
        <s v="17600 8"/>
        <s v="53189 7"/>
        <s v="68869 7"/>
        <s v="71460 1"/>
        <s v="14606 9"/>
        <s v="06792 6"/>
        <s v="08322 8"/>
        <s v="68999 2"/>
        <s v="37409 1"/>
        <s v="33396 1"/>
        <s v="08050 5"/>
        <s v="95982 8"/>
        <s v="36565 1"/>
        <s v="37073 5"/>
        <s v="06213 3"/>
        <s v="41707 3"/>
        <s v="75124 8"/>
        <s v="22649 4"/>
        <s v="06225 1"/>
        <s v="39026 0"/>
        <s v="38749 8"/>
        <s v="64962 8"/>
        <s v="42680 5"/>
        <s v="06174 1"/>
        <s v="14555 4"/>
        <s v="11290 3"/>
        <s v="06236 8"/>
        <s v="37355 6"/>
        <s v="06231 9"/>
        <s v="17894 8"/>
        <s v="05252 5"/>
        <s v="06229 3"/>
        <s v="08264 2"/>
        <s v="06788 4"/>
        <s v="06790 0"/>
        <s v="34946 3"/>
        <s v="08046 3"/>
        <s v="06240 0"/>
        <s v="08039 8"/>
        <s v="06243 4"/>
        <s v="57957 3"/>
        <s v="47745 9"/>
        <s v="06210 3"/>
        <s v="06141 0"/>
        <s v="51153 9"/>
        <s v="09068 2"/>
        <s v="19527 0"/>
        <s v="08086 9"/>
        <s v="43026 9"/>
        <s v="06729 8"/>
        <s v="08306 1"/>
        <s v="06215 2"/>
        <s v="11131 9"/>
        <s v="56668 4"/>
        <s v="06230 1"/>
        <s v="06181 6"/>
        <s v="35371 5"/>
        <s v="06246 7"/>
        <s v="18989 3"/>
        <s v="40283 5"/>
        <s v="53556 1"/>
        <s v="54212 0"/>
        <s v="19610 4"/>
        <s v="03724 8"/>
        <s v="18908 2"/>
        <s v="34707 2"/>
        <s v="08305 3"/>
        <s v="06795 9"/>
        <s v="08240 2"/>
        <s v="06935 1"/>
        <s v="08282 4"/>
        <s v="33444 9"/>
        <s v="08167 7"/>
        <s v="39225 2"/>
        <s v="48309 3"/>
        <s v="08241 0"/>
        <s v="33446 4"/>
        <s v="37458 8"/>
        <s v="06951 8"/>
        <s v="16272 1"/>
        <s v="08231 1"/>
        <s v="31298 3"/>
        <s v="51343 6"/>
        <s v="08262 6"/>
        <s v="47915 8"/>
        <s v="08217 0"/>
        <s v="06845 2"/>
        <s v="03512 7"/>
        <s v="09811 9"/>
        <s v="00969 1"/>
        <s v="18735 5"/>
        <s v="10469 6"/>
        <s v="42516 3"/>
        <s v="97011 0"/>
        <s v="02293 7"/>
        <s v="02298 6"/>
        <s v="02295 2"/>
        <s v="14268 4"/>
        <s v="37979 7"/>
        <s v="17423 3"/>
        <s v="06249 1"/>
        <s v="06248 3"/>
        <s v="06245 9"/>
        <s v="30944 3"/>
        <s v="74749 3"/>
        <s v="26974 6"/>
        <s v="37448 9"/>
        <s v="33956 2"/>
        <s v="38686 4"/>
        <s v="01610 3"/>
        <s v="06965 8"/>
        <s v="06961 7"/>
        <s v="08205 5"/>
        <s v="08047 1"/>
        <s v="06962 5"/>
        <s v="33969 5"/>
        <s v="06950 0"/>
        <s v="41352 0"/>
        <s v="19503 0"/>
        <s v="12453 3"/>
        <s v="19497 5"/>
        <s v="32503 5"/>
        <s v="19376 1"/>
        <s v="45847 8"/>
        <s v="16118 0"/>
        <s v="33925 7"/>
        <s v="37748 2"/>
        <s v="06149 9"/>
        <s v="37818 3"/>
        <s v="24027 5"/>
        <s v="32319 7"/>
        <s v="68435 2"/>
        <s v="78936 4"/>
        <s v="49397 8"/>
        <s v="63567 4"/>
        <s v="21732 7"/>
        <s v="36083 7"/>
        <s v="36038 1"/>
        <s v="35411 1"/>
        <s v="36019 1"/>
        <s v="35977 1"/>
        <s v="78916 6"/>
        <s v="36219 7"/>
        <s v="45319 6"/>
        <s v="45865 5"/>
        <s v="63465 1"/>
        <s v="63776 1"/>
        <s v="07386 4"/>
        <s v="98002 2"/>
        <s v="06703 3"/>
        <s v="29594 9"/>
        <s v="06242 6"/>
        <s v="35234 9"/>
        <s v="35983 9"/>
        <s v="28921 8"/>
        <s v="29202 3"/>
        <s v="76321 8"/>
        <s v="03562 1"/>
        <s v="06252 5"/>
        <s v="16492 6"/>
        <s v="36013 3"/>
        <s v="13136 6"/>
        <s v="36286 6"/>
        <s v="06244 2"/>
        <s v="18902 1"/>
        <s v="36084 5"/>
        <s v="30258 0"/>
        <s v="36007 6"/>
        <s v="21133 8"/>
        <s v="63529 4"/>
        <s v="35992 0"/>
        <s v="36073 8"/>
        <s v="33062 4"/>
        <s v="36714 6"/>
        <s v="21731 9"/>
        <s v="36101 7"/>
        <s v="21802 8"/>
        <s v="78942 2"/>
        <s v="36003 5"/>
        <s v="36078 7"/>
        <s v="36023 3"/>
        <s v="78978 6"/>
        <s v="78970 3"/>
        <s v="79088 3"/>
        <s v="63550 0"/>
        <s v="36151 2"/>
        <s v="79043 8"/>
        <s v="79036 2"/>
        <s v="63441 2"/>
        <s v="78934 9"/>
        <s v="49301 0"/>
        <s v="35970 6"/>
        <s v="35987 0"/>
        <s v="79002 4"/>
        <s v="78941 4"/>
        <s v="63569 0"/>
        <s v="78969 5"/>
        <s v="36026 6"/>
        <s v="21790 5"/>
        <s v="79123 8"/>
        <s v="63556 7"/>
        <s v="36016 7"/>
        <s v="78935 6"/>
        <s v="78946 3"/>
        <s v="78945 5"/>
        <s v="36012 6"/>
        <s v="36104 1"/>
        <s v="21822 6"/>
        <s v="21804 4"/>
        <s v="49312 7"/>
        <s v="36159 5"/>
        <s v="78994 3"/>
        <s v="36089 4"/>
        <s v="19524 6"/>
        <s v="19537 8"/>
        <s v="19545 1"/>
        <s v="19570 9"/>
        <s v="19522 0"/>
        <s v="49298 8"/>
        <s v="79040 4"/>
        <s v="78211 2"/>
        <s v="06146 9"/>
        <s v="29050 6"/>
        <s v="36155 3"/>
        <s v="06151 9"/>
        <s v="20062 6"/>
        <s v="06218 6"/>
        <s v="78931 5"/>
        <s v="79221 0"/>
        <s v="63309 9"/>
        <s v="77884 4"/>
        <s v="51107 6"/>
        <s v="36244 5"/>
        <s v="78929 9"/>
        <s v="49316 8"/>
        <s v="35993 8"/>
        <s v="49294 7"/>
        <s v="63611 0"/>
        <s v="63534 4"/>
        <s v="21739 2"/>
        <s v="35984 7"/>
        <s v="63565 8"/>
        <s v="36009 2"/>
        <s v="36105 8"/>
        <s v="49302 8"/>
        <s v="78971 1"/>
        <s v="21785 5"/>
        <s v="46327 2"/>
        <s v="46418 9"/>
        <s v="75304 4"/>
        <s v="65790 7"/>
        <s v="19633 5"/>
        <s v="19587 3"/>
        <m/>
      </sharedItems>
    </cacheField>
    <cacheField name="Data demissão" numFmtId="0">
      <sharedItems containsDate="1" containsBlank="1" containsMixedTypes="1" minDate="2020-06-10T00:00:00" maxDate="2020-09-11T00:00:00"/>
    </cacheField>
    <cacheField name="Motivo demissão" numFmtId="0">
      <sharedItems containsBlank="1"/>
    </cacheField>
    <cacheField name="Justificativa de demissão" numFmtId="0">
      <sharedItems containsBlank="1"/>
    </cacheField>
    <cacheField name="Ramo1" numFmtId="0">
      <sharedItems containsBlank="1"/>
    </cacheField>
    <cacheField name="Família de Cargo" numFmtId="0">
      <sharedItems containsBlank="1"/>
    </cacheField>
    <cacheField name="Ramo2" numFmtId="0">
      <sharedItems containsBlank="1"/>
    </cacheField>
    <cacheField name="Ramo4" numFmtId="0">
      <sharedItems containsBlank="1"/>
    </cacheField>
    <cacheField name="Nível do Cargo" numFmtId="0">
      <sharedItems containsBlank="1"/>
    </cacheField>
    <cacheField name="Salário normal" numFmtId="0">
      <sharedItems containsBlank="1"/>
    </cacheField>
    <cacheField name="Salário férias" numFmtId="0">
      <sharedItems containsBlank="1"/>
    </cacheField>
    <cacheField name="Salários horas extras" numFmtId="0">
      <sharedItems containsBlank="1"/>
    </cacheField>
    <cacheField name="Salário banco de horas" numFmtId="0">
      <sharedItems containsBlank="1"/>
    </cacheField>
    <cacheField name="Salário Outros" numFmtId="0">
      <sharedItems containsBlank="1"/>
    </cacheField>
    <cacheField name="Qtde horas extras" numFmtId="0">
      <sharedItems containsBlank="1"/>
    </cacheField>
    <cacheField name="Qtde banco de horas" numFmtId="0">
      <sharedItems containsBlank="1"/>
    </cacheField>
    <cacheField name="Valor PLR" numFmtId="0">
      <sharedItems containsBlank="1"/>
    </cacheField>
    <cacheField name="Valor 13 salário" numFmtId="0">
      <sharedItems containsBlank="1"/>
    </cacheField>
    <cacheField name="Valor INSS" numFmtId="0">
      <sharedItems containsBlank="1"/>
    </cacheField>
    <cacheField name="Valor FGTS" numFmtId="0">
      <sharedItems containsBlank="1"/>
    </cacheField>
    <cacheField name="Valor Indenização" numFmtId="0">
      <sharedItems containsBlank="1"/>
    </cacheField>
    <cacheField name="Valor Periculosidade" numFmtId="0">
      <sharedItems containsBlank="1"/>
    </cacheField>
    <cacheField name="Valor Insalubridade" numFmtId="0">
      <sharedItems containsBlank="1"/>
    </cacheField>
    <cacheField name="Valor Contribuição Sindical" numFmtId="0">
      <sharedItems containsBlank="1"/>
    </cacheField>
    <cacheField name="Assistência médica Duratex" numFmtId="0">
      <sharedItems containsBlank="1"/>
    </cacheField>
    <cacheField name="Assistência médica funcionário" numFmtId="0">
      <sharedItems containsBlank="1"/>
    </cacheField>
    <cacheField name="Assistência odontológica Duratex" numFmtId="0">
      <sharedItems containsBlank="1"/>
    </cacheField>
    <cacheField name="Assistência odontológica funcionário" numFmtId="0">
      <sharedItems containsBlank="1"/>
    </cacheField>
    <cacheField name="Farmácia Duratex" numFmtId="0">
      <sharedItems containsBlank="1"/>
    </cacheField>
    <cacheField name="Farmácia funcionário" numFmtId="0">
      <sharedItems containsBlank="1"/>
    </cacheField>
    <cacheField name="Restaurante Duratex" numFmtId="0">
      <sharedItems containsBlank="1"/>
    </cacheField>
    <cacheField name="Restaurante Funcionário" numFmtId="0">
      <sharedItems containsBlank="1"/>
    </cacheField>
    <cacheField name="Fundação Plano CD Duratex" numFmtId="0">
      <sharedItems containsBlank="1"/>
    </cacheField>
    <cacheField name="Fundação Plano CD Funcionário" numFmtId="0">
      <sharedItems containsBlank="1"/>
    </cacheField>
    <cacheField name="Fundação Plano BD Duratex" numFmtId="0">
      <sharedItems containsBlank="1"/>
    </cacheField>
    <cacheField name="Vale transporte Duratex" numFmtId="0">
      <sharedItems containsBlank="1"/>
    </cacheField>
    <cacheField name="Vale transporte funcionário" numFmtId="0">
      <sharedItems containsBlank="1"/>
    </cacheField>
    <cacheField name="Fretado Duratex" numFmtId="0">
      <sharedItems containsBlank="1"/>
    </cacheField>
    <cacheField name="Fretado funcionário" numFmtId="0">
      <sharedItems containsBlank="1"/>
    </cacheField>
    <cacheField name="Ticket Duratex" numFmtId="0">
      <sharedItems containsBlank="1"/>
    </cacheField>
    <cacheField name="Ticket funcionário" numFmtId="0">
      <sharedItems containsBlank="1"/>
    </cacheField>
    <cacheField name="Cesta básica Duratex" numFmtId="0">
      <sharedItems containsBlank="1"/>
    </cacheField>
    <cacheField name="Cesta básica funcionário" numFmtId="0">
      <sharedItems containsBlank="1"/>
    </cacheField>
    <cacheField name="Seguro de vida Duratex" numFmtId="0">
      <sharedItems containsBlank="1"/>
    </cacheField>
    <cacheField name="Seguro de vida funcionário" numFmtId="0">
      <sharedItems containsBlank="1"/>
    </cacheField>
    <cacheField name="Vacina Duratex" numFmtId="0">
      <sharedItems containsBlank="1"/>
    </cacheField>
    <cacheField name="Vacina funcionário" numFmtId="0">
      <sharedItems containsBlank="1"/>
    </cacheField>
    <cacheField name="Auxílio doença Duratex" numFmtId="0">
      <sharedItems containsBlank="1"/>
    </cacheField>
    <cacheField name="Auxílio creche Duratex" numFmtId="0">
      <sharedItems containsBlank="1"/>
    </cacheField>
    <cacheField name="Auxílio funeral Duratex" numFmtId="0">
      <sharedItems containsBlank="1"/>
    </cacheField>
    <cacheField name="Brinquedos Duratex" numFmtId="0">
      <sharedItems containsBlank="1"/>
    </cacheField>
    <cacheField name="Cesta de natal Duratex" numFmtId="0">
      <sharedItems containsBlank="1"/>
    </cacheField>
    <cacheField name="Honorário especial diretor" numFmtId="0">
      <sharedItems containsBlank="1"/>
    </cacheField>
    <cacheField name="Honorário complementar diretor" numFmtId="0">
      <sharedItems containsBlank="1"/>
    </cacheField>
    <cacheField name="Participção estat cons" numFmtId="0">
      <sharedItems containsBlank="1"/>
    </cacheField>
    <cacheField name="Gratificação especial" numFmtId="0">
      <sharedItems containsBlank="1"/>
    </cacheField>
    <cacheField name="Súmula 90" numFmtId="0">
      <sharedItems containsBlank="1"/>
    </cacheField>
    <cacheField name="Outros Benefícios Duratex" numFmtId="0">
      <sharedItems containsBlank="1"/>
    </cacheField>
    <cacheField name="Outros Benefícios Funcionário" numFmtId="0">
      <sharedItems containsBlank="1"/>
    </cacheField>
    <cacheField name="Encargos de férias" numFmtId="0">
      <sharedItems containsBlank="1"/>
    </cacheField>
    <cacheField name="Email" numFmtId="0">
      <sharedItems containsBlank="1"/>
    </cacheField>
    <cacheField name="Ramal" numFmtId="0">
      <sharedItems containsNonDate="0" containsString="0" containsBlank="1"/>
    </cacheField>
    <cacheField name="User ID" numFmtId="0">
      <sharedItems containsBlank="1"/>
    </cacheField>
    <cacheField name="Marcação" numFmtId="0">
      <sharedItems containsBlank="1" containsMixedTypes="1" containsNumber="1" containsInteger="1" minValue="1" maxValue="9"/>
    </cacheField>
    <cacheField name="Marcação de Ponto Sim / Não" numFmtId="0">
      <sharedItems containsBlank="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02020"/>
    <x v="0"/>
    <s v="Ativo"/>
    <s v="AD"/>
    <n v="30043825"/>
    <s v="Colaborador–M.O.Fixa"/>
    <s v="Mensalista"/>
    <s v="1DF"/>
    <s v="Duratex Florestal Ltda"/>
    <n v="27"/>
    <s v="FL UBERABA"/>
    <n v="27"/>
    <s v="MADEIRA"/>
    <s v="SIM"/>
    <m/>
    <s v="GLAUCIELE ADRIANA DA SILVA"/>
    <s v="GLAUCIELE"/>
    <n v="10002565"/>
    <s v="MSU-05"/>
    <s v="MSU-05 - SILVICULTURA UBERABA - UB"/>
    <s v="DFUB"/>
    <s v="DFMOCAMP92"/>
    <s v="Mão de Obra Campo"/>
    <n v="10008413"/>
    <s v="MSU-06"/>
    <s v="MSU-06 - SILVICULTURA UBERABA - UB"/>
    <s v="ERINTON ZANLORENZI"/>
    <n v="10000080"/>
    <s v="EQUIPE"/>
    <s v="EQUIPE"/>
    <n v="10000004"/>
    <s v="MADEIRA"/>
    <s v="DIR OPER FLORESTAL"/>
    <m/>
    <m/>
    <m/>
    <m/>
    <m/>
    <m/>
    <d v="2020-05-10T00:00:00"/>
    <n v="0"/>
    <m/>
    <d v="1987-10-05T00:00:00"/>
    <x v="0"/>
    <m/>
    <s v="brasileira"/>
    <s v="VARZEA DA PALMA"/>
    <s v="MG"/>
    <s v="BR"/>
    <s v="Não"/>
    <s v="F"/>
    <s v="Não"/>
    <m/>
    <s v="Solt."/>
    <s v="Negra"/>
    <s v="Colegial completo"/>
    <m/>
    <n v="22001380"/>
    <s v="220/M"/>
    <s v="TRABALHADOR RURAL"/>
    <n v="622020"/>
    <s v="Admissão"/>
    <d v="2020-10-01T00:00:00"/>
    <s v="220,00"/>
    <s v="MFM-01"/>
    <s v="MPA-01"/>
    <s v="MFL-01"/>
    <s v="CSS-01"/>
    <s v="MDP-01"/>
    <s v="PRE-01"/>
    <s v="1.120,00"/>
    <s v="1.120,00"/>
    <s v="1.120,00"/>
    <s v="0,00"/>
    <s v="AP"/>
    <s v="FL UBERABA-220/M"/>
    <n v="13"/>
    <s v="GRS013OP"/>
    <d v="2020-10-01T00:00:00"/>
    <s v="Admissão"/>
    <s v="1.119,00"/>
    <s v="111900,00"/>
    <n v="1"/>
    <m/>
    <s v="N"/>
    <x v="0"/>
    <m/>
    <d v="2005-05-04T00:00:00"/>
    <s v="MG"/>
    <s v="089.100.536-66"/>
    <n v="2866292"/>
    <n v="40"/>
    <d v="2013-03-06T00:00:00"/>
    <s v="MG"/>
    <n v="19025669061"/>
    <m/>
    <m/>
    <m/>
    <m/>
    <m/>
    <m/>
    <m/>
    <m/>
    <m/>
    <x v="0"/>
    <n v="340"/>
    <n v="87"/>
    <s v="19/06/2017"/>
    <s v="MG"/>
    <m/>
    <m/>
    <m/>
    <m/>
    <s v="RUA MARIA DALVA DE JESUS"/>
    <n v="820"/>
    <m/>
    <s v="CENTRO"/>
    <s v="NOVA PONTE"/>
    <s v="MG"/>
    <s v="38160-000"/>
    <m/>
    <n v="34988769544"/>
    <m/>
    <n v="341"/>
    <n v="5388"/>
    <x v="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LAUSILV"/>
    <n v="1"/>
    <s v="Sim"/>
  </r>
  <r>
    <n v="102020"/>
    <x v="1"/>
    <s v="Ativo"/>
    <s v="AD"/>
    <n v="30041878"/>
    <s v="Colaborador–M.O.Fixa"/>
    <s v="Mensalista"/>
    <s v="1DF"/>
    <s v="Duratex Florestal Ltda"/>
    <n v="27"/>
    <s v="FL UBERABA"/>
    <n v="27"/>
    <s v="MADEIRA"/>
    <s v="SIM"/>
    <m/>
    <s v="JOSE CARLOS DOS SANTOS"/>
    <s v="JOSE"/>
    <n v="10007867"/>
    <s v="MSU-02"/>
    <s v="MSU-02 - SILVICULTURA UBERABA - UB"/>
    <s v="DFUB"/>
    <s v="DFPRESER92"/>
    <s v="Preserv. Florestal"/>
    <n v="10007861"/>
    <s v="MSU-02"/>
    <s v="MSU-02 - SILVICULTURA UBERABA - UB"/>
    <s v="LENON AUGUSTO SIMON HULLER"/>
    <n v="10000080"/>
    <s v="EQUIPE"/>
    <s v="EQUIPE"/>
    <n v="10000004"/>
    <s v="MADEIRA"/>
    <s v="DIR OPER FLORESTAL"/>
    <m/>
    <m/>
    <m/>
    <m/>
    <m/>
    <m/>
    <d v="2020-05-10T00:00:00"/>
    <n v="0"/>
    <m/>
    <s v="19/06/1965"/>
    <x v="1"/>
    <m/>
    <s v="brasileira"/>
    <s v="UBERABA"/>
    <s v="MG"/>
    <s v="BR"/>
    <s v="Não"/>
    <s v="M"/>
    <s v="Não"/>
    <m/>
    <s v="Casado"/>
    <s v="Parda"/>
    <s v="Primário completo"/>
    <m/>
    <n v="22001387"/>
    <s v="220/M"/>
    <s v="VIGIA FLORESTAL"/>
    <n v="517320"/>
    <s v="Admissão"/>
    <d v="2020-10-01T00:00:00"/>
    <s v="220,00"/>
    <s v="MFM-01"/>
    <s v="MPA-01"/>
    <s v="MFL-01"/>
    <s v="CSS-01"/>
    <s v="MDP-01"/>
    <s v="PRE-01"/>
    <s v="1.333,60"/>
    <s v="1.333,60"/>
    <s v="1.333,60"/>
    <s v="0,00"/>
    <s v="AP"/>
    <s v="FL UBERABA-220/M"/>
    <n v="15"/>
    <s v="GRS015OP"/>
    <d v="2020-10-01T00:00:00"/>
    <s v="Admissão"/>
    <s v="1.332,60"/>
    <s v="133260,00"/>
    <n v="1"/>
    <m/>
    <s v="N"/>
    <x v="1"/>
    <m/>
    <s v="25/02/1985"/>
    <s v="MG"/>
    <s v="517.468.596-87"/>
    <n v="15335"/>
    <n v="163"/>
    <s v="15/07/2011"/>
    <s v="MG"/>
    <n v="12197732376"/>
    <m/>
    <m/>
    <m/>
    <m/>
    <m/>
    <m/>
    <m/>
    <m/>
    <m/>
    <x v="1"/>
    <n v="347"/>
    <n v="273"/>
    <s v="21/02/2019"/>
    <s v="MG"/>
    <m/>
    <m/>
    <m/>
    <m/>
    <s v="RUA RUA F"/>
    <n v="14"/>
    <m/>
    <s v="CONJUNTO ANA CLAUDIA"/>
    <s v="VERISSIMO"/>
    <s v="MG"/>
    <s v="38150-000"/>
    <m/>
    <n v="34999079908"/>
    <m/>
    <n v="341"/>
    <n v="6387"/>
    <x v="1"/>
    <m/>
    <m/>
    <m/>
    <s v="OPERACIONAL"/>
    <s v="OPERACOES"/>
    <s v="ADMINISTRATIVO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CASAN"/>
    <n v="1"/>
    <s v="Sim"/>
  </r>
  <r>
    <n v="102020"/>
    <x v="2"/>
    <s v="Ativo"/>
    <s v="AD"/>
    <n v="30042163"/>
    <s v="Colaborador–M.O.Fixa"/>
    <s v="Mensalista"/>
    <s v="1DF"/>
    <s v="Duratex Florestal Ltda"/>
    <n v="23"/>
    <s v="FL ITAPETININGA"/>
    <n v="23"/>
    <s v="MADEIRA"/>
    <s v="SIM"/>
    <m/>
    <s v="JOSUEL PEREIRA DE LIMA"/>
    <s v="JOSUEL"/>
    <n v="10000880"/>
    <s v="MSI-02"/>
    <s v="MSI-02 - SILVICULTURA ITAPETININGA - IT"/>
    <s v="DFIT"/>
    <s v="DFTRATPN85"/>
    <s v="Trator de Pneu"/>
    <n v="10000878"/>
    <s v="MSI-02"/>
    <s v="MSI-02 - SILVICULTURA ITAPETININGA - IT"/>
    <s v="FERNANDO LERYA NEVES DA SILVA"/>
    <n v="10000080"/>
    <s v="EQUIPE"/>
    <s v="EQUIPE"/>
    <n v="10000004"/>
    <s v="MADEIRA"/>
    <s v="DIR OPER FLORESTAL"/>
    <m/>
    <m/>
    <m/>
    <m/>
    <m/>
    <m/>
    <d v="2020-05-10T00:00:00"/>
    <n v="0"/>
    <m/>
    <s v="19/05/1994"/>
    <x v="2"/>
    <m/>
    <s v="brasileira"/>
    <s v="ITAPEVA"/>
    <s v="SP"/>
    <s v="BR"/>
    <s v="Não"/>
    <s v="M"/>
    <s v="Não"/>
    <m/>
    <s v="Casado"/>
    <s v="Parda"/>
    <s v="Colegial completo"/>
    <m/>
    <n v="22002551"/>
    <s v="220/M"/>
    <s v="TRATORISTA"/>
    <n v="642015"/>
    <s v="Admissão"/>
    <d v="2020-10-01T00:00:00"/>
    <s v="220,00"/>
    <s v="MSL-01"/>
    <s v="MPA-01"/>
    <s v="MFL-01"/>
    <s v="CSS-01"/>
    <s v="MDP-01"/>
    <s v="PRE-01"/>
    <s v="1.419,00"/>
    <s v="1.419,00"/>
    <s v="1.419,00"/>
    <s v="0,00"/>
    <s v="AM"/>
    <s v="FL ITAPET.-220/M"/>
    <n v="15"/>
    <s v="GRS015OP"/>
    <d v="2020-10-01T00:00:00"/>
    <s v="Admissão"/>
    <s v="1.418,00"/>
    <s v="141800,00"/>
    <n v="1"/>
    <m/>
    <s v="N"/>
    <x v="2"/>
    <m/>
    <s v="16/02/2009"/>
    <s v="SP"/>
    <s v="435.027.238-00"/>
    <n v="7686"/>
    <n v="380"/>
    <d v="2010-08-11T00:00:00"/>
    <s v="SP"/>
    <n v="16179793906"/>
    <m/>
    <n v="5748944997"/>
    <s v="AD"/>
    <d v="2015-12-08T00:00:00"/>
    <d v="2015-12-08T00:00:00"/>
    <s v="31/12/9999"/>
    <m/>
    <m/>
    <m/>
    <x v="2"/>
    <n v="52"/>
    <n v="249"/>
    <s v="18/11/2019"/>
    <s v="SP"/>
    <n v="140702399035"/>
    <m/>
    <m/>
    <m/>
    <s v="RUA FRANCISCO MANOEL RODRIGUES"/>
    <n v="50"/>
    <m/>
    <s v="TUPI"/>
    <s v="ITAPETININGA"/>
    <s v="SP"/>
    <s v="18205-590"/>
    <m/>
    <n v="15997635162"/>
    <m/>
    <n v="341"/>
    <n v="242"/>
    <x v="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SUELIM"/>
    <n v="1"/>
    <s v="Sim"/>
  </r>
  <r>
    <n v="102020"/>
    <x v="3"/>
    <s v="Ativo"/>
    <s v="AD"/>
    <n v="30119357"/>
    <s v="Colaborador–M.O.Fixa"/>
    <s v="Mensalista"/>
    <s v="1DF"/>
    <s v="Duratex Florestal Ltda"/>
    <n v="23"/>
    <s v="FL ITAPETININGA"/>
    <n v="23"/>
    <s v="MADEIRA"/>
    <s v="SIM"/>
    <m/>
    <s v="ORANDIR NICACIO DE OLIVEIRA"/>
    <s v="ORANDIR"/>
    <n v="10000880"/>
    <s v="MSI-02"/>
    <s v="MSI-02 - SILVICULTURA ITAPETININGA - IT"/>
    <s v="DFIT"/>
    <s v="DFTRATPN85"/>
    <s v="Trator de Pneu"/>
    <n v="10000878"/>
    <s v="MSI-02"/>
    <s v="MSI-02 - SILVICULTURA ITAPETININGA - IT"/>
    <s v="FERNANDO LERYA NEVES DA SILVA"/>
    <n v="10000080"/>
    <s v="EQUIPE"/>
    <s v="EQUIPE"/>
    <n v="10000004"/>
    <s v="MADEIRA"/>
    <s v="DIR OPER FLORESTAL"/>
    <m/>
    <m/>
    <m/>
    <m/>
    <m/>
    <m/>
    <d v="2020-05-10T00:00:00"/>
    <n v="0"/>
    <m/>
    <s v="27/03/1987"/>
    <x v="0"/>
    <m/>
    <s v="brasileira"/>
    <s v="RIBEIRAO BRANCO"/>
    <s v="SP"/>
    <s v="BR"/>
    <s v="Não"/>
    <s v="M"/>
    <s v="Não"/>
    <m/>
    <s v="Solt."/>
    <s v="Parda"/>
    <s v="Colegial completo"/>
    <m/>
    <n v="22002551"/>
    <s v="220/M"/>
    <s v="TRATORISTA"/>
    <n v="642015"/>
    <s v="Admissão"/>
    <d v="2020-10-01T00:00:00"/>
    <s v="220,00"/>
    <s v="MSL-01"/>
    <s v="MPA-01"/>
    <s v="MFL-01"/>
    <s v="CSS-01"/>
    <s v="MDP-01"/>
    <s v="PRE-01"/>
    <s v="1.419,00"/>
    <s v="1.419,00"/>
    <s v="1.419,00"/>
    <s v="0,00"/>
    <s v="AM"/>
    <s v="FL ITAPET.-220/M"/>
    <n v="15"/>
    <s v="GRS015OP"/>
    <d v="2020-10-01T00:00:00"/>
    <s v="Admissão"/>
    <s v="1.418,00"/>
    <s v="141800,00"/>
    <n v="1"/>
    <m/>
    <s v="N"/>
    <x v="3"/>
    <m/>
    <s v="27/01/2016"/>
    <s v="SP"/>
    <s v="371.824.918-93"/>
    <n v="52742"/>
    <n v="303"/>
    <s v="27/05/2017"/>
    <s v="SP"/>
    <n v="20634822424"/>
    <m/>
    <n v="4272351839"/>
    <s v="AB"/>
    <d v="2016-04-02T00:00:00"/>
    <d v="2020-05-10T00:00:00"/>
    <d v="2021-03-02T00:00:00"/>
    <m/>
    <m/>
    <m/>
    <x v="3"/>
    <n v="52"/>
    <n v="235"/>
    <s v="19/04/2007"/>
    <s v="SP"/>
    <n v="140702275573"/>
    <m/>
    <m/>
    <m/>
    <s v="RUA ELPIDIO AUGUSTO DOS SANTOS"/>
    <n v="90"/>
    <m/>
    <s v="TUPY"/>
    <s v="ITAPETININGA"/>
    <s v="SP"/>
    <s v="18207-809"/>
    <m/>
    <n v="15998079322"/>
    <m/>
    <n v="341"/>
    <n v="8071"/>
    <x v="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OROLIVEI"/>
    <n v="1"/>
    <s v="Sim"/>
  </r>
  <r>
    <n v="102020"/>
    <x v="4"/>
    <s v="Ativo"/>
    <s v="AD"/>
    <n v="30031402"/>
    <s v="Colaborador–M.O.Fixa"/>
    <s v="Mensalista"/>
    <s v="1DF"/>
    <s v="Duratex Florestal Ltda"/>
    <n v="23"/>
    <s v="FL ITAPETININGA"/>
    <n v="23"/>
    <s v="MADEIRA"/>
    <s v="SIM"/>
    <m/>
    <s v="OSMAR SILVA DOS SANTOS"/>
    <s v="OSMAR"/>
    <n v="10000881"/>
    <s v="MSI-02"/>
    <s v="MSI-02 - SILVICULTURA ITAPETININGA - IT"/>
    <s v="DFIT"/>
    <s v="DFMOCAMP85"/>
    <s v="Mão de Obra Campo"/>
    <n v="10000878"/>
    <s v="MSI-02"/>
    <s v="MSI-02 - SILVICULTURA ITAPETININGA - IT"/>
    <s v="FERNANDO LERYA NEVES DA SILVA"/>
    <n v="10000080"/>
    <s v="EQUIPE"/>
    <s v="EQUIPE"/>
    <n v="10000004"/>
    <s v="MADEIRA"/>
    <s v="DIR OPER FLORESTAL"/>
    <m/>
    <m/>
    <m/>
    <m/>
    <m/>
    <m/>
    <d v="2020-05-10T00:00:00"/>
    <n v="0"/>
    <m/>
    <d v="1986-11-03T00:00:00"/>
    <x v="3"/>
    <m/>
    <s v="brasileira"/>
    <s v="ITAPEVA"/>
    <s v="SP"/>
    <s v="BR"/>
    <s v="Não"/>
    <s v="M"/>
    <s v="Não"/>
    <m/>
    <s v="Solt."/>
    <s v="Parda"/>
    <s v="Colegial completo"/>
    <m/>
    <n v="22001380"/>
    <s v="220/M"/>
    <s v="TRABALHADOR RURAL"/>
    <n v="622020"/>
    <s v="Admissão"/>
    <d v="2020-10-01T00:00:00"/>
    <s v="220,00"/>
    <s v="MSL-01"/>
    <s v="MPA-01"/>
    <s v="MFL-01"/>
    <s v="CSS-01"/>
    <s v="MDP-01"/>
    <s v="PRE-01"/>
    <s v="1.211,00"/>
    <s v="1.211,00"/>
    <s v="1.211,00"/>
    <s v="0,00"/>
    <s v="AM"/>
    <s v="FL ITAPET.-220/M"/>
    <n v="13"/>
    <s v="GRS013OP"/>
    <d v="2020-10-01T00:00:00"/>
    <s v="Admissão"/>
    <s v="1.210,00"/>
    <s v="121000,00"/>
    <n v="1"/>
    <m/>
    <s v="N"/>
    <x v="4"/>
    <m/>
    <s v="25/08/2020"/>
    <s v="SP"/>
    <s v="350.178.318-35"/>
    <n v="82437"/>
    <n v="278"/>
    <d v="2017-11-12T00:00:00"/>
    <s v="SP"/>
    <n v="20644509672"/>
    <m/>
    <n v="5359139800"/>
    <s v="AB"/>
    <d v="2016-08-03T00:00:00"/>
    <d v="2020-05-10T00:00:00"/>
    <d v="2021-07-03T00:00:00"/>
    <m/>
    <m/>
    <m/>
    <x v="4"/>
    <n v="53"/>
    <n v="378"/>
    <d v="2017-11-12T00:00:00"/>
    <s v="SP"/>
    <n v="320005160328"/>
    <m/>
    <m/>
    <m/>
    <s v="RUA DE LIGACAO DAS HORTENCIAS"/>
    <n v="134"/>
    <m/>
    <s v="VILA ROSA"/>
    <s v="BURI"/>
    <s v="SP"/>
    <s v="18290-000"/>
    <m/>
    <n v="15997898568"/>
    <m/>
    <n v="341"/>
    <n v="2281"/>
    <x v="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OSMSANTO"/>
    <n v="1"/>
    <s v="Sim"/>
  </r>
  <r>
    <n v="102020"/>
    <x v="5"/>
    <s v="Ativo"/>
    <s v="AD"/>
    <n v="30102314"/>
    <s v="Colaborador–M.O.Fixa"/>
    <s v="Mensalista"/>
    <s v="1DF"/>
    <s v="Duratex Florestal Ltda"/>
    <n v="23"/>
    <s v="FL ITAPETININGA"/>
    <n v="23"/>
    <s v="MADEIRA"/>
    <s v="SIM"/>
    <m/>
    <s v="WILLIAN ROCHA DA COSTA"/>
    <s v="WILLIAN"/>
    <n v="10000880"/>
    <s v="MSI-02"/>
    <s v="MSI-02 - SILVICULTURA ITAPETININGA - IT"/>
    <s v="DFIT"/>
    <s v="DFTRATPN85"/>
    <s v="Trator de Pneu"/>
    <n v="10000878"/>
    <s v="MSI-02"/>
    <s v="MSI-02 - SILVICULTURA ITAPETININGA - IT"/>
    <s v="FERNANDO LERYA NEVES DA SILVA"/>
    <n v="10000080"/>
    <s v="EQUIPE"/>
    <s v="EQUIPE"/>
    <n v="10000004"/>
    <s v="MADEIRA"/>
    <s v="DIR OPER FLORESTAL"/>
    <m/>
    <m/>
    <m/>
    <m/>
    <m/>
    <m/>
    <d v="2020-05-10T00:00:00"/>
    <n v="0"/>
    <m/>
    <s v="17/10/1995"/>
    <x v="4"/>
    <m/>
    <s v="brasileira"/>
    <s v="BARRA DO GARCAS"/>
    <s v="MT"/>
    <s v="BR"/>
    <s v="Não"/>
    <s v="M"/>
    <s v="Não"/>
    <m/>
    <s v="Solt."/>
    <s v="Negra"/>
    <s v="Colegial completo"/>
    <m/>
    <n v="22002551"/>
    <s v="220/M"/>
    <s v="TRATORISTA"/>
    <n v="642015"/>
    <s v="Admissão"/>
    <d v="2020-10-01T00:00:00"/>
    <s v="220,00"/>
    <s v="MSL-01"/>
    <s v="MPA-01"/>
    <s v="MFL-01"/>
    <s v="CSS-01"/>
    <s v="MDP-01"/>
    <s v="PRE-01"/>
    <s v="1.419,00"/>
    <s v="1.419,00"/>
    <s v="1.419,00"/>
    <s v="0,00"/>
    <s v="AM"/>
    <s v="FL ITAPET.-220/M"/>
    <n v="15"/>
    <s v="GRS015OP"/>
    <d v="2020-10-01T00:00:00"/>
    <s v="Admissão"/>
    <s v="1.418,00"/>
    <s v="141800,00"/>
    <n v="1"/>
    <m/>
    <s v="N"/>
    <x v="5"/>
    <m/>
    <d v="2007-12-01T00:00:00"/>
    <s v="SP"/>
    <s v="451.929.418-57"/>
    <n v="53526"/>
    <n v="386"/>
    <d v="2012-08-11T00:00:00"/>
    <s v="SP"/>
    <n v="20362599445"/>
    <m/>
    <n v="6089476582"/>
    <s v="D"/>
    <s v="17/04/2017"/>
    <d v="2020-05-10T00:00:00"/>
    <d v="2022-11-01T00:00:00"/>
    <m/>
    <m/>
    <m/>
    <x v="5"/>
    <n v="10"/>
    <n v="118"/>
    <s v="29/02/2012"/>
    <s v="SP"/>
    <n v="140702401492"/>
    <m/>
    <m/>
    <m/>
    <s v="RUA SALVADOR COSTA"/>
    <n v="71"/>
    <m/>
    <s v="TUPY"/>
    <s v="ITAPETININGA"/>
    <s v="SP"/>
    <s v="18207-816"/>
    <m/>
    <n v="15996777349"/>
    <m/>
    <n v="341"/>
    <n v="2281"/>
    <x v="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WICOSTA"/>
    <n v="1"/>
    <s v="Sim"/>
  </r>
  <r>
    <n v="102020"/>
    <x v="6"/>
    <s v="Ativo"/>
    <s v="AD"/>
    <n v="30046507"/>
    <s v="Colaborador–M.O.Fixa"/>
    <s v="Mensalista"/>
    <s v="1DX"/>
    <s v="Duratex S.A."/>
    <n v="18"/>
    <s v="FÁB ITAPETININGA"/>
    <n v="18"/>
    <s v="MADEIRA"/>
    <s v="SIM"/>
    <m/>
    <s v="EDVANDRO DOS SANTOS DE MEIRA"/>
    <s v="EDVANDRO"/>
    <n v="10006641"/>
    <s v="MFI-05"/>
    <s v="MFI-05 - MDF - IT"/>
    <s v="DXIT"/>
    <s v="DXGERUNI61"/>
    <s v="Gerência da Unidade"/>
    <n v="10007152"/>
    <s v="MFI-04"/>
    <s v="MFI-04 - ADM - IT"/>
    <s v="MARCELO MANOEL SOUTO"/>
    <n v="10000080"/>
    <s v="EQUIPE"/>
    <s v="EQUIPE"/>
    <n v="10000005"/>
    <s v="MADEIRA"/>
    <s v="DIR OPER PAINEIS"/>
    <n v="10000108"/>
    <s v="FABRICA"/>
    <n v="10000127"/>
    <s v="PRODUCAO DE PAINEL BASE"/>
    <m/>
    <m/>
    <d v="2020-05-10T00:00:00"/>
    <n v="0"/>
    <m/>
    <d v="1978-10-02T00:00:00"/>
    <x v="5"/>
    <m/>
    <s v="brasileira"/>
    <s v="ITAPETININGA"/>
    <s v="SP"/>
    <s v="BR"/>
    <s v="Não"/>
    <s v="M"/>
    <s v="Não"/>
    <m/>
    <s v="Casado"/>
    <s v="Branca"/>
    <s v="Colegial completo"/>
    <m/>
    <n v="22002458"/>
    <s v="220/M"/>
    <s v="MOTORISTA"/>
    <n v="782305"/>
    <s v="Admissão"/>
    <d v="2020-10-01T00:00:00"/>
    <s v="220,00"/>
    <s v="MFI-01"/>
    <s v="MOI-01"/>
    <s v="MFL-01"/>
    <s v="CSS-01"/>
    <s v="MDP-01"/>
    <s v="PRE-01"/>
    <s v="2.000,00"/>
    <s v="2.000,00"/>
    <s v="2.000,00"/>
    <s v="0,00"/>
    <s v="CE"/>
    <s v="FB ITAPET.-220/M"/>
    <n v="15"/>
    <s v="GRS015OP"/>
    <d v="2020-10-01T00:00:00"/>
    <s v="Admissão"/>
    <s v="1.999,00"/>
    <s v="199900,00"/>
    <n v="1"/>
    <m/>
    <s v="N"/>
    <x v="6"/>
    <m/>
    <d v="2013-05-12T00:00:00"/>
    <s v="SP"/>
    <s v="202.574.528-18"/>
    <n v="54616"/>
    <n v="175"/>
    <s v="27/01/2006"/>
    <s v="SP"/>
    <n v="12519802482"/>
    <m/>
    <n v="1749944501"/>
    <s v="AD"/>
    <s v="21/12/2015"/>
    <d v="2020-05-10T00:00:00"/>
    <s v="18/12/2020"/>
    <m/>
    <m/>
    <m/>
    <x v="6"/>
    <n v="52"/>
    <n v="93"/>
    <d v="2017-08-09T00:00:00"/>
    <s v="SP"/>
    <n v="140702147129"/>
    <m/>
    <m/>
    <m/>
    <s v="RUA CAROLINA AYRES NALESSO"/>
    <n v="35"/>
    <m/>
    <s v="VILA CAROLINA"/>
    <s v="ITAPETININGA"/>
    <s v="SP"/>
    <s v="18207-540"/>
    <m/>
    <n v="15996596854"/>
    <m/>
    <n v="341"/>
    <n v="8071"/>
    <x v="6"/>
    <m/>
    <m/>
    <m/>
    <s v="ADMINISTRATIVO"/>
    <s v="OPERACOES"/>
    <s v="ADMINISTRATIVO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EDVANDRO.MEIRA@DURATEX.COM.BR"/>
    <m/>
    <s v="EDMEIRA"/>
    <n v="1"/>
    <s v="Sim"/>
  </r>
  <r>
    <n v="102020"/>
    <x v="7"/>
    <s v="Ativo"/>
    <s v="AD"/>
    <n v="30046433"/>
    <s v="Colaborador–M.O.Fixa"/>
    <s v="Mensalista"/>
    <s v="1DF"/>
    <s v="Duratex Florestal Ltda"/>
    <n v="23"/>
    <s v="FL ITAPETININGA"/>
    <n v="23"/>
    <s v="MADEIRA"/>
    <s v="SIM"/>
    <m/>
    <s v="ARCELINO SCHAUFFLER DE OLIVEIRA"/>
    <s v="ARCELINO"/>
    <n v="10002958"/>
    <s v="MSI-02"/>
    <s v="MSI-02 - COLHEITA SP LESTE - IT"/>
    <s v="DFIT"/>
    <s v="DFFUNCOL85"/>
    <s v="Func. Colheita - IT"/>
    <n v="10007139"/>
    <s v="MSI-02"/>
    <s v="MSI-02 - COLHEITA SP LESTE - IT"/>
    <s v="REGINALDO DE PADUA BARBOSA SOUZA"/>
    <n v="10000080"/>
    <s v="EQUIPE"/>
    <s v="EQUIPE"/>
    <n v="10000004"/>
    <s v="MADEIRA"/>
    <s v="DIR OPER FLORESTAL"/>
    <m/>
    <m/>
    <m/>
    <m/>
    <m/>
    <m/>
    <d v="2020-05-10T00:00:00"/>
    <n v="0"/>
    <m/>
    <s v="13/12/1981"/>
    <x v="6"/>
    <m/>
    <s v="brasileira"/>
    <s v="BOTUCATU"/>
    <s v="SP"/>
    <s v="BR"/>
    <s v="Não"/>
    <s v="M"/>
    <s v="Não"/>
    <m/>
    <s v="Casado"/>
    <s v="Branca"/>
    <s v="Colegial completo"/>
    <m/>
    <n v="22002493"/>
    <s v="220/M"/>
    <s v="OPER MAQUINA B"/>
    <n v="642010"/>
    <s v="Admissão"/>
    <d v="2020-10-01T00:00:00"/>
    <s v="220,00"/>
    <s v="MSL-01"/>
    <s v="MPA-01"/>
    <s v="MFL-01"/>
    <s v="CSS-01"/>
    <s v="MDP-01"/>
    <s v="PRE-01"/>
    <s v="1.800,00"/>
    <s v="1.800,00"/>
    <s v="1.800,00"/>
    <s v="0,00"/>
    <s v="AM"/>
    <s v="FL ITAPET.-220/M"/>
    <n v="17"/>
    <s v="GRS017OP"/>
    <d v="2020-10-01T00:00:00"/>
    <s v="Admissão"/>
    <s v="1.799,00"/>
    <s v="179900,00"/>
    <n v="1"/>
    <m/>
    <s v="N"/>
    <x v="7"/>
    <m/>
    <s v="19/02/2020"/>
    <s v="SP"/>
    <s v="289.306.028-51"/>
    <n v="366817"/>
    <n v="236"/>
    <s v="22/05/1998"/>
    <s v="SP"/>
    <n v="12651664164"/>
    <m/>
    <n v="1725546068"/>
    <s v="AE"/>
    <d v="2020-05-03T00:00:00"/>
    <d v="2020-05-10T00:00:00"/>
    <s v="20/01/2021"/>
    <m/>
    <m/>
    <m/>
    <x v="7"/>
    <n v="26"/>
    <n v="257"/>
    <s v="30/11/2017"/>
    <s v="SP"/>
    <n v="141012158665"/>
    <m/>
    <m/>
    <m/>
    <s v="RUA ANTONIO PINTO MACHADO"/>
    <n v="105"/>
    <m/>
    <s v="CDHU"/>
    <s v="ITATINGA"/>
    <s v="SP"/>
    <s v="18690-000"/>
    <m/>
    <n v="14997042168"/>
    <m/>
    <n v="341"/>
    <n v="2281"/>
    <x v="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RCOLIVE"/>
    <n v="1"/>
    <s v="Sim"/>
  </r>
  <r>
    <n v="102020"/>
    <x v="8"/>
    <s v="Ativo"/>
    <s v="AD"/>
    <n v="30046536"/>
    <s v="Colaborador–M.O.Fixa"/>
    <s v="Mensalista"/>
    <s v="1DF"/>
    <s v="Duratex Florestal Ltda"/>
    <n v="23"/>
    <s v="FL ITAPETININGA"/>
    <n v="23"/>
    <s v="MADEIRA"/>
    <s v="NAO"/>
    <m/>
    <s v="FELIPE JOSE CORREA MELO"/>
    <s v="FELIPE"/>
    <n v="10000876"/>
    <s v="MSI-03"/>
    <s v="MSI-03 - SILVICULTURA ITAPETININGA - IT"/>
    <s v="DFIT"/>
    <s v="DFADMGER85"/>
    <s v="Adm. Oper. Gerais"/>
    <n v="10000877"/>
    <s v="MSI-01"/>
    <s v="MSI-01 -  OPERAÇÕES FLORESTAIS - IT"/>
    <s v="MATHEUS ESTEVES"/>
    <n v="10000080"/>
    <s v="EQUIPE"/>
    <s v="EQUIPE"/>
    <n v="10000004"/>
    <s v="MADEIRA"/>
    <s v="DIR OPER FLORESTAL"/>
    <m/>
    <m/>
    <m/>
    <m/>
    <m/>
    <m/>
    <d v="2020-05-10T00:00:00"/>
    <n v="0"/>
    <m/>
    <d v="1996-09-04T00:00:00"/>
    <x v="7"/>
    <m/>
    <s v="brasileira"/>
    <s v="ITAPETININGA"/>
    <s v="SP"/>
    <s v="BR"/>
    <s v="Não"/>
    <s v="M"/>
    <s v="Não"/>
    <m/>
    <s v="Solt."/>
    <s v="Branca"/>
    <s v="Superior completo"/>
    <m/>
    <n v="22002496"/>
    <s v="220/M"/>
    <s v="TEC PRODUCAO A"/>
    <n v="391125"/>
    <s v="Admissão"/>
    <d v="2020-10-01T00:00:00"/>
    <s v="220,00"/>
    <s v="MSL-01"/>
    <s v="MPA-01"/>
    <s v="MFL-01"/>
    <s v="CSS-01"/>
    <s v="MDP-01"/>
    <s v="PRE-01"/>
    <s v="3.278,31"/>
    <s v="3.278,31"/>
    <s v="3.278,31"/>
    <s v="0,00"/>
    <s v="AM"/>
    <s v="FL ITAPET.-220/M"/>
    <n v="20"/>
    <s v="GRS020PR"/>
    <d v="2020-10-01T00:00:00"/>
    <s v="Admissão"/>
    <s v="3.277,31"/>
    <s v="327731,00"/>
    <n v="1"/>
    <m/>
    <s v="N"/>
    <x v="8"/>
    <m/>
    <d v="2016-05-05T00:00:00"/>
    <s v="SP"/>
    <s v="397.756.638-57"/>
    <n v="17243"/>
    <n v="421"/>
    <s v="30/07/2015"/>
    <s v="SP"/>
    <n v="20773442280"/>
    <m/>
    <n v="6195047940"/>
    <s v="AB"/>
    <s v="15/04/2019"/>
    <d v="2020-05-10T00:00:00"/>
    <s v="13/04/2024"/>
    <m/>
    <m/>
    <m/>
    <x v="8"/>
    <n v="52"/>
    <n v="312"/>
    <d v="2019-03-05T00:00:00"/>
    <s v="SP"/>
    <n v="140702414065"/>
    <m/>
    <m/>
    <m/>
    <s v="RUA NELSON SUARDI"/>
    <n v="1451"/>
    <m/>
    <s v="VILA NASTRI"/>
    <s v="ITAPETININGA"/>
    <s v="SP"/>
    <s v="18207-200"/>
    <m/>
    <n v="15997410436"/>
    <m/>
    <n v="341"/>
    <n v="2281"/>
    <x v="8"/>
    <m/>
    <m/>
    <m/>
    <s v="TECNICO"/>
    <s v="OPERACOES"/>
    <s v="TEC/ OPERACIONAL"/>
    <s v="TECNIC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s v="Sim"/>
  </r>
  <r>
    <n v="102020"/>
    <x v="9"/>
    <s v="Ativo"/>
    <s v="AD"/>
    <n v="30046509"/>
    <s v="Colaborador–M.O.Fixa"/>
    <s v="Mensalista"/>
    <s v="1DF"/>
    <s v="Duratex Florestal Ltda"/>
    <n v="23"/>
    <s v="FL ITAPETININGA"/>
    <n v="23"/>
    <s v="MADEIRA"/>
    <s v="SIM"/>
    <m/>
    <s v="DENIS DONIZETI BATISTA"/>
    <s v="DENIS"/>
    <n v="10002958"/>
    <s v="MSI-02"/>
    <s v="MSI-02 - COLHEITA SP LESTE - IT"/>
    <s v="DFIT"/>
    <s v="DFFUNCOL85"/>
    <s v="Func. Colheita - IT"/>
    <n v="10007139"/>
    <s v="MSI-02"/>
    <s v="MSI-02 - COLHEITA SP LESTE - IT"/>
    <s v="REGINALDO DE PADUA BARBOSA SOUZA"/>
    <n v="10000080"/>
    <s v="EQUIPE"/>
    <s v="EQUIPE"/>
    <n v="10000004"/>
    <s v="MADEIRA"/>
    <s v="DIR OPER FLORESTAL"/>
    <m/>
    <m/>
    <m/>
    <m/>
    <m/>
    <m/>
    <d v="2020-05-10T00:00:00"/>
    <n v="0"/>
    <m/>
    <s v="13/09/1980"/>
    <x v="8"/>
    <m/>
    <s v="brasileira"/>
    <s v="ANGATUBA"/>
    <s v="SP"/>
    <s v="BR"/>
    <s v="Não"/>
    <s v="M"/>
    <s v="Não"/>
    <m/>
    <s v="Marita"/>
    <s v="Branca"/>
    <s v="Primário completo"/>
    <m/>
    <n v="22002493"/>
    <s v="220/M"/>
    <s v="OPER MAQUINA B"/>
    <n v="642010"/>
    <s v="Admissão"/>
    <d v="2020-10-01T00:00:00"/>
    <s v="220,00"/>
    <s v="MSL-01"/>
    <s v="MPA-01"/>
    <s v="MFL-01"/>
    <s v="CSS-01"/>
    <s v="MDP-01"/>
    <s v="PRE-01"/>
    <s v="1.800,00"/>
    <s v="1.800,00"/>
    <s v="1.800,00"/>
    <s v="0,00"/>
    <s v="AM"/>
    <s v="FL ITAPET.-220/M"/>
    <n v="17"/>
    <s v="GRS017OP"/>
    <d v="2020-10-01T00:00:00"/>
    <s v="Admissão"/>
    <s v="1.799,00"/>
    <s v="179900,00"/>
    <n v="1"/>
    <m/>
    <s v="N"/>
    <x v="9"/>
    <m/>
    <s v="18/04/2013"/>
    <s v="SP"/>
    <s v="279.838.178-94"/>
    <n v="70039"/>
    <n v="194"/>
    <s v="26/10/2018"/>
    <s v="SP"/>
    <n v="12611444244"/>
    <m/>
    <m/>
    <m/>
    <m/>
    <m/>
    <m/>
    <m/>
    <m/>
    <m/>
    <x v="9"/>
    <n v="215"/>
    <n v="16"/>
    <s v="16/09/2019"/>
    <s v="SP"/>
    <n v="228730"/>
    <m/>
    <m/>
    <m/>
    <s v="RUA MARCILIO FONSECA DE SOUZA"/>
    <n v="15"/>
    <m/>
    <s v="BOM RETIRO"/>
    <s v="ANGATUBA"/>
    <s v="SP"/>
    <s v="18240-000"/>
    <m/>
    <n v="15997920321"/>
    <m/>
    <n v="341"/>
    <n v="6452"/>
    <x v="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BARISTA"/>
    <n v="1"/>
    <s v="Sim"/>
  </r>
  <r>
    <n v="102020"/>
    <x v="10"/>
    <s v="Ativo"/>
    <s v="AD"/>
    <n v="30007138"/>
    <s v="Colaborador–M.O.Fixa"/>
    <s v="Mensalista"/>
    <s v="1DF"/>
    <s v="Duratex Florestal Ltda"/>
    <n v="27"/>
    <s v="FL UBERABA"/>
    <n v="27"/>
    <s v="MADEIRA"/>
    <s v="SIM"/>
    <m/>
    <s v="ALDIELES VIEIRA DE MORAIS"/>
    <s v="ALDIELES"/>
    <n v="10007586"/>
    <s v="MSU-05"/>
    <s v="MSU-05 - SILVICULTURA UBERABA - UB"/>
    <s v="DFUB"/>
    <s v="DFVEIPES92"/>
    <s v="Veículos Pesados"/>
    <n v="10007584"/>
    <s v="MSU-03"/>
    <s v="MSU-03 - SILVICULTURA UBERABA - UB"/>
    <s v="HARLEY DA SILVA BARROS"/>
    <n v="10000080"/>
    <s v="EQUIPE"/>
    <s v="EQUIPE"/>
    <n v="10000004"/>
    <s v="MADEIRA"/>
    <s v="DIR OPER FLORESTAL"/>
    <m/>
    <m/>
    <m/>
    <m/>
    <m/>
    <m/>
    <d v="2020-05-10T00:00:00"/>
    <n v="0"/>
    <m/>
    <s v="15/01/1988"/>
    <x v="9"/>
    <m/>
    <s v="brasileira"/>
    <s v="NOVA PONTE"/>
    <s v="MG"/>
    <s v="BR"/>
    <s v="Não"/>
    <s v="M"/>
    <s v="Não"/>
    <m/>
    <s v="Casado"/>
    <s v="Branca"/>
    <s v="Ginasial incompleto"/>
    <m/>
    <n v="22002458"/>
    <s v="220/M"/>
    <s v="MOTORISTA"/>
    <n v="782305"/>
    <s v="Admissão"/>
    <d v="2020-10-01T00:00:00"/>
    <s v="220,00"/>
    <s v="MFM-01"/>
    <s v="MPA-01"/>
    <s v="MFL-01"/>
    <s v="CSS-01"/>
    <s v="MDP-01"/>
    <s v="PRE-01"/>
    <s v="1.603,00"/>
    <s v="1.603,00"/>
    <s v="1.603,00"/>
    <s v="0,00"/>
    <s v="AP"/>
    <s v="FL UBERABA-220/M"/>
    <n v="15"/>
    <s v="GRS015OP"/>
    <d v="2020-10-01T00:00:00"/>
    <s v="Admissão"/>
    <s v="1.602,00"/>
    <s v="160200,00"/>
    <n v="1"/>
    <m/>
    <s v="N"/>
    <x v="10"/>
    <m/>
    <d v="2003-05-09T00:00:00"/>
    <s v="MG"/>
    <s v="079.408.216-52"/>
    <n v="28575"/>
    <n v="131"/>
    <s v="23/01/2012"/>
    <s v="MG"/>
    <n v="20624449453"/>
    <m/>
    <m/>
    <m/>
    <m/>
    <m/>
    <m/>
    <m/>
    <m/>
    <m/>
    <x v="10"/>
    <n v="340"/>
    <n v="3"/>
    <s v="14/03/2018"/>
    <s v="MG"/>
    <n v="71702024770"/>
    <m/>
    <m/>
    <m/>
    <s v="RUA PROFESSOR DJALMA ALVARENGA OLIVEIRA"/>
    <n v="83"/>
    <m/>
    <s v="CENTRO"/>
    <s v="NOVA PONTE"/>
    <s v="MG"/>
    <s v="38160-000"/>
    <m/>
    <n v="34996343195"/>
    <m/>
    <n v="341"/>
    <n v="5388"/>
    <x v="10"/>
    <m/>
    <m/>
    <m/>
    <s v="ADMINISTRATIVO"/>
    <s v="OPERACOES"/>
    <s v="ADMINISTRATIVO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DIMORA"/>
    <n v="1"/>
    <s v="Sim"/>
  </r>
  <r>
    <n v="102020"/>
    <x v="11"/>
    <s v="Ativo"/>
    <s v="AD"/>
    <n v="30046510"/>
    <s v="Colaborador–M.O.Fixa"/>
    <s v="Mensalista"/>
    <s v="1HY"/>
    <s v="HYDRA CORONA SIST.AQ.LTD."/>
    <n v="32"/>
    <s v="HYDRA ARACAJU"/>
    <n v="32"/>
    <s v="CORONA"/>
    <s v="NAO"/>
    <m/>
    <s v="ADELSON TEIXEIRA DE ARAUJO"/>
    <s v="ADELSON"/>
    <n v="10004055"/>
    <s v="HDD-05"/>
    <s v="HDD-05 - SEGURANCA DO TRABALHO - HA"/>
    <s v="HYAR"/>
    <s v="HYHSMTRA04"/>
    <s v="Eng. Seg.do Trabalh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d v="2020-05-10T00:00:00"/>
    <n v="0"/>
    <m/>
    <s v="17/08/1975"/>
    <x v="10"/>
    <m/>
    <s v="brasileira"/>
    <s v="ARACAJU"/>
    <s v="SE"/>
    <s v="BR"/>
    <s v="Não"/>
    <s v="M"/>
    <s v="Não"/>
    <m/>
    <s v="Casado"/>
    <s v="Parda"/>
    <s v="Pós dout completo"/>
    <m/>
    <n v="22002843"/>
    <s v="120/M"/>
    <s v="ENG SEGURANCA DO TRABALHO SR"/>
    <n v="214915"/>
    <s v="Admissão"/>
    <d v="2020-10-01T00:00:00"/>
    <s v="120,00"/>
    <m/>
    <s v="HDD-01"/>
    <s v="DDI-01"/>
    <s v="CSS-01"/>
    <s v="DDE-01"/>
    <s v="PRE-01"/>
    <s v="6.912,00"/>
    <s v="6.912,00"/>
    <s v="6.912,00"/>
    <s v="0,00"/>
    <s v="IG"/>
    <s v="LO SUL-120/M"/>
    <n v="23"/>
    <s v="GRS023PR"/>
    <d v="2020-10-01T00:00:00"/>
    <s v="Admissão"/>
    <s v="6.911,00"/>
    <s v="691100,00"/>
    <n v="1"/>
    <m/>
    <s v="N"/>
    <x v="11"/>
    <m/>
    <d v="2003-07-11T00:00:00"/>
    <s v="SE"/>
    <s v="864.435.265-20"/>
    <n v="8826180"/>
    <n v="30"/>
    <s v="31/10/2011"/>
    <s v="SE"/>
    <n v="12437597206"/>
    <m/>
    <m/>
    <m/>
    <m/>
    <m/>
    <m/>
    <m/>
    <m/>
    <m/>
    <x v="11"/>
    <n v="2"/>
    <n v="645"/>
    <s v="16/07/2019"/>
    <s v="SE"/>
    <m/>
    <m/>
    <m/>
    <m/>
    <s v="RUA INES ETIENNE ROMEU"/>
    <n v="62"/>
    <m/>
    <s v="PONTO NOVO"/>
    <s v="ARACAJU"/>
    <s v="SE"/>
    <s v="49047-410"/>
    <m/>
    <n v="79999932837"/>
    <m/>
    <n v="341"/>
    <n v="5634"/>
    <x v="11"/>
    <m/>
    <m/>
    <m/>
    <s v="SUPERIOR"/>
    <s v="OPERACOE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ADELSON.ARAUJO@HYDRA-CORONA.COM.BR"/>
    <m/>
    <s v="ADEARAUJ"/>
    <n v="9"/>
    <s v="Não"/>
  </r>
  <r>
    <n v="102020"/>
    <x v="12"/>
    <s v="Ativo"/>
    <s v="AD"/>
    <n v="30046247"/>
    <s v="Colaborador–M.O.Fixa"/>
    <s v="Mensalista"/>
    <s v="1DX"/>
    <s v="Duratex S.A."/>
    <n v="20"/>
    <s v="FÁB UBERABA"/>
    <n v="20"/>
    <s v="MADEIRA"/>
    <s v="NAO"/>
    <s v="0020 - FÁB UBERABA"/>
    <s v="PATRICIA CAROLINE VERISSIMO"/>
    <s v="PATRICIA"/>
    <n v="10004861"/>
    <s v="MPO-02"/>
    <s v="MPO-02 - PLANEJ DE PRODUCAO - UB"/>
    <s v="DXUB"/>
    <s v="DXPLANPR63"/>
    <s v="Planej. de Produtos"/>
    <n v="10007414"/>
    <s v="MPO-02"/>
    <s v="MPO-02- GESTAO DE PEDIDOS PAINEIS - AG"/>
    <s v="LEOPOLDO RONDINA SANTOS"/>
    <n v="10000080"/>
    <s v="EQUIPE"/>
    <s v="EQUIPE"/>
    <n v="10000018"/>
    <s v="MADEIRA"/>
    <s v="SUPORTE NEG MADEIRA"/>
    <m/>
    <m/>
    <n v="10000116"/>
    <s v="GER EXEC GESTAO OPERACIONAL"/>
    <m/>
    <m/>
    <d v="2020-05-10T00:00:00"/>
    <n v="0"/>
    <m/>
    <s v="16/01/1992"/>
    <x v="11"/>
    <m/>
    <s v="brasileira"/>
    <s v="UBERABA"/>
    <s v="MG"/>
    <s v="BR"/>
    <s v="Não"/>
    <s v="F"/>
    <s v="Não"/>
    <m/>
    <s v="Solt."/>
    <s v="Branca"/>
    <s v="Superior completo"/>
    <m/>
    <n v="22001202"/>
    <s v="220/M"/>
    <s v="PROGRAMADOR PCP PL"/>
    <n v="391125"/>
    <s v="Admissão"/>
    <d v="2020-10-01T00:00:00"/>
    <s v="220,00"/>
    <m/>
    <s v="MPG-01"/>
    <m/>
    <s v="CSS-01"/>
    <s v="MDP-01"/>
    <s v="PRE-01"/>
    <s v="3.000,00"/>
    <s v="3.000,00"/>
    <s v="3.000,00"/>
    <s v="0,00"/>
    <s v="CM"/>
    <s v="FB UBERABA-220/M"/>
    <n v="19"/>
    <s v="GRS019PR"/>
    <d v="2020-10-01T00:00:00"/>
    <s v="Admissão"/>
    <s v="2.999,00"/>
    <s v="299900,00"/>
    <n v="1"/>
    <m/>
    <s v="N"/>
    <x v="12"/>
    <m/>
    <s v="23/08/2017"/>
    <s v="MG"/>
    <s v="097.381.106-45"/>
    <n v="57146"/>
    <n v="148"/>
    <d v="2007-06-03T00:00:00"/>
    <s v="MG"/>
    <n v="21043127048"/>
    <m/>
    <m/>
    <m/>
    <m/>
    <m/>
    <m/>
    <m/>
    <m/>
    <m/>
    <x v="12"/>
    <n v="276"/>
    <n v="463"/>
    <d v="2020-10-09T00:00:00"/>
    <s v="MG"/>
    <m/>
    <m/>
    <m/>
    <m/>
    <s v="RUA NEFFY MIGUEL"/>
    <n v="129"/>
    <m/>
    <s v="CONJUNTO CASSIO REZENDE"/>
    <s v="UBERABA"/>
    <s v="MG"/>
    <s v="38080-350"/>
    <m/>
    <n v="34999461601"/>
    <m/>
    <n v="341"/>
    <n v="6805"/>
    <x v="12"/>
    <m/>
    <m/>
    <m/>
    <s v="SUPERIOR"/>
    <s v="PLANEJAMENTO LOGISTICA E PCP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PATRICIA.VERISSIMO@DURATEX.COM.BR"/>
    <m/>
    <s v="PVERISSI"/>
    <n v="1"/>
    <s v="Sim"/>
  </r>
  <r>
    <n v="102020"/>
    <x v="13"/>
    <s v="Ativo"/>
    <s v="AD"/>
    <n v="30123168"/>
    <s v="Colaborador–M.O.Fixa"/>
    <s v="Mensalista"/>
    <s v="1DX"/>
    <s v="Duratex S.A."/>
    <n v="20"/>
    <s v="FÁB UBERABA"/>
    <n v="20"/>
    <s v="MADEIRA"/>
    <s v="SIM"/>
    <m/>
    <s v="DIEGO JOSE MIGUEL"/>
    <s v="DIEGO"/>
    <n v="10000694"/>
    <s v="MFU-03"/>
    <s v="MFU-03 - MDF - UB"/>
    <s v="DXUB"/>
    <s v="DXLIXAD263"/>
    <s v="Lixadeira 2"/>
    <n v="10008187"/>
    <s v="MFU-03"/>
    <s v="MFU-03 - MDF - UB"/>
    <s v="RENATO GOBBO RODRIGUES"/>
    <n v="10000080"/>
    <s v="EQUIPE"/>
    <s v="EQUIPE"/>
    <n v="10000005"/>
    <s v="MADEIRA"/>
    <s v="DIR OPER PAINEIS"/>
    <n v="10000108"/>
    <s v="FABRICA"/>
    <n v="10000127"/>
    <s v="PRODUCAO DE PAINEL BASE"/>
    <m/>
    <m/>
    <d v="2020-05-10T00:00:00"/>
    <n v="0"/>
    <m/>
    <d v="1988-09-11T00:00:00"/>
    <x v="12"/>
    <m/>
    <s v="brasileira"/>
    <s v="UBERABA"/>
    <s v="MG"/>
    <s v="BR"/>
    <s v="Não"/>
    <s v="M"/>
    <s v="Não"/>
    <m/>
    <s v="Solt."/>
    <s v="Branca"/>
    <s v="Colegial completo"/>
    <m/>
    <n v="22001184"/>
    <s v="220/M"/>
    <s v="OPER PRODUCAO B"/>
    <n v="862150"/>
    <s v="Admissão"/>
    <d v="2020-10-01T00:00:00"/>
    <s v="220,00"/>
    <s v="MUB-01"/>
    <s v="MOI-01"/>
    <s v="MFL-01"/>
    <s v="CSS-01"/>
    <s v="MDP-01"/>
    <s v="PRE-01"/>
    <s v="2.336,54"/>
    <s v="2.336,54"/>
    <s v="2.336,54"/>
    <s v="0,00"/>
    <s v="CM"/>
    <s v="FB UBERABA-220/M"/>
    <n v="17"/>
    <s v="GRS017OP"/>
    <d v="2020-10-01T00:00:00"/>
    <s v="Admissão"/>
    <s v="2.335,54"/>
    <s v="233554,00"/>
    <n v="1"/>
    <m/>
    <s v="N"/>
    <x v="13"/>
    <m/>
    <d v="2013-06-11T00:00:00"/>
    <s v="MG"/>
    <s v="082.925.166-97"/>
    <n v="6733700"/>
    <n v="40"/>
    <d v="2014-08-08T00:00:00"/>
    <s v="MG"/>
    <n v="16013025062"/>
    <m/>
    <m/>
    <m/>
    <m/>
    <m/>
    <m/>
    <m/>
    <m/>
    <m/>
    <x v="13"/>
    <n v="347"/>
    <n v="60"/>
    <s v="28/11/2017"/>
    <s v="MG"/>
    <n v="72492623698"/>
    <m/>
    <m/>
    <m/>
    <s v="RUA SEGISMUNDO CARLOS FERREIRA"/>
    <n v="665"/>
    <m/>
    <s v="PARQUE DAS AMERICAS"/>
    <s v="UBERABA"/>
    <s v="MG"/>
    <s v="38045-350"/>
    <m/>
    <n v="34988460270"/>
    <m/>
    <n v="341"/>
    <n v="9164"/>
    <x v="1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IMIGUEL"/>
    <n v="1"/>
    <s v="Sim"/>
  </r>
  <r>
    <n v="102020"/>
    <x v="14"/>
    <s v="Ativo"/>
    <s v="AD"/>
    <n v="30045197"/>
    <s v="Estagiário"/>
    <s v="Horista"/>
    <s v="1DX"/>
    <s v="Duratex S.A."/>
    <n v="6"/>
    <s v="FÁB METAIS SP"/>
    <n v="6"/>
    <s v="DECA"/>
    <m/>
    <s v="0006 - FÁB METAIS SP CML"/>
    <s v="MARIA EDUARDA D ERRICO MELO"/>
    <s v="MARIA"/>
    <n v="10005504"/>
    <s v="CDM-01"/>
    <s v="CDM-01- RH DECA COMERCIAL/MARKETING - MS"/>
    <s v="DXMS"/>
    <s v="DXNUCRHD06"/>
    <s v="RH Negócio Deca - MS"/>
    <n v="10001822"/>
    <s v="CRN-01"/>
    <s v="CRN-01 - GER RH NEGOCIOS DECA - EC"/>
    <s v="ELAICE CRISTINA DOS SANTOS FARIAS SHINODA"/>
    <n v="10000050"/>
    <s v="COORDENADOR"/>
    <s v="COORDENADOR"/>
    <n v="10000010"/>
    <s v="CORPORATIVO"/>
    <s v="DIR RECURSOS HUMANOS"/>
    <m/>
    <m/>
    <m/>
    <m/>
    <m/>
    <m/>
    <d v="2020-05-10T00:00:00"/>
    <n v="0"/>
    <m/>
    <s v="19/07/1999"/>
    <x v="13"/>
    <m/>
    <s v="brasileira"/>
    <s v="SAO PAULO"/>
    <s v="SP"/>
    <s v="BR"/>
    <s v="Não"/>
    <s v="F"/>
    <s v="Não"/>
    <m/>
    <s v="Solt."/>
    <s v="Branca"/>
    <s v="Superior incompleto"/>
    <m/>
    <n v="22000003"/>
    <s v="120/H"/>
    <s v="ESTAGIARIO SUP"/>
    <n v="999999"/>
    <s v="Admissão"/>
    <d v="2020-10-01T00:00:00"/>
    <s v="120,00"/>
    <m/>
    <s v="CRN-01"/>
    <s v="CRH-01"/>
    <s v="CSS-01"/>
    <m/>
    <s v="PRE-01"/>
    <s v="1.550,40"/>
    <s v="12,92"/>
    <s v="1.550,40"/>
    <s v="0,00"/>
    <s v="QB"/>
    <s v="FÁB METAIS SP"/>
    <n v="2"/>
    <s v="GRS02DE"/>
    <d v="2020-10-01T00:00:00"/>
    <s v="Admissão"/>
    <s v="1.549,40"/>
    <s v="154940,00"/>
    <n v="1"/>
    <m/>
    <s v="N"/>
    <x v="14"/>
    <m/>
    <d v="2014-07-03T00:00:00"/>
    <s v="SP"/>
    <s v="406.473.968-07"/>
    <n v="44017"/>
    <n v="458"/>
    <d v="2018-09-06T00:00:00"/>
    <s v="SP"/>
    <m/>
    <m/>
    <m/>
    <m/>
    <m/>
    <m/>
    <m/>
    <m/>
    <m/>
    <m/>
    <x v="14"/>
    <n v="2"/>
    <n v="17"/>
    <d v="2018-12-04T00:00:00"/>
    <s v="SP"/>
    <m/>
    <m/>
    <m/>
    <m/>
    <s v="RUA FRANCISCO ESTACIO FORTES"/>
    <n v="136"/>
    <m/>
    <s v="SANTA CECILIA"/>
    <s v="SÃO PAULO"/>
    <s v="SP"/>
    <s v="01233-060"/>
    <m/>
    <n v="11960492408"/>
    <m/>
    <n v="341"/>
    <n v="1309"/>
    <x v="14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MARIA.MELO@DECA.COM.BR"/>
    <m/>
    <s v="MEMARIA"/>
    <n v="9"/>
    <s v="Não"/>
  </r>
  <r>
    <n v="102020"/>
    <x v="15"/>
    <s v="Ativo"/>
    <s v="AD"/>
    <n v="30045325"/>
    <s v="Colaborador–M.O.Fixa"/>
    <s v="Mensalista"/>
    <s v="1DX"/>
    <s v="Duratex S.A."/>
    <n v="20"/>
    <s v="FÁB UBERABA"/>
    <n v="20"/>
    <s v="MADEIRA"/>
    <s v="SIM"/>
    <s v="0020 - FÁB UBERABA"/>
    <s v="DANIEL ANTONIO SOBRINHO PEDRO"/>
    <s v="DANIEL"/>
    <n v="10002746"/>
    <s v="MFU-02"/>
    <s v="MFU-02 - MDF - UB"/>
    <s v="DXUB"/>
    <s v="DXEMBCH263"/>
    <s v="Armaz. Embal.-CB.MDF"/>
    <n v="10000690"/>
    <s v="MFU-02"/>
    <s v="MFU-02 - MDF - UB"/>
    <s v="NAYARA SANTOS RODRIGUES"/>
    <n v="10000080"/>
    <s v="EQUIPE"/>
    <s v="EQUIPE"/>
    <n v="10000005"/>
    <s v="MADEIRA"/>
    <s v="DIR OPER PAINEIS"/>
    <n v="10000108"/>
    <s v="FABRICA"/>
    <n v="10000127"/>
    <s v="PRODUCAO DE PAINEL BASE"/>
    <m/>
    <m/>
    <d v="2020-05-10T00:00:00"/>
    <n v="0"/>
    <m/>
    <d v="1994-12-03T00:00:00"/>
    <x v="2"/>
    <m/>
    <s v="brasileira"/>
    <s v="UBERABA"/>
    <s v="MG"/>
    <s v="BR"/>
    <s v="Não"/>
    <s v="M"/>
    <s v="Não"/>
    <m/>
    <s v="Solt."/>
    <s v="Branca"/>
    <s v="Ginasial completo"/>
    <m/>
    <n v="22002459"/>
    <s v="220/M"/>
    <s v="EMBALADOR"/>
    <n v="784105"/>
    <s v="Admissão"/>
    <d v="2020-10-01T00:00:00"/>
    <s v="220,00"/>
    <s v="MUB-01"/>
    <s v="MOI-01"/>
    <s v="MFL-01"/>
    <s v="CSS-01"/>
    <s v="MDP-01"/>
    <s v="PRE-01"/>
    <s v="1.439,57"/>
    <s v="1.439,57"/>
    <s v="1.439,57"/>
    <s v="0,00"/>
    <s v="CM"/>
    <s v="FB UBERABA-220/M"/>
    <n v="13"/>
    <s v="GRS013OP"/>
    <d v="2020-10-01T00:00:00"/>
    <s v="Admissão"/>
    <s v="1.438,57"/>
    <s v="143857,00"/>
    <n v="1"/>
    <m/>
    <s v="N"/>
    <x v="15"/>
    <m/>
    <d v="2013-01-07T00:00:00"/>
    <s v="MG"/>
    <s v="106.070.376-95"/>
    <n v="97562"/>
    <n v="148"/>
    <d v="2009-12-06T00:00:00"/>
    <s v="MG"/>
    <n v="20613303975"/>
    <m/>
    <m/>
    <m/>
    <m/>
    <m/>
    <m/>
    <m/>
    <m/>
    <m/>
    <x v="15"/>
    <n v="276"/>
    <n v="422"/>
    <s v="24/05/2017"/>
    <s v="MG"/>
    <n v="72492797294"/>
    <m/>
    <m/>
    <m/>
    <s v="RUA ARTUR RODRIGUES TEIXEIRA"/>
    <n v="94"/>
    <m/>
    <s v="MARINGA"/>
    <s v="UBERABA"/>
    <s v="MG"/>
    <s v="38082-672"/>
    <m/>
    <n v="34992603346"/>
    <m/>
    <n v="341"/>
    <n v="6805"/>
    <x v="1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PEDRO"/>
    <n v="1"/>
    <s v="Sim"/>
  </r>
  <r>
    <n v="102020"/>
    <x v="16"/>
    <s v="Ativo"/>
    <s v="AD"/>
    <n v="30102625"/>
    <s v="Colaborador–M.O.Fixa"/>
    <s v="Mensalista"/>
    <s v="1DF"/>
    <s v="Duratex Florestal Ltda"/>
    <n v="27"/>
    <s v="FL UBERABA"/>
    <n v="27"/>
    <s v="MADEIRA"/>
    <s v="SIM"/>
    <s v="0027 - FL UBERABA"/>
    <s v="JORGE ELI TIAGO"/>
    <s v="JORGE"/>
    <n v="10007585"/>
    <s v="MSU-05"/>
    <s v="MSU-05 - SILVICULTURA UBERABA - UB"/>
    <s v="DFUB"/>
    <s v="DFTRATPN92"/>
    <s v="Trator de Pneu"/>
    <n v="10007584"/>
    <s v="MSU-03"/>
    <s v="MSU-03 - SILVICULTURA UBERABA - UB"/>
    <s v="HARLEY DA SILVA BARROS"/>
    <n v="10000080"/>
    <s v="EQUIPE"/>
    <s v="EQUIPE"/>
    <n v="10000004"/>
    <s v="MADEIRA"/>
    <s v="DIR OPER FLORESTAL"/>
    <m/>
    <m/>
    <m/>
    <m/>
    <m/>
    <m/>
    <d v="2020-05-10T00:00:00"/>
    <n v="0"/>
    <m/>
    <d v="1974-02-02T00:00:00"/>
    <x v="14"/>
    <m/>
    <s v="brasileira"/>
    <s v="NOVA PONTE"/>
    <s v="MG"/>
    <s v="BR"/>
    <s v="Não"/>
    <s v="M"/>
    <s v="Não"/>
    <m/>
    <s v="Divor."/>
    <s v="Branca"/>
    <s v="Ginasial completo"/>
    <m/>
    <n v="22002551"/>
    <s v="220/M"/>
    <s v="TRATORISTA"/>
    <n v="642015"/>
    <s v="Admissão"/>
    <d v="2020-10-01T00:00:00"/>
    <s v="220,00"/>
    <s v="MFM-01"/>
    <s v="MPA-01"/>
    <s v="MFL-01"/>
    <s v="CSS-01"/>
    <s v="MDP-01"/>
    <s v="PRE-01"/>
    <s v="1.603,00"/>
    <s v="1.603,00"/>
    <s v="1.603,00"/>
    <s v="0,00"/>
    <s v="AP"/>
    <s v="FL UBERABA-220/M"/>
    <n v="15"/>
    <s v="GRS015OP"/>
    <d v="2020-10-01T00:00:00"/>
    <s v="Admissão"/>
    <s v="1.602,00"/>
    <s v="160200,00"/>
    <n v="1"/>
    <m/>
    <s v="N"/>
    <x v="16"/>
    <m/>
    <s v="30/03/1995"/>
    <s v="MG"/>
    <s v="032.784.956-83"/>
    <n v="84837"/>
    <n v="70"/>
    <d v="1995-06-03T00:00:00"/>
    <s v="MG"/>
    <n v="12557129986"/>
    <m/>
    <m/>
    <m/>
    <m/>
    <m/>
    <m/>
    <m/>
    <m/>
    <m/>
    <x v="16"/>
    <n v="340"/>
    <n v="15"/>
    <s v="25/05/2003"/>
    <s v="MG"/>
    <m/>
    <m/>
    <m/>
    <m/>
    <s v="AVENIDA FLORIANO PEIXOTO"/>
    <n v="415"/>
    <m/>
    <s v="CENTRO"/>
    <s v="NOVA PONTE"/>
    <s v="MG"/>
    <s v="38160-000"/>
    <m/>
    <n v="34991631595"/>
    <m/>
    <n v="341"/>
    <n v="5388"/>
    <x v="1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TIAGO"/>
    <n v="1"/>
    <s v="Sim"/>
  </r>
  <r>
    <n v="102020"/>
    <x v="17"/>
    <s v="Ativo"/>
    <s v="AD"/>
    <n v="30009194"/>
    <s v="Colaborador–M.O.Fixa"/>
    <s v="Mensalista"/>
    <s v="1DX"/>
    <s v="Duratex S.A."/>
    <n v="19"/>
    <s v="FÁB AGUDOS"/>
    <n v="19"/>
    <s v="MADEIRA"/>
    <s v="SIM"/>
    <s v="0019 - FÁB AGUDOS"/>
    <s v="LESSANDRO APARECIDO CARDANHA"/>
    <s v="LESSANDRO"/>
    <n v="10007026"/>
    <s v="MMF-07"/>
    <s v="MMF-07 - ADM - AG"/>
    <s v="DXAG"/>
    <s v="DXGERAAG62"/>
    <s v="Gerais Adm. Geral"/>
    <n v="10000191"/>
    <s v="MMF-02"/>
    <s v="MMF-02- ADM - AG"/>
    <s v="FABIO ROGERIO FERREIRA"/>
    <n v="10000080"/>
    <s v="EQUIPE"/>
    <s v="EQUIPE"/>
    <n v="10000005"/>
    <s v="MADEIRA"/>
    <s v="DIR OPER PAINEIS"/>
    <n v="10000108"/>
    <s v="FABRICA"/>
    <n v="10000101"/>
    <s v="ADM FABRICA"/>
    <m/>
    <m/>
    <d v="2020-05-10T00:00:00"/>
    <n v="0"/>
    <m/>
    <d v="1973-08-04T00:00:00"/>
    <x v="15"/>
    <m/>
    <s v="brasileira"/>
    <s v="SAO PAULO"/>
    <s v="SP"/>
    <s v="BR"/>
    <s v="Não"/>
    <s v="M"/>
    <s v="Não"/>
    <m/>
    <s v="Casado"/>
    <s v="Branca"/>
    <s v="Superior incompleto"/>
    <m/>
    <n v="22000802"/>
    <s v="220/M"/>
    <s v="ASSIST ADMINISTRATIVO"/>
    <n v="411010"/>
    <s v="Admissão"/>
    <d v="2020-10-01T00:00:00"/>
    <s v="220,00"/>
    <s v="MMF-01"/>
    <s v="MOI-01"/>
    <s v="MFL-01"/>
    <s v="CSS-01"/>
    <s v="MDP-01"/>
    <s v="PRE-01"/>
    <s v="2.200,00"/>
    <s v="2.200,00"/>
    <s v="2.200,00"/>
    <s v="0,00"/>
    <s v="CJ"/>
    <s v="FB AGUDOS-220/M"/>
    <n v="16"/>
    <s v="GRS016OP"/>
    <d v="2020-10-01T00:00:00"/>
    <s v="Admissão"/>
    <s v="2.199,00"/>
    <s v="219900,00"/>
    <n v="1"/>
    <m/>
    <s v="N"/>
    <x v="17"/>
    <m/>
    <d v="2014-06-11T00:00:00"/>
    <s v="SP"/>
    <s v="190.999.668-81"/>
    <n v="34385"/>
    <n v="114"/>
    <d v="2014-07-11T00:00:00"/>
    <s v="SP"/>
    <n v="12345535697"/>
    <m/>
    <n v="1738143935"/>
    <s v="AB"/>
    <s v="15/04/2016"/>
    <d v="2020-05-10T00:00:00"/>
    <s v="15/04/2021"/>
    <m/>
    <m/>
    <m/>
    <x v="17"/>
    <n v="26"/>
    <n v="206"/>
    <d v="2016-07-04T00:00:00"/>
    <s v="SP"/>
    <m/>
    <m/>
    <m/>
    <m/>
    <s v="RUA LUZIA DE OLIVEIRA PARADA"/>
    <n v="303"/>
    <m/>
    <s v="CJ. R. LEANDRO A. DIAS"/>
    <s v="BOTUCATU"/>
    <s v="SP"/>
    <s v="18601-763"/>
    <m/>
    <n v="14997041841"/>
    <m/>
    <n v="341"/>
    <n v="7398"/>
    <x v="17"/>
    <m/>
    <m/>
    <m/>
    <s v="ADMINISTRATIVO"/>
    <s v="ADMINISTRATIVO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LESSANDRO.APARECIDO@DURATEX.COM.BR"/>
    <m/>
    <s v="LECARDAN"/>
    <n v="1"/>
    <s v="Sim"/>
  </r>
  <r>
    <n v="102020"/>
    <x v="18"/>
    <s v="Ativo"/>
    <s v="AD"/>
    <n v="30031913"/>
    <s v="Colaborador–M.O.Fixa"/>
    <s v="Mensalista"/>
    <s v="1DX"/>
    <s v="Duratex S.A."/>
    <n v="19"/>
    <s v="FÁB AGUDOS"/>
    <n v="19"/>
    <s v="MADEIRA"/>
    <s v="SIM"/>
    <s v="0019 - FÁB AGUDOS"/>
    <s v="GUTHIERRE ALVES DIAS"/>
    <s v="GUTHIERRE"/>
    <n v="10002827"/>
    <s v="MNA-05"/>
    <s v="MNA-05 - MDF - AG"/>
    <s v="DXAG"/>
    <s v="DXMOVCB262"/>
    <s v="Mov. de Materiais CB"/>
    <n v="10002476"/>
    <s v="MNA-09"/>
    <s v="MNA-09 - MDF - AG"/>
    <s v="EVANDRO DE OLIVEIRA GUASSU"/>
    <n v="10000080"/>
    <s v="EQUIPE"/>
    <s v="EQUIPE"/>
    <n v="10000005"/>
    <s v="MADEIRA"/>
    <s v="DIR OPER PAINEIS"/>
    <n v="10000108"/>
    <s v="FABRICA"/>
    <n v="10000127"/>
    <s v="PRODUCAO DE PAINEL BASE"/>
    <m/>
    <m/>
    <d v="2020-05-10T00:00:00"/>
    <n v="0"/>
    <m/>
    <s v="18/08/1993"/>
    <x v="16"/>
    <m/>
    <s v="brasileira"/>
    <s v="FRANCISCO MORATO"/>
    <s v="SP"/>
    <s v="BR"/>
    <s v="Não"/>
    <s v="M"/>
    <s v="Não"/>
    <m/>
    <s v="Casado"/>
    <s v="Branca"/>
    <s v="Colegial completo"/>
    <m/>
    <n v="22001157"/>
    <s v="220/M"/>
    <s v="OPER EMPILHADEIRA PROD"/>
    <n v="782220"/>
    <s v="Admissão"/>
    <d v="2020-10-01T00:00:00"/>
    <s v="220,00"/>
    <s v="MMF-01"/>
    <s v="MOI-01"/>
    <s v="MFL-01"/>
    <s v="CSS-01"/>
    <s v="MDP-01"/>
    <s v="PRE-01"/>
    <s v="1.850,00"/>
    <s v="1.850,00"/>
    <s v="1.850,00"/>
    <s v="0,00"/>
    <s v="CJ"/>
    <s v="FB AGUDOS-220/M"/>
    <n v="16"/>
    <s v="GRS016OP"/>
    <d v="2020-10-01T00:00:00"/>
    <s v="Admissão"/>
    <s v="1.849,00"/>
    <s v="184900,00"/>
    <n v="1"/>
    <m/>
    <s v="N"/>
    <x v="18"/>
    <m/>
    <s v="22/09/2015"/>
    <s v="SP"/>
    <s v="080.070.899-77"/>
    <n v="36733"/>
    <n v="351"/>
    <s v="20/07/2009"/>
    <s v="SP"/>
    <n v="20168630189"/>
    <m/>
    <n v="6268316444"/>
    <s v="AB"/>
    <d v="2019-02-10T00:00:00"/>
    <d v="2020-05-10T00:00:00"/>
    <s v="27/09/2024"/>
    <m/>
    <m/>
    <m/>
    <x v="18"/>
    <n v="367"/>
    <n v="152"/>
    <s v="16/09/2011"/>
    <s v="SP"/>
    <n v="140552328027"/>
    <m/>
    <m/>
    <m/>
    <s v="RUA PAULO HUNGARO"/>
    <n v="6150"/>
    <m/>
    <s v="POUSADA DA ESPERANCA I"/>
    <s v="BAURU"/>
    <s v="SP"/>
    <s v="17022-098"/>
    <m/>
    <n v="11942862742"/>
    <m/>
    <n v="341"/>
    <n v="6511"/>
    <x v="18"/>
    <m/>
    <m/>
    <m/>
    <s v="OPERACIONAL"/>
    <s v="OPERACOES"/>
    <s v="ADMINISTRATIVO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UDIAS"/>
    <n v="1"/>
    <s v="Sim"/>
  </r>
  <r>
    <n v="102020"/>
    <x v="19"/>
    <s v="Ativo"/>
    <s v="AD"/>
    <n v="30046797"/>
    <s v="Colaborador–M.O.Var"/>
    <s v="Horista"/>
    <s v="1DX"/>
    <s v="Duratex S.A."/>
    <n v="6"/>
    <s v="FÁB METAIS SP"/>
    <n v="6"/>
    <s v="DECA"/>
    <s v="SIM"/>
    <s v="0006 - FÁB METAIS SP INDL"/>
    <s v="JOSILENE BERNARDO DA SILVA"/>
    <s v="JOSILENE"/>
    <n v="10001433"/>
    <s v="DCA-02"/>
    <s v="DCA-02 - GALVANO AUTOMATICA - MS"/>
    <s v="DXMS"/>
    <s v="DXGALAUT06"/>
    <s v="Galvan. Automática"/>
    <n v="10001434"/>
    <s v="DCA-02"/>
    <s v="DCA-02 - GALVANO/CRUZETA/MISCELANEA - MS"/>
    <s v="VALDEMIR MANOEL DA SILVA"/>
    <n v="10000080"/>
    <s v="EQUIPE"/>
    <s v="EQUIPE"/>
    <n v="10000002"/>
    <s v="DECA"/>
    <s v="DIR IND DECA (METAIS)"/>
    <m/>
    <m/>
    <m/>
    <m/>
    <m/>
    <m/>
    <d v="2020-01-10T00:00:00"/>
    <n v="0"/>
    <m/>
    <s v="14/07/1979"/>
    <x v="17"/>
    <m/>
    <s v="brasileira"/>
    <s v="AROEIRAS"/>
    <s v="PB"/>
    <s v="BR"/>
    <s v="Não"/>
    <s v="F"/>
    <s v="Não"/>
    <m/>
    <s v="Solt."/>
    <s v="Pard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19"/>
    <m/>
    <d v="2008-08-09T00:00:00"/>
    <s v="SP"/>
    <s v="295.522.298-47"/>
    <n v="56459"/>
    <n v="21"/>
    <d v="2014-03-11T00:00:00"/>
    <s v="PB"/>
    <n v="16243010350"/>
    <m/>
    <m/>
    <m/>
    <m/>
    <m/>
    <m/>
    <m/>
    <m/>
    <m/>
    <x v="19"/>
    <n v="389"/>
    <n v="31"/>
    <s v="17/03/2016"/>
    <s v="SP"/>
    <m/>
    <m/>
    <m/>
    <m/>
    <s v="AVENIDA FERNANDO MENDES DE ALMEIDA"/>
    <n v="1620"/>
    <m/>
    <s v="PARQUE TAIPAS"/>
    <s v="SÃO PAULO"/>
    <s v="SP"/>
    <s v="02987-100"/>
    <m/>
    <n v="11940765714"/>
    <m/>
    <n v="341"/>
    <n v="7482"/>
    <x v="1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SILSIL"/>
    <n v="1"/>
    <s v="Sim"/>
  </r>
  <r>
    <n v="102020"/>
    <x v="20"/>
    <s v="Ativo"/>
    <s v="AD"/>
    <n v="30042445"/>
    <s v="Colaborador–M.O.Fixa"/>
    <s v="Horista"/>
    <s v="1DX"/>
    <s v="Duratex S.A."/>
    <n v="6"/>
    <s v="FÁB METAIS SP"/>
    <n v="6"/>
    <s v="DECA"/>
    <s v="SIM"/>
    <s v="0006 - FÁB METAIS SP INDL"/>
    <s v="JOSEFA SANTOS DE SANTANA"/>
    <s v="JOSEFA"/>
    <n v="10001432"/>
    <s v="DCA-03"/>
    <s v="DCA-03 - GALVANO AUTOMATICA - MS"/>
    <s v="DXMS"/>
    <s v="DXGALAUT06"/>
    <s v="Galvan. Automática"/>
    <n v="10001435"/>
    <s v="DCA-03"/>
    <s v="DCA-03 - GALVANO/CRUZETA/MISCELANEA - MS"/>
    <s v="VALDIR JOSE DOS SANTOS"/>
    <n v="10000080"/>
    <s v="EQUIPE"/>
    <s v="EQUIPE"/>
    <n v="10000002"/>
    <s v="DECA"/>
    <s v="DIR IND DECA (METAIS)"/>
    <m/>
    <m/>
    <m/>
    <m/>
    <m/>
    <m/>
    <d v="2020-01-10T00:00:00"/>
    <n v="0"/>
    <m/>
    <d v="1974-01-03T00:00:00"/>
    <x v="14"/>
    <m/>
    <s v="brasileira"/>
    <s v="CHA GRANDE"/>
    <s v="PE"/>
    <s v="BR"/>
    <s v="Não"/>
    <s v="F"/>
    <s v="Não"/>
    <m/>
    <s v="Solt."/>
    <s v="Branc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m/>
    <s v="N"/>
    <x v="20"/>
    <m/>
    <s v="29/04/2019"/>
    <s v="SP"/>
    <s v="132.179.778-82"/>
    <n v="65974"/>
    <n v="112"/>
    <s v="20/07/1988"/>
    <s v="SP"/>
    <n v="12389058606"/>
    <m/>
    <m/>
    <m/>
    <m/>
    <m/>
    <m/>
    <m/>
    <m/>
    <m/>
    <x v="20"/>
    <n v="389"/>
    <n v="363"/>
    <s v="27/06/2019"/>
    <s v="SP"/>
    <m/>
    <m/>
    <m/>
    <m/>
    <s v="RUA FRANCA"/>
    <n v="44"/>
    <m/>
    <s v="JARDIM DA CONQUISTA (ZONA OESTE)"/>
    <s v="SÃO PAULO"/>
    <s v="SP"/>
    <s v="05212-070"/>
    <m/>
    <n v="11992075676"/>
    <m/>
    <n v="341"/>
    <n v="1016"/>
    <x v="2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JOSEFA"/>
    <n v="1"/>
    <s v="Sim"/>
  </r>
  <r>
    <n v="102020"/>
    <x v="21"/>
    <s v="Ativo"/>
    <s v="AD"/>
    <n v="30046796"/>
    <s v="Colaborador–M.O.Var"/>
    <s v="Horista"/>
    <s v="1DX"/>
    <s v="Duratex S.A."/>
    <n v="6"/>
    <s v="FÁB METAIS SP"/>
    <n v="6"/>
    <s v="DECA"/>
    <s v="SIM"/>
    <s v="0006 - FÁB METAIS SP INDL"/>
    <s v="CLEUNICE GONCALVES PEREIRA"/>
    <s v="CLEUNICE"/>
    <n v="10001432"/>
    <s v="DCA-03"/>
    <s v="DCA-03 - GALVANO AUTOMATICA - MS"/>
    <s v="DXMS"/>
    <s v="DXGALAUT06"/>
    <s v="Galvan. Automática"/>
    <n v="10001435"/>
    <s v="DCA-03"/>
    <s v="DCA-03 - GALVANO/CRUZETA/MISCELANEA - MS"/>
    <s v="VALDIR JOSE DOS SANTOS"/>
    <n v="10000080"/>
    <s v="EQUIPE"/>
    <s v="EQUIPE"/>
    <n v="10000002"/>
    <s v="DECA"/>
    <s v="DIR IND DECA (METAIS)"/>
    <m/>
    <m/>
    <m/>
    <m/>
    <m/>
    <m/>
    <d v="2020-01-10T00:00:00"/>
    <n v="0"/>
    <m/>
    <s v="23/08/1973"/>
    <x v="15"/>
    <m/>
    <s v="brasileira"/>
    <s v="GUIRATINGA"/>
    <s v="MT"/>
    <s v="BR"/>
    <s v="Não"/>
    <s v="F"/>
    <s v="Não"/>
    <m/>
    <s v="Casado"/>
    <s v="Pard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m/>
    <s v="N"/>
    <x v="21"/>
    <m/>
    <d v="2012-06-01T00:00:00"/>
    <s v="SP"/>
    <s v="148.449.718-08"/>
    <n v="3721"/>
    <n v="152"/>
    <s v="24/10/1990"/>
    <s v="SP"/>
    <n v="12442284490"/>
    <m/>
    <m/>
    <m/>
    <m/>
    <m/>
    <m/>
    <m/>
    <m/>
    <m/>
    <x v="21"/>
    <n v="403"/>
    <n v="78"/>
    <s v="24/04/2007"/>
    <s v="SP"/>
    <m/>
    <m/>
    <m/>
    <m/>
    <s v="RUA DR RAFAEL DE ARAUJO RIBEIRO"/>
    <n v="1689"/>
    <m/>
    <s v="JARAGUA"/>
    <s v="SÃO PAULO"/>
    <s v="SP"/>
    <s v="05181-030"/>
    <m/>
    <n v="11946697859"/>
    <m/>
    <n v="341"/>
    <n v="1309"/>
    <x v="2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LEUPERE"/>
    <n v="1"/>
    <s v="Sim"/>
  </r>
  <r>
    <n v="102020"/>
    <x v="22"/>
    <s v="Ativo"/>
    <s v="AD"/>
    <n v="30046799"/>
    <s v="Colaborador–M.O.Var"/>
    <s v="Horista"/>
    <s v="1DX"/>
    <s v="Duratex S.A."/>
    <n v="6"/>
    <s v="FÁB METAIS SP"/>
    <n v="6"/>
    <s v="DECA"/>
    <s v="SIM"/>
    <s v="0006 - FÁB METAIS SP INDL"/>
    <s v="PEDRO DIONISIO DE SANTANA SANTOS"/>
    <s v="PEDRO"/>
    <n v="10001433"/>
    <s v="DCA-02"/>
    <s v="DCA-02 - GALVANO AUTOMATICA - MS"/>
    <s v="DXMS"/>
    <s v="DXGALAUT06"/>
    <s v="Galvan. Automática"/>
    <n v="10001434"/>
    <s v="DCA-02"/>
    <s v="DCA-02 - GALVANO/CRUZETA/MISCELANEA - MS"/>
    <s v="VALDEMIR MANOEL DA SILVA"/>
    <n v="10000080"/>
    <s v="EQUIPE"/>
    <s v="EQUIPE"/>
    <n v="10000002"/>
    <s v="DECA"/>
    <s v="DIR IND DECA (METAIS)"/>
    <m/>
    <m/>
    <m/>
    <m/>
    <m/>
    <m/>
    <d v="2020-01-10T00:00:00"/>
    <n v="0"/>
    <m/>
    <d v="1982-07-04T00:00:00"/>
    <x v="6"/>
    <m/>
    <s v="brasileira"/>
    <s v="ITABUNA"/>
    <s v="BA"/>
    <s v="BR"/>
    <s v="Não"/>
    <s v="M"/>
    <s v="Não"/>
    <m/>
    <s v="Casado"/>
    <s v="Pard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22"/>
    <m/>
    <s v="16/12/2011"/>
    <s v="SP"/>
    <s v="322.895.218-50"/>
    <n v="4518"/>
    <n v="252"/>
    <d v="1998-07-05T00:00:00"/>
    <s v="SP"/>
    <n v="13123535893"/>
    <m/>
    <m/>
    <m/>
    <m/>
    <m/>
    <m/>
    <m/>
    <m/>
    <m/>
    <x v="22"/>
    <n v="376"/>
    <n v="441"/>
    <d v="2006-08-05T00:00:00"/>
    <s v="SP"/>
    <n v="40073531465"/>
    <m/>
    <m/>
    <m/>
    <s v="RUA VIRAJUBA"/>
    <n v="509"/>
    <m/>
    <s v="BRASILANDIA"/>
    <s v="SÃO PAULO"/>
    <s v="SP"/>
    <s v="02847-085"/>
    <m/>
    <n v="11962142781"/>
    <m/>
    <n v="341"/>
    <n v="7128"/>
    <x v="2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NPEDRO"/>
    <n v="1"/>
    <s v="Sim"/>
  </r>
  <r>
    <n v="102020"/>
    <x v="23"/>
    <s v="Ativo"/>
    <s v="AD"/>
    <n v="30046561"/>
    <s v="Colaborador–M.O.Var"/>
    <s v="Horista"/>
    <s v="1DX"/>
    <s v="Duratex S.A."/>
    <n v="6"/>
    <s v="FÁB METAIS SP"/>
    <n v="6"/>
    <s v="DECA"/>
    <s v="SIM"/>
    <s v="0006 - FÁB METAIS SP INDL"/>
    <s v="AMAURI APARECIDO MORAES BELO"/>
    <s v="AMAURI"/>
    <n v="10001443"/>
    <s v="DPS-03"/>
    <s v="DPS-03 - CELULA DE BICAS/TORNEIRAS - MS"/>
    <s v="DXMS"/>
    <s v="DXCELUBT06"/>
    <s v="Cel. Bicas Torneiras"/>
    <n v="10001402"/>
    <s v="DPS-01"/>
    <s v="DPS-01 - MINIFAB DE PROD ESPECIAIS - MS"/>
    <s v="LEANDRO MENDES DA SILVA"/>
    <n v="10000059"/>
    <s v="SUPERVISOR"/>
    <s v="SUPERVISOR"/>
    <n v="10000002"/>
    <s v="DECA"/>
    <s v="DIR IND DECA (METAIS)"/>
    <m/>
    <m/>
    <m/>
    <m/>
    <m/>
    <m/>
    <d v="2020-01-10T00:00:00"/>
    <n v="0"/>
    <m/>
    <s v="15/10/1982"/>
    <x v="6"/>
    <m/>
    <s v="brasileira"/>
    <s v="SAO PAULO"/>
    <s v="SP"/>
    <s v="BR"/>
    <s v="Não"/>
    <s v="M"/>
    <s v="Não"/>
    <m/>
    <s v="Solt."/>
    <s v="Pard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23"/>
    <m/>
    <d v="2018-01-08T00:00:00"/>
    <s v="SP"/>
    <s v="310.929.238-61"/>
    <n v="29896"/>
    <n v="234"/>
    <d v="2011-06-05T00:00:00"/>
    <s v="SP"/>
    <n v="12707887856"/>
    <m/>
    <m/>
    <m/>
    <m/>
    <m/>
    <m/>
    <m/>
    <m/>
    <m/>
    <x v="23"/>
    <n v="389"/>
    <n v="63"/>
    <s v="14/12/2000"/>
    <s v="SP"/>
    <n v="40092656384"/>
    <m/>
    <m/>
    <m/>
    <s v="RUA JONAS DE ORLEANS"/>
    <n v="43"/>
    <m/>
    <s v="JARDIM TAIPAS"/>
    <s v="SÃO PAULO"/>
    <s v="SP"/>
    <s v="02990-180"/>
    <m/>
    <n v="11962135579"/>
    <m/>
    <n v="341"/>
    <n v="1309"/>
    <x v="2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BELO"/>
    <n v="1"/>
    <s v="Sim"/>
  </r>
  <r>
    <n v="102020"/>
    <x v="24"/>
    <s v="Ativo"/>
    <s v="AD"/>
    <n v="30046560"/>
    <s v="Colaborador–M.O.Var"/>
    <s v="Horista"/>
    <s v="1DX"/>
    <s v="Duratex S.A."/>
    <n v="6"/>
    <s v="FÁB METAIS SP"/>
    <n v="6"/>
    <s v="DECA"/>
    <s v="SIM"/>
    <s v="0006 - FÁB METAIS SP INDL"/>
    <s v="HERICLES PINHEIRO DE SOUSA"/>
    <s v="HERICLES"/>
    <n v="10001443"/>
    <s v="DPS-03"/>
    <s v="DPS-03 - CELULA DE BICAS/TORNEIRAS - MS"/>
    <s v="DXMS"/>
    <s v="DXCELUBT06"/>
    <s v="Cel. Bicas Torneiras"/>
    <n v="10001402"/>
    <s v="DPS-01"/>
    <s v="DPS-01 - MINIFAB DE PROD ESPECIAIS - MS"/>
    <s v="LEANDRO MENDES DA SILVA"/>
    <n v="10000059"/>
    <s v="SUPERVISOR"/>
    <s v="SUPERVISOR"/>
    <n v="10000002"/>
    <s v="DECA"/>
    <s v="DIR IND DECA (METAIS)"/>
    <m/>
    <m/>
    <m/>
    <m/>
    <m/>
    <m/>
    <d v="2020-01-10T00:00:00"/>
    <n v="0"/>
    <m/>
    <d v="1997-03-07T00:00:00"/>
    <x v="18"/>
    <m/>
    <s v="brasileira"/>
    <s v="FRANCO DA ROCHA"/>
    <s v="SP"/>
    <s v="BR"/>
    <s v="Não"/>
    <s v="M"/>
    <s v="Não"/>
    <m/>
    <s v="Solt."/>
    <s v="Negr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24"/>
    <m/>
    <s v="13/05/2019"/>
    <s v="SP"/>
    <s v="449.961.708-16"/>
    <n v="65415"/>
    <n v="428"/>
    <d v="2015-07-01T00:00:00"/>
    <s v="SP"/>
    <n v="21291579585"/>
    <m/>
    <m/>
    <m/>
    <m/>
    <m/>
    <m/>
    <m/>
    <m/>
    <m/>
    <x v="24"/>
    <n v="192"/>
    <n v="216"/>
    <s v="20/04/2015"/>
    <s v="SP"/>
    <n v="140562373112"/>
    <m/>
    <m/>
    <m/>
    <s v="RUA JOSE AUGUSTO SILVA LOPES"/>
    <n v="240"/>
    <m/>
    <s v="VILA BELA"/>
    <s v="FRANCO DA ROCHA"/>
    <s v="SP"/>
    <s v="07846-120"/>
    <m/>
    <n v="11991429405"/>
    <m/>
    <n v="341"/>
    <n v="1309"/>
    <x v="2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HESOUSA"/>
    <n v="1"/>
    <s v="Sim"/>
  </r>
  <r>
    <n v="102020"/>
    <x v="25"/>
    <s v="Ativo"/>
    <s v="AD"/>
    <n v="30044368"/>
    <s v="Colaborador–M.O.Var"/>
    <s v="Horista"/>
    <s v="1DX"/>
    <s v="Duratex S.A."/>
    <n v="6"/>
    <s v="FÁB METAIS SP"/>
    <n v="6"/>
    <s v="DECA"/>
    <s v="SIM"/>
    <s v="0006 - FÁB METAIS SP INDL"/>
    <s v="DOUGLAS DA SILVA MATOS"/>
    <s v="DOUGLAS"/>
    <n v="10001443"/>
    <s v="DPS-03"/>
    <s v="DPS-03 - CELULA DE BICAS/TORNEIRAS - MS"/>
    <s v="DXMS"/>
    <s v="DXCELUBT06"/>
    <s v="Cel. Bicas Torneiras"/>
    <n v="10001402"/>
    <s v="DPS-01"/>
    <s v="DPS-01 - MINIFAB DE PROD ESPECIAIS - MS"/>
    <s v="LEANDRO MENDES DA SILVA"/>
    <n v="10000059"/>
    <s v="SUPERVISOR"/>
    <s v="SUPERVISOR"/>
    <n v="10000002"/>
    <s v="DECA"/>
    <s v="DIR IND DECA (METAIS)"/>
    <m/>
    <m/>
    <m/>
    <m/>
    <m/>
    <m/>
    <d v="2020-01-10T00:00:00"/>
    <n v="0"/>
    <m/>
    <d v="1988-05-02T00:00:00"/>
    <x v="9"/>
    <m/>
    <s v="brasileira"/>
    <s v="OSASCO"/>
    <s v="SP"/>
    <s v="BR"/>
    <s v="Não"/>
    <s v="M"/>
    <s v="Não"/>
    <m/>
    <s v="Divor."/>
    <s v="Pard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25"/>
    <m/>
    <d v="2019-02-10T00:00:00"/>
    <s v="SP"/>
    <s v="356.989.688-96"/>
    <n v="11220"/>
    <n v="299"/>
    <s v="14/02/2018"/>
    <s v="SP"/>
    <n v="16145867427"/>
    <m/>
    <m/>
    <m/>
    <m/>
    <m/>
    <m/>
    <m/>
    <m/>
    <m/>
    <x v="25"/>
    <n v="315"/>
    <n v="200"/>
    <s v="28/06/2005"/>
    <s v="SP"/>
    <n v="40213781533"/>
    <m/>
    <m/>
    <m/>
    <s v="PASSAGEM VILMA MARIA ALMEIDA SILVA"/>
    <n v="34"/>
    <m/>
    <s v="SAO PEDRO"/>
    <s v="OSASCO"/>
    <s v="SP"/>
    <s v="06172-185"/>
    <m/>
    <n v="11974919746"/>
    <m/>
    <n v="341"/>
    <n v="1309"/>
    <x v="2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OMATOS"/>
    <n v="1"/>
    <s v="Sim"/>
  </r>
  <r>
    <n v="102020"/>
    <x v="26"/>
    <s v="Ativo"/>
    <s v="AD"/>
    <n v="30046553"/>
    <s v="Colaborador–M.O.Var"/>
    <s v="Horista"/>
    <s v="1DX"/>
    <s v="Duratex S.A."/>
    <n v="6"/>
    <s v="FÁB METAIS SP"/>
    <n v="6"/>
    <s v="DECA"/>
    <s v="SIM"/>
    <s v="0006 - FÁB METAIS SP INDL"/>
    <s v="RODRIGO DA SILVA CAMPOS"/>
    <s v="RODRIGO"/>
    <n v="10001427"/>
    <s v="DCA-03"/>
    <s v="DCA-03 - CELULA DE CRUZETAS - MS"/>
    <s v="DXMS"/>
    <s v="DXCRUZET06"/>
    <s v="Ctro. Auto. Acab-CAA"/>
    <n v="10001435"/>
    <s v="DCA-03"/>
    <s v="DCA-03 - GALVANO/CRUZETA/MISCELANEA - MS"/>
    <s v="VALDIR JOSE DOS SANTOS"/>
    <n v="10000080"/>
    <s v="EQUIPE"/>
    <s v="EQUIPE"/>
    <n v="10000002"/>
    <s v="DECA"/>
    <s v="DIR IND DECA (METAIS)"/>
    <m/>
    <m/>
    <m/>
    <m/>
    <m/>
    <m/>
    <d v="2020-01-10T00:00:00"/>
    <n v="0"/>
    <m/>
    <d v="1982-12-05T00:00:00"/>
    <x v="6"/>
    <m/>
    <s v="brasileira"/>
    <s v="SAO PAULO"/>
    <s v="SP"/>
    <s v="BR"/>
    <s v="Não"/>
    <s v="M"/>
    <s v="Não"/>
    <m/>
    <s v="Casado"/>
    <s v="Pard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26"/>
    <m/>
    <s v="20/07/2016"/>
    <s v="SP"/>
    <s v="217.055.158-19"/>
    <n v="25745"/>
    <n v="245"/>
    <s v="14/01/1998"/>
    <s v="SP"/>
    <n v="12998292935"/>
    <m/>
    <m/>
    <m/>
    <m/>
    <m/>
    <m/>
    <m/>
    <m/>
    <m/>
    <x v="26"/>
    <n v="403"/>
    <n v="153"/>
    <d v="2017-03-11T00:00:00"/>
    <s v="SP"/>
    <n v="10361898"/>
    <m/>
    <m/>
    <m/>
    <s v="RUA AMARAL DOS BARRETOS"/>
    <n v="201"/>
    <m/>
    <s v="PARQUE ANHANGUERA (SAO DOMINGOS)"/>
    <s v="SÃO PAULO"/>
    <s v="SP"/>
    <s v="05158-040"/>
    <m/>
    <n v="11947438090"/>
    <m/>
    <n v="341"/>
    <n v="1309"/>
    <x v="2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ODCAMPO"/>
    <n v="1"/>
    <s v="Sim"/>
  </r>
  <r>
    <n v="102020"/>
    <x v="27"/>
    <s v="Ativo"/>
    <s v="AD"/>
    <n v="30046559"/>
    <s v="Colaborador–M.O.Var"/>
    <s v="Horista"/>
    <s v="1DX"/>
    <s v="Duratex S.A."/>
    <n v="6"/>
    <s v="FÁB METAIS SP"/>
    <n v="6"/>
    <s v="DECA"/>
    <s v="SIM"/>
    <s v="0006 - FÁB METAIS SP INDL"/>
    <s v="DANILO LUCIO DE LIMA"/>
    <s v="DANILO"/>
    <n v="10001443"/>
    <s v="DPS-03"/>
    <s v="DPS-03 - CELULA DE BICAS/TORNEIRAS - MS"/>
    <s v="DXMS"/>
    <s v="DXCELUBT06"/>
    <s v="Cel. Bicas Torneiras"/>
    <n v="10001402"/>
    <s v="DPS-01"/>
    <s v="DPS-01 - MINIFAB DE PROD ESPECIAIS - MS"/>
    <s v="LEANDRO MENDES DA SILVA"/>
    <n v="10000059"/>
    <s v="SUPERVISOR"/>
    <s v="SUPERVISOR"/>
    <n v="10000002"/>
    <s v="DECA"/>
    <s v="DIR IND DECA (METAIS)"/>
    <m/>
    <m/>
    <m/>
    <m/>
    <m/>
    <m/>
    <d v="2020-01-10T00:00:00"/>
    <n v="0"/>
    <m/>
    <s v="23/08/1987"/>
    <x v="0"/>
    <m/>
    <s v="brasileira"/>
    <s v="OSASCO"/>
    <s v="SP"/>
    <s v="BR"/>
    <s v="Não"/>
    <s v="M"/>
    <s v="Não"/>
    <m/>
    <s v="Marita"/>
    <s v="Pard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27"/>
    <m/>
    <s v="29/08/2019"/>
    <s v="SP"/>
    <s v="371.952.178-84"/>
    <n v="90689"/>
    <n v="311"/>
    <d v="2005-09-06T00:00:00"/>
    <s v="SP"/>
    <n v="13490278894"/>
    <m/>
    <m/>
    <m/>
    <m/>
    <m/>
    <m/>
    <m/>
    <m/>
    <m/>
    <x v="27"/>
    <n v="388"/>
    <n v="281"/>
    <s v="23/02/2016"/>
    <s v="SP"/>
    <n v="40232801122"/>
    <m/>
    <m/>
    <m/>
    <s v="AVENIDA DO RIBEIRAO"/>
    <n v="3852"/>
    <m/>
    <s v="PARQUE JANDAIA"/>
    <s v="CARAPICUÍBA"/>
    <s v="SP"/>
    <s v="06330-010"/>
    <m/>
    <n v="11969126429"/>
    <m/>
    <n v="341"/>
    <n v="7373"/>
    <x v="2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ANILLIM"/>
    <n v="1"/>
    <s v="Sim"/>
  </r>
  <r>
    <n v="102020"/>
    <x v="28"/>
    <s v="Ativo"/>
    <s v="AD"/>
    <n v="30046558"/>
    <s v="Colaborador–M.O.Var"/>
    <s v="Horista"/>
    <s v="1DX"/>
    <s v="Duratex S.A."/>
    <n v="6"/>
    <s v="FÁB METAIS SP"/>
    <n v="6"/>
    <s v="DECA"/>
    <s v="SIM"/>
    <s v="0006 - FÁB METAIS SP INDL"/>
    <s v="ROBERTO APARECIDO DOS SANTOS"/>
    <s v="ROBERTO"/>
    <n v="10001427"/>
    <s v="DCA-03"/>
    <s v="DCA-03 - CELULA DE CRUZETAS - MS"/>
    <s v="DXMS"/>
    <s v="DXCRUZET06"/>
    <s v="Ctro. Auto. Acab-CAA"/>
    <n v="10001435"/>
    <s v="DCA-03"/>
    <s v="DCA-03 - GALVANO/CRUZETA/MISCELANEA - MS"/>
    <s v="VALDIR JOSE DOS SANTOS"/>
    <n v="10000080"/>
    <s v="EQUIPE"/>
    <s v="EQUIPE"/>
    <n v="10000002"/>
    <s v="DECA"/>
    <s v="DIR IND DECA (METAIS)"/>
    <m/>
    <m/>
    <m/>
    <m/>
    <m/>
    <m/>
    <d v="2020-01-10T00:00:00"/>
    <n v="0"/>
    <m/>
    <s v="20/06/1977"/>
    <x v="19"/>
    <m/>
    <s v="brasileira"/>
    <s v="SAO PAULO"/>
    <s v="SP"/>
    <s v="BR"/>
    <s v="Não"/>
    <s v="M"/>
    <s v="Não"/>
    <m/>
    <s v="Casado"/>
    <s v="Parda"/>
    <s v="Colegial completo"/>
    <s v="Não portador"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m/>
    <s v="N"/>
    <x v="28"/>
    <m/>
    <d v="2018-12-11T00:00:00"/>
    <s v="SP"/>
    <s v="259.305.728-95"/>
    <n v="78882"/>
    <n v="157"/>
    <s v="21/05/1991"/>
    <s v="SP"/>
    <n v="12457267287"/>
    <m/>
    <m/>
    <m/>
    <m/>
    <m/>
    <m/>
    <m/>
    <m/>
    <m/>
    <x v="28"/>
    <n v="403"/>
    <n v="53"/>
    <d v="1994-02-02T00:00:00"/>
    <s v="SP"/>
    <n v="40092411855"/>
    <m/>
    <m/>
    <m/>
    <s v="RUA DR RAFAEL DE A RIBEIRO"/>
    <n v="1321"/>
    <m/>
    <s v="JARAGUÁ"/>
    <s v="SÃO PAULO"/>
    <s v="SP"/>
    <s v="05181-030"/>
    <m/>
    <n v="11986207772"/>
    <m/>
    <n v="341"/>
    <n v="2696"/>
    <x v="2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ROBERT"/>
    <n v="1"/>
    <s v="Sim"/>
  </r>
  <r>
    <n v="102020"/>
    <x v="29"/>
    <s v="Ativo"/>
    <s v="AD"/>
    <n v="30044366"/>
    <s v="Colaborador–M.O.Var"/>
    <s v="Horista"/>
    <s v="1DX"/>
    <s v="Duratex S.A."/>
    <n v="6"/>
    <s v="FÁB METAIS SP"/>
    <n v="6"/>
    <s v="DECA"/>
    <s v="SIM"/>
    <s v="0006 - FÁB METAIS SP INDL"/>
    <s v="RENAN FERNANDO DE ARAUJO SANTOS"/>
    <s v="RENAN"/>
    <n v="10001443"/>
    <s v="DPS-03"/>
    <s v="DPS-03 - CELULA DE BICAS/TORNEIRAS - MS"/>
    <s v="DXMS"/>
    <s v="DXCELUBT06"/>
    <s v="Cel. Bicas Torneiras"/>
    <n v="10001402"/>
    <s v="DPS-01"/>
    <s v="DPS-01 - MINIFAB DE PROD ESPECIAIS - MS"/>
    <s v="LEANDRO MENDES DA SILVA"/>
    <n v="10000059"/>
    <s v="SUPERVISOR"/>
    <s v="SUPERVISOR"/>
    <n v="10000002"/>
    <s v="DECA"/>
    <s v="DIR IND DECA (METAIS)"/>
    <m/>
    <m/>
    <m/>
    <m/>
    <m/>
    <m/>
    <d v="2020-01-10T00:00:00"/>
    <n v="0"/>
    <m/>
    <d v="1988-09-10T00:00:00"/>
    <x v="9"/>
    <m/>
    <s v="brasileira"/>
    <s v="SAO PAULO"/>
    <s v="SP"/>
    <s v="BR"/>
    <s v="Não"/>
    <s v="M"/>
    <s v="Não"/>
    <m/>
    <s v="Solt."/>
    <s v="Pard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29"/>
    <m/>
    <s v="24/01/2020"/>
    <s v="SP"/>
    <s v="362.673.658-08"/>
    <n v="70186"/>
    <n v="312"/>
    <d v="2014-04-02T00:00:00"/>
    <s v="SP"/>
    <n v="20346828532"/>
    <m/>
    <m/>
    <m/>
    <m/>
    <m/>
    <m/>
    <m/>
    <m/>
    <m/>
    <x v="29"/>
    <n v="403"/>
    <n v="104"/>
    <d v="2007-06-09T00:00:00"/>
    <s v="SP"/>
    <n v="40122910702"/>
    <m/>
    <m/>
    <m/>
    <s v="RUA SEBASTIAO LARANJEIRAS"/>
    <n v="312"/>
    <m/>
    <s v="PARQUE PANAMERICANO"/>
    <s v="SÃO PAULO"/>
    <s v="SP"/>
    <s v="02992-050"/>
    <m/>
    <n v="11952272016"/>
    <m/>
    <n v="341"/>
    <n v="1309"/>
    <x v="2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RENAN"/>
    <n v="1"/>
    <s v="Sim"/>
  </r>
  <r>
    <n v="102020"/>
    <x v="30"/>
    <s v="Ativo"/>
    <s v="AD"/>
    <n v="30046800"/>
    <s v="Colaborador–M.O.Var"/>
    <s v="Horista"/>
    <s v="1DX"/>
    <s v="Duratex S.A."/>
    <n v="6"/>
    <s v="FÁB METAIS SP"/>
    <n v="6"/>
    <s v="DECA"/>
    <s v="SIM"/>
    <s v="0006 - FÁB METAIS SP INDL"/>
    <s v="ADALBERTO ALVARES JUNIOR"/>
    <s v="ADALBERTO"/>
    <n v="10001422"/>
    <s v="DPF-02"/>
    <s v="DPF-02 - FUNDICAO PECAS DE LATAO - MS"/>
    <s v="DXMS"/>
    <s v="DXPCLATA06"/>
    <s v="Peças de Latão"/>
    <n v="10001415"/>
    <s v="DPF-01"/>
    <s v="DPF-01 - FABR DE FUNDICAO/USINADOS - MS"/>
    <s v="JOSE CARLOS DA SILVA"/>
    <n v="10000059"/>
    <s v="SUPERVISOR"/>
    <s v="SUPERVISOR"/>
    <n v="10000002"/>
    <s v="DECA"/>
    <s v="DIR IND DECA (METAIS)"/>
    <m/>
    <m/>
    <m/>
    <m/>
    <m/>
    <m/>
    <d v="2020-01-10T00:00:00"/>
    <n v="0"/>
    <m/>
    <s v="21/01/1981"/>
    <x v="20"/>
    <m/>
    <s v="brasileira"/>
    <s v="OSASCO"/>
    <s v="SP"/>
    <s v="BR"/>
    <s v="Não"/>
    <s v="M"/>
    <s v="Não"/>
    <m/>
    <s v="Casado"/>
    <s v="Branca"/>
    <s v="Coleg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30"/>
    <m/>
    <d v="2013-07-11T00:00:00"/>
    <s v="SP"/>
    <s v="288.562.278-43"/>
    <n v="90579"/>
    <n v="264"/>
    <s v="19/03/2018"/>
    <s v="SP"/>
    <n v="12984523816"/>
    <m/>
    <m/>
    <m/>
    <m/>
    <m/>
    <m/>
    <m/>
    <m/>
    <m/>
    <x v="30"/>
    <n v="359"/>
    <n v="30"/>
    <s v="15/07/2019"/>
    <s v="SP"/>
    <m/>
    <m/>
    <m/>
    <m/>
    <s v="RUA JAIME PEREIRA PORTELA"/>
    <n v="28"/>
    <m/>
    <s v="VL S LUIZ"/>
    <s v="ITAPEVI"/>
    <s v="SP"/>
    <s v="06654-635"/>
    <m/>
    <n v="11952079827"/>
    <m/>
    <n v="341"/>
    <n v="228"/>
    <x v="3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DALBJUN"/>
    <n v="1"/>
    <s v="Sim"/>
  </r>
  <r>
    <n v="102020"/>
    <x v="31"/>
    <s v="Ativo"/>
    <s v="AD"/>
    <n v="30043039"/>
    <s v="Colaborador–M.O.Var"/>
    <s v="Horista"/>
    <s v="1DX"/>
    <s v="Duratex S.A."/>
    <n v="6"/>
    <s v="FÁB METAIS SP"/>
    <n v="6"/>
    <s v="DECA"/>
    <s v="SIM"/>
    <s v="0006 - FÁB METAIS SP INDL"/>
    <s v="SILANIO ALVES TIMOTEO"/>
    <s v="SILÂNIO"/>
    <n v="10001445"/>
    <s v="DPF-04"/>
    <s v="DPF-04 - FUNDICAO PECAS DE LATAO - MS"/>
    <s v="DXMS"/>
    <s v="DXPCLATA06"/>
    <s v="Peças de Latão"/>
    <n v="10001422"/>
    <s v="DPF-02"/>
    <s v="DPF-02 - FUNDICAO PECAS DE LATAO - MS"/>
    <s v="JOSE CARLOS DA SILVA"/>
    <n v="10000080"/>
    <s v="EQUIPE"/>
    <s v="EQUIPE"/>
    <n v="10000002"/>
    <s v="DECA"/>
    <s v="DIR IND DECA (METAIS)"/>
    <m/>
    <m/>
    <m/>
    <m/>
    <m/>
    <m/>
    <d v="2020-01-10T00:00:00"/>
    <n v="0"/>
    <m/>
    <d v="1985-12-04T00:00:00"/>
    <x v="21"/>
    <m/>
    <s v="brasileira"/>
    <s v="OURO BRANCO"/>
    <s v="AL"/>
    <s v="BR"/>
    <s v="Não"/>
    <s v="M"/>
    <s v="Não"/>
    <m/>
    <s v="Solt."/>
    <s v="Parda"/>
    <s v="Ginasial 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31"/>
    <m/>
    <d v="2010-02-03T00:00:00"/>
    <s v="SP"/>
    <s v="072.224.774-54"/>
    <n v="19901"/>
    <n v="24"/>
    <s v="27/01/2005"/>
    <s v="AL"/>
    <n v="12921924260"/>
    <m/>
    <m/>
    <m/>
    <m/>
    <m/>
    <m/>
    <m/>
    <m/>
    <m/>
    <x v="31"/>
    <n v="50"/>
    <n v="13"/>
    <d v="2002-05-04T00:00:00"/>
    <s v="AL"/>
    <n v="200462008026"/>
    <m/>
    <m/>
    <m/>
    <s v="RUA MATILDE CONCEICAO BONILHA"/>
    <n v="1358"/>
    <m/>
    <s v="NOVO OSASCO"/>
    <s v="OSASCO"/>
    <s v="SP"/>
    <s v="06142-160"/>
    <m/>
    <n v="11997904117"/>
    <m/>
    <n v="341"/>
    <n v="1309"/>
    <x v="3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TIMOTEO"/>
    <n v="1"/>
    <s v="Sim"/>
  </r>
  <r>
    <n v="102020"/>
    <x v="32"/>
    <s v="Ativo"/>
    <s v="AD"/>
    <n v="30046554"/>
    <s v="Colaborador–M.O.Var"/>
    <s v="Horista"/>
    <s v="1DX"/>
    <s v="Duratex S.A."/>
    <n v="6"/>
    <s v="FÁB METAIS SP"/>
    <n v="6"/>
    <s v="DECA"/>
    <s v="SIM"/>
    <s v="0006 - FÁB METAIS SP INDL"/>
    <s v="GUSTAVO FERREIRA DOS SANTOS"/>
    <s v="GUSTAVO"/>
    <n v="10001428"/>
    <s v="DCA-02"/>
    <s v="DCA-02 - CELULA DE CRUZETAS - MS"/>
    <s v="DXMS"/>
    <s v="DXCRUZET06"/>
    <s v="Ctro. Auto. Acab-CAA"/>
    <n v="10001434"/>
    <s v="DCA-02"/>
    <s v="DCA-02 - GALVANO/CRUZETA/MISCELANEA - MS"/>
    <s v="VALDEMIR MANOEL DA SILVA"/>
    <n v="10000080"/>
    <s v="EQUIPE"/>
    <s v="EQUIPE"/>
    <n v="10000002"/>
    <s v="DECA"/>
    <s v="DIR IND DECA (METAIS)"/>
    <m/>
    <m/>
    <m/>
    <m/>
    <m/>
    <m/>
    <d v="2020-01-10T00:00:00"/>
    <n v="0"/>
    <m/>
    <s v="31/08/1995"/>
    <x v="4"/>
    <m/>
    <s v="brasileira"/>
    <s v="SAO PAULO"/>
    <s v="SP"/>
    <s v="BR"/>
    <s v="Não"/>
    <s v="M"/>
    <s v="Não"/>
    <m/>
    <s v="Solt."/>
    <s v="Parda"/>
    <s v="Colegial in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s v="Abono S/Absenteísmo"/>
    <s v="N"/>
    <x v="32"/>
    <m/>
    <s v="19/03/2014"/>
    <s v="SP"/>
    <s v="432.754.028-54"/>
    <n v="59659"/>
    <n v="398"/>
    <s v="22/10/2013"/>
    <s v="SP"/>
    <n v="15387294129"/>
    <m/>
    <m/>
    <m/>
    <m/>
    <m/>
    <m/>
    <m/>
    <m/>
    <m/>
    <x v="32"/>
    <n v="327"/>
    <n v="576"/>
    <s v="31/03/2014"/>
    <s v="SP"/>
    <n v="40093220610"/>
    <m/>
    <m/>
    <m/>
    <s v="RUA HELDER FERNANDES GUIMARAES"/>
    <n v="1"/>
    <m/>
    <s v="VILA ZAT"/>
    <s v="SÃO PAULO"/>
    <s v="SP"/>
    <s v="02977-250"/>
    <m/>
    <n v="11949704967"/>
    <m/>
    <n v="341"/>
    <n v="1309"/>
    <x v="3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USTAVSA"/>
    <n v="1"/>
    <s v="Sim"/>
  </r>
  <r>
    <n v="102020"/>
    <x v="33"/>
    <s v="Ativo"/>
    <s v="AD"/>
    <n v="30046556"/>
    <s v="Colaborador–M.O.Var"/>
    <s v="Horista"/>
    <s v="1DX"/>
    <s v="Duratex S.A."/>
    <n v="6"/>
    <s v="FÁB METAIS SP"/>
    <n v="6"/>
    <s v="DECA"/>
    <s v="SIM"/>
    <s v="0006 - FÁB METAIS SP INDL"/>
    <s v="RICARDO SANTOS SOUZA"/>
    <s v="RICARDO"/>
    <n v="10001446"/>
    <s v="DPS-04"/>
    <s v="DPS-04 - CELULA DE BICAS/TORNEIRAS - MS"/>
    <s v="DXMS"/>
    <s v="DXCELUBT06"/>
    <s v="Cel. Bicas Torneiras"/>
    <n v="10001402"/>
    <s v="DPS-01"/>
    <s v="DPS-01 - MINIFAB DE PROD ESPECIAIS - MS"/>
    <s v="JOSE AUGUSTO DOS SANTOS RIBEIRO"/>
    <n v="10000059"/>
    <s v="SUPERVISOR"/>
    <s v="SUPERVISOR"/>
    <n v="10000002"/>
    <s v="DECA"/>
    <s v="DIR IND DECA (METAIS)"/>
    <m/>
    <m/>
    <m/>
    <m/>
    <m/>
    <m/>
    <d v="2020-01-10T00:00:00"/>
    <n v="0"/>
    <m/>
    <d v="1976-05-04T00:00:00"/>
    <x v="22"/>
    <m/>
    <s v="brasileira"/>
    <s v="ILHEUS"/>
    <s v="BA"/>
    <s v="BR"/>
    <s v="Não"/>
    <s v="M"/>
    <s v="Não"/>
    <m/>
    <s v="Casado"/>
    <s v="Parda"/>
    <s v="Colegial incompleto"/>
    <m/>
    <n v="22000271"/>
    <s v="220/H"/>
    <s v="AUX PRODUCAO"/>
    <n v="784205"/>
    <s v="Substituiç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m/>
    <s v="N"/>
    <x v="33"/>
    <m/>
    <d v="2010-03-09T00:00:00"/>
    <s v="SP"/>
    <s v="968.861.705-97"/>
    <n v="28510"/>
    <n v="57"/>
    <s v="24/06/2009"/>
    <s v="BA"/>
    <n v="20021663720"/>
    <m/>
    <m/>
    <m/>
    <m/>
    <m/>
    <m/>
    <m/>
    <m/>
    <m/>
    <x v="33"/>
    <n v="389"/>
    <n v="333"/>
    <s v="23/05/2019"/>
    <s v="SP"/>
    <n v="87927102"/>
    <m/>
    <m/>
    <m/>
    <s v="RUA  UNIAO"/>
    <n v="10"/>
    <m/>
    <s v="CONJUNTO HABITACIONAL RECANTO DOS HUMILD"/>
    <s v="SÃO PAULO"/>
    <s v="SP"/>
    <s v="05209-080"/>
    <m/>
    <m/>
    <m/>
    <n v="341"/>
    <n v="5834"/>
    <x v="3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ICASOUZ"/>
    <n v="1"/>
    <s v="Sim"/>
  </r>
  <r>
    <n v="102020"/>
    <x v="34"/>
    <s v="Ativo"/>
    <s v="AD"/>
    <n v="30046614"/>
    <s v="Colaborador–M.O.Fixa"/>
    <s v="Mensalista"/>
    <s v="1DX"/>
    <s v="Duratex S.A."/>
    <n v="1"/>
    <s v="ADM CENTRAL"/>
    <n v="1"/>
    <s v="CORPORATIVO"/>
    <s v="SIM"/>
    <s v="EC 0001 - 10º ANDAR"/>
    <s v="DOUGLAS DA CUNHA PALMEIRA"/>
    <s v="DOUGLAS"/>
    <n v="10007379"/>
    <s v="CGA-02"/>
    <s v="CGA-02 - GOVERNANCA E ARQUITETURA"/>
    <s v="DXEC"/>
    <s v="DXGOVPER01"/>
    <s v="Coord Governança"/>
    <n v="10008841"/>
    <s v="CGA-01"/>
    <s v="CGA-01 - GER GOVERNANÇA E ARQUITETURA"/>
    <s v="ANDERSON SAU CARRIO"/>
    <n v="10000080"/>
    <s v="EQUIPE"/>
    <s v="EQUIPE"/>
    <n v="10000025"/>
    <s v="CORPORATIVO"/>
    <s v="DIR TI E NEGOCIOS DIGITAIS"/>
    <m/>
    <m/>
    <m/>
    <m/>
    <m/>
    <m/>
    <d v="2020-05-10T00:00:00"/>
    <n v="0"/>
    <m/>
    <d v="1979-09-03T00:00:00"/>
    <x v="17"/>
    <m/>
    <s v="brasileira"/>
    <s v="PRESIDENTE VENCESLAU"/>
    <s v="SP"/>
    <s v="BR"/>
    <s v="Não"/>
    <s v="M"/>
    <s v="Não"/>
    <m/>
    <s v="Solt."/>
    <s v="Parda"/>
    <s v="Pós grad.completo"/>
    <s v="Visual"/>
    <n v="22003092"/>
    <s v="220/M"/>
    <s v="AUX ADMINISTRATIVO"/>
    <n v="411005"/>
    <s v="Admissão"/>
    <d v="2020-10-01T00:00:00"/>
    <s v="220,00"/>
    <m/>
    <s v="CGA-01"/>
    <s v="CTN-01"/>
    <s v="CSS-01"/>
    <m/>
    <s v="PRE-01"/>
    <s v="1.516,00"/>
    <s v="1.516,00"/>
    <s v="1.516,00"/>
    <s v="0,00"/>
    <s v="AV"/>
    <s v="ADM CENTRAL-220/M"/>
    <n v="14"/>
    <s v="GRS014OP"/>
    <d v="2020-10-01T00:00:00"/>
    <s v="Admissão"/>
    <s v="1.515,00"/>
    <s v="151500,00"/>
    <n v="1"/>
    <m/>
    <s v="N"/>
    <x v="34"/>
    <m/>
    <d v="2013-09-11T00:00:00"/>
    <s v="SP"/>
    <s v="325.669.578-78"/>
    <n v="33310"/>
    <n v="319"/>
    <s v="15/07/2005"/>
    <s v="SP"/>
    <n v="13398977811"/>
    <m/>
    <m/>
    <m/>
    <m/>
    <m/>
    <m/>
    <m/>
    <m/>
    <m/>
    <x v="34"/>
    <n v="4"/>
    <n v="448"/>
    <d v="2019-09-09T00:00:00"/>
    <s v="SP"/>
    <n v="140802226518"/>
    <m/>
    <m/>
    <m/>
    <s v="RUA CAJURU"/>
    <n v="877"/>
    <m/>
    <s v="BELENZINHO"/>
    <s v="SÃO PAULO"/>
    <s v="SP"/>
    <s v="03057-000"/>
    <m/>
    <n v="11956480690"/>
    <m/>
    <n v="341"/>
    <n v="6850"/>
    <x v="34"/>
    <m/>
    <m/>
    <m/>
    <s v="ADMINISTRATIVO"/>
    <s v="ADMINISTRATIVO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DOUGLAS.PALMEIRA@DURATEX.COM.BR"/>
    <m/>
    <s v="DPALMEIR"/>
    <n v="1"/>
    <s v="Sim"/>
  </r>
  <r>
    <n v="102020"/>
    <x v="35"/>
    <s v="Ativo"/>
    <s v="AD"/>
    <n v="30044720"/>
    <s v="Colaborador–M.O.Fixa"/>
    <s v="Mensalista"/>
    <s v="1DF"/>
    <s v="Duratex Florestal Ltda"/>
    <n v="27"/>
    <s v="FL UBERABA"/>
    <n v="27"/>
    <s v="MADEIRA"/>
    <s v="SIM"/>
    <s v="0027 - FL UBERABA"/>
    <s v="MARLON ROBERTO RIBEIRO"/>
    <s v="MARLON"/>
    <n v="10007991"/>
    <s v="MSU-02"/>
    <s v="MSU-02 - SILVICULTURA UBERABA - UB"/>
    <s v="DFUB"/>
    <s v="DFVEIPES92"/>
    <s v="Veículos Pesados"/>
    <n v="10007861"/>
    <s v="MSU-02"/>
    <s v="MSU-02 - SILVICULTURA UBERABA - UB"/>
    <s v="LENON AUGUSTO SIMON HULLER"/>
    <n v="10000080"/>
    <s v="EQUIPE"/>
    <s v="EQUIPE"/>
    <n v="10000004"/>
    <s v="MADEIRA"/>
    <s v="DIR OPER FLORESTAL"/>
    <m/>
    <m/>
    <m/>
    <m/>
    <m/>
    <m/>
    <d v="2020-05-10T00:00:00"/>
    <n v="0"/>
    <m/>
    <d v="1988-06-08T00:00:00"/>
    <x v="9"/>
    <m/>
    <s v="brasileira"/>
    <s v="MORRO AGUDO"/>
    <s v="SP"/>
    <s v="BR"/>
    <s v="Não"/>
    <s v="M"/>
    <s v="Não"/>
    <m/>
    <s v="Marita"/>
    <s v="Parda"/>
    <s v="Ginasial incompleto"/>
    <m/>
    <n v="22002458"/>
    <s v="220/M"/>
    <s v="MOTORISTA"/>
    <n v="782305"/>
    <s v="Admissão"/>
    <d v="2020-10-01T00:00:00"/>
    <s v="220,00"/>
    <s v="MFM-01"/>
    <s v="MPA-01"/>
    <s v="MFL-01"/>
    <s v="CSS-01"/>
    <s v="MDP-01"/>
    <s v="PRE-01"/>
    <s v="1.603,00"/>
    <s v="1.603,00"/>
    <s v="1.603,00"/>
    <s v="0,00"/>
    <s v="AP"/>
    <s v="FL UBERABA-220/M"/>
    <n v="15"/>
    <s v="GRS015OP"/>
    <d v="2020-10-01T00:00:00"/>
    <s v="Admissão"/>
    <s v="1.602,00"/>
    <s v="160200,00"/>
    <n v="1"/>
    <m/>
    <s v="N"/>
    <x v="35"/>
    <m/>
    <s v="24/06/2005"/>
    <s v="SP"/>
    <s v="373.313.418-47"/>
    <n v="59281"/>
    <n v="304"/>
    <s v="19/04/2005"/>
    <s v="SP"/>
    <n v="16353888687"/>
    <m/>
    <m/>
    <m/>
    <m/>
    <m/>
    <m/>
    <m/>
    <m/>
    <m/>
    <x v="35"/>
    <n v="60"/>
    <n v="146"/>
    <d v="2018-05-04T00:00:00"/>
    <s v="SP"/>
    <n v="50432036007"/>
    <m/>
    <m/>
    <m/>
    <s v="RUA ADO ASSUNCAO FERREIRA"/>
    <n v="118"/>
    <m/>
    <s v="JARDIM ESPANHA"/>
    <s v="UBERABA"/>
    <s v="MG"/>
    <s v="38051-639"/>
    <m/>
    <n v="34998958634"/>
    <m/>
    <n v="341"/>
    <n v="3035"/>
    <x v="35"/>
    <m/>
    <m/>
    <m/>
    <s v="ADMINISTRATIVO"/>
    <s v="OPERACOES"/>
    <s v="ADMINISTRATIVO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LRIBE"/>
    <n v="1"/>
    <s v="Sim"/>
  </r>
  <r>
    <n v="102020"/>
    <x v="36"/>
    <s v="Ativo"/>
    <s v="AD"/>
    <n v="30038447"/>
    <s v="Colaborador–M.O.Var"/>
    <s v="Mensalista"/>
    <s v="1DX"/>
    <s v="Duratex S.A."/>
    <n v="147"/>
    <s v="CD TUBARÃO"/>
    <n v="147"/>
    <s v="DECA"/>
    <s v="SIM"/>
    <s v="00147 - CD TUBARAO"/>
    <s v="FRANCIELI VIEIRA CONSTANTE"/>
    <s v="FRANCIELI"/>
    <n v="10007966"/>
    <s v="HPP-10"/>
    <s v="HPP-10 - SUSTENTABILIDADE - CDT"/>
    <s v="DXDH"/>
    <s v="DXRETRAB50"/>
    <s v="Retrabalho"/>
    <n v="10007965"/>
    <s v="HPP-03"/>
    <s v="HPP-03 - SUSTENTABILIDADE - CDT"/>
    <s v="JOSELITO DE OLIVEIRA NAZARIO"/>
    <n v="10000080"/>
    <s v="EQUIPE"/>
    <s v="EQUIPE"/>
    <n v="10000016"/>
    <s v="DECA"/>
    <s v="SUPORTE NEG DECA"/>
    <m/>
    <m/>
    <m/>
    <m/>
    <m/>
    <m/>
    <d v="2020-05-10T00:00:00"/>
    <n v="0"/>
    <m/>
    <d v="1995-06-10T00:00:00"/>
    <x v="4"/>
    <m/>
    <s v="brasileira"/>
    <s v="TUBARAO"/>
    <s v="SC"/>
    <s v="BR"/>
    <s v="Não"/>
    <s v="F"/>
    <s v="Não"/>
    <m/>
    <s v="Solt."/>
    <s v="Parda"/>
    <s v="Colegial completo"/>
    <m/>
    <n v="22002616"/>
    <s v="220/M"/>
    <s v="INSPETOR CLASSIFICACAO"/>
    <n v="391205"/>
    <s v="Admissão"/>
    <d v="2020-10-01T00:00:00"/>
    <s v="220,00"/>
    <m/>
    <s v="HDD-01"/>
    <s v="DDI-01"/>
    <s v="CSS-01"/>
    <s v="DDE-01"/>
    <s v="PRE-01"/>
    <s v="1.362,00"/>
    <s v="1.362,00"/>
    <s v="1.362,00"/>
    <s v="0,00"/>
    <s v="PV"/>
    <s v="CD TUBARAO - 220/M"/>
    <n v="16"/>
    <s v="GRS016OP"/>
    <d v="2020-10-01T00:00:00"/>
    <s v="Admissão"/>
    <s v="1.361,00"/>
    <s v="136100,00"/>
    <n v="1"/>
    <m/>
    <s v="N"/>
    <x v="36"/>
    <m/>
    <s v="17/10/2013"/>
    <s v="SC"/>
    <s v="096.765.789-08"/>
    <n v="6366737"/>
    <n v="30"/>
    <s v="15/03/2011"/>
    <s v="SC"/>
    <n v="16241582357"/>
    <m/>
    <m/>
    <m/>
    <m/>
    <m/>
    <m/>
    <m/>
    <m/>
    <m/>
    <x v="36"/>
    <n v="33"/>
    <n v="444"/>
    <d v="2017-06-12T00:00:00"/>
    <s v="SC"/>
    <m/>
    <m/>
    <m/>
    <m/>
    <s v="RUA PEDRO SOUZA LIMA"/>
    <n v="155"/>
    <m/>
    <s v="OFICINAS"/>
    <s v="TUBARÃO"/>
    <s v="SC"/>
    <s v="88702-090"/>
    <m/>
    <n v="48988090762"/>
    <m/>
    <n v="341"/>
    <n v="643"/>
    <x v="3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RCONSTA"/>
    <n v="1"/>
    <s v="Sim"/>
  </r>
  <r>
    <n v="102020"/>
    <x v="37"/>
    <s v="Ativo"/>
    <s v="AD"/>
    <n v="30038446"/>
    <s v="Colaborador–M.O.Fixa"/>
    <s v="Mensalista"/>
    <s v="1DX"/>
    <s v="Duratex S.A."/>
    <n v="147"/>
    <s v="CD TUBARÃO"/>
    <n v="147"/>
    <s v="DECA"/>
    <s v="SIM"/>
    <s v="00147 - CD TUBARAO"/>
    <s v="VINICIUS FIGUEIREDO PAZ"/>
    <s v="VINICIUS"/>
    <n v="10007966"/>
    <s v="HPP-10"/>
    <s v="HPP-10 - SUSTENTABILIDADE - CDT"/>
    <s v="DXDH"/>
    <s v="DXRETRAB50"/>
    <s v="Retrabalho"/>
    <n v="10007965"/>
    <s v="HPP-03"/>
    <s v="HPP-03 - SUSTENTABILIDADE - CDT"/>
    <s v="JOSELITO DE OLIVEIRA NAZARIO"/>
    <n v="10000080"/>
    <s v="EQUIPE"/>
    <s v="EQUIPE"/>
    <n v="10000016"/>
    <s v="DECA"/>
    <s v="SUPORTE NEG DECA"/>
    <m/>
    <m/>
    <m/>
    <m/>
    <m/>
    <m/>
    <d v="2020-05-10T00:00:00"/>
    <n v="0"/>
    <m/>
    <s v="14/02/1995"/>
    <x v="4"/>
    <m/>
    <s v="brasileira"/>
    <s v="SAO PAULO"/>
    <s v="SP"/>
    <s v="BR"/>
    <s v="Não"/>
    <s v="M"/>
    <s v="Não"/>
    <m/>
    <s v="Solt."/>
    <s v="Branca"/>
    <s v="Colegial completo"/>
    <m/>
    <n v="22002616"/>
    <s v="220/M"/>
    <s v="INSPETOR CLASSIFICACAO"/>
    <n v="391205"/>
    <s v="Admissão"/>
    <d v="2020-10-01T00:00:00"/>
    <s v="220,00"/>
    <m/>
    <s v="HDD-01"/>
    <s v="DDI-01"/>
    <s v="CSS-01"/>
    <s v="DDE-01"/>
    <s v="PRE-01"/>
    <s v="1.362,00"/>
    <s v="1.362,00"/>
    <s v="1.362,00"/>
    <s v="0,00"/>
    <s v="PV"/>
    <s v="CD TUBARAO - 220/M"/>
    <n v="16"/>
    <s v="GRS016OP"/>
    <d v="2020-10-01T00:00:00"/>
    <s v="Admissão"/>
    <s v="1.361,00"/>
    <s v="136100,00"/>
    <n v="1"/>
    <m/>
    <s v="N"/>
    <x v="37"/>
    <m/>
    <s v="14/12/2017"/>
    <s v="SC"/>
    <s v="097.177.089-16"/>
    <n v="8245588"/>
    <n v="50"/>
    <d v="2017-08-12T00:00:00"/>
    <s v="SC"/>
    <n v="20959979047"/>
    <m/>
    <m/>
    <m/>
    <m/>
    <m/>
    <m/>
    <m/>
    <m/>
    <m/>
    <x v="37"/>
    <n v="79"/>
    <n v="454"/>
    <d v="2011-01-06T00:00:00"/>
    <s v="SC"/>
    <n v="161742161615"/>
    <m/>
    <m/>
    <m/>
    <s v="SITIO ESTRADA GERAL SERTAO DA ESTIVA"/>
    <n v="1"/>
    <m/>
    <s v="SERTAO DA ESTIVA"/>
    <s v="PESCARIA BRAVA"/>
    <s v="SC"/>
    <s v="88790-000"/>
    <m/>
    <n v="48998147712"/>
    <m/>
    <n v="341"/>
    <n v="643"/>
    <x v="3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PAZ"/>
    <n v="1"/>
    <s v="Sim"/>
  </r>
  <r>
    <n v="102020"/>
    <x v="38"/>
    <s v="Ativo"/>
    <s v="AD"/>
    <n v="30047061"/>
    <s v="Colaborador–M.O.Var"/>
    <s v="Horista"/>
    <s v="1DX"/>
    <s v="Duratex S.A."/>
    <n v="8"/>
    <s v="FÁB METAIS JACAREÍ"/>
    <n v="8"/>
    <s v="DECA"/>
    <s v="SIM"/>
    <s v="0008 - FÁB METAIS JACAREÍ"/>
    <s v="JULIO CELIO JACINTO"/>
    <s v="JULIO"/>
    <n v="10002081"/>
    <s v="DGF-04"/>
    <s v="DGF-04 - FABR DE REGISTROS BRUTOS - MJ"/>
    <s v="DXMJ"/>
    <s v="DXREGBRU41"/>
    <s v="Prod. Reg. Brutos"/>
    <n v="10002697"/>
    <s v="DGF-03"/>
    <s v="DGF-03 - FABR VALVULAS E MONTADORA - MJ"/>
    <s v="MIZAEL GONCALVES VIALI"/>
    <n v="10000080"/>
    <s v="EQUIPE"/>
    <s v="EQUIPE"/>
    <n v="10000002"/>
    <s v="DECA"/>
    <s v="DIR IND DECA (METAIS)"/>
    <m/>
    <m/>
    <m/>
    <m/>
    <m/>
    <m/>
    <d v="2020-05-10T00:00:00"/>
    <n v="0"/>
    <m/>
    <d v="1970-07-03T00:00:00"/>
    <x v="23"/>
    <m/>
    <s v="brasileira"/>
    <s v="JACAREI"/>
    <s v="SP"/>
    <s v="BR"/>
    <s v="Não"/>
    <s v="M"/>
    <s v="Não"/>
    <m/>
    <s v="Casado"/>
    <s v="Parda"/>
    <s v="Colegial completo"/>
    <m/>
    <n v="22000417"/>
    <s v="220/H"/>
    <s v="OPER PRODUCAO C"/>
    <n v="862150"/>
    <s v="Admissão"/>
    <d v="2020-10-01T00:00:00"/>
    <s v="220,00"/>
    <m/>
    <s v="DSP-01"/>
    <s v="DDI-01"/>
    <s v="CSS-01"/>
    <s v="DDE-01"/>
    <s v="PRE-01"/>
    <s v="1.874,40"/>
    <s v="8,52"/>
    <s v="1.874,40"/>
    <s v="0,00"/>
    <s v="CD"/>
    <s v="METAIS JACAREÍ-220/H"/>
    <n v="16"/>
    <s v="GRS016OP"/>
    <d v="2020-10-01T00:00:00"/>
    <s v="Admissão"/>
    <s v="1.873,40"/>
    <s v="187340,00"/>
    <n v="1"/>
    <m/>
    <s v="N"/>
    <x v="38"/>
    <m/>
    <s v="24/09/1985"/>
    <s v="SP"/>
    <s v="093.529.398-16"/>
    <n v="40750"/>
    <n v="59"/>
    <s v="20/11/2001"/>
    <s v="SP"/>
    <n v="12239979897"/>
    <m/>
    <m/>
    <m/>
    <m/>
    <m/>
    <m/>
    <m/>
    <m/>
    <m/>
    <x v="38"/>
    <n v="396"/>
    <n v="261"/>
    <d v="2019-06-12T00:00:00"/>
    <s v="SP"/>
    <m/>
    <m/>
    <m/>
    <m/>
    <s v="RUA ANGELA APARECIDA RAMOS"/>
    <n v="31"/>
    <m/>
    <s v="JARDIM SANTA MARINA"/>
    <s v="JACAREÍ"/>
    <s v="SP"/>
    <s v="12312-420"/>
    <m/>
    <n v="12988260395"/>
    <m/>
    <n v="341"/>
    <n v="6418"/>
    <x v="3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UJACINT"/>
    <n v="1"/>
    <s v="Sim"/>
  </r>
  <r>
    <n v="102020"/>
    <x v="39"/>
    <s v="Ativo"/>
    <s v="AD"/>
    <n v="30047062"/>
    <s v="Colaborador–M.O.Var"/>
    <s v="Horista"/>
    <s v="1DX"/>
    <s v="Duratex S.A."/>
    <n v="8"/>
    <s v="FÁB METAIS JACAREÍ"/>
    <n v="8"/>
    <s v="DECA"/>
    <s v="SIM"/>
    <s v="0008 - FÁB METAIS JACAREÍ"/>
    <s v="CAIO HENRIQUE DE OLIVEIRA BRUNO"/>
    <s v="CAIO"/>
    <n v="10002081"/>
    <s v="DGF-04"/>
    <s v="DGF-04 - FABR DE REGISTROS BRUTOS - MJ"/>
    <s v="DXMJ"/>
    <s v="DXREGBRU41"/>
    <s v="Prod. Reg. Brutos"/>
    <n v="10002697"/>
    <s v="DGF-03"/>
    <s v="DGF-03 - FABR VALVULAS E MONTADORA - MJ"/>
    <s v="MIZAEL GONCALVES VIALI"/>
    <n v="10000080"/>
    <s v="EQUIPE"/>
    <s v="EQUIPE"/>
    <n v="10000002"/>
    <s v="DECA"/>
    <s v="DIR IND DECA (METAIS)"/>
    <m/>
    <m/>
    <m/>
    <m/>
    <m/>
    <m/>
    <d v="2020-05-10T00:00:00"/>
    <n v="0"/>
    <m/>
    <d v="2001-07-04T00:00:00"/>
    <x v="24"/>
    <m/>
    <s v="brasileira"/>
    <s v="JACAREI"/>
    <s v="SP"/>
    <s v="BR"/>
    <s v="Não"/>
    <s v="M"/>
    <s v="Não"/>
    <m/>
    <s v="Solt."/>
    <s v="Branca"/>
    <s v="Colegial completo"/>
    <m/>
    <n v="22000271"/>
    <s v="220/H"/>
    <s v="AUX PRODUCAO"/>
    <n v="784205"/>
    <s v="Admissão"/>
    <d v="2020-10-01T00:00:00"/>
    <s v="220,00"/>
    <m/>
    <s v="DSP-01"/>
    <s v="DDI-01"/>
    <s v="CSS-01"/>
    <s v="DDE-01"/>
    <s v="PRE-01"/>
    <s v="1.674,20"/>
    <s v="7,61"/>
    <s v="1.674,20"/>
    <s v="0,00"/>
    <s v="CD"/>
    <s v="METAIS JACAREÍ-220/H"/>
    <n v="13"/>
    <s v="GRS013OP"/>
    <d v="2020-10-01T00:00:00"/>
    <s v="Admissão"/>
    <s v="1.673,20"/>
    <s v="167320,00"/>
    <n v="1"/>
    <m/>
    <s v="N"/>
    <x v="39"/>
    <m/>
    <s v="25/06/2019"/>
    <s v="SP"/>
    <s v="457.051.548-79"/>
    <n v="15743"/>
    <n v="440"/>
    <d v="2016-11-07T00:00:00"/>
    <s v="SP"/>
    <n v="21293700802"/>
    <m/>
    <m/>
    <m/>
    <m/>
    <m/>
    <m/>
    <m/>
    <m/>
    <m/>
    <x v="39"/>
    <n v="62"/>
    <n v="301"/>
    <s v="25/01/2019"/>
    <s v="SP"/>
    <n v="320002757979"/>
    <m/>
    <m/>
    <m/>
    <s v="RUA ANNE M ANDREW"/>
    <n v="162"/>
    <m/>
    <s v="JARDIM EMILIA"/>
    <s v="JACAREÍ"/>
    <s v="SP"/>
    <s v="12321-360"/>
    <m/>
    <n v="12997869571"/>
    <m/>
    <n v="341"/>
    <n v="240"/>
    <x v="3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ABRUNO"/>
    <n v="1"/>
    <s v="Sim"/>
  </r>
  <r>
    <n v="102020"/>
    <x v="40"/>
    <s v="Ativo"/>
    <s v="AD"/>
    <n v="30046616"/>
    <s v="Colaborador–M.O.Fixa"/>
    <s v="Mensalista"/>
    <s v="1DX"/>
    <s v="Duratex S.A."/>
    <n v="1"/>
    <s v="ADM CENTRAL"/>
    <n v="1"/>
    <s v="CORPORATIVO"/>
    <s v="SIM"/>
    <s v="0009 - FÁB LOUÇAS JUNDIAÍ I"/>
    <s v="BEATRIZ DE FRANCA"/>
    <s v="BEATRIZ"/>
    <n v="10006879"/>
    <s v="CRE-01"/>
    <s v="CRE-01 - RECEBIMENTOS - EC"/>
    <s v="DXEC"/>
    <s v="DXRECEBE01"/>
    <s v="Recebimentos - EC"/>
    <n v="10005389"/>
    <s v="CPF-01"/>
    <s v="CPF-01 - GER SERVICOS COMPARTILHADOS"/>
    <s v="MARCOS CARVALHO DE FREITAS"/>
    <n v="10000050"/>
    <s v="COORDENADOR"/>
    <s v="COORDENADOR"/>
    <n v="10000009"/>
    <s v="CORPORATIVO"/>
    <s v="DIR FINANC, RI E SERV CORP"/>
    <m/>
    <m/>
    <m/>
    <m/>
    <m/>
    <m/>
    <d v="2020-05-10T00:00:00"/>
    <n v="0"/>
    <m/>
    <s v="21/06/1999"/>
    <x v="13"/>
    <m/>
    <s v="brasileira"/>
    <s v="SAO PAULO"/>
    <s v="SP"/>
    <s v="BR"/>
    <s v="Não"/>
    <s v="F"/>
    <s v="Não"/>
    <m/>
    <s v="Solt."/>
    <s v="Branca"/>
    <s v="Superior completo"/>
    <m/>
    <n v="22000802"/>
    <s v="220/M"/>
    <s v="ASSIST ADMINISTRATIVO"/>
    <n v="411010"/>
    <s v="Admissão"/>
    <d v="2020-10-01T00:00:00"/>
    <s v="220,00"/>
    <m/>
    <s v="CPF-01"/>
    <m/>
    <s v="CSS-01"/>
    <s v="CFR-01"/>
    <s v="PRE-01"/>
    <s v="2.016,00"/>
    <s v="2.016,00"/>
    <s v="2.016,00"/>
    <s v="0,00"/>
    <s v="AV"/>
    <s v="ADM CENTRAL-220/M"/>
    <n v="16"/>
    <s v="GRS016OP"/>
    <d v="2020-10-01T00:00:00"/>
    <s v="Admissão"/>
    <s v="2.015,00"/>
    <s v="201500,00"/>
    <n v="1"/>
    <m/>
    <s v="N"/>
    <x v="40"/>
    <m/>
    <s v="21/01/2020"/>
    <s v="SP"/>
    <s v="474.711.218-90"/>
    <n v="67763"/>
    <n v="419"/>
    <s v="29/07/2014"/>
    <s v="SP"/>
    <n v="21294393830"/>
    <m/>
    <m/>
    <m/>
    <m/>
    <m/>
    <m/>
    <m/>
    <m/>
    <m/>
    <x v="40"/>
    <n v="65"/>
    <n v="556"/>
    <s v="22/06/2017"/>
    <s v="SP"/>
    <m/>
    <m/>
    <m/>
    <m/>
    <s v="RUA PROFESSOR JOSE FLAVIO MARTINS BONILHA"/>
    <n v="39"/>
    <m/>
    <s v="RESIDENCIAL SANTA GIOVANA"/>
    <s v="JUNDIAÍ"/>
    <s v="SP"/>
    <s v="13212-806"/>
    <m/>
    <n v="11968659174"/>
    <m/>
    <n v="341"/>
    <n v="2866"/>
    <x v="40"/>
    <m/>
    <m/>
    <m/>
    <s v="ADMINISTRATIVO"/>
    <s v="ADMINISTRATIVO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BEATRIZ.FRANCA@DURATEX.COM.BR"/>
    <m/>
    <s v="BEFRANCA"/>
    <n v="1"/>
    <s v="Sim"/>
  </r>
  <r>
    <n v="102020"/>
    <x v="41"/>
    <s v="Ativo"/>
    <s v="AD"/>
    <n v="30046617"/>
    <s v="Colaborador–M.O.Fixa"/>
    <s v="Mensalista"/>
    <s v="1DX"/>
    <s v="Duratex S.A."/>
    <n v="1"/>
    <s v="ADM CENTRAL"/>
    <n v="1"/>
    <s v="CORPORATIVO"/>
    <s v="SIM"/>
    <s v="0009 - FÁB LOUÇAS JUNDIAÍ I"/>
    <s v="ALINE CARLA DA SILVA RIBEIRO"/>
    <s v="ALINE"/>
    <n v="10006879"/>
    <s v="CRE-01"/>
    <s v="CRE-01 - RECEBIMENTOS - EC"/>
    <s v="DXEC"/>
    <s v="DXRECEBE01"/>
    <s v="Recebimentos - EC"/>
    <n v="10005389"/>
    <s v="CPF-01"/>
    <s v="CPF-01 - GER SERVICOS COMPARTILHADOS"/>
    <s v="MARCOS CARVALHO DE FREITAS"/>
    <n v="10000050"/>
    <s v="COORDENADOR"/>
    <s v="COORDENADOR"/>
    <n v="10000009"/>
    <s v="CORPORATIVO"/>
    <s v="DIR FINANC, RI E SERV CORP"/>
    <m/>
    <m/>
    <m/>
    <m/>
    <m/>
    <m/>
    <d v="2020-05-10T00:00:00"/>
    <n v="0"/>
    <m/>
    <d v="1994-04-10T00:00:00"/>
    <x v="2"/>
    <m/>
    <s v="brasileira"/>
    <s v="JUNDIAI"/>
    <s v="SP"/>
    <s v="BR"/>
    <s v="Não"/>
    <s v="F"/>
    <s v="Não"/>
    <m/>
    <s v="Solt."/>
    <s v="Branca"/>
    <s v="Superior incompleto"/>
    <m/>
    <n v="22000802"/>
    <s v="220/M"/>
    <s v="ASSIST ADMINISTRATIVO"/>
    <n v="411010"/>
    <s v="Admissão"/>
    <d v="2020-10-01T00:00:00"/>
    <s v="220,00"/>
    <m/>
    <s v="CPF-01"/>
    <m/>
    <s v="CSS-01"/>
    <s v="CFR-01"/>
    <s v="PRE-01"/>
    <s v="2.016,00"/>
    <s v="2.016,00"/>
    <s v="2.016,00"/>
    <s v="0,00"/>
    <s v="AV"/>
    <s v="ADM CENTRAL-220/M"/>
    <n v="16"/>
    <s v="GRS016OP"/>
    <d v="2020-10-01T00:00:00"/>
    <s v="Admissão"/>
    <s v="2.015,00"/>
    <s v="201500,00"/>
    <n v="1"/>
    <m/>
    <s v="N"/>
    <x v="41"/>
    <m/>
    <s v="20/12/2013"/>
    <s v="SP"/>
    <s v="423.570.548-24"/>
    <n v="39984"/>
    <n v="351"/>
    <d v="2009-07-10T00:00:00"/>
    <s v="SP"/>
    <n v="21074413417"/>
    <m/>
    <m/>
    <m/>
    <m/>
    <m/>
    <m/>
    <m/>
    <m/>
    <m/>
    <x v="41"/>
    <n v="242"/>
    <n v="69"/>
    <d v="2017-03-11T00:00:00"/>
    <s v="SP"/>
    <m/>
    <m/>
    <m/>
    <m/>
    <s v="TRAVESSA JUPITER"/>
    <n v="205"/>
    <m/>
    <s v="NUCLEO RESIDENCIAL SATELITE"/>
    <s v="VÁRZEA PAULISTA"/>
    <s v="SP"/>
    <s v="13224-232"/>
    <m/>
    <n v="11944630134"/>
    <m/>
    <n v="341"/>
    <n v="9895"/>
    <x v="41"/>
    <m/>
    <m/>
    <m/>
    <s v="ADMINISTRATIVO"/>
    <s v="ADMINISTRATIVO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ALINE.RIBEIRO@DURATEX.COM.BR"/>
    <m/>
    <s v="ALIRIBEI"/>
    <n v="1"/>
    <s v="Sim"/>
  </r>
  <r>
    <n v="102020"/>
    <x v="42"/>
    <s v="Ativo"/>
    <s v="AD"/>
    <n v="30004657"/>
    <s v="Colaborador–M.O.Fixa"/>
    <s v="Mensalista"/>
    <s v="1DX"/>
    <s v="Duratex S.A."/>
    <n v="1"/>
    <s v="ADM CENTRAL"/>
    <n v="1"/>
    <s v="CORPORATIVO"/>
    <s v="NAO"/>
    <s v="EC 0001 - 6º ANDAR"/>
    <s v="ADRIANA DE JESUS SILVA"/>
    <s v="ADRIANA"/>
    <n v="10001751"/>
    <s v="CLB-02"/>
    <s v="CLB-02 - OPERACOES CONTABEIS - EC"/>
    <s v="DXEC"/>
    <s v="DXCONTAB01"/>
    <s v="Contabilidade"/>
    <n v="10007335"/>
    <s v="CLB-01"/>
    <s v="CLB-01 - CONTABILIDADE - EC"/>
    <s v="ANTONIO DANTAS DO NASCIMENTO JUNIOR"/>
    <n v="10000080"/>
    <s v="EQUIPE"/>
    <s v="EQUIPE"/>
    <n v="10000009"/>
    <s v="CORPORATIVO"/>
    <s v="DIR FINANC, RI E SERV CORP"/>
    <m/>
    <m/>
    <m/>
    <m/>
    <m/>
    <m/>
    <d v="2020-05-10T00:00:00"/>
    <n v="0"/>
    <m/>
    <s v="28/03/1995"/>
    <x v="4"/>
    <m/>
    <s v="brasileira"/>
    <s v="SAO PAULO"/>
    <s v="SP"/>
    <s v="BR"/>
    <s v="Não"/>
    <s v="F"/>
    <s v="Não"/>
    <m/>
    <s v="Solt."/>
    <s v="Parda"/>
    <s v="Superior completo"/>
    <m/>
    <n v="22000670"/>
    <s v="220/M"/>
    <s v="AN CONTABILIDADE JR"/>
    <n v="252210"/>
    <s v="Admissão"/>
    <d v="2020-10-01T00:00:00"/>
    <s v="220,00"/>
    <s v="CCT-01"/>
    <s v="COC-01"/>
    <m/>
    <s v="CSS-01"/>
    <s v="CFR-01"/>
    <s v="PRE-01"/>
    <s v="3.000,00"/>
    <s v="3.000,00"/>
    <s v="3.000,00"/>
    <s v="0,00"/>
    <s v="AV"/>
    <s v="ADM CENTRAL-220/M"/>
    <n v="19"/>
    <s v="GRS019PR"/>
    <d v="2020-10-01T00:00:00"/>
    <s v="Admissão"/>
    <s v="2.999,00"/>
    <s v="299900,00"/>
    <n v="1"/>
    <m/>
    <s v="N"/>
    <x v="42"/>
    <m/>
    <d v="2011-06-07T00:00:00"/>
    <s v="SP"/>
    <s v="443.885.508-09"/>
    <n v="40564"/>
    <n v="383"/>
    <s v="26/06/2017"/>
    <s v="SP"/>
    <n v="20425407165"/>
    <m/>
    <m/>
    <m/>
    <m/>
    <m/>
    <m/>
    <m/>
    <m/>
    <m/>
    <x v="42"/>
    <n v="372"/>
    <n v="586"/>
    <s v="16/07/2011"/>
    <s v="SP"/>
    <m/>
    <m/>
    <m/>
    <m/>
    <s v="RUA PASSAROS DOS"/>
    <n v="6"/>
    <m/>
    <s v="JARDIM NOVO JAU"/>
    <s v="SÃO PAULO"/>
    <s v="SP"/>
    <s v="04852-511"/>
    <m/>
    <n v="11944876922"/>
    <m/>
    <n v="341"/>
    <n v="735"/>
    <x v="42"/>
    <m/>
    <m/>
    <m/>
    <s v="SUPERIOR"/>
    <s v="FINANCA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ADRIANA.SILVA@DURATEX.COM.BR"/>
    <m/>
    <s v="ADRIJESU"/>
    <n v="1"/>
    <s v="Sim"/>
  </r>
  <r>
    <n v="102020"/>
    <x v="43"/>
    <s v="Ativo"/>
    <s v="AD"/>
    <n v="30036569"/>
    <s v="Colaborador–M.O.Var"/>
    <s v="Mensalista"/>
    <s v="1HY"/>
    <s v="HYDRA CORONA SIST.AQ.LTD."/>
    <n v="32"/>
    <s v="HYDRA ARACAJU"/>
    <n v="32"/>
    <s v="CORONA"/>
    <s v="SIM"/>
    <s v="0032 – FÁB. HYDRA ARACAJU"/>
    <s v="ARQUIBALDO DOS SANTOS"/>
    <s v="ARQUIBALDO"/>
    <n v="10007347"/>
    <s v="HPA-05"/>
    <s v="HPA-05 - INJECAO - HA"/>
    <s v="HYAR"/>
    <s v="HYINJECA04"/>
    <s v="Injeção"/>
    <n v="10004053"/>
    <s v="HPA-02"/>
    <s v="HPA-02 - METALIZACAO - HA"/>
    <s v="FABIO MAGNO MATTOS SANTOS"/>
    <n v="10000080"/>
    <s v="EQUIPE"/>
    <s v="EQUIPE"/>
    <n v="10000019"/>
    <s v="HYDRA"/>
    <s v="DIR IND HYDRA"/>
    <m/>
    <m/>
    <m/>
    <m/>
    <m/>
    <m/>
    <d v="2020-05-10T00:00:00"/>
    <n v="0"/>
    <m/>
    <d v="1980-08-05T00:00:00"/>
    <x v="8"/>
    <m/>
    <s v="brasileira"/>
    <s v="RIACHUELO"/>
    <s v="SE"/>
    <s v="BR"/>
    <s v="Não"/>
    <s v="M"/>
    <s v="Não"/>
    <m/>
    <s v="Divor."/>
    <s v="Parda"/>
    <s v="Colegial completo"/>
    <s v="Visual"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43"/>
    <m/>
    <s v="22/11/2016"/>
    <s v="SE"/>
    <s v="006.128.305-35"/>
    <n v="1992611"/>
    <n v="30"/>
    <s v="19/02/2009"/>
    <s v="SE"/>
    <n v="12713409766"/>
    <m/>
    <m/>
    <m/>
    <m/>
    <m/>
    <m/>
    <m/>
    <m/>
    <m/>
    <x v="43"/>
    <n v="20"/>
    <n v="44"/>
    <s v="21/11/2016"/>
    <s v="SE"/>
    <n v="759421"/>
    <m/>
    <m/>
    <m/>
    <s v="RUA  2 LOT TERRA NOVA  BLO 03 AP 006 COMPLEXO  TAICOCA"/>
    <n v="571"/>
    <m/>
    <s v="MARCOS FREIRE 2"/>
    <s v="NOSSA SENHORA DO SOCORRO"/>
    <s v="SE"/>
    <s v="49160-000"/>
    <m/>
    <n v="79988447008"/>
    <m/>
    <n v="341"/>
    <n v="7811"/>
    <x v="4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RQSANTO"/>
    <n v="1"/>
    <s v="Sim"/>
  </r>
  <r>
    <n v="102020"/>
    <x v="44"/>
    <s v="Ativo"/>
    <s v="AD"/>
    <n v="30044660"/>
    <s v="Colaborador–M.O.Var"/>
    <s v="Mensalista"/>
    <s v="1HY"/>
    <s v="HYDRA CORONA SIST.AQ.LTD."/>
    <n v="32"/>
    <s v="HYDRA ARACAJU"/>
    <n v="32"/>
    <s v="CORONA"/>
    <s v="SIM"/>
    <s v="0032 – FÁB. HYDRA ARACAJU"/>
    <s v="JOSE EDUARDO OLIVEIRA DA CRUZ"/>
    <s v="JOSE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d v="2020-05-10T00:00:00"/>
    <n v="0"/>
    <m/>
    <d v="1993-10-06T00:00:00"/>
    <x v="16"/>
    <m/>
    <s v="brasileira"/>
    <s v="ARACAJU"/>
    <s v="SE"/>
    <s v="BR"/>
    <s v="Não"/>
    <s v="M"/>
    <s v="Não"/>
    <m/>
    <s v="Solt."/>
    <s v="Negra"/>
    <s v="Primário incompleto"/>
    <s v="Auditiva"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44"/>
    <m/>
    <d v="2017-09-05T00:00:00"/>
    <s v="SE"/>
    <s v="044.625.525-47"/>
    <n v="6990521"/>
    <n v="50"/>
    <d v="2017-11-05T00:00:00"/>
    <s v="SE"/>
    <n v="16709163106"/>
    <m/>
    <m/>
    <m/>
    <m/>
    <m/>
    <m/>
    <m/>
    <m/>
    <m/>
    <x v="44"/>
    <n v="36"/>
    <n v="220"/>
    <s v="23/09/2011"/>
    <s v="SE"/>
    <n v="190652219588"/>
    <m/>
    <m/>
    <m/>
    <s v="RUA 19"/>
    <n v="25"/>
    <m/>
    <s v="ROSA ELZE"/>
    <s v="SAO CRISTOVAO"/>
    <s v="SE"/>
    <s v="49100-000"/>
    <m/>
    <n v="11943592851"/>
    <m/>
    <n v="341"/>
    <n v="297"/>
    <x v="4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SCRUZ"/>
    <n v="1"/>
    <s v="Sim"/>
  </r>
  <r>
    <n v="102020"/>
    <x v="45"/>
    <s v="Ativo"/>
    <s v="AD"/>
    <n v="30042467"/>
    <s v="Colaborador–M.O.Var"/>
    <s v="Mensalista"/>
    <s v="1HY"/>
    <s v="HYDRA CORONA SIST.AQ.LTD."/>
    <n v="32"/>
    <s v="HYDRA ARACAJU"/>
    <n v="32"/>
    <s v="CORONA"/>
    <s v="SIM"/>
    <s v="0032 – FÁB. HYDRA ARACAJU"/>
    <s v="JOSE HEJILES DOS SANTOS"/>
    <s v="JOSE"/>
    <n v="10004927"/>
    <s v="HPA-04"/>
    <s v="HPA-04 - LINHAS MONTADORAS - HA"/>
    <s v="HYAR"/>
    <s v="HYMONTAD04"/>
    <s v="Linhas Montadoras"/>
    <n v="10008087"/>
    <s v="HPA-01"/>
    <s v="HPA-01 - PRODUCAO - HA"/>
    <s v="BRUNO OLIVEIRA FUGANTI"/>
    <n v="10000059"/>
    <s v="SUPERVISOR"/>
    <s v="SUPERVISOR"/>
    <n v="10000019"/>
    <s v="HYDRA"/>
    <s v="DIR IND HYDRA"/>
    <m/>
    <m/>
    <m/>
    <m/>
    <m/>
    <m/>
    <d v="2020-05-10T00:00:00"/>
    <n v="0"/>
    <m/>
    <d v="1987-02-05T00:00:00"/>
    <x v="0"/>
    <m/>
    <s v="brasileira"/>
    <s v="ARACAJU"/>
    <s v="SE"/>
    <s v="BR"/>
    <s v="Não"/>
    <s v="M"/>
    <s v="Não"/>
    <m/>
    <s v="Solt."/>
    <s v="Negra"/>
    <s v="Primário incompleto"/>
    <s v="Auditiva"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45"/>
    <m/>
    <d v="1987-02-05T00:00:00"/>
    <s v="SE"/>
    <s v="026.827.775-38"/>
    <n v="7528301"/>
    <n v="10"/>
    <s v="25/11/2005"/>
    <s v="SE"/>
    <n v="12900092762"/>
    <m/>
    <m/>
    <m/>
    <m/>
    <m/>
    <m/>
    <m/>
    <m/>
    <m/>
    <x v="45"/>
    <n v="1"/>
    <n v="251"/>
    <d v="1987-02-05T00:00:00"/>
    <s v="SE"/>
    <n v="190033460493"/>
    <m/>
    <m/>
    <m/>
    <s v="RUA PUREZA BOMFIM"/>
    <n v="456"/>
    <m/>
    <s v="SANTOS DUMONT"/>
    <s v="ARACAJU"/>
    <s v="SE"/>
    <s v="49087-500"/>
    <m/>
    <n v="11943592851"/>
    <m/>
    <n v="341"/>
    <n v="9295"/>
    <x v="4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HEJILES"/>
    <n v="1"/>
    <s v="Sim"/>
  </r>
  <r>
    <n v="102020"/>
    <x v="46"/>
    <s v="Ativo"/>
    <s v="AD"/>
    <n v="30047204"/>
    <s v="Colaborador–M.O.Var"/>
    <s v="Mensalista"/>
    <s v="1HY"/>
    <s v="HYDRA CORONA SIST.AQ.LTD."/>
    <n v="32"/>
    <s v="HYDRA ARACAJU"/>
    <n v="32"/>
    <s v="CORONA"/>
    <s v="SIM"/>
    <s v="0032 – FÁB. HYDRA ARACAJU"/>
    <s v="LUCIANA FRANCA AZEVEDO"/>
    <s v="LUCIANA"/>
    <n v="10004074"/>
    <s v="HPA-14"/>
    <s v="HPA-14 - LINHAS MONTADORAS - HA"/>
    <s v="HYAR"/>
    <s v="HYMONTAD04"/>
    <s v="Linhas Montadoras"/>
    <n v="10008087"/>
    <s v="HPA-01"/>
    <s v="HPA-01 - PRODUCAO - HA"/>
    <s v="JENILTON MATIAS DOS SANTOS"/>
    <n v="10000080"/>
    <s v="EQUIPE"/>
    <s v="EQUIPE"/>
    <n v="10000019"/>
    <s v="HYDRA"/>
    <s v="DIR IND HYDRA"/>
    <m/>
    <m/>
    <m/>
    <m/>
    <m/>
    <m/>
    <d v="2020-05-10T00:00:00"/>
    <n v="0"/>
    <m/>
    <d v="1986-08-10T00:00:00"/>
    <x v="3"/>
    <m/>
    <s v="brasileira"/>
    <s v="ARACAJU"/>
    <s v="SE"/>
    <s v="BR"/>
    <s v="Não"/>
    <s v="F"/>
    <s v="Não"/>
    <m/>
    <s v="Solt."/>
    <s v="Parda"/>
    <s v="Colegial completo"/>
    <s v="Física"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46"/>
    <m/>
    <d v="2012-02-02T00:00:00"/>
    <s v="SE"/>
    <s v="023.959.615-31"/>
    <n v="4732346"/>
    <n v="10"/>
    <s v="13/11/2003"/>
    <s v="SE"/>
    <n v="16384968968"/>
    <m/>
    <m/>
    <m/>
    <m/>
    <m/>
    <m/>
    <m/>
    <m/>
    <m/>
    <x v="46"/>
    <n v="2"/>
    <n v="137"/>
    <s v="19/11/2011"/>
    <s v="SE"/>
    <m/>
    <m/>
    <m/>
    <m/>
    <s v="RUA HONDURAS"/>
    <n v="439"/>
    <m/>
    <s v="AMERICA"/>
    <s v="ARACAJU"/>
    <s v="SE"/>
    <s v="49080-320"/>
    <m/>
    <n v="79988478451"/>
    <m/>
    <n v="341"/>
    <n v="5634"/>
    <x v="4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UCAZEVE"/>
    <n v="1"/>
    <s v="Sim"/>
  </r>
  <r>
    <n v="102020"/>
    <x v="47"/>
    <s v="Ativo"/>
    <s v="AD"/>
    <n v="30047166"/>
    <s v="Colaborador–M.O.Var"/>
    <s v="Mensalista"/>
    <s v="1HY"/>
    <s v="HYDRA CORONA SIST.AQ.LTD."/>
    <n v="32"/>
    <s v="HYDRA ARACAJU"/>
    <n v="32"/>
    <s v="CORONA"/>
    <s v="SIM"/>
    <s v="0032 – FÁB. HYDRA ARACAJU"/>
    <s v="MARCIO ANDREY CALDAS ANDRADE"/>
    <s v="MARCIO"/>
    <n v="10004049"/>
    <s v="HPA-08"/>
    <s v="HPA-08 - LINHAS MONTADORAS - HA"/>
    <s v="HYAR"/>
    <s v="HYMONTAD04"/>
    <s v="Linhas Montadoras"/>
    <n v="10008087"/>
    <s v="HPA-01"/>
    <s v="HPA-01 - PRODUCAO - HA"/>
    <s v="ANDERSON RICARDO ROSSI ALVES"/>
    <n v="10000059"/>
    <s v="SUPERVISOR"/>
    <s v="SUPERVISOR"/>
    <n v="10000019"/>
    <s v="HYDRA"/>
    <s v="DIR IND HYDRA"/>
    <m/>
    <m/>
    <m/>
    <m/>
    <m/>
    <m/>
    <d v="2020-05-10T00:00:00"/>
    <n v="0"/>
    <m/>
    <d v="1973-08-04T00:00:00"/>
    <x v="15"/>
    <m/>
    <s v="brasileira"/>
    <s v="MARUIM"/>
    <s v="SE"/>
    <s v="BR"/>
    <s v="Não"/>
    <s v="M"/>
    <s v="Não"/>
    <m/>
    <s v="Divor."/>
    <s v="Parda"/>
    <s v="Ginasial incompleto"/>
    <s v="Física"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47"/>
    <m/>
    <d v="2019-09-10T00:00:00"/>
    <s v="SE"/>
    <s v="970.017.085-34"/>
    <n v="956076"/>
    <n v="10"/>
    <d v="2000-01-11T00:00:00"/>
    <s v="SE"/>
    <n v="20303275752"/>
    <m/>
    <m/>
    <m/>
    <m/>
    <m/>
    <m/>
    <m/>
    <m/>
    <m/>
    <x v="47"/>
    <n v="1"/>
    <n v="101"/>
    <d v="2011-05-12T00:00:00"/>
    <s v="SE"/>
    <m/>
    <m/>
    <m/>
    <m/>
    <s v="RUA ANATOLIO GARCIA MORENO"/>
    <n v="54"/>
    <m/>
    <s v="PORTO DANTAS"/>
    <s v="ARACAJU"/>
    <s v="SE"/>
    <s v="49000-000"/>
    <m/>
    <n v="79998878234"/>
    <m/>
    <n v="341"/>
    <n v="5634"/>
    <x v="4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CIAND"/>
    <n v="1"/>
    <s v="Sim"/>
  </r>
  <r>
    <n v="102020"/>
    <x v="48"/>
    <s v="Ativo"/>
    <s v="AD"/>
    <n v="30046612"/>
    <s v="Colaborador–M.O.Var"/>
    <s v="Mensalista"/>
    <s v="1HY"/>
    <s v="HYDRA CORONA SIST.AQ.LTD."/>
    <n v="32"/>
    <s v="HYDRA ARACAJU"/>
    <n v="32"/>
    <s v="CORONA"/>
    <s v="SIM"/>
    <s v="0032 – FÁB. HYDRA ARACAJU"/>
    <s v="MARIA LUCIA DA SILVA SOUSA"/>
    <s v="MARIA"/>
    <n v="10004048"/>
    <s v="HPA-03"/>
    <s v="HPA-03 - ESTAMPARIA - HA"/>
    <s v="HYAR"/>
    <s v="HYESTAMP04"/>
    <s v="Estamparia"/>
    <n v="10008087"/>
    <s v="HPA-01"/>
    <s v="HPA-01 - PRODUCAO - HA"/>
    <s v="NAYRA GUTEMBERG GOMES DA SILVA"/>
    <n v="10000080"/>
    <s v="EQUIPE"/>
    <s v="EQUIPE"/>
    <n v="10000019"/>
    <s v="HYDRA"/>
    <s v="DIR IND HYDRA"/>
    <m/>
    <m/>
    <m/>
    <m/>
    <m/>
    <m/>
    <d v="2020-05-10T00:00:00"/>
    <n v="0"/>
    <m/>
    <d v="1971-07-09T00:00:00"/>
    <x v="25"/>
    <m/>
    <s v="brasileira"/>
    <s v="TERESINA"/>
    <s v="PI"/>
    <s v="BR"/>
    <s v="Não"/>
    <s v="F"/>
    <s v="Não"/>
    <m/>
    <s v="Viúvo"/>
    <s v="Parda"/>
    <s v="Superior completo"/>
    <s v="Auditiva"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48"/>
    <m/>
    <s v="16/05/2017"/>
    <s v="PI"/>
    <s v="752.103.393-00"/>
    <n v="3790255"/>
    <n v="60"/>
    <s v="13/02/2019"/>
    <s v="SE"/>
    <n v="12586097485"/>
    <m/>
    <m/>
    <m/>
    <m/>
    <m/>
    <m/>
    <m/>
    <m/>
    <m/>
    <x v="48"/>
    <n v="2"/>
    <n v="637"/>
    <d v="2018-09-05T00:00:00"/>
    <s v="SE"/>
    <m/>
    <m/>
    <m/>
    <m/>
    <s v="RUA RAFAEL DE AGUIAR BL ITAC AP 302"/>
    <n v="1465"/>
    <m/>
    <s v="PEREIRA LOBO"/>
    <s v="ARACAJU"/>
    <s v="SE"/>
    <s v="49050-660"/>
    <m/>
    <n v="79988461860"/>
    <m/>
    <n v="341"/>
    <n v="1170"/>
    <x v="4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ISOUS"/>
    <n v="1"/>
    <s v="Sim"/>
  </r>
  <r>
    <n v="102020"/>
    <x v="49"/>
    <s v="Ativo"/>
    <s v="AD"/>
    <n v="30047218"/>
    <s v="Colaborador–M.O.Var"/>
    <s v="Mensalista"/>
    <s v="1HY"/>
    <s v="HYDRA CORONA SIST.AQ.LTD."/>
    <n v="32"/>
    <s v="HYDRA ARACAJU"/>
    <n v="32"/>
    <s v="CORONA"/>
    <s v="SIM"/>
    <s v="0032 – FÁB. HYDRA ARACAJU"/>
    <s v="CLEVERTON DA SILVA MOTA"/>
    <s v="CLEVERTON"/>
    <n v="10006826"/>
    <s v="HPA-05"/>
    <s v="HPA-05 - MONTADORAS - HA"/>
    <s v="HYAR"/>
    <s v="HYMONTAD04"/>
    <s v="Linhas Montadoras"/>
    <n v="10008087"/>
    <s v="HPA-01"/>
    <s v="HPA-01 - PRODUCAO - HA"/>
    <s v="ALEXANDRE ALIPIO DE SOUZA"/>
    <n v="10000059"/>
    <s v="SUPERVISOR"/>
    <s v="SUPERVISOR"/>
    <n v="10000019"/>
    <s v="HYDRA"/>
    <s v="DIR IND HYDRA"/>
    <m/>
    <m/>
    <m/>
    <m/>
    <m/>
    <m/>
    <d v="2020-05-10T00:00:00"/>
    <n v="0"/>
    <m/>
    <s v="17/03/1993"/>
    <x v="16"/>
    <m/>
    <s v="brasileira"/>
    <s v="PALMEIRA DOS INDIOS"/>
    <s v="AL"/>
    <s v="BR"/>
    <s v="Não"/>
    <s v="M"/>
    <s v="Não"/>
    <m/>
    <s v="Solt."/>
    <s v="Negr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49"/>
    <m/>
    <d v="2017-12-05T00:00:00"/>
    <s v="SE"/>
    <s v="061.438.525-37"/>
    <n v="5391777"/>
    <n v="30"/>
    <d v="2010-02-09T00:00:00"/>
    <s v="SE"/>
    <n v="20004274312"/>
    <m/>
    <m/>
    <m/>
    <m/>
    <m/>
    <m/>
    <m/>
    <m/>
    <m/>
    <x v="49"/>
    <n v="1"/>
    <n v="348"/>
    <s v="19/11/2011"/>
    <s v="SE"/>
    <n v="190033802223"/>
    <m/>
    <m/>
    <m/>
    <s v="RUA MANOEL FERREIRA DA SILVA"/>
    <n v="36"/>
    <m/>
    <s v="SOLEDADE"/>
    <s v="ARACAJU"/>
    <s v="SE"/>
    <s v="49089-019"/>
    <m/>
    <n v="79998134770"/>
    <m/>
    <n v="341"/>
    <n v="7811"/>
    <x v="4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MOTA"/>
    <n v="1"/>
    <s v="Sim"/>
  </r>
  <r>
    <n v="102020"/>
    <x v="50"/>
    <s v="Ativo"/>
    <s v="AD"/>
    <n v="30047173"/>
    <s v="Colaborador–M.O.Var"/>
    <s v="Mensalista"/>
    <s v="1HY"/>
    <s v="HYDRA CORONA SIST.AQ.LTD."/>
    <n v="32"/>
    <s v="HYDRA ARACAJU"/>
    <n v="32"/>
    <s v="CORONA"/>
    <s v="SIM"/>
    <s v="0032 – FÁB. HYDRA ARACAJU"/>
    <s v="FABIO SANTANA SILVA"/>
    <s v="FABIO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d v="2020-05-10T00:00:00"/>
    <n v="0"/>
    <m/>
    <s v="15/02/2001"/>
    <x v="24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50"/>
    <m/>
    <s v="21/07/2011"/>
    <s v="SE"/>
    <s v="085.140.765-07"/>
    <n v="3796445"/>
    <n v="60"/>
    <s v="15/04/2019"/>
    <s v="SE"/>
    <n v="20344706049"/>
    <m/>
    <m/>
    <m/>
    <m/>
    <m/>
    <m/>
    <m/>
    <m/>
    <m/>
    <x v="50"/>
    <n v="34"/>
    <n v="311"/>
    <s v="21/09/2020"/>
    <s v="SE"/>
    <n v="320002465117"/>
    <m/>
    <m/>
    <m/>
    <s v="RUA A A3 CONJ MARCOS FREIRE 1"/>
    <n v="71"/>
    <m/>
    <s v="COMPLEXO TAICOCA"/>
    <s v="NOSSA SENHORA DO SOCORRO"/>
    <s v="SE"/>
    <s v="49160-000"/>
    <m/>
    <n v="79999181070"/>
    <m/>
    <n v="341"/>
    <n v="297"/>
    <x v="5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NTAFAB"/>
    <n v="1"/>
    <s v="Sim"/>
  </r>
  <r>
    <n v="102020"/>
    <x v="51"/>
    <s v="Ativo"/>
    <s v="AD"/>
    <n v="30047228"/>
    <s v="Colaborador–M.O.Var"/>
    <s v="Mensalista"/>
    <s v="1HY"/>
    <s v="HYDRA CORONA SIST.AQ.LTD."/>
    <n v="32"/>
    <s v="HYDRA ARACAJU"/>
    <n v="32"/>
    <s v="CORONA"/>
    <s v="SIM"/>
    <s v="0032 – FÁB. HYDRA ARACAJU"/>
    <s v="GEOVAN PEDRO GOMES DE LIMA"/>
    <s v="GEOVAN"/>
    <n v="10006826"/>
    <s v="HPA-05"/>
    <s v="HPA-05 - MONTADORAS - HA"/>
    <s v="HYAR"/>
    <s v="HYMONTAD04"/>
    <s v="Linhas Montadoras"/>
    <n v="10008087"/>
    <s v="HPA-01"/>
    <s v="HPA-01 - PRODUCAO - HA"/>
    <s v="ALEXANDRE ALIPIO DE SOUZA"/>
    <n v="10000059"/>
    <s v="SUPERVISOR"/>
    <s v="SUPERVISOR"/>
    <n v="10000019"/>
    <s v="HYDRA"/>
    <s v="DIR IND HYDRA"/>
    <m/>
    <m/>
    <m/>
    <m/>
    <m/>
    <m/>
    <d v="2020-05-10T00:00:00"/>
    <n v="0"/>
    <m/>
    <s v="24/02/1997"/>
    <x v="18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51"/>
    <m/>
    <s v="19/07/2018"/>
    <s v="SE"/>
    <s v="068.374.085-77"/>
    <n v="9207608"/>
    <n v="50"/>
    <s v="21/11/2017"/>
    <s v="SE"/>
    <n v="20005111352"/>
    <m/>
    <m/>
    <m/>
    <m/>
    <m/>
    <m/>
    <m/>
    <m/>
    <m/>
    <x v="51"/>
    <n v="1"/>
    <n v="75"/>
    <d v="2017-08-02T00:00:00"/>
    <s v="SE"/>
    <n v="190034211770"/>
    <m/>
    <m/>
    <m/>
    <s v="RUA CEROA DA MOTA"/>
    <n v="545"/>
    <m/>
    <s v="CIDADE NOVA"/>
    <s v="ARACAJU"/>
    <s v="SE"/>
    <s v="49072-270"/>
    <m/>
    <n v="79991826470"/>
    <m/>
    <n v="341"/>
    <n v="297"/>
    <x v="5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EOVLIMA"/>
    <n v="1"/>
    <s v="Sim"/>
  </r>
  <r>
    <n v="102020"/>
    <x v="52"/>
    <s v="Ativo"/>
    <s v="AD"/>
    <n v="30036548"/>
    <s v="Colaborador–M.O.Var"/>
    <s v="Mensalista"/>
    <s v="1HY"/>
    <s v="HYDRA CORONA SIST.AQ.LTD."/>
    <n v="32"/>
    <s v="HYDRA ARACAJU"/>
    <n v="32"/>
    <s v="CORONA"/>
    <s v="SIM"/>
    <s v="0032 – FÁB. HYDRA ARACAJU"/>
    <s v="GLAUBERT ARAUJO BOMFIM DANTAS"/>
    <s v="GLAUBERT"/>
    <n v="10007347"/>
    <s v="HPA-05"/>
    <s v="HPA-05 - INJECAO - HA"/>
    <s v="HYAR"/>
    <s v="HYINJECA04"/>
    <s v="Injeção"/>
    <n v="10004053"/>
    <s v="HPA-02"/>
    <s v="HPA-02 - METALIZACAO - HA"/>
    <s v="FABIO MAGNO MATTOS SANTOS"/>
    <n v="10000080"/>
    <s v="EQUIPE"/>
    <s v="EQUIPE"/>
    <n v="10000019"/>
    <s v="HYDRA"/>
    <s v="DIR IND HYDRA"/>
    <m/>
    <m/>
    <m/>
    <m/>
    <m/>
    <m/>
    <d v="2020-05-10T00:00:00"/>
    <n v="0"/>
    <m/>
    <s v="25/06/2002"/>
    <x v="26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52"/>
    <m/>
    <s v="23/12/2010"/>
    <s v="SE"/>
    <s v="088.726.205-89"/>
    <n v="4873611"/>
    <n v="50"/>
    <d v="2016-09-08T00:00:00"/>
    <s v="SE"/>
    <n v="16260112204"/>
    <m/>
    <m/>
    <m/>
    <m/>
    <m/>
    <m/>
    <m/>
    <m/>
    <m/>
    <x v="52"/>
    <n v="34"/>
    <n v="312"/>
    <s v="27/11/2019"/>
    <s v="SE"/>
    <n v="320004749246"/>
    <m/>
    <m/>
    <m/>
    <s v="RUA 214"/>
    <n v="194"/>
    <m/>
    <s v="MARCOS FREIRE 3"/>
    <s v="NOSSA SENHORA DO SOCORRO"/>
    <s v="SE"/>
    <s v="49160-000"/>
    <m/>
    <n v="79988320250"/>
    <m/>
    <n v="341"/>
    <n v="297"/>
    <x v="5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LDANTAS"/>
    <n v="1"/>
    <s v="Sim"/>
  </r>
  <r>
    <n v="102020"/>
    <x v="53"/>
    <s v="Ativo"/>
    <s v="AD"/>
    <n v="30047165"/>
    <s v="Colaborador–M.O.Var"/>
    <s v="Mensalista"/>
    <s v="1HY"/>
    <s v="HYDRA CORONA SIST.AQ.LTD."/>
    <n v="32"/>
    <s v="HYDRA ARACAJU"/>
    <n v="32"/>
    <s v="CORONA"/>
    <s v="SIM"/>
    <s v="0032 – FÁB. HYDRA ARACAJU"/>
    <s v="IGOR SANDRO MENEZES DA SILVA"/>
    <s v="IGOR"/>
    <n v="10007347"/>
    <s v="HPA-05"/>
    <s v="HPA-05 - INJECAO - HA"/>
    <s v="HYAR"/>
    <s v="HYINJECA04"/>
    <s v="Injeção"/>
    <n v="10004053"/>
    <s v="HPA-02"/>
    <s v="HPA-02 - METALIZACAO - HA"/>
    <s v="FABIO MAGNO MATTOS SANTOS"/>
    <n v="10000080"/>
    <s v="EQUIPE"/>
    <s v="EQUIPE"/>
    <n v="10000019"/>
    <s v="HYDRA"/>
    <s v="DIR IND HYDRA"/>
    <m/>
    <m/>
    <m/>
    <m/>
    <m/>
    <m/>
    <d v="2020-05-10T00:00:00"/>
    <n v="0"/>
    <m/>
    <s v="14/09/2001"/>
    <x v="24"/>
    <m/>
    <s v="brasileira"/>
    <s v="ARACAJU"/>
    <s v="SE"/>
    <s v="BR"/>
    <s v="Não"/>
    <s v="M"/>
    <s v="Não"/>
    <m/>
    <s v="Solt."/>
    <s v="Parda"/>
    <s v="Superior in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53"/>
    <m/>
    <d v="2019-01-11T00:00:00"/>
    <s v="SE"/>
    <s v="047.454.675-67"/>
    <n v="2923791"/>
    <n v="50"/>
    <s v="13/01/2016"/>
    <s v="SE"/>
    <n v="20356253796"/>
    <m/>
    <m/>
    <m/>
    <m/>
    <m/>
    <m/>
    <m/>
    <m/>
    <m/>
    <x v="53"/>
    <n v="1"/>
    <n v="102"/>
    <d v="2019-07-11T00:00:00"/>
    <s v="SE"/>
    <n v="320003104582"/>
    <m/>
    <m/>
    <m/>
    <s v="RUA RECANTO DOS PASSAROS"/>
    <n v="58"/>
    <m/>
    <s v="INDUSTRIAL"/>
    <s v="ARACAJU"/>
    <s v="SE"/>
    <s v="49066-236"/>
    <m/>
    <n v="79988855593"/>
    <m/>
    <n v="341"/>
    <n v="297"/>
    <x v="5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IGMENEZE"/>
    <n v="1"/>
    <s v="Sim"/>
  </r>
  <r>
    <n v="102020"/>
    <x v="54"/>
    <s v="Ativo"/>
    <s v="AD"/>
    <n v="30042290"/>
    <s v="Colaborador–M.O.Var"/>
    <s v="Mensalista"/>
    <s v="1HY"/>
    <s v="HYDRA CORONA SIST.AQ.LTD."/>
    <n v="32"/>
    <s v="HYDRA ARACAJU"/>
    <n v="32"/>
    <s v="CORONA"/>
    <s v="SIM"/>
    <s v="0032 – FÁB. HYDRA ARACAJU"/>
    <s v="JENISSON DA SILVA SOUZA"/>
    <s v="JENISSON"/>
    <n v="10004927"/>
    <s v="HPA-04"/>
    <s v="HPA-04 - LINHAS MONTADORAS - HA"/>
    <s v="HYAR"/>
    <s v="HYMONTAD04"/>
    <s v="Linhas Montadoras"/>
    <n v="10008087"/>
    <s v="HPA-01"/>
    <s v="HPA-01 - PRODUCAO - HA"/>
    <s v="BRUNO OLIVEIRA FUGANTI"/>
    <n v="10000059"/>
    <s v="SUPERVISOR"/>
    <s v="SUPERVISOR"/>
    <n v="10000019"/>
    <s v="HYDRA"/>
    <s v="DIR IND HYDRA"/>
    <m/>
    <m/>
    <m/>
    <m/>
    <m/>
    <m/>
    <d v="2020-05-10T00:00:00"/>
    <n v="0"/>
    <m/>
    <s v="15/10/1988"/>
    <x v="9"/>
    <m/>
    <s v="brasileira"/>
    <s v="ARACAJU"/>
    <s v="SE"/>
    <s v="BR"/>
    <s v="Não"/>
    <s v="M"/>
    <s v="Não"/>
    <m/>
    <s v="Casado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54"/>
    <m/>
    <s v="25/05/2006"/>
    <s v="SE"/>
    <s v="046.688.185-18"/>
    <n v="6951412"/>
    <n v="10"/>
    <s v="27/06/2007"/>
    <s v="SE"/>
    <n v="20923861577"/>
    <m/>
    <m/>
    <m/>
    <m/>
    <m/>
    <m/>
    <m/>
    <m/>
    <m/>
    <x v="54"/>
    <n v="13"/>
    <n v="172"/>
    <d v="2011-06-07T00:00:00"/>
    <s v="SE"/>
    <n v="190352080682"/>
    <m/>
    <m/>
    <m/>
    <s v="RUA EVANGELINO PAIXAO"/>
    <n v="295"/>
    <m/>
    <s v="OLARIA"/>
    <s v="ARACAJU"/>
    <s v="SE"/>
    <s v="49092-510"/>
    <m/>
    <n v="79996476181"/>
    <m/>
    <n v="341"/>
    <n v="5634"/>
    <x v="5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ENSOUZA"/>
    <n v="1"/>
    <s v="Sim"/>
  </r>
  <r>
    <n v="102020"/>
    <x v="55"/>
    <s v="Ativo"/>
    <s v="AD"/>
    <n v="30047169"/>
    <s v="Colaborador–M.O.Var"/>
    <s v="Mensalista"/>
    <s v="1HY"/>
    <s v="HYDRA CORONA SIST.AQ.LTD."/>
    <n v="32"/>
    <s v="HYDRA ARACAJU"/>
    <n v="32"/>
    <s v="CORONA"/>
    <s v="SIM"/>
    <s v="0032 – FÁB. HYDRA ARACAJU"/>
    <s v="LEONARDO CELESTINO DOS SANTOS"/>
    <s v="LEONARDO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d v="2020-05-10T00:00:00"/>
    <n v="0"/>
    <m/>
    <s v="17/06/1995"/>
    <x v="4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55"/>
    <m/>
    <d v="2016-11-02T00:00:00"/>
    <s v="SE"/>
    <s v="065.757.255-11"/>
    <n v="5017533"/>
    <n v="40"/>
    <d v="2014-04-04T00:00:00"/>
    <s v="BA"/>
    <n v="20302893959"/>
    <m/>
    <m/>
    <m/>
    <m/>
    <m/>
    <m/>
    <m/>
    <m/>
    <m/>
    <x v="55"/>
    <n v="21"/>
    <n v="224"/>
    <d v="2011-01-09T00:00:00"/>
    <s v="SE"/>
    <n v="172512005270"/>
    <m/>
    <m/>
    <m/>
    <s v="RUA UM"/>
    <n v="220"/>
    <m/>
    <s v="ROSA ELZE"/>
    <s v="SAO CRISTOVAO"/>
    <s v="SE"/>
    <s v="49100-000"/>
    <m/>
    <n v="79988482150"/>
    <m/>
    <n v="341"/>
    <n v="5634"/>
    <x v="5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NTOLEO"/>
    <n v="1"/>
    <s v="Sim"/>
  </r>
  <r>
    <n v="102020"/>
    <x v="56"/>
    <s v="Ativo"/>
    <s v="AD"/>
    <n v="30046606"/>
    <s v="Colaborador–M.O.Var"/>
    <s v="Mensalista"/>
    <s v="1HY"/>
    <s v="HYDRA CORONA SIST.AQ.LTD."/>
    <n v="32"/>
    <s v="HYDRA ARACAJU"/>
    <n v="32"/>
    <s v="CORONA"/>
    <s v="SIM"/>
    <s v="0032 – FÁB. HYDRA ARACAJU"/>
    <s v="ROBERTO SILVA DOS SANTOS"/>
    <s v="ROBERTO"/>
    <n v="10004048"/>
    <s v="HPA-03"/>
    <s v="HPA-03 - ESTAMPARIA - HA"/>
    <s v="HYAR"/>
    <s v="HYESTAMP04"/>
    <s v="Estamparia"/>
    <n v="10008087"/>
    <s v="HPA-01"/>
    <s v="HPA-01 - PRODUCAO - HA"/>
    <s v="NAYRA GUTEMBERG GOMES DA SILVA"/>
    <n v="10000080"/>
    <s v="EQUIPE"/>
    <s v="EQUIPE"/>
    <n v="10000019"/>
    <s v="HYDRA"/>
    <s v="DIR IND HYDRA"/>
    <m/>
    <m/>
    <m/>
    <m/>
    <m/>
    <m/>
    <d v="2020-05-10T00:00:00"/>
    <n v="0"/>
    <m/>
    <d v="1991-07-02T00:00:00"/>
    <x v="27"/>
    <m/>
    <s v="brasileira"/>
    <s v="PENEDO"/>
    <s v="AL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56"/>
    <m/>
    <s v="12/12/1016"/>
    <s v="SE"/>
    <s v="059.764.255-93"/>
    <n v="3595589"/>
    <n v="3"/>
    <s v="30/12/2009"/>
    <s v="SE"/>
    <n v="20660269044"/>
    <m/>
    <m/>
    <m/>
    <m/>
    <m/>
    <m/>
    <m/>
    <m/>
    <m/>
    <x v="56"/>
    <n v="34"/>
    <n v="123"/>
    <d v="2015-06-11T00:00:00"/>
    <s v="SE"/>
    <n v="190033651034"/>
    <m/>
    <m/>
    <m/>
    <s v="AVENIDA JOSE CONRADO DE ARAUJO BLOCO 05 APTO 102"/>
    <n v="320"/>
    <m/>
    <s v="INDUSTRIAL"/>
    <s v="ARACAJU"/>
    <s v="SE"/>
    <s v="49065-470"/>
    <m/>
    <n v="79998431736"/>
    <m/>
    <n v="341"/>
    <n v="7811"/>
    <x v="5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NROBER"/>
    <n v="1"/>
    <s v="Sim"/>
  </r>
  <r>
    <n v="102020"/>
    <x v="57"/>
    <s v="Ativo"/>
    <s v="AD"/>
    <n v="30044620"/>
    <s v="Colaborador–M.O.Var"/>
    <s v="Mensalista"/>
    <s v="1HY"/>
    <s v="HYDRA CORONA SIST.AQ.LTD."/>
    <n v="32"/>
    <s v="HYDRA ARACAJU"/>
    <n v="32"/>
    <s v="CORONA"/>
    <s v="SIM"/>
    <s v="0032 – FÁB. HYDRA ARACAJU"/>
    <s v="ANNY VICTORIA SOARES DE SOUZA SANTANA"/>
    <s v="ANNY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d v="2020-05-10T00:00:00"/>
    <n v="0"/>
    <m/>
    <s v="16/06/2001"/>
    <x v="24"/>
    <m/>
    <s v="brasileira"/>
    <s v="ARACAJU"/>
    <s v="SE"/>
    <s v="BR"/>
    <s v="Não"/>
    <s v="F"/>
    <s v="Não"/>
    <m/>
    <s v="Solt."/>
    <s v="Parda"/>
    <s v="Colegial completo"/>
    <m/>
    <n v="22001165"/>
    <s v="220/M"/>
    <s v="OPER MAQUINA C"/>
    <n v="64201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5"/>
    <s v="GRS015OP"/>
    <d v="2020-10-01T00:00:00"/>
    <s v="Admissão"/>
    <s v="1.059,00"/>
    <s v="105900,00"/>
    <n v="1"/>
    <m/>
    <s v="N"/>
    <x v="57"/>
    <m/>
    <d v="2017-06-04T00:00:00"/>
    <s v="SE"/>
    <s v="080.547.535-43"/>
    <n v="4881147"/>
    <n v="50"/>
    <d v="2016-07-11T00:00:00"/>
    <s v="SE"/>
    <n v="16104261583"/>
    <m/>
    <m/>
    <m/>
    <m/>
    <m/>
    <m/>
    <m/>
    <m/>
    <m/>
    <x v="57"/>
    <n v="2"/>
    <n v="629"/>
    <d v="2018-12-03T00:00:00"/>
    <s v="SE"/>
    <m/>
    <m/>
    <m/>
    <m/>
    <s v="RUA C"/>
    <n v="340"/>
    <m/>
    <s v="CENTRO"/>
    <s v="BARRA DOS COQUEIROS"/>
    <s v="SE"/>
    <s v="49140-000"/>
    <m/>
    <n v="79996919153"/>
    <m/>
    <n v="341"/>
    <n v="297"/>
    <x v="5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NNSANTA"/>
    <n v="1"/>
    <s v="Sim"/>
  </r>
  <r>
    <n v="102020"/>
    <x v="58"/>
    <s v="Ativo"/>
    <s v="AD"/>
    <n v="30046273"/>
    <s v="Colaborador–M.O.Var"/>
    <s v="Horista"/>
    <s v="1DX"/>
    <s v="Duratex S.A."/>
    <n v="7"/>
    <s v="FÁB METAIS JUNDIAÍ"/>
    <n v="7"/>
    <s v="DECA"/>
    <s v="SIM"/>
    <s v="0007 - FÁB METAIS JUNDIAÍ"/>
    <s v="JOICE APARECIDA BUENO"/>
    <s v="JOICE"/>
    <n v="10001461"/>
    <s v="DVM-02"/>
    <s v="DVM-02 - GALVANO DE PLASTICOS - MP"/>
    <s v="DXMP"/>
    <s v="DXGALPLA33"/>
    <s v="Galv. Plásticos MP"/>
    <n v="10003570"/>
    <s v="DVM-01"/>
    <s v="DVM-01 - PROD GERADORAS/ACAB/MONTAGEM"/>
    <s v="WELTON ANGELO DA SILVA"/>
    <n v="10000059"/>
    <s v="SUPERVISOR"/>
    <s v="SUPERVISOR"/>
    <n v="10000002"/>
    <s v="DECA"/>
    <s v="DIR IND DECA (METAIS)"/>
    <m/>
    <m/>
    <m/>
    <m/>
    <m/>
    <m/>
    <d v="2020-05-10T00:00:00"/>
    <n v="0"/>
    <m/>
    <s v="30/06/1989"/>
    <x v="12"/>
    <m/>
    <s v="brasileira"/>
    <s v="JUNDIAI"/>
    <s v="SP"/>
    <s v="BR"/>
    <s v="Não"/>
    <s v="F"/>
    <s v="Não"/>
    <m/>
    <s v="Solt."/>
    <s v="Branc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58"/>
    <m/>
    <s v="26/06/2017"/>
    <s v="SP"/>
    <s v="352.898.288-85"/>
    <n v="58786"/>
    <n v="290"/>
    <d v="2003-11-08T00:00:00"/>
    <s v="SP"/>
    <n v="20671206901"/>
    <m/>
    <m/>
    <m/>
    <m/>
    <m/>
    <m/>
    <m/>
    <m/>
    <m/>
    <x v="58"/>
    <n v="242"/>
    <n v="186"/>
    <s v="26/09/2017"/>
    <s v="SP"/>
    <m/>
    <m/>
    <m/>
    <m/>
    <s v="RUA RIO DE JANEIRO"/>
    <n v="92"/>
    <m/>
    <s v="VILA POPULAR"/>
    <s v="VÁRZEA PAULISTA"/>
    <s v="SP"/>
    <s v="13225-124"/>
    <m/>
    <n v="11932052163"/>
    <m/>
    <n v="341"/>
    <n v="2523"/>
    <x v="5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IBUENO"/>
    <n v="1"/>
    <s v="Sim"/>
  </r>
  <r>
    <n v="102020"/>
    <x v="59"/>
    <s v="Ativo"/>
    <s v="AD"/>
    <n v="30131268"/>
    <s v="Colaborador–M.O.Var"/>
    <s v="Horista"/>
    <s v="1DX"/>
    <s v="Duratex S.A."/>
    <n v="7"/>
    <s v="FÁB METAIS JUNDIAÍ"/>
    <n v="7"/>
    <s v="DECA"/>
    <s v="SIM"/>
    <s v="0007 - FÁB METAIS JUNDIAÍ"/>
    <s v="ROBERTO BIZUTI"/>
    <s v="ROBERTO"/>
    <n v="10001457"/>
    <s v="DVM-02"/>
    <s v="DVM-02– ESTAMPARIA - MP"/>
    <s v="DXMP"/>
    <s v="DXESTAMP33"/>
    <s v="Estamparia MP"/>
    <n v="10001047"/>
    <s v="DVM-02"/>
    <s v="DVM-02 - ACABAMENTO - MP"/>
    <s v="SILVIO APARECIDO BARROS"/>
    <n v="10000080"/>
    <s v="EQUIPE"/>
    <s v="EQUIPE"/>
    <n v="10000002"/>
    <s v="DECA"/>
    <s v="DIR IND DECA (METAIS)"/>
    <m/>
    <m/>
    <m/>
    <m/>
    <m/>
    <m/>
    <d v="2020-05-10T00:00:00"/>
    <n v="0"/>
    <m/>
    <s v="19/10/1976"/>
    <x v="22"/>
    <m/>
    <s v="brasileira"/>
    <s v="JUNDIAI"/>
    <s v="SP"/>
    <s v="BR"/>
    <s v="Não"/>
    <s v="M"/>
    <s v="Não"/>
    <m/>
    <s v="Casado"/>
    <s v="Branca"/>
    <s v="Colegial completo"/>
    <m/>
    <n v="22000417"/>
    <s v="220/H"/>
    <s v="OPER PRODUCAO C"/>
    <n v="862150"/>
    <s v="Admissão"/>
    <d v="2020-10-01T00:00:00"/>
    <s v="220,00"/>
    <m/>
    <s v="DJD-01"/>
    <s v="DDI-01"/>
    <s v="CSS-01"/>
    <s v="DDE-01"/>
    <s v="PRE-01"/>
    <s v="1.859,00"/>
    <s v="8,45"/>
    <s v="1.859,00"/>
    <s v="0,00"/>
    <s v="BV"/>
    <s v="METAIS JUNDIAÍ-220/H"/>
    <n v="16"/>
    <s v="GRS016OP"/>
    <d v="2020-10-01T00:00:00"/>
    <s v="Admissão"/>
    <s v="1.858,00"/>
    <s v="185800,00"/>
    <n v="1"/>
    <s v="Ausência B.H. Empresa"/>
    <s v="N"/>
    <x v="59"/>
    <m/>
    <s v="30/04/2014"/>
    <s v="SP"/>
    <s v="267.126.598-09"/>
    <n v="7996"/>
    <n v="126"/>
    <d v="2015-03-07T00:00:00"/>
    <s v="SP"/>
    <n v="12541905833"/>
    <m/>
    <m/>
    <m/>
    <m/>
    <m/>
    <m/>
    <m/>
    <m/>
    <m/>
    <x v="59"/>
    <n v="281"/>
    <n v="286"/>
    <s v="23/01/2018"/>
    <s v="SP"/>
    <n v="14"/>
    <m/>
    <m/>
    <m/>
    <s v="RUA PROFESSORA OLGA SCHENEIDER"/>
    <n v="119"/>
    <m/>
    <s v="JARDIM ESTADIO"/>
    <s v="JUNDIAÍ"/>
    <s v="SP"/>
    <s v="13203-561"/>
    <m/>
    <n v="11996887992"/>
    <m/>
    <n v="341"/>
    <n v="4837"/>
    <x v="5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BIZUTI"/>
    <n v="1"/>
    <s v="Sim"/>
  </r>
  <r>
    <n v="102020"/>
    <x v="60"/>
    <s v="Ativo"/>
    <s v="AD"/>
    <n v="30032790"/>
    <s v="Colaborador–M.O.Var"/>
    <s v="Horista"/>
    <s v="1DX"/>
    <s v="Duratex S.A."/>
    <n v="7"/>
    <s v="FÁB METAIS JUNDIAÍ"/>
    <n v="7"/>
    <s v="DECA"/>
    <s v="SIM"/>
    <s v="0007 - FÁB METAIS JUNDIAÍ"/>
    <s v="SERGIO NOGUEIRA DOS SANTOS"/>
    <s v="SERGIO"/>
    <n v="10001047"/>
    <s v="DVM-02"/>
    <s v="DVM-02 - ACABAMENTO - MP"/>
    <s v="DXMP"/>
    <s v="DXACABAM33"/>
    <s v="Acabamento MP"/>
    <n v="10003570"/>
    <s v="DVM-01"/>
    <s v="DVM-01 - PROD GERADORAS/ACAB/MONTAGEM"/>
    <s v="SILVIO APARECIDO BARROS"/>
    <n v="10000059"/>
    <s v="SUPERVISOR"/>
    <s v="SUPERVISOR"/>
    <n v="10000002"/>
    <s v="DECA"/>
    <s v="DIR IND DECA (METAIS)"/>
    <m/>
    <m/>
    <m/>
    <m/>
    <m/>
    <m/>
    <d v="2020-05-10T00:00:00"/>
    <n v="0"/>
    <m/>
    <s v="13/06/1989"/>
    <x v="12"/>
    <m/>
    <s v="brasileira"/>
    <s v="CAMPO LIMPO PAULISTA"/>
    <s v="SP"/>
    <s v="BR"/>
    <s v="Não"/>
    <s v="M"/>
    <s v="Não"/>
    <m/>
    <s v="Casado"/>
    <s v="Parda"/>
    <s v="Colegial completo"/>
    <m/>
    <n v="22000417"/>
    <s v="220/H"/>
    <s v="OPER PRODUCAO C"/>
    <n v="862150"/>
    <s v="Admissão"/>
    <d v="2020-10-01T00:00:00"/>
    <s v="220,00"/>
    <m/>
    <s v="DJD-01"/>
    <s v="DDI-01"/>
    <s v="CSS-01"/>
    <s v="DDE-01"/>
    <s v="PRE-01"/>
    <s v="1.859,00"/>
    <s v="8,45"/>
    <s v="1.859,00"/>
    <s v="0,00"/>
    <s v="BV"/>
    <s v="METAIS JUNDIAÍ-220/H"/>
    <n v="16"/>
    <s v="GRS016OP"/>
    <d v="2020-10-01T00:00:00"/>
    <s v="Admissão"/>
    <s v="1.858,00"/>
    <s v="185800,00"/>
    <n v="1"/>
    <s v="Ausência B.H. Empresa"/>
    <s v="N"/>
    <x v="60"/>
    <m/>
    <d v="2016-01-11T00:00:00"/>
    <s v="SP"/>
    <s v="375.014.148-74"/>
    <n v="49447"/>
    <n v="316"/>
    <s v="14/10/2004"/>
    <s v="SP"/>
    <n v="16602509358"/>
    <m/>
    <m/>
    <m/>
    <m/>
    <m/>
    <m/>
    <m/>
    <m/>
    <m/>
    <x v="60"/>
    <n v="344"/>
    <n v="96"/>
    <s v="28/11/2019"/>
    <s v="SP"/>
    <n v="140342144981"/>
    <m/>
    <m/>
    <m/>
    <s v="RUA DAS AMERICAS"/>
    <n v="45"/>
    <m/>
    <s v="VILA CHACRINHA (BOTUJURU)"/>
    <s v="CAMPO LIMPO PAULISTA"/>
    <s v="SP"/>
    <s v="13238-110"/>
    <m/>
    <n v="11961885773"/>
    <m/>
    <n v="341"/>
    <n v="2523"/>
    <x v="6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SERGIO"/>
    <n v="1"/>
    <s v="Sim"/>
  </r>
  <r>
    <n v="102020"/>
    <x v="61"/>
    <s v="Ativo"/>
    <s v="AD"/>
    <n v="30046271"/>
    <s v="Colaborador–M.O.Var"/>
    <s v="Horista"/>
    <s v="1DX"/>
    <s v="Duratex S.A."/>
    <n v="7"/>
    <s v="FÁB METAIS JUNDIAÍ"/>
    <n v="7"/>
    <s v="DECA"/>
    <s v="SIM"/>
    <s v="0007 - FÁB METAIS JUNDIAÍ"/>
    <s v="ALAIM DA SILVA SOUZA"/>
    <s v="ALAIM"/>
    <n v="10001477"/>
    <s v="DVM-02"/>
    <s v="DVM-02 - MONTADORA - MP"/>
    <s v="DXMP"/>
    <s v="DXMONTAD33"/>
    <s v="Montadora"/>
    <n v="10001480"/>
    <s v="DVM-03"/>
    <s v="DVM-03 - CELULAS DE VALVULAS/MONTAD - MP"/>
    <s v="ADRIANO LEONARDO LUCIO DOS SANTOS"/>
    <n v="10000080"/>
    <s v="EQUIPE"/>
    <s v="EQUIPE"/>
    <n v="10000002"/>
    <s v="DECA"/>
    <s v="DIR IND DECA (METAIS)"/>
    <m/>
    <m/>
    <m/>
    <m/>
    <m/>
    <m/>
    <d v="2020-05-10T00:00:00"/>
    <n v="0"/>
    <m/>
    <s v="27/01/1985"/>
    <x v="21"/>
    <m/>
    <s v="brasileira"/>
    <s v="VARZEA PAULISTA"/>
    <s v="SP"/>
    <s v="BR"/>
    <s v="Não"/>
    <s v="M"/>
    <s v="Não"/>
    <m/>
    <s v="Casado"/>
    <s v="Branc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61"/>
    <m/>
    <s v="14/02/2019"/>
    <s v="SP"/>
    <s v="334.088.538-94"/>
    <n v="21611"/>
    <n v="290"/>
    <s v="26/08/2002"/>
    <s v="SP"/>
    <n v="20657758692"/>
    <m/>
    <m/>
    <m/>
    <m/>
    <m/>
    <m/>
    <m/>
    <m/>
    <m/>
    <x v="61"/>
    <n v="242"/>
    <n v="150"/>
    <s v="18/11/2016"/>
    <s v="SP"/>
    <n v="241008"/>
    <m/>
    <m/>
    <m/>
    <s v="RUA CARNAUBA"/>
    <n v="983"/>
    <m/>
    <s v="JARDIM DAS PALMEIRAS"/>
    <s v="VÁRZEA PAULISTA"/>
    <s v="SP"/>
    <s v="13224-660"/>
    <m/>
    <n v="11972926216"/>
    <m/>
    <n v="341"/>
    <n v="1292"/>
    <x v="6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AISOUZ"/>
    <n v="1"/>
    <s v="Sim"/>
  </r>
  <r>
    <n v="102020"/>
    <x v="62"/>
    <s v="Ativo"/>
    <s v="AD"/>
    <n v="30039210"/>
    <s v="Colaborador–M.O.Var"/>
    <s v="Horista"/>
    <s v="1DX"/>
    <s v="Duratex S.A."/>
    <n v="7"/>
    <s v="FÁB METAIS JUNDIAÍ"/>
    <n v="7"/>
    <s v="DECA"/>
    <s v="SIM"/>
    <s v="0007 - FÁB METAIS JUNDIAÍ"/>
    <s v="DIEGO ALISSON LEANDRO DA SILVA"/>
    <s v="DIEGO"/>
    <n v="10001466"/>
    <s v="DVM-03"/>
    <s v="DVM-03– USINAGEM - MP"/>
    <s v="DXMP"/>
    <s v="DXUSINAG33"/>
    <s v="Usinagem MP"/>
    <n v="10001047"/>
    <s v="DVM-02"/>
    <s v="DVM-02 - ACABAMENTO - MP"/>
    <s v="SILVIO APARECIDO BARROS"/>
    <n v="10000080"/>
    <s v="EQUIPE"/>
    <s v="EQUIPE"/>
    <n v="10000002"/>
    <s v="DECA"/>
    <s v="DIR IND DECA (METAIS)"/>
    <m/>
    <m/>
    <m/>
    <m/>
    <m/>
    <m/>
    <d v="2020-05-10T00:00:00"/>
    <n v="0"/>
    <m/>
    <s v="19/12/1993"/>
    <x v="2"/>
    <m/>
    <s v="brasileira"/>
    <s v="JUNDIAI"/>
    <s v="SP"/>
    <s v="BR"/>
    <s v="Não"/>
    <s v="M"/>
    <s v="Não"/>
    <m/>
    <s v="Solt."/>
    <s v="Negra"/>
    <s v="Colegial completo"/>
    <m/>
    <n v="22000417"/>
    <s v="220/H"/>
    <s v="OPER PRODUCAO C"/>
    <n v="862150"/>
    <s v="Admissão"/>
    <d v="2020-10-01T00:00:00"/>
    <s v="220,00"/>
    <m/>
    <s v="DJD-01"/>
    <s v="DDI-01"/>
    <s v="CSS-01"/>
    <s v="DDE-01"/>
    <s v="PRE-01"/>
    <s v="1.859,00"/>
    <s v="8,45"/>
    <s v="1.859,00"/>
    <s v="0,00"/>
    <s v="BV"/>
    <s v="METAIS JUNDIAÍ-220/H"/>
    <n v="16"/>
    <s v="GRS016OP"/>
    <d v="2020-10-01T00:00:00"/>
    <s v="Admissão"/>
    <s v="1.858,00"/>
    <s v="185800,00"/>
    <n v="1"/>
    <s v="Ausência B.H. Empresa"/>
    <s v="N"/>
    <x v="62"/>
    <m/>
    <s v="25/08/2015"/>
    <s v="SP"/>
    <s v="413.956.048-78"/>
    <n v="28806"/>
    <n v="351"/>
    <d v="2009-05-02T00:00:00"/>
    <s v="SP"/>
    <n v="16146184048"/>
    <m/>
    <m/>
    <m/>
    <m/>
    <m/>
    <m/>
    <m/>
    <m/>
    <m/>
    <x v="62"/>
    <n v="242"/>
    <n v="202"/>
    <s v="29/08/2017"/>
    <s v="SP"/>
    <n v="141672281039"/>
    <m/>
    <m/>
    <m/>
    <s v="RUA SAO JOSE RIO PARDO"/>
    <n v="1780"/>
    <m/>
    <s v="JARDIM PAULISTA"/>
    <s v="VÁRZEA PAULISTA"/>
    <s v="SP"/>
    <s v="13222-040"/>
    <m/>
    <n v="11934693698"/>
    <m/>
    <n v="341"/>
    <n v="4837"/>
    <x v="6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LEANDRO"/>
    <n v="1"/>
    <s v="Sim"/>
  </r>
  <r>
    <n v="102020"/>
    <x v="63"/>
    <s v="Ativo"/>
    <s v="AD"/>
    <n v="30032310"/>
    <s v="Colaborador–M.O.Var"/>
    <s v="Horista"/>
    <s v="1DX"/>
    <s v="Duratex S.A."/>
    <n v="7"/>
    <s v="FÁB METAIS JUNDIAÍ"/>
    <n v="7"/>
    <s v="DECA"/>
    <s v="SIM"/>
    <s v="0007 - FÁB METAIS JUNDIAÍ"/>
    <s v="BRUNO HENRIQUE CARDOSO SAMPAIO"/>
    <s v="BRUNO"/>
    <n v="10001460"/>
    <s v="DVM-02"/>
    <s v="DVM-02 - GALVANO AUTOMATICA - MP"/>
    <s v="DXMP"/>
    <s v="DXGALAUT33"/>
    <s v="Galvan. Metal MP"/>
    <n v="10001461"/>
    <s v="DVM-02"/>
    <s v="DVM-02 - GALVANO DE PLASTICOS - MP"/>
    <s v="WELTON ANGELO DA SILVA"/>
    <n v="10000080"/>
    <s v="EQUIPE"/>
    <s v="EQUIPE"/>
    <n v="10000002"/>
    <s v="DECA"/>
    <s v="DIR IND DECA (METAIS)"/>
    <m/>
    <m/>
    <m/>
    <m/>
    <m/>
    <m/>
    <d v="2020-05-10T00:00:00"/>
    <n v="0"/>
    <m/>
    <d v="1989-09-03T00:00:00"/>
    <x v="12"/>
    <m/>
    <s v="brasileira"/>
    <s v="CAIEIRAS"/>
    <s v="SP"/>
    <s v="BR"/>
    <s v="Não"/>
    <s v="M"/>
    <s v="Não"/>
    <m/>
    <s v="Solt."/>
    <s v="Branc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63"/>
    <m/>
    <s v="27/11/2013"/>
    <s v="SP"/>
    <s v="385.539.998-07"/>
    <n v="39684"/>
    <n v="318"/>
    <s v="15/12/2005"/>
    <s v="SP"/>
    <n v="20489153113"/>
    <m/>
    <m/>
    <m/>
    <m/>
    <m/>
    <m/>
    <m/>
    <m/>
    <m/>
    <x v="63"/>
    <n v="192"/>
    <n v="440"/>
    <s v="22/08/2017"/>
    <s v="SP"/>
    <n v="140562266829"/>
    <m/>
    <m/>
    <m/>
    <s v="RUA ANTONIO BELTRAME"/>
    <n v="382"/>
    <m/>
    <s v="PARQUE VITORIA"/>
    <s v="FRANCO DA ROCHA"/>
    <s v="SP"/>
    <s v="07855-360"/>
    <m/>
    <n v="11959429749"/>
    <m/>
    <n v="341"/>
    <n v="7648"/>
    <x v="6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BRSAMPAI"/>
    <n v="1"/>
    <s v="Sim"/>
  </r>
  <r>
    <n v="102020"/>
    <x v="64"/>
    <s v="Ativo"/>
    <s v="AD"/>
    <n v="30109012"/>
    <s v="Colaborador–M.O.Var"/>
    <s v="Horista"/>
    <s v="1DX"/>
    <s v="Duratex S.A."/>
    <n v="7"/>
    <s v="FÁB METAIS JUNDIAÍ"/>
    <n v="7"/>
    <s v="DECA"/>
    <s v="SIM"/>
    <s v="0007 - FÁB METAIS JUNDIAÍ"/>
    <s v="MARCOS GUILHERME SANTANA VICENTINI"/>
    <s v="MARCOS"/>
    <n v="10001460"/>
    <s v="DVM-02"/>
    <s v="DVM-02 - GALVANO AUTOMATICA - MP"/>
    <s v="DXMP"/>
    <s v="DXGALAUT33"/>
    <s v="Galvan. Metal MP"/>
    <n v="10001461"/>
    <s v="DVM-02"/>
    <s v="DVM-02 - GALVANO DE PLASTICOS - MP"/>
    <s v="WELTON ANGELO DA SILVA"/>
    <n v="10000080"/>
    <s v="EQUIPE"/>
    <s v="EQUIPE"/>
    <n v="10000002"/>
    <s v="DECA"/>
    <s v="DIR IND DECA (METAIS)"/>
    <m/>
    <m/>
    <m/>
    <m/>
    <m/>
    <m/>
    <d v="2020-05-10T00:00:00"/>
    <n v="0"/>
    <m/>
    <s v="26/09/1998"/>
    <x v="28"/>
    <m/>
    <s v="brasileira"/>
    <s v="JUNDIAI"/>
    <s v="SP"/>
    <s v="BR"/>
    <s v="Não"/>
    <s v="M"/>
    <s v="Não"/>
    <m/>
    <s v="Casado"/>
    <s v="Branc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64"/>
    <m/>
    <s v="22/03/2012"/>
    <s v="SP"/>
    <s v="478.404.448-57"/>
    <n v="69477"/>
    <n v="406"/>
    <d v="2013-04-01T00:00:00"/>
    <s v="SP"/>
    <n v="16427448588"/>
    <m/>
    <m/>
    <m/>
    <m/>
    <m/>
    <m/>
    <m/>
    <m/>
    <m/>
    <x v="64"/>
    <n v="281"/>
    <n v="117"/>
    <s v="30/01/2018"/>
    <s v="SP"/>
    <n v="140873238541"/>
    <m/>
    <m/>
    <m/>
    <s v="AVENIDA ANDRE COSTA"/>
    <n v="1221"/>
    <m/>
    <s v="CHACARA MORADA MEDITERRANEA"/>
    <s v="JUNDIAÍ"/>
    <s v="SP"/>
    <s v="13214-730"/>
    <m/>
    <n v="11995830081"/>
    <m/>
    <n v="341"/>
    <n v="5909"/>
    <x v="6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VICEN"/>
    <n v="1"/>
    <s v="Sim"/>
  </r>
  <r>
    <n v="102020"/>
    <x v="65"/>
    <s v="Ativo"/>
    <s v="AD"/>
    <n v="30046270"/>
    <s v="Colaborador–M.O.Var"/>
    <s v="Horista"/>
    <s v="1DX"/>
    <s v="Duratex S.A."/>
    <n v="7"/>
    <s v="FÁB METAIS JUNDIAÍ"/>
    <n v="7"/>
    <s v="DECA"/>
    <s v="SIM"/>
    <s v="0007 - FÁB METAIS JUNDIAÍ"/>
    <s v="RICARDO DE SOUZA SANTOS"/>
    <s v="RICARDO"/>
    <n v="10001460"/>
    <s v="DVM-02"/>
    <s v="DVM-02 - GALVANO AUTOMATICA - MP"/>
    <s v="DXMP"/>
    <s v="DXGALAUT33"/>
    <s v="Galvan. Metal MP"/>
    <n v="10001461"/>
    <s v="DVM-02"/>
    <s v="DVM-02 - GALVANO DE PLASTICOS - MP"/>
    <s v="WELTON ANGELO DA SILVA"/>
    <n v="10000080"/>
    <s v="EQUIPE"/>
    <s v="EQUIPE"/>
    <n v="10000002"/>
    <s v="DECA"/>
    <s v="DIR IND DECA (METAIS)"/>
    <m/>
    <m/>
    <m/>
    <m/>
    <m/>
    <m/>
    <d v="2020-05-10T00:00:00"/>
    <n v="0"/>
    <m/>
    <d v="1979-04-08T00:00:00"/>
    <x v="17"/>
    <m/>
    <s v="brasileira"/>
    <s v="REMANSO"/>
    <s v="BA"/>
    <s v="BR"/>
    <s v="Não"/>
    <s v="M"/>
    <s v="Não"/>
    <m/>
    <s v="Casado"/>
    <s v="Pard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65"/>
    <m/>
    <s v="30/09/2013"/>
    <s v="SP"/>
    <s v="272.667.228-02"/>
    <n v="74893"/>
    <n v="267"/>
    <d v="2013-01-11T00:00:00"/>
    <s v="SP"/>
    <n v="12977275772"/>
    <m/>
    <m/>
    <m/>
    <m/>
    <m/>
    <m/>
    <m/>
    <m/>
    <m/>
    <x v="65"/>
    <n v="192"/>
    <n v="272"/>
    <s v="26/04/2000"/>
    <s v="SP"/>
    <n v="14546030"/>
    <m/>
    <m/>
    <m/>
    <s v="AVENIDA MONTREAL"/>
    <n v="240"/>
    <m/>
    <s v="PARQUE MONTREAL"/>
    <s v="FRANCO DA ROCHA"/>
    <s v="SP"/>
    <s v="07835-050"/>
    <m/>
    <n v="11977863451"/>
    <m/>
    <n v="341"/>
    <n v="10"/>
    <x v="6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NRICAR"/>
    <n v="1"/>
    <s v="Sim"/>
  </r>
  <r>
    <n v="102020"/>
    <x v="66"/>
    <s v="Ativo"/>
    <s v="AD"/>
    <n v="30046300"/>
    <s v="Colaborador–M.O.Fixa"/>
    <s v="Mensalista"/>
    <s v="1DX"/>
    <s v="Duratex S.A."/>
    <n v="1"/>
    <s v="ADM CENTRAL"/>
    <n v="1"/>
    <s v="CORPORATIVO"/>
    <s v="NAO"/>
    <s v="EC 0001 - 10º ANDAR"/>
    <s v="CARLOS EDUARDO SANTI"/>
    <s v="CARLOS"/>
    <n v="10008978"/>
    <s v="CAY-01"/>
    <s v="CAY-01  - MASTER DATA"/>
    <s v="DXEC"/>
    <s v="DXNDIGIT01"/>
    <s v="Ger Arq, In Dig e An"/>
    <n v="10008842"/>
    <s v="CBA-01"/>
    <s v="CBA-01 - GER  DATA &amp; ANALITYCS"/>
    <s v="ANDRE VILLAMAR PINHO"/>
    <n v="10000050"/>
    <s v="COORDENADOR"/>
    <s v="COORDENADOR"/>
    <n v="10000025"/>
    <s v="CORPORATIVO"/>
    <s v="DIR TI E NEGOCIOS DIGITAIS"/>
    <m/>
    <m/>
    <m/>
    <m/>
    <m/>
    <m/>
    <d v="2020-05-10T00:00:00"/>
    <n v="0"/>
    <m/>
    <d v="1972-06-07T00:00:00"/>
    <x v="29"/>
    <m/>
    <s v="brasileira"/>
    <s v="SAO PAULO"/>
    <s v="SP"/>
    <s v="BR"/>
    <s v="Não"/>
    <s v="M"/>
    <s v="Não"/>
    <m/>
    <s v="Marita"/>
    <s v="Branca"/>
    <s v="Superior completo"/>
    <m/>
    <n v="22003457"/>
    <s v="220/M"/>
    <s v="COORD DE MASTER DATA"/>
    <n v="212405"/>
    <s v="Admissão"/>
    <d v="2020-10-01T00:00:00"/>
    <s v="220,00"/>
    <m/>
    <s v="CBA-01"/>
    <s v="CTN-01"/>
    <s v="CSS-01"/>
    <m/>
    <s v="PRE-01"/>
    <s v="14.700,00"/>
    <s v="14.700,00"/>
    <s v="14.700,00"/>
    <s v="0,00"/>
    <s v="AV"/>
    <s v="ADM CENTRAL-220/M"/>
    <n v="25"/>
    <s v="GRS025GE"/>
    <d v="2020-10-01T00:00:00"/>
    <s v="Admissão"/>
    <s v="14.699,00"/>
    <s v="1469900,00"/>
    <n v="1"/>
    <m/>
    <s v="N"/>
    <x v="66"/>
    <m/>
    <d v="2018-10-08T00:00:00"/>
    <s v="SP"/>
    <s v="163.684.248-85"/>
    <n v="72726"/>
    <n v="117"/>
    <d v="1988-08-09T00:00:00"/>
    <s v="SP"/>
    <n v="12335726287"/>
    <m/>
    <m/>
    <m/>
    <m/>
    <m/>
    <m/>
    <m/>
    <m/>
    <m/>
    <x v="66"/>
    <n v="28"/>
    <n v="49"/>
    <s v="30/04/2012"/>
    <s v="SP"/>
    <m/>
    <m/>
    <m/>
    <m/>
    <s v="RUA DOS DEMOCRATAS"/>
    <n v="721"/>
    <m/>
    <s v="VILA MONTE ALEGRE"/>
    <s v="SÃO PAULO"/>
    <s v="SP"/>
    <s v="04305-000"/>
    <m/>
    <n v="11981559751"/>
    <m/>
    <n v="341"/>
    <n v="150"/>
    <x v="66"/>
    <m/>
    <m/>
    <m/>
    <s v="COORDENACAO"/>
    <s v="TI E NEGÓCIOS DIGITAIS"/>
    <s v="ADMINISTRATIVO"/>
    <s v="COORDENACAO"/>
    <s v="COORDENADOR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CARLOS.SANTI@DURATEX.COM.BR"/>
    <m/>
    <s v="CASANTI"/>
    <n v="1"/>
    <s v="Sim"/>
  </r>
  <r>
    <n v="102020"/>
    <x v="67"/>
    <s v="Ativo"/>
    <s v="AD"/>
    <n v="30046301"/>
    <s v="Colaborador–M.O.Fixa"/>
    <s v="Mensalista"/>
    <s v="1DX"/>
    <s v="Duratex S.A."/>
    <n v="1"/>
    <s v="ADM CENTRAL"/>
    <n v="1"/>
    <s v="CORPORATIVO"/>
    <s v="NAO"/>
    <s v="EC 0001 - TERRAÇO"/>
    <s v="FILIPE PEREIRA BASSETTO"/>
    <s v="FILIPE"/>
    <n v="10008976"/>
    <s v="CAL-01"/>
    <s v="CAL-01 - ANALITYCS"/>
    <s v="DXEC"/>
    <s v="DXNDIGIT01"/>
    <s v="Ger Arq, In Dig e An"/>
    <n v="10008842"/>
    <s v="CBA-01"/>
    <s v="CBA-01 - GER  DATA &amp; ANALITYCS"/>
    <s v="ANDRE VILLAMAR PINHO"/>
    <n v="10000050"/>
    <s v="COORDENADOR"/>
    <s v="COORDENADOR"/>
    <n v="10000025"/>
    <s v="CORPORATIVO"/>
    <s v="DIR TI E NEGOCIOS DIGITAIS"/>
    <m/>
    <m/>
    <m/>
    <m/>
    <m/>
    <m/>
    <d v="2020-05-10T00:00:00"/>
    <n v="0"/>
    <m/>
    <s v="18/02/1982"/>
    <x v="6"/>
    <m/>
    <s v="brasileira"/>
    <s v="SAO BERNARDO DO CAMPO"/>
    <s v="SP"/>
    <s v="BR"/>
    <s v="Não"/>
    <s v="M"/>
    <s v="Não"/>
    <m/>
    <s v="Solt."/>
    <s v="Branca"/>
    <s v="Superior completo"/>
    <m/>
    <n v="22003456"/>
    <s v="220/M"/>
    <s v="COORD DE ANALYTICS"/>
    <n v="212405"/>
    <s v="Admissão"/>
    <d v="2020-10-01T00:00:00"/>
    <s v="220,00"/>
    <m/>
    <s v="CBA-01"/>
    <s v="CTN-01"/>
    <s v="CSS-01"/>
    <m/>
    <s v="PRE-01"/>
    <s v="13.500,00"/>
    <s v="13.500,00"/>
    <s v="13.500,00"/>
    <s v="0,00"/>
    <s v="AV"/>
    <s v="ADM CENTRAL-220/M"/>
    <n v="25"/>
    <s v="GRS025GE"/>
    <d v="2020-10-01T00:00:00"/>
    <s v="Admissão"/>
    <s v="13.499,00"/>
    <s v="1349900,00"/>
    <n v="1"/>
    <m/>
    <s v="N"/>
    <x v="67"/>
    <m/>
    <s v="16/12/2019"/>
    <s v="SP"/>
    <s v="221.664.318-10"/>
    <n v="3395"/>
    <n v="267"/>
    <d v="1999-01-09T00:00:00"/>
    <s v="SP"/>
    <n v="13266303813"/>
    <m/>
    <m/>
    <m/>
    <m/>
    <m/>
    <m/>
    <m/>
    <m/>
    <m/>
    <x v="67"/>
    <n v="284"/>
    <n v="64"/>
    <s v="17/08/1999"/>
    <s v="SP"/>
    <n v="4029296921"/>
    <m/>
    <m/>
    <m/>
    <s v="RUA DAS MERCEDES  VL CAM MAR"/>
    <n v="83"/>
    <m/>
    <s v="RUDGE RAMOS"/>
    <s v="SÃO BERNARDO DO CAMPO"/>
    <s v="SP"/>
    <s v="09619-120"/>
    <m/>
    <n v="11991119382"/>
    <m/>
    <n v="341"/>
    <n v="6466"/>
    <x v="67"/>
    <m/>
    <m/>
    <m/>
    <s v="COORDENACAO"/>
    <s v="TI E NEGÓCIOS DIGITAIS"/>
    <s v="ADMINISTRATIVO"/>
    <s v="COORDENACAO"/>
    <s v="COORDENADOR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FILIPE.BASSETTO@DURATEX.COM.BR"/>
    <m/>
    <s v="FBASSETT"/>
    <n v="1"/>
    <s v="Sim"/>
  </r>
  <r>
    <n v="102020"/>
    <x v="68"/>
    <s v="Ativo"/>
    <s v="AD"/>
    <n v="30046284"/>
    <s v="Colaborador–M.O.Fixa"/>
    <s v="Horista"/>
    <s v="1DX"/>
    <s v="Duratex S.A."/>
    <n v="7"/>
    <s v="FÁB METAIS JUNDIAÍ"/>
    <n v="7"/>
    <s v="DECA"/>
    <s v="SIM"/>
    <s v="0007 - FÁB METAIS JUNDIAÍ"/>
    <s v="FABIO TENORIO DE SOUSA"/>
    <s v="FABIO"/>
    <n v="10001036"/>
    <s v="DPM-02"/>
    <s v="DPM-02 - ALMOXARIFADOS - MP"/>
    <s v="DXMP"/>
    <s v="DXALMOXA33"/>
    <s v="Almoxarifado"/>
    <n v="10001038"/>
    <s v="DPM-03"/>
    <s v="DPM-03 - ALMOXARIFADOS - MP"/>
    <s v="ESTELA MARIA DE CASTRO BONOMI"/>
    <n v="10000080"/>
    <s v="EQUIPE"/>
    <s v="EQUIPE"/>
    <n v="10000002"/>
    <s v="DECA"/>
    <s v="DIR IND DECA (METAIS)"/>
    <m/>
    <m/>
    <m/>
    <m/>
    <m/>
    <m/>
    <d v="2020-05-10T00:00:00"/>
    <n v="0"/>
    <m/>
    <s v="15/06/1995"/>
    <x v="4"/>
    <m/>
    <s v="brasileira"/>
    <s v="SUZANO"/>
    <s v="SP"/>
    <s v="BR"/>
    <s v="Não"/>
    <s v="M"/>
    <s v="Não"/>
    <m/>
    <s v="Solt."/>
    <s v="Parda"/>
    <s v="Colegial completo"/>
    <m/>
    <n v="22000223"/>
    <s v="220/H"/>
    <s v="AUX ALMOXARIFADO"/>
    <n v="4141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4"/>
    <s v="GRS014OP"/>
    <d v="2020-10-01T00:00:00"/>
    <s v="Admissão"/>
    <s v="1.796,40"/>
    <s v="179640,00"/>
    <n v="1"/>
    <m/>
    <s v="N"/>
    <x v="68"/>
    <m/>
    <s v="16/05/2014"/>
    <s v="SP"/>
    <s v="443.184.928-93"/>
    <n v="97679"/>
    <n v="351"/>
    <s v="13/03/2015"/>
    <s v="SP"/>
    <n v="20742527764"/>
    <m/>
    <m/>
    <m/>
    <m/>
    <m/>
    <m/>
    <m/>
    <m/>
    <m/>
    <x v="68"/>
    <n v="367"/>
    <n v="126"/>
    <d v="2018-10-04T00:00:00"/>
    <s v="SP"/>
    <n v="140552354593"/>
    <m/>
    <m/>
    <m/>
    <s v="RUA LONGUINHO DA SILVA FARIA"/>
    <n v="70"/>
    <m/>
    <s v="JARDIM ROSA"/>
    <s v="FRANCISCO MORATO"/>
    <s v="SP"/>
    <s v="07991-170"/>
    <m/>
    <n v="11989806114"/>
    <m/>
    <n v="341"/>
    <n v="6511"/>
    <x v="68"/>
    <m/>
    <m/>
    <m/>
    <s v="ADMINISTRATIVO"/>
    <s v="PLANEJAMENTO LOGISTICA E PCP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ABISOUS"/>
    <n v="1"/>
    <s v="Sim"/>
  </r>
  <r>
    <n v="102020"/>
    <x v="69"/>
    <s v="Ativo"/>
    <s v="AD"/>
    <n v="30046066"/>
    <s v="Colaborador–M.O.Var"/>
    <s v="Mensalista"/>
    <s v="1DX"/>
    <s v="Duratex S.A."/>
    <n v="11"/>
    <s v="FÁB LOUÇAS RECIFE"/>
    <n v="11"/>
    <s v="DECA"/>
    <s v="SIM"/>
    <s v="0011 - FÁB LOUÇAS RECIFE"/>
    <s v="EZEQUIAS GAUDENCIO DA SILVA"/>
    <s v="EZEQUIAS"/>
    <n v="10001334"/>
    <s v="DRR-02"/>
    <s v="DRR-02 - ESMALTACAO CONVENCIONAL - LR"/>
    <s v="DXLR"/>
    <s v="DXESMALT65"/>
    <s v="Esmalt. Convencional"/>
    <n v="10001333"/>
    <s v="DRR-01"/>
    <s v="DRR-01 - INSPEC/ESMAL/FOR/REQ – LR"/>
    <s v="IGOR ERICKSON DE OLIVEIRA RODRIGUES"/>
    <n v="10000059"/>
    <s v="SUPERVISOR"/>
    <s v="SUPERVISOR"/>
    <n v="10000017"/>
    <s v="DECA"/>
    <s v="DIR IND DECA (LOUCAS)"/>
    <m/>
    <m/>
    <m/>
    <m/>
    <m/>
    <m/>
    <d v="2020-05-10T00:00:00"/>
    <n v="0"/>
    <m/>
    <s v="21/03/1990"/>
    <x v="30"/>
    <m/>
    <s v="brasileira"/>
    <s v="PALMARES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69"/>
    <m/>
    <s v="31/01/2014"/>
    <s v="PE"/>
    <s v="097.559.294-79"/>
    <n v="70157"/>
    <n v="60"/>
    <d v="2018-11-01T00:00:00"/>
    <s v="PE"/>
    <n v="20004895600"/>
    <m/>
    <m/>
    <m/>
    <m/>
    <m/>
    <m/>
    <m/>
    <m/>
    <m/>
    <x v="69"/>
    <n v="121"/>
    <n v="197"/>
    <d v="2018-12-01T00:00:00"/>
    <s v="PE"/>
    <n v="320000290619"/>
    <m/>
    <m/>
    <m/>
    <s v="RUA N SRA DO CARMO"/>
    <n v="16"/>
    <m/>
    <s v="PONTEZINHA"/>
    <s v="CABO DE SANTO AGOSTINHO"/>
    <s v="PE"/>
    <s v="54589-220"/>
    <m/>
    <n v="81986864791"/>
    <m/>
    <n v="341"/>
    <n v="6318"/>
    <x v="6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ZEQUISI"/>
    <n v="1"/>
    <s v="Sim"/>
  </r>
  <r>
    <n v="102020"/>
    <x v="70"/>
    <s v="Ativo"/>
    <s v="AD"/>
    <n v="30046067"/>
    <s v="Colaborador–M.O.Var"/>
    <s v="Mensalista"/>
    <s v="1DX"/>
    <s v="Duratex S.A."/>
    <n v="11"/>
    <s v="FÁB LOUÇAS RECIFE"/>
    <n v="11"/>
    <s v="DECA"/>
    <s v="SIM"/>
    <s v="0011 - FÁB LOUÇAS RECIFE"/>
    <s v="CLEYTON FAGNER FERREIRA DA SILVA"/>
    <s v="CLEYTON"/>
    <n v="10001334"/>
    <s v="DRR-02"/>
    <s v="DRR-02 - ESMALTACAO CONVENCIONAL - LR"/>
    <s v="DXLR"/>
    <s v="DXESMALT65"/>
    <s v="Esmalt. Convencional"/>
    <n v="10001333"/>
    <s v="DRR-01"/>
    <s v="DRR-01 - INSPEC/ESMAL/FOR/REQ – LR"/>
    <s v="IGOR ERICKSON DE OLIVEIRA RODRIGUES"/>
    <n v="10000059"/>
    <s v="SUPERVISOR"/>
    <s v="SUPERVISOR"/>
    <n v="10000017"/>
    <s v="DECA"/>
    <s v="DIR IND DECA (LOUCAS)"/>
    <m/>
    <m/>
    <m/>
    <m/>
    <m/>
    <m/>
    <d v="2020-05-10T00:00:00"/>
    <n v="0"/>
    <m/>
    <s v="16/10/1993"/>
    <x v="16"/>
    <m/>
    <s v="brasileira"/>
    <s v="CABO DE SANTO AGOSTINHO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70"/>
    <m/>
    <s v="16/06/2011"/>
    <s v="PE"/>
    <s v="109.418.464-07"/>
    <n v="96234"/>
    <n v="106"/>
    <s v="21/06/2011"/>
    <s v="PE"/>
    <n v="20068488372"/>
    <m/>
    <m/>
    <m/>
    <m/>
    <m/>
    <m/>
    <m/>
    <m/>
    <m/>
    <x v="70"/>
    <n v="121"/>
    <n v="211"/>
    <d v="2018-09-03T00:00:00"/>
    <s v="PE"/>
    <n v="210753292940"/>
    <m/>
    <m/>
    <m/>
    <s v="RUA NOSSA SENHORA DO CARMO"/>
    <n v="169"/>
    <m/>
    <s v="SANTO AGOSTINHO"/>
    <s v="CABO DE SANTO AGOSTINHO"/>
    <s v="PE"/>
    <s v="54590-000"/>
    <m/>
    <n v="81988834728"/>
    <m/>
    <n v="341"/>
    <n v="6999"/>
    <x v="7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LEYTOSI"/>
    <n v="1"/>
    <s v="Sim"/>
  </r>
  <r>
    <n v="102020"/>
    <x v="71"/>
    <s v="Ativo"/>
    <s v="AD"/>
    <n v="30046065"/>
    <s v="Colaborador–M.O.Var"/>
    <s v="Mensalista"/>
    <s v="1DX"/>
    <s v="Duratex S.A."/>
    <n v="11"/>
    <s v="FÁB LOUÇAS RECIFE"/>
    <n v="11"/>
    <s v="DECA"/>
    <s v="SIM"/>
    <s v="0011 - FÁB LOUÇAS RECIFE"/>
    <s v="ALYSSON DEGLES ALMEIDA DA PAIXAO"/>
    <s v="ALYSSON"/>
    <n v="10001354"/>
    <s v="DRR-03"/>
    <s v="DRR-03 - FORNOS - LR"/>
    <s v="DXLR"/>
    <s v="DXFORNOS65"/>
    <s v="Fornos"/>
    <n v="10001333"/>
    <s v="DRR-01"/>
    <s v="DRR-01 - INSPEC/ESMAL/FOR/REQ – LR"/>
    <s v="AIRTON ARAUJO CARDOSO DE OLIVEIRA"/>
    <n v="10000059"/>
    <s v="SUPERVISOR"/>
    <s v="SUPERVISOR"/>
    <n v="10000017"/>
    <s v="DECA"/>
    <s v="DIR IND DECA (LOUCAS)"/>
    <m/>
    <m/>
    <m/>
    <m/>
    <m/>
    <m/>
    <d v="2020-05-10T00:00:00"/>
    <n v="0"/>
    <m/>
    <s v="21/07/1992"/>
    <x v="11"/>
    <m/>
    <s v="brasileira"/>
    <s v="RECIFE"/>
    <s v="PE"/>
    <s v="BR"/>
    <s v="Não"/>
    <s v="M"/>
    <s v="Não"/>
    <m/>
    <s v="Casado"/>
    <s v="Negra"/>
    <s v="Analfab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71"/>
    <m/>
    <d v="2009-10-08T00:00:00"/>
    <s v="PE"/>
    <s v="110.707.874-18"/>
    <n v="3359"/>
    <n v="102"/>
    <d v="2010-10-05T00:00:00"/>
    <s v="PE"/>
    <n v="13979426601"/>
    <m/>
    <m/>
    <m/>
    <m/>
    <m/>
    <m/>
    <m/>
    <m/>
    <m/>
    <x v="71"/>
    <n v="5"/>
    <n v="251"/>
    <s v="22/01/2014"/>
    <s v="PE"/>
    <n v="210782911817"/>
    <m/>
    <m/>
    <m/>
    <s v="RUA JOAO CARNEIRO DA CUNHA"/>
    <n v="29"/>
    <m/>
    <s v="VARZEA"/>
    <s v="RECIFE"/>
    <s v="PE"/>
    <s v="50970-200"/>
    <m/>
    <n v="81983186202"/>
    <m/>
    <n v="341"/>
    <n v="6999"/>
    <x v="7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PAIXAO"/>
    <n v="1"/>
    <s v="Sim"/>
  </r>
  <r>
    <n v="102020"/>
    <x v="72"/>
    <s v="Ativo"/>
    <s v="AD"/>
    <n v="30046069"/>
    <s v="Colaborador–M.O.Var"/>
    <s v="Mensalista"/>
    <s v="1DX"/>
    <s v="Duratex S.A."/>
    <n v="11"/>
    <s v="FÁB LOUÇAS RECIFE"/>
    <n v="11"/>
    <s v="DECA"/>
    <s v="SIM"/>
    <s v="0011 - FÁB LOUÇAS RECIFE"/>
    <s v="GILDERLAN DENIS SILVA"/>
    <s v="GILDERLAN"/>
    <n v="10001354"/>
    <s v="DRR-03"/>
    <s v="DRR-03 - FORNOS - LR"/>
    <s v="DXLR"/>
    <s v="DXFORNOS65"/>
    <s v="Fornos"/>
    <n v="10001333"/>
    <s v="DRR-01"/>
    <s v="DRR-01 - INSPEC/ESMAL/FOR/REQ – LR"/>
    <s v="AIRTON ARAUJO CARDOSO DE OLIVEIRA"/>
    <n v="10000059"/>
    <s v="SUPERVISOR"/>
    <s v="SUPERVISOR"/>
    <n v="10000017"/>
    <s v="DECA"/>
    <s v="DIR IND DECA (LOUCAS)"/>
    <m/>
    <m/>
    <m/>
    <m/>
    <m/>
    <m/>
    <d v="2020-05-10T00:00:00"/>
    <n v="0"/>
    <m/>
    <s v="16/12/1990"/>
    <x v="27"/>
    <m/>
    <s v="brasileira"/>
    <s v="CABO DE SANTO AGOSTINHO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72"/>
    <m/>
    <d v="2019-04-02T00:00:00"/>
    <s v="PE"/>
    <s v="099.156.584-35"/>
    <n v="32050"/>
    <n v="85"/>
    <d v="2006-09-08T00:00:00"/>
    <s v="PE"/>
    <n v="19036854981"/>
    <m/>
    <m/>
    <m/>
    <m/>
    <m/>
    <m/>
    <m/>
    <m/>
    <m/>
    <x v="72"/>
    <n v="121"/>
    <n v="74"/>
    <s v="21/02/2018"/>
    <s v="PE"/>
    <n v="210022448570"/>
    <m/>
    <m/>
    <m/>
    <s v="RUA EUNICE SEVERINA DA SILVA"/>
    <n v="238"/>
    <m/>
    <s v="VILA CLAUDETE"/>
    <s v="CABO DE SANTO AGOSTINHO"/>
    <s v="PE"/>
    <s v="54519-160"/>
    <m/>
    <n v="81982989137"/>
    <m/>
    <n v="341"/>
    <n v="1737"/>
    <x v="7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ILDERSI"/>
    <n v="1"/>
    <s v="Sim"/>
  </r>
  <r>
    <n v="102020"/>
    <x v="73"/>
    <s v="Ativo"/>
    <s v="AD"/>
    <n v="30046071"/>
    <s v="Colaborador–M.O.Var"/>
    <s v="Mensalista"/>
    <s v="1DX"/>
    <s v="Duratex S.A."/>
    <n v="11"/>
    <s v="FÁB LOUÇAS RECIFE"/>
    <n v="11"/>
    <s v="DECA"/>
    <s v="SIM"/>
    <s v="0011 - FÁB LOUÇAS RECIFE"/>
    <s v="JACKSON ANTONIO ALVES"/>
    <s v="JACKSON"/>
    <n v="10001354"/>
    <s v="DRR-03"/>
    <s v="DRR-03 - FORNOS - LR"/>
    <s v="DXLR"/>
    <s v="DXFORNOS65"/>
    <s v="Fornos"/>
    <n v="10001333"/>
    <s v="DRR-01"/>
    <s v="DRR-01 - INSPEC/ESMAL/FOR/REQ – LR"/>
    <s v="AIRTON ARAUJO CARDOSO DE OLIVEIRA"/>
    <n v="10000059"/>
    <s v="SUPERVISOR"/>
    <s v="SUPERVISOR"/>
    <n v="10000017"/>
    <s v="DECA"/>
    <s v="DIR IND DECA (LOUCAS)"/>
    <m/>
    <m/>
    <m/>
    <m/>
    <m/>
    <m/>
    <d v="2020-05-10T00:00:00"/>
    <n v="0"/>
    <m/>
    <s v="23/11/1982"/>
    <x v="31"/>
    <m/>
    <s v="brasileira"/>
    <s v="JABOATAO DOS GUARARAPES"/>
    <s v="PE"/>
    <s v="BR"/>
    <s v="Não"/>
    <s v="M"/>
    <s v="Não"/>
    <m/>
    <s v="Casado"/>
    <s v="Amarel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73"/>
    <m/>
    <d v="2009-05-06T00:00:00"/>
    <s v="PE"/>
    <s v="047.106.324-05"/>
    <n v="2969"/>
    <n v="72"/>
    <d v="2007-06-11T00:00:00"/>
    <s v="PE"/>
    <n v="20913480406"/>
    <m/>
    <m/>
    <m/>
    <m/>
    <m/>
    <m/>
    <m/>
    <m/>
    <m/>
    <x v="73"/>
    <n v="15"/>
    <n v="150"/>
    <s v="27/04/2017"/>
    <s v="PE"/>
    <n v="725389"/>
    <m/>
    <m/>
    <m/>
    <s v="RUA VINTE E OITO"/>
    <n v="84"/>
    <m/>
    <s v="SAO FRANCISCO"/>
    <s v="CABO DE SANTO AGOSTINHO"/>
    <s v="PE"/>
    <s v="54530-110"/>
    <m/>
    <n v="81985488846"/>
    <m/>
    <n v="341"/>
    <n v="6999"/>
    <x v="7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ACKALVE"/>
    <n v="1"/>
    <s v="Sim"/>
  </r>
  <r>
    <n v="102020"/>
    <x v="74"/>
    <s v="Ativo"/>
    <s v="AD"/>
    <n v="30046277"/>
    <s v="Colaborador–M.O.Var"/>
    <s v="Mensalista"/>
    <s v="1DX"/>
    <s v="Duratex S.A."/>
    <n v="11"/>
    <s v="FÁB LOUÇAS RECIFE"/>
    <n v="11"/>
    <s v="DECA"/>
    <s v="SIM"/>
    <s v="0011 - FÁB LOUÇAS RECIFE"/>
    <s v="ALCEBIADES MANOEL DOS SANTOS"/>
    <s v="ALCEBIADES"/>
    <n v="10001354"/>
    <s v="DRR-03"/>
    <s v="DRR-03 - FORNOS - LR"/>
    <s v="DXLR"/>
    <s v="DXFORNOS65"/>
    <s v="Fornos"/>
    <n v="10001333"/>
    <s v="DRR-01"/>
    <s v="DRR-01 - INSPEC/ESMAL/FOR/REQ – LR"/>
    <s v="AIRTON ARAUJO CARDOSO DE OLIVEIRA"/>
    <n v="10000059"/>
    <s v="SUPERVISOR"/>
    <s v="SUPERVISOR"/>
    <n v="10000017"/>
    <s v="DECA"/>
    <s v="DIR IND DECA (LOUCAS)"/>
    <m/>
    <m/>
    <m/>
    <m/>
    <m/>
    <m/>
    <d v="2020-05-10T00:00:00"/>
    <n v="0"/>
    <m/>
    <d v="1985-03-11T00:00:00"/>
    <x v="3"/>
    <m/>
    <s v="brasileira"/>
    <s v="CABO DE SANTO AGOSTINHO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74"/>
    <m/>
    <s v="13/11/2002"/>
    <s v="PE"/>
    <s v="057.395.884-05"/>
    <n v="43736"/>
    <n v="76"/>
    <d v="2013-01-10T00:00:00"/>
    <s v="PE"/>
    <n v="13582768456"/>
    <m/>
    <m/>
    <m/>
    <m/>
    <m/>
    <m/>
    <m/>
    <m/>
    <m/>
    <x v="74"/>
    <n v="121"/>
    <n v="163"/>
    <s v="29/03/2017"/>
    <s v="PE"/>
    <n v="157656"/>
    <m/>
    <m/>
    <m/>
    <s v="RUA RUA VINTE E UM"/>
    <n v="80"/>
    <m/>
    <s v="PONTE DOS CARVALHOS"/>
    <s v="CABO DE SANTO AGOSTINHO"/>
    <s v="PE"/>
    <s v="50000-000"/>
    <m/>
    <n v="81986202162"/>
    <m/>
    <n v="341"/>
    <n v="6999"/>
    <x v="7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CESANT"/>
    <n v="1"/>
    <s v="Sim"/>
  </r>
  <r>
    <n v="102020"/>
    <x v="75"/>
    <s v="Ativo"/>
    <s v="AD"/>
    <n v="30046278"/>
    <s v="Colaborador–M.O.Var"/>
    <s v="Mensalista"/>
    <s v="1DX"/>
    <s v="Duratex S.A."/>
    <n v="11"/>
    <s v="FÁB LOUÇAS RECIFE"/>
    <n v="11"/>
    <s v="DECA"/>
    <s v="SIM"/>
    <s v="0011 - FÁB LOUÇAS RECIFE"/>
    <s v="ADRIANO LUIZ DE FRANCA"/>
    <s v="ADRIANO"/>
    <n v="10001354"/>
    <s v="DRR-03"/>
    <s v="DRR-03 - FORNOS - LR"/>
    <s v="DXLR"/>
    <s v="DXFORNOS65"/>
    <s v="Fornos"/>
    <n v="10001333"/>
    <s v="DRR-01"/>
    <s v="DRR-01 - INSPEC/ESMAL/FOR/REQ – LR"/>
    <s v="AIRTON ARAUJO CARDOSO DE OLIVEIRA"/>
    <n v="10000059"/>
    <s v="SUPERVISOR"/>
    <s v="SUPERVISOR"/>
    <n v="10000017"/>
    <s v="DECA"/>
    <s v="DIR IND DECA (LOUCAS)"/>
    <m/>
    <m/>
    <m/>
    <m/>
    <m/>
    <m/>
    <d v="2020-05-10T00:00:00"/>
    <n v="0"/>
    <m/>
    <s v="13/04/1990"/>
    <x v="30"/>
    <m/>
    <s v="brasileira"/>
    <s v="ESCADA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75"/>
    <m/>
    <d v="2014-02-04T00:00:00"/>
    <s v="PE"/>
    <s v="099.472.264-84"/>
    <n v="3082133"/>
    <n v="60"/>
    <d v="2018-12-11T00:00:00"/>
    <s v="PE"/>
    <n v="20041991693"/>
    <m/>
    <m/>
    <m/>
    <m/>
    <m/>
    <m/>
    <m/>
    <m/>
    <m/>
    <x v="75"/>
    <n v="15"/>
    <n v="79"/>
    <d v="2017-08-11T00:00:00"/>
    <s v="PE"/>
    <n v="210022449966"/>
    <m/>
    <m/>
    <m/>
    <s v="RUA JOAO MIGUEL DOS SANTOS"/>
    <n v="26"/>
    <m/>
    <s v="SAO FRANCISCO"/>
    <s v="CABO DE SANTO AGOSTINHO"/>
    <s v="PE"/>
    <s v="54530-040"/>
    <m/>
    <n v="81985914982"/>
    <m/>
    <n v="341"/>
    <n v="6999"/>
    <x v="7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DRFRANC"/>
    <n v="1"/>
    <s v="Sim"/>
  </r>
  <r>
    <n v="102020"/>
    <x v="76"/>
    <s v="Ativo"/>
    <s v="AD"/>
    <n v="30047225"/>
    <s v="Colaborador–M.O.Var"/>
    <s v="Mensalista"/>
    <s v="1DX"/>
    <s v="Duratex S.A."/>
    <n v="9"/>
    <s v="FÁB LOUÇAS JUNDIAÍ I"/>
    <n v="9"/>
    <s v="DECA"/>
    <s v="SIM"/>
    <s v="0009 - FÁB LOUÇAS JUNDIAÍ I"/>
    <s v="DAVID JONATAS MACHADO"/>
    <s v="DAVID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s v="14/06/1994"/>
    <x v="2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76"/>
    <m/>
    <s v="16/08/2010"/>
    <s v="SP"/>
    <s v="442.164.398-02"/>
    <n v="81735"/>
    <n v="396"/>
    <s v="29/12/2011"/>
    <s v="SP"/>
    <n v="15673562121"/>
    <m/>
    <m/>
    <m/>
    <m/>
    <m/>
    <m/>
    <m/>
    <m/>
    <m/>
    <x v="76"/>
    <n v="281"/>
    <n v="370"/>
    <s v="19/10/2011"/>
    <s v="SP"/>
    <n v="140873067049"/>
    <m/>
    <m/>
    <m/>
    <s v="RUA DANIEL MONTOVANI"/>
    <n v="294"/>
    <m/>
    <s v="JARDIM CACULA"/>
    <s v="JUNDIAÍ"/>
    <s v="SP"/>
    <s v="13218-582"/>
    <m/>
    <n v="11943369594"/>
    <m/>
    <n v="341"/>
    <n v="26"/>
    <x v="7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AMACHAD"/>
    <n v="1"/>
    <s v="Sim"/>
  </r>
  <r>
    <n v="102020"/>
    <x v="77"/>
    <s v="Ativo"/>
    <s v="AD"/>
    <n v="30046072"/>
    <s v="Colaborador–M.O.Var"/>
    <s v="Mensalista"/>
    <s v="1DX"/>
    <s v="Duratex S.A."/>
    <n v="11"/>
    <s v="FÁB LOUÇAS RECIFE"/>
    <n v="11"/>
    <s v="DECA"/>
    <s v="SIM"/>
    <s v="0011 - FÁB LOUÇAS RECIFE"/>
    <s v="VALDIR ANTAO ALVES"/>
    <s v="VALDIR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5-10T00:00:00"/>
    <n v="0"/>
    <m/>
    <s v="24/07/1986"/>
    <x v="3"/>
    <m/>
    <s v="brasileira"/>
    <s v="ESCADA"/>
    <s v="PE"/>
    <s v="BR"/>
    <s v="Não"/>
    <s v="M"/>
    <s v="Não"/>
    <m/>
    <s v="Casado"/>
    <s v="Não Informado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77"/>
    <m/>
    <d v="2003-07-09T00:00:00"/>
    <s v="PE"/>
    <s v="065.801.414-50"/>
    <n v="36227"/>
    <n v="69"/>
    <s v="20/03/2002"/>
    <s v="PE"/>
    <n v="20343957692"/>
    <m/>
    <m/>
    <m/>
    <m/>
    <m/>
    <m/>
    <m/>
    <m/>
    <m/>
    <x v="77"/>
    <n v="19"/>
    <n v="57"/>
    <s v="22/07/2013"/>
    <s v="PE"/>
    <n v="210032098902"/>
    <m/>
    <m/>
    <m/>
    <s v="RUA R 21 DE ABRIL"/>
    <n v="142"/>
    <m/>
    <s v="SANTO ANTONIO"/>
    <s v="ESCADA"/>
    <s v="PE"/>
    <s v="55500-000"/>
    <m/>
    <n v="81989865875"/>
    <m/>
    <n v="341"/>
    <n v="1632"/>
    <x v="7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ALALVES"/>
    <n v="1"/>
    <s v="Sim"/>
  </r>
  <r>
    <n v="102020"/>
    <x v="78"/>
    <s v="Ativo"/>
    <s v="AD"/>
    <n v="30047230"/>
    <s v="Colaborador–M.O.Var"/>
    <s v="Mensalista"/>
    <s v="1DX"/>
    <s v="Duratex S.A."/>
    <n v="9"/>
    <s v="FÁB LOUÇAS JUNDIAÍ I"/>
    <n v="9"/>
    <s v="DECA"/>
    <s v="SIM"/>
    <s v="0009 - FÁB LOUÇAS JUNDIAÍ I"/>
    <s v="LUIS FERNANDO MARTINS"/>
    <s v="LUIS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s v="16/03/1990"/>
    <x v="30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78"/>
    <m/>
    <d v="2019-06-08T00:00:00"/>
    <s v="SP"/>
    <s v="391.877.038-90"/>
    <n v="22113"/>
    <n v="318"/>
    <s v="14/08/2019"/>
    <s v="SP"/>
    <n v="20342711320"/>
    <m/>
    <m/>
    <m/>
    <m/>
    <m/>
    <m/>
    <m/>
    <m/>
    <m/>
    <x v="78"/>
    <n v="65"/>
    <n v="255"/>
    <d v="2012-08-03T00:00:00"/>
    <s v="SP"/>
    <n v="140872928092"/>
    <m/>
    <m/>
    <m/>
    <s v="RUA PEDRO AUGUSTO DE OLIVEIRA"/>
    <n v="102"/>
    <m/>
    <s v="JARDIM SANTA GERTRUDES"/>
    <s v="JUNDIAÍ"/>
    <s v="SP"/>
    <s v="13205-370"/>
    <m/>
    <n v="11951721137"/>
    <m/>
    <n v="341"/>
    <n v="658"/>
    <x v="7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LUIS"/>
    <n v="1"/>
    <s v="Sim"/>
  </r>
  <r>
    <n v="102020"/>
    <x v="79"/>
    <s v="Ativo"/>
    <s v="AD"/>
    <n v="30041267"/>
    <s v="Colaborador–M.O.Var"/>
    <s v="Mensalista"/>
    <s v="1DX"/>
    <s v="Duratex S.A."/>
    <n v="9"/>
    <s v="FÁB LOUÇAS JUNDIAÍ I"/>
    <n v="9"/>
    <s v="DECA"/>
    <s v="SIM"/>
    <s v="0009 - FÁB LOUÇAS JUNDIAÍ I"/>
    <s v="ROBERTO PIEROZZI"/>
    <s v="ROBERTO"/>
    <n v="10001548"/>
    <s v="DCF-02"/>
    <s v="DCF-02 - FUNDICAO CONVENCIONAL - LJ I"/>
    <s v="DXLJ"/>
    <s v="DXCONVEN23"/>
    <s v="Fund. Convencional"/>
    <n v="10001539"/>
    <s v="DCF-01"/>
    <s v="DCF-01 - FUND MEC /CONV/ FC/ INSP - LJ I"/>
    <s v="WILIAN GERALDO DOS SANTOS"/>
    <n v="10000059"/>
    <s v="SUPERVISOR"/>
    <s v="SUPERVISOR"/>
    <n v="10000017"/>
    <s v="DECA"/>
    <s v="DIR IND DECA (LOUCAS)"/>
    <m/>
    <m/>
    <m/>
    <m/>
    <m/>
    <m/>
    <d v="2020-05-10T00:00:00"/>
    <n v="0"/>
    <m/>
    <d v="1998-07-10T00:00:00"/>
    <x v="28"/>
    <m/>
    <s v="brasileira"/>
    <s v="ITATIBA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79"/>
    <m/>
    <s v="20/03/2018"/>
    <s v="SP"/>
    <s v="476.103.088-70"/>
    <n v="6634"/>
    <n v="431"/>
    <s v="21/11/2014"/>
    <s v="SP"/>
    <n v="21289699811"/>
    <m/>
    <m/>
    <m/>
    <m/>
    <m/>
    <m/>
    <m/>
    <m/>
    <m/>
    <x v="79"/>
    <n v="424"/>
    <n v="70"/>
    <s v="19/11/2014"/>
    <s v="SP"/>
    <n v="140873236495"/>
    <m/>
    <m/>
    <m/>
    <s v="RUA ADELINO MARTINS"/>
    <n v="1865"/>
    <m/>
    <s v="TULIPAS"/>
    <s v="JUNDIAÍ"/>
    <s v="SP"/>
    <s v="13212-600"/>
    <m/>
    <n v="11966165554"/>
    <m/>
    <n v="341"/>
    <n v="1951"/>
    <x v="7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PIEROZZ"/>
    <n v="1"/>
    <s v="Sim"/>
  </r>
  <r>
    <n v="102020"/>
    <x v="80"/>
    <s v="Ativo"/>
    <s v="AD"/>
    <n v="30041268"/>
    <s v="Colaborador–M.O.Var"/>
    <s v="Mensalista"/>
    <s v="1DX"/>
    <s v="Duratex S.A."/>
    <n v="9"/>
    <s v="FÁB LOUÇAS JUNDIAÍ I"/>
    <n v="9"/>
    <s v="DECA"/>
    <s v="SIM"/>
    <s v="0009 - FÁB LOUÇAS JUNDIAÍ I"/>
    <s v="EDMILSON COSTA DA SILVA"/>
    <s v="EDMILSON"/>
    <n v="10001527"/>
    <s v="DCF-06"/>
    <s v="DCF-06 - FUNDICAO FIRECLAY - LJ I"/>
    <s v="DXLJ"/>
    <s v="DXFIRECL23"/>
    <s v="Fundição Fireclay"/>
    <n v="10002440"/>
    <s v="DCF-06"/>
    <s v="DCF-06 - FUNDICAO E ACABAMENTO - LJ I"/>
    <s v="DENILSON CARLOS ADRIANO"/>
    <n v="10000080"/>
    <s v="EQUIPE"/>
    <s v="EQUIPE"/>
    <n v="10000017"/>
    <s v="DECA"/>
    <s v="DIR IND DECA (LOUCAS)"/>
    <m/>
    <m/>
    <m/>
    <m/>
    <m/>
    <m/>
    <d v="2020-05-10T00:00:00"/>
    <n v="0"/>
    <m/>
    <s v="22/10/1972"/>
    <x v="29"/>
    <m/>
    <s v="brasileira"/>
    <s v="SAO BENTO DO UNA"/>
    <s v="PE"/>
    <s v="BR"/>
    <s v="Não"/>
    <s v="M"/>
    <s v="Não"/>
    <m/>
    <s v="Solt."/>
    <s v="Parda"/>
    <s v="Ginas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80"/>
    <m/>
    <d v="2017-08-11T00:00:00"/>
    <s v="SP"/>
    <s v="848.639.784-72"/>
    <n v="21728"/>
    <n v="34"/>
    <d v="1990-04-08T00:00:00"/>
    <s v="PE"/>
    <n v="12470185027"/>
    <m/>
    <m/>
    <m/>
    <m/>
    <m/>
    <m/>
    <m/>
    <m/>
    <m/>
    <x v="80"/>
    <n v="242"/>
    <n v="223"/>
    <s v="15/05/2017"/>
    <s v="SP"/>
    <m/>
    <m/>
    <m/>
    <m/>
    <s v="RUA RIO GRANDE DO NORTE"/>
    <n v="320"/>
    <m/>
    <s v="VILA POPULAR"/>
    <s v="VÁRZEA PAULISTA"/>
    <s v="SP"/>
    <s v="13225-202"/>
    <m/>
    <n v="11964612591"/>
    <m/>
    <n v="341"/>
    <n v="7649"/>
    <x v="8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DMILSSI"/>
    <n v="1"/>
    <s v="Sim"/>
  </r>
  <r>
    <n v="102020"/>
    <x v="81"/>
    <s v="Ativo"/>
    <s v="AD"/>
    <n v="30046074"/>
    <s v="Colaborador–M.O.Var"/>
    <s v="Mensalista"/>
    <s v="1DX"/>
    <s v="Duratex S.A."/>
    <n v="11"/>
    <s v="FÁB LOUÇAS RECIFE"/>
    <n v="11"/>
    <s v="DECA"/>
    <s v="SIM"/>
    <s v="0011 - FÁB LOUÇAS RECIFE"/>
    <s v="ELYMARIO CARLOS DE SOUZA BEZERRA"/>
    <s v="ELYMARIO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5-10T00:00:00"/>
    <n v="0"/>
    <m/>
    <d v="1989-01-10T00:00:00"/>
    <x v="12"/>
    <m/>
    <s v="brasileira"/>
    <s v="CABO DE SANTO AGOSTINHO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81"/>
    <m/>
    <d v="2006-10-05T00:00:00"/>
    <s v="PE"/>
    <s v="089.137.094-30"/>
    <n v="53612"/>
    <n v="84"/>
    <d v="2006-03-07T00:00:00"/>
    <s v="PE"/>
    <n v="20031602074"/>
    <m/>
    <m/>
    <m/>
    <m/>
    <m/>
    <m/>
    <m/>
    <m/>
    <m/>
    <x v="81"/>
    <n v="121"/>
    <n v="184"/>
    <d v="2017-03-08T00:00:00"/>
    <s v="PE"/>
    <n v="210022408079"/>
    <m/>
    <m/>
    <m/>
    <s v="RUA DA PURIFICACAO"/>
    <n v="73"/>
    <m/>
    <s v="PIRAPAMA"/>
    <s v="CABO DE SANTO AGOSTINHO"/>
    <s v="PE"/>
    <s v="54505-215"/>
    <m/>
    <n v="81988929126"/>
    <m/>
    <n v="341"/>
    <n v="478"/>
    <x v="8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LYBEZER"/>
    <n v="1"/>
    <s v="Sim"/>
  </r>
  <r>
    <n v="102020"/>
    <x v="82"/>
    <s v="Desligado"/>
    <s v="AD"/>
    <n v="99999999"/>
    <s v="Colaborador–M.O.Var"/>
    <s v="Mensalista"/>
    <s v="1DX"/>
    <s v="Duratex S.A."/>
    <n v="9"/>
    <s v="FÁB LOUÇAS JUNDIAÍ I"/>
    <n v="9"/>
    <s v="DECA"/>
    <s v="SIM"/>
    <s v="0009 - FÁB LOUÇAS JUNDIAÍ I"/>
    <s v="ALEX DO AMARAL NUNES"/>
    <s v="ALEX"/>
    <n v="10001527"/>
    <s v="DCF-06"/>
    <s v="DCF-06 - FUNDICAO FIRECLAY - LJ I"/>
    <s v="DXLJ"/>
    <s v="DXFIRECL23"/>
    <s v="Fundição Fireclay"/>
    <n v="10002440"/>
    <s v="DCF-06"/>
    <s v="DCF-06 - FUNDICAO E ACABAMENTO - LJ I"/>
    <s v="DENILSON CARLOS ADRIANO"/>
    <n v="10000080"/>
    <s v="EQUIPE"/>
    <s v="EQUIPE"/>
    <n v="10000017"/>
    <s v="DECA"/>
    <s v="DIR IND DECA (LOUCAS)"/>
    <m/>
    <m/>
    <m/>
    <m/>
    <m/>
    <m/>
    <d v="2020-05-10T00:00:00"/>
    <n v="0"/>
    <m/>
    <d v="1983-09-09T00:00:00"/>
    <x v="31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274,18"/>
    <s v="BH"/>
    <s v="LO JUNDIAÍ-220/M"/>
    <n v="13"/>
    <s v="GRS013OP"/>
    <d v="2020-10-01T00:00:00"/>
    <s v="Admissão"/>
    <s v="1.644,05"/>
    <s v="164405,00"/>
    <n v="1"/>
    <m/>
    <s v="N"/>
    <x v="82"/>
    <m/>
    <d v="2008-07-03T00:00:00"/>
    <s v="SP"/>
    <s v="229.771.068-20"/>
    <n v="93877"/>
    <n v="215"/>
    <d v="1998-10-03T00:00:00"/>
    <s v="SP"/>
    <n v="12691287264"/>
    <m/>
    <m/>
    <m/>
    <m/>
    <m/>
    <m/>
    <m/>
    <m/>
    <m/>
    <x v="82"/>
    <n v="65"/>
    <n v="515"/>
    <s v="23/04/2015"/>
    <s v="SP"/>
    <n v="140872653807"/>
    <m/>
    <m/>
    <m/>
    <s v="RUA ANTONIO BAGNE"/>
    <n v="12"/>
    <m/>
    <s v="PQ A P CHAVES"/>
    <s v="JUNDIAÍ"/>
    <s v="SP"/>
    <s v="13212-560"/>
    <m/>
    <n v="11971078165"/>
    <m/>
    <n v="341"/>
    <n v="1951"/>
    <x v="82"/>
    <d v="2020-09-10T00:00:00"/>
    <s v="PEDIDO DE DEMISSÃO AP DISPENS"/>
    <s v="INTERESSE DO FUNCIONÁRIO"/>
    <s v="OPERACIONAL"/>
    <s v="OPERACOES"/>
    <s v="TEC/ OPERACIONAL"/>
    <s v="OPERACIONAL"/>
    <s v="EQUIPE"/>
    <s v="274,18"/>
    <s v="0,00"/>
    <s v="0,00"/>
    <s v="0,00"/>
    <s v="0,00"/>
    <s v="0,00"/>
    <s v="0,00"/>
    <s v="0,00"/>
    <s v="0,00"/>
    <s v="274,18"/>
    <s v="274,18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3,17"/>
    <s v="0,00"/>
    <s v="0,00"/>
    <s v="0,00"/>
    <s v="0,00"/>
    <s v="0,00"/>
    <s v="0,00"/>
    <s v="0,00"/>
    <s v="0,00"/>
    <s v="0,00"/>
    <m/>
    <m/>
    <s v="ALENUNES"/>
    <n v="1"/>
    <s v="Sim"/>
  </r>
  <r>
    <n v="102020"/>
    <x v="83"/>
    <s v="Ativo"/>
    <s v="AD"/>
    <n v="30046276"/>
    <s v="Colaborador–M.O.Var"/>
    <s v="Mensalista"/>
    <s v="1DX"/>
    <s v="Duratex S.A."/>
    <n v="11"/>
    <s v="FÁB LOUÇAS RECIFE"/>
    <n v="11"/>
    <s v="DECA"/>
    <s v="SIM"/>
    <s v="0011 - FÁB LOUÇAS RECIFE"/>
    <s v="ECLESIO JOSE DE MELO"/>
    <s v="ECLESIO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5-10T00:00:00"/>
    <n v="0"/>
    <m/>
    <s v="19/02/1974"/>
    <x v="14"/>
    <m/>
    <s v="brasileira"/>
    <s v="RECIFE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83"/>
    <m/>
    <s v="25/01/1996"/>
    <s v="PE"/>
    <s v="856.059.054-49"/>
    <n v="72257"/>
    <n v="39"/>
    <d v="1992-08-01T00:00:00"/>
    <s v="PE"/>
    <n v="12682243454"/>
    <m/>
    <m/>
    <m/>
    <m/>
    <m/>
    <m/>
    <m/>
    <m/>
    <m/>
    <x v="83"/>
    <n v="118"/>
    <n v="69"/>
    <d v="2020-11-03T00:00:00"/>
    <s v="PE"/>
    <m/>
    <m/>
    <m/>
    <m/>
    <s v="RUA MANUEL ANTONIO CALHEIROS"/>
    <n v="1"/>
    <m/>
    <s v="CURADO"/>
    <s v="JABOATÃO DOS GUARARAPES"/>
    <s v="PE"/>
    <s v="54220-250"/>
    <m/>
    <n v="81987052340"/>
    <m/>
    <n v="341"/>
    <n v="6999"/>
    <x v="8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CMELO"/>
    <n v="1"/>
    <s v="Sim"/>
  </r>
  <r>
    <n v="102020"/>
    <x v="84"/>
    <s v="Ativo"/>
    <s v="AD"/>
    <n v="30041277"/>
    <s v="Colaborador–M.O.Var"/>
    <s v="Mensalista"/>
    <s v="1DX"/>
    <s v="Duratex S.A."/>
    <n v="9"/>
    <s v="FÁB LOUÇAS JUNDIAÍ I"/>
    <n v="9"/>
    <s v="DECA"/>
    <s v="SIM"/>
    <s v="0009 - FÁB LOUÇAS JUNDIAÍ I"/>
    <s v="KAUE ALEIXO RIBEIRO"/>
    <s v="KAUE"/>
    <n v="10001553"/>
    <s v="DCF-07"/>
    <s v="DCF-07 - FABRICA DE MOLDES GESSO - LJ I"/>
    <s v="DXLJ"/>
    <s v="DXMOLGES23"/>
    <s v="Fáb. Moldes Gesso"/>
    <n v="10001539"/>
    <s v="DCF-01"/>
    <s v="DCF-01 - FUND MEC /CONV/ FC/ INSP - LJ I"/>
    <s v="FABIO LUIZ DOS SANTOS"/>
    <n v="10000059"/>
    <s v="SUPERVISOR"/>
    <s v="SUPERVISOR"/>
    <n v="10000017"/>
    <s v="DECA"/>
    <s v="DIR IND DECA (LOUCAS)"/>
    <m/>
    <m/>
    <m/>
    <m/>
    <m/>
    <m/>
    <d v="2020-05-10T00:00:00"/>
    <n v="0"/>
    <m/>
    <s v="29/09/1999"/>
    <x v="13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84"/>
    <m/>
    <s v="28/02/2019"/>
    <s v="SP"/>
    <s v="424.977.308-65"/>
    <n v="25905"/>
    <n v="439"/>
    <d v="2015-11-08T00:00:00"/>
    <s v="SP"/>
    <n v="15105046092"/>
    <m/>
    <m/>
    <m/>
    <m/>
    <m/>
    <m/>
    <m/>
    <m/>
    <m/>
    <x v="84"/>
    <n v="281"/>
    <n v="140"/>
    <s v="28/02/2018"/>
    <s v="SP"/>
    <n v="140873262202"/>
    <m/>
    <m/>
    <m/>
    <s v="AVENIDA XISTO ARARIPE PARAISO"/>
    <n v="230"/>
    <m/>
    <s v="JARDIM PACAEMBU"/>
    <s v="JUNDIAÍ"/>
    <s v="SP"/>
    <s v="13218-230"/>
    <m/>
    <n v="11944530060"/>
    <m/>
    <n v="341"/>
    <n v="26"/>
    <x v="8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KARIBEIR"/>
    <n v="1"/>
    <s v="Sim"/>
  </r>
  <r>
    <n v="102020"/>
    <x v="85"/>
    <s v="Ativo"/>
    <s v="AD"/>
    <n v="30041280"/>
    <s v="Colaborador–M.O.Var"/>
    <s v="Mensalista"/>
    <s v="1DX"/>
    <s v="Duratex S.A."/>
    <n v="9"/>
    <s v="FÁB LOUÇAS JUNDIAÍ I"/>
    <n v="9"/>
    <s v="DECA"/>
    <s v="SIM"/>
    <s v="0009 - FÁB LOUÇAS JUNDIAÍ I"/>
    <s v="WANDERSON DE SOUSA SILVA"/>
    <s v="WANDERSON"/>
    <n v="10001527"/>
    <s v="DCF-06"/>
    <s v="DCF-06 - FUNDICAO FIRECLAY - LJ I"/>
    <s v="DXLJ"/>
    <s v="DXFIRECL23"/>
    <s v="Fundição Fireclay"/>
    <n v="10002440"/>
    <s v="DCF-06"/>
    <s v="DCF-06 - FUNDICAO E ACABAMENTO - LJ I"/>
    <s v="DENILSON CARLOS ADRIANO"/>
    <n v="10000080"/>
    <s v="EQUIPE"/>
    <s v="EQUIPE"/>
    <n v="10000017"/>
    <s v="DECA"/>
    <s v="DIR IND DECA (LOUCAS)"/>
    <m/>
    <m/>
    <m/>
    <m/>
    <m/>
    <m/>
    <d v="2020-05-10T00:00:00"/>
    <n v="0"/>
    <m/>
    <s v="19/02/2000"/>
    <x v="32"/>
    <m/>
    <s v="brasileira"/>
    <s v="LAGO VERDE"/>
    <s v="MA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85"/>
    <m/>
    <s v="26/09/2018"/>
    <s v="SP"/>
    <s v="083.542.323-95"/>
    <n v="528475"/>
    <n v="60"/>
    <d v="2018-04-07T00:00:00"/>
    <s v="MA"/>
    <n v="20719239081"/>
    <m/>
    <m/>
    <m/>
    <m/>
    <m/>
    <m/>
    <m/>
    <m/>
    <m/>
    <x v="85"/>
    <n v="66"/>
    <n v="16"/>
    <d v="2016-05-04T00:00:00"/>
    <s v="MA"/>
    <n v="320001771215"/>
    <m/>
    <m/>
    <m/>
    <s v="RUA JUNDIAI"/>
    <n v="1289"/>
    <m/>
    <s v="JARDIM PAULISTA"/>
    <s v="VÁRZEA PAULISTA"/>
    <s v="SP"/>
    <s v="13222-030"/>
    <m/>
    <n v="11949254525"/>
    <m/>
    <n v="341"/>
    <n v="2523"/>
    <x v="8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WANDERSS"/>
    <n v="1"/>
    <s v="Sim"/>
  </r>
  <r>
    <n v="102020"/>
    <x v="86"/>
    <s v="Ativo"/>
    <s v="AD"/>
    <n v="30042947"/>
    <s v="Colaborador–M.O.Var"/>
    <s v="Mensalista"/>
    <s v="1DX"/>
    <s v="Duratex S.A."/>
    <n v="11"/>
    <s v="FÁB LOUÇAS RECIFE"/>
    <n v="11"/>
    <s v="DECA"/>
    <s v="SIM"/>
    <s v="0011 - FÁB LOUÇAS RECIFE"/>
    <s v="ADILSON JOSE DOS SANTOS"/>
    <s v="ADILSON"/>
    <n v="10001350"/>
    <s v="DRR-07"/>
    <s v="DRR-07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d v="2020-05-10T00:00:00"/>
    <n v="0"/>
    <m/>
    <d v="1981-02-01T00:00:00"/>
    <x v="20"/>
    <m/>
    <s v="brasileira"/>
    <s v="CABO DE SANTO AGOSTINHO"/>
    <s v="PE"/>
    <s v="BR"/>
    <s v="Não"/>
    <s v="M"/>
    <s v="Não"/>
    <m/>
    <s v="Solt."/>
    <s v="Parda"/>
    <s v="Ginas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86"/>
    <m/>
    <d v="2001-06-04T00:00:00"/>
    <s v="PE"/>
    <s v="047.818.394-10"/>
    <n v="76657"/>
    <n v="62"/>
    <d v="1999-09-08T00:00:00"/>
    <s v="PE"/>
    <n v="13358777455"/>
    <m/>
    <m/>
    <m/>
    <m/>
    <m/>
    <m/>
    <m/>
    <m/>
    <m/>
    <x v="86"/>
    <n v="15"/>
    <n v="131"/>
    <d v="2017-01-12T00:00:00"/>
    <s v="PE"/>
    <n v="210022280916"/>
    <m/>
    <m/>
    <m/>
    <s v="RUA BEIJAFLOR"/>
    <n v="58"/>
    <m/>
    <s v="NOSSA SENHORA DO ROSARIO"/>
    <s v="CABO DE SANTO AGOSTINHO"/>
    <s v="PE"/>
    <s v="54520-655"/>
    <m/>
    <n v="81986924376"/>
    <m/>
    <n v="341"/>
    <n v="1737"/>
    <x v="8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ADILSO"/>
    <n v="1"/>
    <s v="Sim"/>
  </r>
  <r>
    <n v="102020"/>
    <x v="87"/>
    <s v="Ativo"/>
    <s v="AD"/>
    <n v="30043102"/>
    <s v="Colaborador–M.O.Var"/>
    <s v="Mensalista"/>
    <s v="1DX"/>
    <s v="Duratex S.A."/>
    <n v="11"/>
    <s v="FÁB LOUÇAS RECIFE"/>
    <n v="11"/>
    <s v="DECA"/>
    <s v="SIM"/>
    <s v="0011 - FÁB LOUÇAS RECIFE"/>
    <s v="ANDERSON LEILO DO NASCIMENTO"/>
    <s v="ANDERSON"/>
    <n v="10001350"/>
    <s v="DRR-07"/>
    <s v="DRR-07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d v="2020-05-10T00:00:00"/>
    <n v="0"/>
    <m/>
    <d v="1989-03-10T00:00:00"/>
    <x v="12"/>
    <m/>
    <s v="brasileira"/>
    <s v="CABO DE SANTO AGOSTINHO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87"/>
    <m/>
    <s v="23/09/2005"/>
    <s v="PE"/>
    <s v="082.655.884-45"/>
    <n v="35979"/>
    <n v="84"/>
    <s v="23/09/2005"/>
    <s v="PE"/>
    <n v="16104132465"/>
    <m/>
    <m/>
    <m/>
    <m/>
    <m/>
    <m/>
    <m/>
    <m/>
    <m/>
    <x v="87"/>
    <n v="15"/>
    <n v="92"/>
    <d v="2020-02-03T00:00:00"/>
    <s v="PE"/>
    <n v="210022432699"/>
    <m/>
    <m/>
    <m/>
    <s v="RUA SETE A"/>
    <n v="25"/>
    <m/>
    <s v="SAO FRANCISCO"/>
    <s v="CABO DE SANTO AGOSTINHO"/>
    <s v="PE"/>
    <s v="54530-230"/>
    <m/>
    <n v="81994475998"/>
    <m/>
    <n v="341"/>
    <n v="6999"/>
    <x v="8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NANDERSO"/>
    <n v="1"/>
    <s v="Sim"/>
  </r>
  <r>
    <n v="102020"/>
    <x v="88"/>
    <s v="Desligado"/>
    <s v="AD"/>
    <n v="99999999"/>
    <s v="Colaborador–M.O.Var"/>
    <s v="Mensalista"/>
    <s v="1DX"/>
    <s v="Duratex S.A."/>
    <n v="11"/>
    <s v="FÁB LOUÇAS RECIFE"/>
    <n v="11"/>
    <s v="DECA"/>
    <s v="SIM"/>
    <s v="0011 - FÁB LOUÇAS RECIFE"/>
    <s v="JONATHAN JOSE PRISCILO DA SILVA OLIVEIRA"/>
    <s v="JONATHAN"/>
    <n v="10001350"/>
    <s v="DRR-07"/>
    <s v="DRR-07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d v="2020-05-10T00:00:00"/>
    <n v="0"/>
    <m/>
    <d v="1988-08-07T00:00:00"/>
    <x v="9"/>
    <m/>
    <s v="brasileira"/>
    <s v="CABO DE SANTO AGOSTINHO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191,33"/>
    <s v="CS"/>
    <s v="LO RECIFE-220/M"/>
    <n v="13"/>
    <s v="GRS013OP"/>
    <d v="2020-10-01T00:00:00"/>
    <s v="Admissão"/>
    <s v="1.066,00"/>
    <s v="106600,00"/>
    <n v="1"/>
    <m/>
    <s v="N"/>
    <x v="88"/>
    <m/>
    <s v="29/09/2008"/>
    <s v="PE"/>
    <s v="100.266.554-03"/>
    <n v="13460"/>
    <n v="89"/>
    <s v="28/08/2009"/>
    <s v="PE"/>
    <n v="20308381674"/>
    <m/>
    <m/>
    <m/>
    <m/>
    <m/>
    <m/>
    <m/>
    <m/>
    <m/>
    <x v="88"/>
    <m/>
    <m/>
    <m/>
    <m/>
    <m/>
    <m/>
    <m/>
    <m/>
    <s v="RUA JOSE CLARINDO DE ALBUQUERQUE"/>
    <n v="168"/>
    <m/>
    <s v="MALAQUIAS"/>
    <s v="CABO DE SANTO AGOSTINHO"/>
    <s v="PE"/>
    <s v="54525-100"/>
    <m/>
    <n v="81988362302"/>
    <m/>
    <n v="341"/>
    <n v="478"/>
    <x v="88"/>
    <d v="2020-09-10T00:00:00"/>
    <s v="PEDIDO DEM. ANTES TERM CT"/>
    <s v="INTERESSE DO FUNCIONÁRIO"/>
    <s v="OPERACIONAL"/>
    <s v="OPERACOES"/>
    <s v="TEC/ OPERACIONAL"/>
    <s v="OPERACIONAL"/>
    <s v="EQUIPE"/>
    <s v="177,83"/>
    <s v="0,00"/>
    <s v="0,00"/>
    <s v="0,00"/>
    <s v="13,50"/>
    <s v="0,00"/>
    <s v="0,00"/>
    <s v="0,00"/>
    <s v="0,00"/>
    <s v="191,33"/>
    <s v="191,33"/>
    <s v="0,00"/>
    <s v="0,00"/>
    <s v="0,00"/>
    <s v="0,00"/>
    <s v="103,81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NATHOL"/>
    <n v="1"/>
    <s v="Sim"/>
  </r>
  <r>
    <n v="102020"/>
    <x v="89"/>
    <s v="Ativo"/>
    <s v="AD"/>
    <n v="30041281"/>
    <s v="Colaborador–M.O.Var"/>
    <s v="Mensalista"/>
    <s v="1DX"/>
    <s v="Duratex S.A."/>
    <n v="9"/>
    <s v="FÁB LOUÇAS JUNDIAÍ I"/>
    <n v="9"/>
    <s v="DECA"/>
    <s v="SIM"/>
    <s v="0009 - FÁB LOUÇAS JUNDIAÍ I"/>
    <s v="EDER REIS DUARTE"/>
    <s v="EDER"/>
    <n v="10001527"/>
    <s v="DCF-06"/>
    <s v="DCF-06 - FUNDICAO FIRECLAY - LJ I"/>
    <s v="DXLJ"/>
    <s v="DXFIRECL23"/>
    <s v="Fundição Fireclay"/>
    <n v="10002440"/>
    <s v="DCF-06"/>
    <s v="DCF-06 - FUNDICAO E ACABAMENTO - LJ I"/>
    <s v="DENILSON CARLOS ADRIANO"/>
    <n v="10000080"/>
    <s v="EQUIPE"/>
    <s v="EQUIPE"/>
    <n v="10000017"/>
    <s v="DECA"/>
    <s v="DIR IND DECA (LOUCAS)"/>
    <m/>
    <m/>
    <m/>
    <m/>
    <m/>
    <m/>
    <d v="2020-05-10T00:00:00"/>
    <n v="0"/>
    <m/>
    <d v="1977-07-11T00:00:00"/>
    <x v="5"/>
    <m/>
    <s v="brasileira"/>
    <s v="JUNDIAI"/>
    <s v="SP"/>
    <s v="BR"/>
    <s v="Não"/>
    <s v="M"/>
    <s v="Não"/>
    <m/>
    <s v="Marita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89"/>
    <m/>
    <d v="2019-04-04T00:00:00"/>
    <s v="SP"/>
    <s v="222.407.408-50"/>
    <n v="88806"/>
    <n v="176"/>
    <s v="26/04/2018"/>
    <s v="SP"/>
    <n v="12996716819"/>
    <m/>
    <m/>
    <m/>
    <m/>
    <m/>
    <m/>
    <m/>
    <m/>
    <m/>
    <x v="89"/>
    <n v="281"/>
    <n v="7"/>
    <d v="2011-10-11T00:00:00"/>
    <s v="SP"/>
    <m/>
    <m/>
    <m/>
    <m/>
    <s v="RUA AMERICANA"/>
    <n v="209"/>
    <m/>
    <s v="VILA ESPERANCA"/>
    <s v="JUNDIAÍ"/>
    <s v="SP"/>
    <s v="13203-832"/>
    <m/>
    <n v="11955778585"/>
    <m/>
    <n v="341"/>
    <n v="796"/>
    <x v="8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DDUARTE"/>
    <n v="1"/>
    <s v="Sim"/>
  </r>
  <r>
    <n v="102020"/>
    <x v="90"/>
    <s v="Ativo"/>
    <s v="AD"/>
    <n v="30041286"/>
    <s v="Colaborador–M.O.Var"/>
    <s v="Mensalista"/>
    <s v="1DX"/>
    <s v="Duratex S.A."/>
    <n v="9"/>
    <s v="FÁB LOUÇAS JUNDIAÍ I"/>
    <n v="9"/>
    <s v="DECA"/>
    <s v="SIM"/>
    <s v="0009 - FÁB LOUÇAS JUNDIAÍ I"/>
    <s v="LEANDRO VIZOTO VIEIRA"/>
    <s v="LEANDRO"/>
    <n v="10001548"/>
    <s v="DCF-02"/>
    <s v="DCF-02 - FUNDICAO CONVENCIONAL - LJ I"/>
    <s v="DXLJ"/>
    <s v="DXCONVEN23"/>
    <s v="Fund. Convencional"/>
    <n v="10001539"/>
    <s v="DCF-01"/>
    <s v="DCF-01 - FUND MEC /CONV/ FC/ INSP - LJ I"/>
    <s v="WILIAN GERALDO DOS SANTOS"/>
    <n v="10000059"/>
    <s v="SUPERVISOR"/>
    <s v="SUPERVISOR"/>
    <n v="10000017"/>
    <s v="DECA"/>
    <s v="DIR IND DECA (LOUCAS)"/>
    <m/>
    <m/>
    <m/>
    <m/>
    <m/>
    <m/>
    <d v="2020-05-10T00:00:00"/>
    <n v="0"/>
    <m/>
    <d v="2000-12-03T00:00:00"/>
    <x v="32"/>
    <m/>
    <s v="brasileira"/>
    <s v="JUNDIAI"/>
    <s v="SP"/>
    <s v="BR"/>
    <s v="Não"/>
    <s v="M"/>
    <s v="Não"/>
    <m/>
    <s v="Solt."/>
    <s v="Branca"/>
    <s v="Ginas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90"/>
    <m/>
    <d v="2018-04-09T00:00:00"/>
    <s v="SP"/>
    <s v="482.875.118-10"/>
    <n v="12346"/>
    <n v="417"/>
    <s v="21/03/2014"/>
    <s v="SP"/>
    <n v="16433036512"/>
    <m/>
    <m/>
    <m/>
    <m/>
    <m/>
    <m/>
    <m/>
    <m/>
    <m/>
    <x v="90"/>
    <n v="65"/>
    <n v="566"/>
    <s v="25/08/2017"/>
    <s v="SP"/>
    <n v="320000768114"/>
    <m/>
    <m/>
    <m/>
    <s v="RUA VICENTE DE FRANCESCHI"/>
    <n v="132"/>
    <m/>
    <s v="CONJUNTO HABITACIONAL VISTA ALEGRE"/>
    <s v="JUNDIAÍ"/>
    <s v="SP"/>
    <s v="13214-458"/>
    <m/>
    <n v="11975941920"/>
    <m/>
    <n v="341"/>
    <n v="7431"/>
    <x v="9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EAVIEIR"/>
    <n v="1"/>
    <s v="Sim"/>
  </r>
  <r>
    <n v="102020"/>
    <x v="91"/>
    <s v="Ativo"/>
    <s v="AD"/>
    <n v="30041292"/>
    <s v="Colaborador–M.O.Var"/>
    <s v="Mensalista"/>
    <s v="1DX"/>
    <s v="Duratex S.A."/>
    <n v="9"/>
    <s v="FÁB LOUÇAS JUNDIAÍ I"/>
    <n v="9"/>
    <s v="DECA"/>
    <s v="SIM"/>
    <s v="0009 - FÁB LOUÇAS JUNDIAÍ I"/>
    <s v="MICHAEL DOUGLAS DA SILVA"/>
    <s v="MICHAEL"/>
    <n v="10001548"/>
    <s v="DCF-02"/>
    <s v="DCF-02 - FUNDICAO CONVENCIONAL - LJ I"/>
    <s v="DXLJ"/>
    <s v="DXCONVEN23"/>
    <s v="Fund. Convencional"/>
    <n v="10001539"/>
    <s v="DCF-01"/>
    <s v="DCF-01 - FUND MEC /CONV/ FC/ INSP - LJ I"/>
    <s v="WILIAN GERALDO DOS SANTOS"/>
    <n v="10000059"/>
    <s v="SUPERVISOR"/>
    <s v="SUPERVISOR"/>
    <n v="10000017"/>
    <s v="DECA"/>
    <s v="DIR IND DECA (LOUCAS)"/>
    <m/>
    <m/>
    <m/>
    <m/>
    <m/>
    <m/>
    <d v="2020-05-10T00:00:00"/>
    <n v="0"/>
    <m/>
    <s v="13/09/2000"/>
    <x v="32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91"/>
    <m/>
    <s v="25/04/2008"/>
    <s v="SP"/>
    <s v="405.509.128-19"/>
    <n v="80934"/>
    <n v="441"/>
    <s v="17/02/2016"/>
    <s v="SP"/>
    <n v="13845679181"/>
    <m/>
    <m/>
    <m/>
    <m/>
    <m/>
    <m/>
    <m/>
    <m/>
    <m/>
    <x v="91"/>
    <n v="242"/>
    <n v="71"/>
    <s v="29/05/2017"/>
    <s v="SP"/>
    <n v="320000551481"/>
    <m/>
    <m/>
    <m/>
    <s v="RUA ARACATI"/>
    <n v="174"/>
    <m/>
    <s v="RESIDENCIAL AIMORE"/>
    <s v="VÁRZEA PAULISTA"/>
    <s v="SP"/>
    <s v="13225-360"/>
    <m/>
    <n v="11958518365"/>
    <m/>
    <n v="341"/>
    <n v="2523"/>
    <x v="9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MICHAE"/>
    <n v="1"/>
    <s v="Sim"/>
  </r>
  <r>
    <n v="102020"/>
    <x v="92"/>
    <s v="Ativo"/>
    <s v="AD"/>
    <n v="30042969"/>
    <s v="Colaborador–M.O.Var"/>
    <s v="Mensalista"/>
    <s v="1DX"/>
    <s v="Duratex S.A."/>
    <n v="11"/>
    <s v="FÁB LOUÇAS RECIFE"/>
    <n v="11"/>
    <s v="DECA"/>
    <s v="SIM"/>
    <s v="0011 - FÁB LOUÇAS RECIFE"/>
    <s v="ELISALDE MARIA OLIVEIRA DA SILVA"/>
    <s v="ELISALDE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5-10T00:00:00"/>
    <n v="0"/>
    <m/>
    <d v="1997-07-11T00:00:00"/>
    <x v="28"/>
    <m/>
    <s v="brasileira"/>
    <s v="RIBEIRAO"/>
    <s v="PE"/>
    <s v="BR"/>
    <s v="Não"/>
    <s v="F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92"/>
    <m/>
    <d v="2018-04-04T00:00:00"/>
    <s v="PE"/>
    <s v="707.026.904-81"/>
    <n v="92985"/>
    <n v="117"/>
    <s v="27/11/2013"/>
    <s v="PE"/>
    <n v="16141813780"/>
    <m/>
    <m/>
    <m/>
    <m/>
    <m/>
    <m/>
    <m/>
    <m/>
    <m/>
    <x v="92"/>
    <n v="41"/>
    <n v="120"/>
    <s v="22/10/2015"/>
    <s v="PE"/>
    <m/>
    <m/>
    <m/>
    <m/>
    <s v="SITIO ENGENHO TIRIRI DE FORA 2"/>
    <n v="14"/>
    <m/>
    <s v="SUAPE"/>
    <s v="CABO DE SANTO AGOSTINHO"/>
    <s v="PE"/>
    <s v="54590-001"/>
    <m/>
    <n v="81996642019"/>
    <m/>
    <n v="341"/>
    <n v="478"/>
    <x v="9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ELISALD"/>
    <n v="1"/>
    <s v="Sim"/>
  </r>
  <r>
    <n v="102020"/>
    <x v="93"/>
    <s v="Ativo"/>
    <s v="AD"/>
    <n v="30041272"/>
    <s v="Colaborador–M.O.Var"/>
    <s v="Mensalista"/>
    <s v="1DX"/>
    <s v="Duratex S.A."/>
    <n v="9"/>
    <s v="FÁB LOUÇAS JUNDIAÍ I"/>
    <n v="9"/>
    <s v="DECA"/>
    <s v="SIM"/>
    <s v="0009 - FÁB LOUÇAS JUNDIAÍ I"/>
    <s v="LUCAS FERREIRA DA COSTA"/>
    <s v="LUCAS"/>
    <n v="10001548"/>
    <s v="DCF-02"/>
    <s v="DCF-02 - FUNDICAO CONVENCIONAL - LJ I"/>
    <s v="DXLJ"/>
    <s v="DXCONVEN23"/>
    <s v="Fund. Convencional"/>
    <n v="10001539"/>
    <s v="DCF-01"/>
    <s v="DCF-01 - FUND MEC /CONV/ FC/ INSP - LJ I"/>
    <s v="WILIAN GERALDO DOS SANTOS"/>
    <n v="10000059"/>
    <s v="SUPERVISOR"/>
    <s v="SUPERVISOR"/>
    <n v="10000017"/>
    <s v="DECA"/>
    <s v="DIR IND DECA (LOUCAS)"/>
    <m/>
    <m/>
    <m/>
    <m/>
    <m/>
    <m/>
    <d v="2020-05-10T00:00:00"/>
    <n v="0"/>
    <m/>
    <d v="2000-11-05T00:00:00"/>
    <x v="32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93"/>
    <m/>
    <s v="24/01/2019"/>
    <s v="SP"/>
    <s v="475.370.618-40"/>
    <n v="47304"/>
    <n v="431"/>
    <s v="24/02/2015"/>
    <s v="SP"/>
    <n v="21067356357"/>
    <m/>
    <m/>
    <m/>
    <m/>
    <m/>
    <m/>
    <m/>
    <m/>
    <m/>
    <x v="93"/>
    <n v="242"/>
    <n v="192"/>
    <d v="2017-12-07T00:00:00"/>
    <s v="SP"/>
    <n v="320000390423"/>
    <m/>
    <m/>
    <m/>
    <s v="RUA MAMBAI"/>
    <n v="274"/>
    <m/>
    <s v="JARDIM AMERICA 3"/>
    <s v="VÁRZEA PAULISTA"/>
    <s v="SP"/>
    <s v="13222-250"/>
    <m/>
    <n v="11943670238"/>
    <m/>
    <n v="341"/>
    <n v="2523"/>
    <x v="9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OSTLUCA"/>
    <n v="1"/>
    <s v="Sim"/>
  </r>
  <r>
    <n v="102020"/>
    <x v="94"/>
    <s v="Ativo"/>
    <s v="AD"/>
    <n v="30045746"/>
    <s v="Colaborador–M.O.Var"/>
    <s v="Mensalista"/>
    <s v="1DX"/>
    <s v="Duratex S.A."/>
    <n v="9"/>
    <s v="FÁB LOUÇAS JUNDIAÍ I"/>
    <n v="9"/>
    <s v="DECA"/>
    <s v="SIM"/>
    <s v="0009 - FÁB LOUÇAS JUNDIAÍ I"/>
    <s v="SEBASTIAO LUCAS DE OLIVEIRA ROBERTO"/>
    <s v="SEBASTIAO"/>
    <n v="10007400"/>
    <s v="DCF-08"/>
    <s v="DCF-08 - FUNDICAO MECANIZADA - LJ I"/>
    <s v="DXLJ"/>
    <s v="DXFMECAN23"/>
    <s v="Fundição Mecanizada"/>
    <n v="10001553"/>
    <s v="DCF-07"/>
    <s v="DCF-07 - FABRICA DE MOLDES GESSO - LJ I"/>
    <s v="FABIO LUIZ DOS SANTOS"/>
    <n v="10000060"/>
    <s v="SUPERIOR"/>
    <s v="SUPERIOR"/>
    <n v="10000002"/>
    <s v="DECA"/>
    <s v="DIR IND DECA (METAIS)"/>
    <m/>
    <m/>
    <m/>
    <m/>
    <m/>
    <m/>
    <d v="2020-05-10T00:00:00"/>
    <n v="0"/>
    <m/>
    <s v="20/01/1997"/>
    <x v="18"/>
    <m/>
    <s v="brasileira"/>
    <s v="ARAPIRACA"/>
    <s v="AL"/>
    <s v="BR"/>
    <s v="Não"/>
    <s v="M"/>
    <s v="Não"/>
    <m/>
    <s v="Casado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94"/>
    <m/>
    <s v="26/02/2015"/>
    <s v="SP"/>
    <s v="458.518.158-09"/>
    <n v="69444"/>
    <n v="406"/>
    <d v="2013-04-01T00:00:00"/>
    <s v="SP"/>
    <n v="16580931990"/>
    <m/>
    <m/>
    <m/>
    <m/>
    <m/>
    <m/>
    <m/>
    <m/>
    <m/>
    <x v="94"/>
    <n v="281"/>
    <n v="398"/>
    <s v="29/01/2018"/>
    <s v="SP"/>
    <n v="140812123390"/>
    <m/>
    <m/>
    <m/>
    <s v="RUA ARACARI"/>
    <n v="115"/>
    <m/>
    <s v="PARQUE GUARANI"/>
    <s v="VÁRZEA PAULISTA"/>
    <s v="SP"/>
    <s v="13225-540"/>
    <m/>
    <n v="11999276109"/>
    <m/>
    <n v="341"/>
    <n v="2523"/>
    <x v="9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EROBERT"/>
    <n v="1"/>
    <s v="Sim"/>
  </r>
  <r>
    <n v="102020"/>
    <x v="95"/>
    <s v="Ativo"/>
    <s v="AD"/>
    <n v="30045725"/>
    <s v="Colaborador–M.O.Var"/>
    <s v="Mensalista"/>
    <s v="1DX"/>
    <s v="Duratex S.A."/>
    <n v="9"/>
    <s v="FÁB LOUÇAS JUNDIAÍ I"/>
    <n v="9"/>
    <s v="DECA"/>
    <s v="SIM"/>
    <s v="0009 - FÁB LOUÇAS JUNDIAÍ I"/>
    <s v="LUAN EVAIR OLIVEIRA NEVES"/>
    <s v="LUAN"/>
    <n v="10001548"/>
    <s v="DCF-02"/>
    <s v="DCF-02 - FUNDICAO CONVENCIONAL - LJ I"/>
    <s v="DXLJ"/>
    <s v="DXCONVEN23"/>
    <s v="Fund. Convencional"/>
    <n v="10001539"/>
    <s v="DCF-01"/>
    <s v="DCF-01 - FUND MEC /CONV/ FC/ INSP - LJ I"/>
    <s v="WILIAN GERALDO DOS SANTOS"/>
    <n v="10000059"/>
    <s v="SUPERVISOR"/>
    <s v="SUPERVISOR"/>
    <n v="10000017"/>
    <s v="DECA"/>
    <s v="DIR IND DECA (LOUCAS)"/>
    <m/>
    <m/>
    <m/>
    <m/>
    <m/>
    <m/>
    <d v="2020-05-10T00:00:00"/>
    <n v="0"/>
    <m/>
    <s v="17/03/2000"/>
    <x v="32"/>
    <m/>
    <s v="brasileira"/>
    <s v="CAPELINHA"/>
    <s v="MG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95"/>
    <m/>
    <s v="20/03/2015"/>
    <s v="MG"/>
    <s v="147.797.896-80"/>
    <n v="1994865"/>
    <n v="60"/>
    <s v="18/10/2018"/>
    <s v="MG"/>
    <n v="20706896526"/>
    <m/>
    <m/>
    <m/>
    <m/>
    <m/>
    <m/>
    <m/>
    <m/>
    <m/>
    <x v="95"/>
    <n v="135"/>
    <n v="129"/>
    <d v="2018-06-05T00:00:00"/>
    <s v="MG"/>
    <n v="320001932739"/>
    <m/>
    <m/>
    <m/>
    <s v="RUA PRIMO FELIPPINI"/>
    <n v="55"/>
    <m/>
    <s v="JARDIM ANGELA"/>
    <s v="JUNDIAÍ"/>
    <s v="SP"/>
    <s v="13218-500"/>
    <m/>
    <n v="33999462571"/>
    <m/>
    <n v="341"/>
    <n v="2523"/>
    <x v="9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NEVES"/>
    <n v="1"/>
    <s v="Sim"/>
  </r>
  <r>
    <n v="102020"/>
    <x v="96"/>
    <s v="Ativo"/>
    <s v="AD"/>
    <n v="30131395"/>
    <s v="Colaborador–M.O.Fixa"/>
    <s v="Aprendiz"/>
    <s v="1DX"/>
    <s v="Duratex S.A."/>
    <n v="11"/>
    <s v="FÁB LOUÇAS RECIFE"/>
    <n v="11"/>
    <s v="DECA"/>
    <s v="NAO"/>
    <s v="0011 - FÁB LOUÇAS RECIFE"/>
    <s v="MARIA BEATRIZ ABREU DOS SANTOS"/>
    <s v="MARIA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d v="2002-03-02T00:00:00"/>
    <x v="26"/>
    <m/>
    <s v="brasileira"/>
    <s v="ESCADA"/>
    <s v="PE"/>
    <s v="BR"/>
    <s v="Não"/>
    <s v="F"/>
    <s v="Não"/>
    <m/>
    <s v="Solt."/>
    <s v="Negr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96"/>
    <m/>
    <s v="31/05/2016"/>
    <s v="PE"/>
    <s v="138.334.424-84"/>
    <n v="7471393"/>
    <n v="60"/>
    <d v="2019-05-11T00:00:00"/>
    <s v="PE"/>
    <n v="16503911328"/>
    <m/>
    <m/>
    <m/>
    <m/>
    <m/>
    <m/>
    <m/>
    <m/>
    <m/>
    <x v="96"/>
    <n v="19"/>
    <n v="116"/>
    <s v="28/03/2019"/>
    <s v="PE"/>
    <m/>
    <m/>
    <m/>
    <m/>
    <s v="RUA RUA PAU POMBO"/>
    <n v="23"/>
    <m/>
    <s v="COQUEIRO"/>
    <s v="ESCADA"/>
    <s v="PE"/>
    <s v="55500-000"/>
    <m/>
    <n v="81989820518"/>
    <m/>
    <n v="341"/>
    <n v="6999"/>
    <x v="96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OSMARIA"/>
    <n v="1"/>
    <s v="Sim"/>
  </r>
  <r>
    <n v="102020"/>
    <x v="97"/>
    <s v="Ativo"/>
    <s v="AD"/>
    <n v="30047177"/>
    <s v="Colaborador–M.O.Var"/>
    <s v="Horista"/>
    <s v="1DX"/>
    <s v="Duratex S.A."/>
    <n v="7"/>
    <s v="FÁB METAIS JUNDIAÍ"/>
    <n v="7"/>
    <s v="DECA"/>
    <s v="SIM"/>
    <s v="0007 - FÁB METAIS JUNDIAÍ"/>
    <s v="IGOR DE SOUZA CRUZ"/>
    <s v="IGOR"/>
    <n v="10001461"/>
    <s v="DVM-02"/>
    <s v="DVM-02 - GALVANO DE PLASTICOS - MP"/>
    <s v="DXMP"/>
    <s v="DXGALPLA33"/>
    <s v="Galv. Plásticos MP"/>
    <n v="10003570"/>
    <s v="DVM-01"/>
    <s v="DVM-01 - PROD GERADORAS/ACAB/MONTAGEM"/>
    <s v="WELTON ANGELO DA SILVA"/>
    <n v="10000059"/>
    <s v="SUPERVISOR"/>
    <s v="SUPERVISOR"/>
    <n v="10000002"/>
    <s v="DECA"/>
    <s v="DIR IND DECA (METAIS)"/>
    <m/>
    <m/>
    <m/>
    <m/>
    <m/>
    <m/>
    <d v="2020-05-10T00:00:00"/>
    <n v="0"/>
    <m/>
    <d v="1997-01-01T00:00:00"/>
    <x v="18"/>
    <m/>
    <s v="brasileira"/>
    <s v="SAO PAULO"/>
    <s v="SP"/>
    <s v="BR"/>
    <s v="Não"/>
    <s v="M"/>
    <s v="Não"/>
    <m/>
    <s v="Solt."/>
    <s v="Branc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97"/>
    <m/>
    <s v="27/12/2018"/>
    <s v="SP"/>
    <s v="469.321.908-85"/>
    <n v="37914"/>
    <n v="410"/>
    <d v="2013-06-05T00:00:00"/>
    <s v="SP"/>
    <n v="16289448979"/>
    <m/>
    <m/>
    <m/>
    <m/>
    <m/>
    <m/>
    <m/>
    <m/>
    <m/>
    <x v="97"/>
    <n v="418"/>
    <n v="228"/>
    <s v="28/09/2020"/>
    <s v="SP"/>
    <n v="40403882935"/>
    <m/>
    <m/>
    <m/>
    <s v="RUA LUIZ GONZAGA"/>
    <n v="96"/>
    <m/>
    <s v="JARDIM SANTO ANTONIO"/>
    <s v="FRANCO DA ROCHA"/>
    <s v="SP"/>
    <s v="07865-034"/>
    <m/>
    <n v="11966340153"/>
    <m/>
    <n v="341"/>
    <n v="10"/>
    <x v="9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IGCRUZ"/>
    <n v="1"/>
    <s v="Sim"/>
  </r>
  <r>
    <n v="102020"/>
    <x v="98"/>
    <s v="Ativo"/>
    <s v="AD"/>
    <n v="30131396"/>
    <s v="Colaborador–M.O.Fixa"/>
    <s v="Aprendiz"/>
    <s v="1DX"/>
    <s v="Duratex S.A."/>
    <n v="11"/>
    <s v="FÁB LOUÇAS RECIFE"/>
    <n v="11"/>
    <s v="DECA"/>
    <s v="NAO"/>
    <s v="0011 - FÁB LOUÇAS RECIFE"/>
    <s v="DAYVID RAFAEL DA SILVA"/>
    <s v="DAYVID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4/09/2000"/>
    <x v="32"/>
    <m/>
    <s v="brasileira"/>
    <s v="RECIFE"/>
    <s v="PE"/>
    <s v="BR"/>
    <s v="Não"/>
    <s v="M"/>
    <s v="Não"/>
    <m/>
    <s v="Solt."/>
    <s v="Branca"/>
    <s v="Superior in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98"/>
    <m/>
    <d v="2015-06-11T00:00:00"/>
    <s v="PE"/>
    <s v="712.401.314-37"/>
    <n v="5213465"/>
    <n v="60"/>
    <s v="16/04/2019"/>
    <s v="PE"/>
    <n v="20033989308"/>
    <m/>
    <m/>
    <m/>
    <m/>
    <m/>
    <m/>
    <m/>
    <m/>
    <m/>
    <x v="98"/>
    <n v="31"/>
    <n v="53"/>
    <s v="22/04/2016"/>
    <s v="PE"/>
    <n v="320002579037"/>
    <m/>
    <m/>
    <m/>
    <s v="RUA PAU POMBO"/>
    <n v="25"/>
    <m/>
    <s v="COQUEIRO"/>
    <s v="ESCADA"/>
    <s v="PE"/>
    <s v="55500-000"/>
    <m/>
    <n v="81998692893"/>
    <m/>
    <n v="341"/>
    <n v="6999"/>
    <x v="98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AYSILVA"/>
    <n v="1"/>
    <s v="Sim"/>
  </r>
  <r>
    <n v="102020"/>
    <x v="99"/>
    <s v="Ativo"/>
    <s v="AD"/>
    <n v="30131397"/>
    <s v="Colaborador–M.O.Fixa"/>
    <s v="Aprendiz"/>
    <s v="1DX"/>
    <s v="Duratex S.A."/>
    <n v="11"/>
    <s v="FÁB LOUÇAS RECIFE"/>
    <n v="11"/>
    <s v="DECA"/>
    <s v="NAO"/>
    <s v="0011 - FÁB LOUÇAS RECIFE"/>
    <s v="KAIRO HENRIQUE SABINO CRUZ"/>
    <s v="KAIRO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17/12/1999"/>
    <x v="32"/>
    <m/>
    <s v="brasileira"/>
    <s v="CABO DE SANTO AGOSTINHO"/>
    <s v="PE"/>
    <s v="BR"/>
    <s v="Não"/>
    <s v="M"/>
    <s v="Não"/>
    <m/>
    <s v="Solt."/>
    <s v="Branc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99"/>
    <m/>
    <s v="19/10/2015"/>
    <s v="PE"/>
    <s v="118.324.914-47"/>
    <n v="6795077"/>
    <n v="50"/>
    <s v="22/02/2017"/>
    <s v="PE"/>
    <n v="20464717552"/>
    <m/>
    <m/>
    <m/>
    <m/>
    <m/>
    <m/>
    <m/>
    <m/>
    <m/>
    <x v="99"/>
    <n v="15"/>
    <n v="192"/>
    <s v="29/01/2018"/>
    <s v="PE"/>
    <n v="320000545424"/>
    <m/>
    <m/>
    <m/>
    <s v="RUA ANTONIO GAUDENCIO SILVA"/>
    <n v="9"/>
    <m/>
    <s v="VILA TEATROLOGO BARRETO JUNIOR"/>
    <s v="CABO DE SANTO AGOSTINHO"/>
    <s v="PE"/>
    <s v="54535-200"/>
    <m/>
    <n v="81973310140"/>
    <m/>
    <n v="341"/>
    <n v="1737"/>
    <x v="99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KACRUZ"/>
    <n v="1"/>
    <s v="Sim"/>
  </r>
  <r>
    <n v="102020"/>
    <x v="100"/>
    <s v="Desligado"/>
    <s v="AD"/>
    <n v="99999999"/>
    <s v="Colaborador–M.O.Var"/>
    <s v="Horista"/>
    <s v="1DX"/>
    <s v="Duratex S.A."/>
    <n v="6"/>
    <s v="FÁB METAIS SP"/>
    <n v="6"/>
    <s v="DECA"/>
    <s v="SIM"/>
    <s v="0006 - FÁB METAIS SP INDL"/>
    <s v="ALEX SILVA DE OLIVEIRA"/>
    <s v="ALEX"/>
    <n v="10001445"/>
    <s v="DPF-04"/>
    <s v="DPF-04 - FUNDICAO PECAS DE LATAO - MS"/>
    <s v="DXMS"/>
    <s v="DXPCLATA06"/>
    <s v="Peças de Latão"/>
    <n v="10001422"/>
    <s v="DPF-02"/>
    <s v="DPF-02 - FUNDICAO PECAS DE LATAO - MS"/>
    <s v="JOSE CARLOS DA SILVA"/>
    <n v="10000080"/>
    <s v="EQUIPE"/>
    <s v="EQUIPE"/>
    <n v="10000002"/>
    <s v="DECA"/>
    <s v="DIR IND DECA (METAIS)"/>
    <m/>
    <m/>
    <m/>
    <m/>
    <m/>
    <m/>
    <d v="2020-05-10T00:00:00"/>
    <n v="0"/>
    <m/>
    <s v="17/06/1983"/>
    <x v="31"/>
    <m/>
    <s v="brasileira"/>
    <s v="SAO PAULO"/>
    <s v="SP"/>
    <s v="BR"/>
    <s v="Não"/>
    <s v="M"/>
    <s v="Não"/>
    <m/>
    <s v="Solt."/>
    <s v="Branca"/>
    <s v="Colegial completo"/>
    <m/>
    <n v="22000271"/>
    <s v="220/H"/>
    <s v="AUX PRODUCAO"/>
    <n v="784205"/>
    <s v="Admissão"/>
    <d v="2020-10-01T00:00:00"/>
    <s v="220,00"/>
    <m/>
    <s v="DSP-01"/>
    <s v="DDI-01"/>
    <s v="CSS-01"/>
    <s v="DDE-01"/>
    <s v="PRE-01"/>
    <s v="1.834,80"/>
    <s v="8,34"/>
    <s v="1.834,80"/>
    <s v="244,61"/>
    <s v="BG"/>
    <s v="METAIS SP-220/H"/>
    <n v="13"/>
    <s v="GRS013OP"/>
    <d v="2020-10-01T00:00:00"/>
    <s v="Admissão"/>
    <s v="1.833,80"/>
    <s v="183380,00"/>
    <n v="1"/>
    <s v="Abono S/Absenteísmo"/>
    <s v="N"/>
    <x v="100"/>
    <m/>
    <s v="19/06/2012"/>
    <s v="SP"/>
    <s v="349.131.568-96"/>
    <n v="13557"/>
    <n v="294"/>
    <d v="2002-10-12T00:00:00"/>
    <s v="SP"/>
    <n v="20438387362"/>
    <m/>
    <m/>
    <m/>
    <m/>
    <m/>
    <m/>
    <m/>
    <m/>
    <m/>
    <x v="100"/>
    <n v="389"/>
    <n v="149"/>
    <d v="2002-10-01T00:00:00"/>
    <s v="SP"/>
    <n v="40092755764"/>
    <m/>
    <m/>
    <m/>
    <s v="RUA CARLOS CARNEIRO DE CAMPOS"/>
    <n v="103"/>
    <m/>
    <s v="VILA INACIO"/>
    <s v="SÃO PAULO"/>
    <s v="SP"/>
    <s v="05206-140"/>
    <m/>
    <n v="11945640196"/>
    <m/>
    <n v="341"/>
    <n v="2541"/>
    <x v="100"/>
    <d v="2020-08-10T00:00:00"/>
    <s v="PEDIDO DE DEMISSÃO AP DISPENS"/>
    <s v="BAIXA PRODUTIVIDADE/QUALIDADE"/>
    <s v="OPERACIONAL"/>
    <s v="OPERACOES"/>
    <s v="TEC/ OPERACIONAL"/>
    <s v="OPERACIONAL"/>
    <s v="EQUIPE"/>
    <s v="244,61"/>
    <s v="0,00"/>
    <s v="0,00"/>
    <s v="0,00"/>
    <s v="0,00"/>
    <s v="0,00"/>
    <s v="0,00"/>
    <s v="0,00"/>
    <s v="0,00"/>
    <s v="244,61"/>
    <s v="244,61"/>
    <s v="0,00"/>
    <s v="0,00"/>
    <s v="0,00"/>
    <s v="0,00"/>
    <s v="168,39"/>
    <s v="0,00"/>
    <s v="0,00"/>
    <s v="0,00"/>
    <s v="0,00"/>
    <s v="0,00"/>
    <s v="19,1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OLALEX"/>
    <n v="1"/>
    <s v="Sim"/>
  </r>
  <r>
    <n v="102020"/>
    <x v="101"/>
    <s v="Ativo"/>
    <s v="AD"/>
    <n v="30045354"/>
    <s v="Colaborador–M.O.Fixa"/>
    <s v="Mensalista"/>
    <s v="1HY"/>
    <s v="HYDRA CORONA SIST.AQ.LTD."/>
    <n v="32"/>
    <s v="HYDRA ARACAJU"/>
    <n v="32"/>
    <s v="CORONA"/>
    <s v="SIM"/>
    <s v="0006 - FÁB METAIS SP CML"/>
    <s v="LEDIANE GOMES MAGALHAES"/>
    <s v="LEDIANE"/>
    <n v="10008825"/>
    <s v="DCH-02"/>
    <s v="DCH-02- MERCHANDISING-HYDRA-SP1-AJ"/>
    <s v="HYAR"/>
    <s v="HYPROSP104"/>
    <s v="Promotor Hydra-SP 01"/>
    <n v="10007905"/>
    <s v="DCH-02"/>
    <s v="DCH-02- MERCHANDISING - MS"/>
    <s v="ANA LUCIA GANDINI"/>
    <n v="10000080"/>
    <s v="EQUIPE"/>
    <s v="EQUIPE"/>
    <n v="10000020"/>
    <s v="HYDRA"/>
    <s v="DIR CML HYDRA"/>
    <m/>
    <m/>
    <m/>
    <m/>
    <m/>
    <m/>
    <d v="2020-05-10T00:00:00"/>
    <n v="0"/>
    <m/>
    <s v="13/07/1989"/>
    <x v="12"/>
    <m/>
    <s v="brasileira"/>
    <s v="SAO JOSE DOS CAMPOS"/>
    <s v="SP"/>
    <s v="BR"/>
    <s v="Não"/>
    <s v="F"/>
    <s v="Não"/>
    <m/>
    <s v="Casado"/>
    <s v="Branca"/>
    <s v="Colegial completo"/>
    <m/>
    <n v="20002229"/>
    <s v="220/M"/>
    <s v="PROMOTOR - HC"/>
    <n v="521115"/>
    <s v="Admissão"/>
    <d v="2020-10-01T00:00:00"/>
    <s v="220,00"/>
    <m/>
    <s v="DTM-01"/>
    <s v="DDC-01"/>
    <s v="CSS-01"/>
    <s v="DDE-01"/>
    <s v="PRE-01"/>
    <s v="1.401,00"/>
    <s v="1.401,00"/>
    <s v="1.401,00"/>
    <s v="0,00"/>
    <s v="HU"/>
    <s v="HYDRA ARACAJU-220/M"/>
    <n v="15"/>
    <s v="GRS015OP"/>
    <d v="2020-10-01T00:00:00"/>
    <s v="Admissão"/>
    <s v="1.400,00"/>
    <s v="140000,00"/>
    <n v="1"/>
    <m/>
    <s v="N"/>
    <x v="101"/>
    <m/>
    <d v="2019-11-02T00:00:00"/>
    <s v="SP"/>
    <s v="385.899.328-00"/>
    <n v="13515"/>
    <n v="333"/>
    <s v="15/03/2017"/>
    <s v="SP"/>
    <n v="20787836634"/>
    <m/>
    <m/>
    <m/>
    <m/>
    <m/>
    <m/>
    <m/>
    <m/>
    <m/>
    <x v="101"/>
    <n v="411"/>
    <n v="300"/>
    <d v="2010-11-02T00:00:00"/>
    <s v="SP"/>
    <m/>
    <m/>
    <m/>
    <m/>
    <s v="RUA SANDRO B DA SILVA"/>
    <n v="50"/>
    <m/>
    <s v="PARQUE RESIDENCIAL FLAMBOYANT"/>
    <s v="SAO JOSE DOS CAMPOS"/>
    <s v="SP"/>
    <s v="12227-778"/>
    <m/>
    <n v="12991381923"/>
    <m/>
    <n v="341"/>
    <n v="7427"/>
    <x v="101"/>
    <m/>
    <m/>
    <m/>
    <s v="FORCA DE VENDAS"/>
    <s v="COMERCIAL MKT E ASSIST TECNICA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MAGALHA"/>
    <n v="9"/>
    <s v="Não"/>
  </r>
  <r>
    <n v="102020"/>
    <x v="102"/>
    <s v="Ativo"/>
    <s v="AD"/>
    <n v="30131398"/>
    <s v="Colaborador–M.O.Fixa"/>
    <s v="Aprendiz"/>
    <s v="1DX"/>
    <s v="Duratex S.A."/>
    <n v="11"/>
    <s v="FÁB LOUÇAS RECIFE"/>
    <n v="11"/>
    <s v="DECA"/>
    <s v="NAO"/>
    <s v="0011 - FÁB LOUÇAS RECIFE"/>
    <s v="ERIC MOREIRA DE FIGUEIREDO"/>
    <s v="ERIC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1/07/1999"/>
    <x v="13"/>
    <m/>
    <s v="brasileira"/>
    <s v="CABO DE SANTO AGOSTINHO"/>
    <s v="PE"/>
    <s v="BR"/>
    <s v="Não"/>
    <s v="M"/>
    <s v="Não"/>
    <m/>
    <s v="Solt."/>
    <s v="Branc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02"/>
    <m/>
    <s v="21/03/2018"/>
    <s v="PE"/>
    <s v="092.282.304-95"/>
    <n v="70215"/>
    <n v="60"/>
    <d v="2018-11-01T00:00:00"/>
    <s v="PE"/>
    <n v="20464748121"/>
    <m/>
    <m/>
    <m/>
    <m/>
    <m/>
    <m/>
    <m/>
    <m/>
    <m/>
    <x v="102"/>
    <n v="15"/>
    <n v="80"/>
    <s v="24/01/2018"/>
    <s v="PE"/>
    <n v="320001566870"/>
    <m/>
    <m/>
    <m/>
    <s v="RUA MANOEL FRANCISCO DE ALMEIDA"/>
    <n v="100"/>
    <m/>
    <s v="COHAB"/>
    <s v="CABO DE SANTO AGOSTINHO"/>
    <s v="PE"/>
    <s v="54500-001"/>
    <m/>
    <n v="81980000000"/>
    <m/>
    <n v="341"/>
    <n v="1737"/>
    <x v="102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RFIGUEI"/>
    <n v="1"/>
    <s v="Sim"/>
  </r>
  <r>
    <n v="102020"/>
    <x v="103"/>
    <s v="Ativo"/>
    <s v="AD"/>
    <n v="30024620"/>
    <s v="Colaborador–M.O.Fixa"/>
    <s v="Aprendiz"/>
    <s v="1DX"/>
    <s v="Duratex S.A."/>
    <n v="11"/>
    <s v="FÁB LOUÇAS RECIFE"/>
    <n v="11"/>
    <s v="DECA"/>
    <s v="NAO"/>
    <s v="0011 - FÁB LOUÇAS RECIFE"/>
    <s v="JOSE VINICIUS RAMOS DE SOUZA"/>
    <s v="JOSE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d v="1999-05-04T00:00:00"/>
    <x v="13"/>
    <m/>
    <s v="brasileira"/>
    <s v="CABO DE SANTO AGOSTINHO"/>
    <s v="PE"/>
    <s v="BR"/>
    <s v="Não"/>
    <s v="M"/>
    <s v="Não"/>
    <m/>
    <s v="Solt."/>
    <s v="Pard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03"/>
    <m/>
    <d v="2012-06-11T00:00:00"/>
    <s v="PE"/>
    <s v="703.838.004-47"/>
    <n v="8979410"/>
    <n v="50"/>
    <s v="19/09/2017"/>
    <s v="PE"/>
    <n v="16249688219"/>
    <m/>
    <m/>
    <m/>
    <m/>
    <m/>
    <m/>
    <m/>
    <m/>
    <m/>
    <x v="103"/>
    <n v="121"/>
    <n v="225"/>
    <d v="2017-02-06T00:00:00"/>
    <s v="PE"/>
    <n v="210023000000"/>
    <m/>
    <m/>
    <m/>
    <s v="FAZENDA EG ALGODOAIS"/>
    <n v="12"/>
    <m/>
    <s v="ALGODOAIS"/>
    <s v="CABO DE SANTO AGOSTINHO"/>
    <s v="PE"/>
    <s v="54510-993"/>
    <m/>
    <n v="82000000000"/>
    <m/>
    <n v="341"/>
    <n v="478"/>
    <x v="103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SRAMOS"/>
    <n v="1"/>
    <s v="Sim"/>
  </r>
  <r>
    <n v="102020"/>
    <x v="104"/>
    <s v="Ativo"/>
    <s v="AD"/>
    <n v="30034228"/>
    <s v="Colaborador–M.O.Fixa"/>
    <s v="Mensalista"/>
    <s v="1DX"/>
    <s v="Duratex S.A."/>
    <n v="6"/>
    <s v="FÁB METAIS SP"/>
    <n v="6"/>
    <s v="DECA"/>
    <s v="SIM"/>
    <s v="0006 - FÁB METAIS SP INDL"/>
    <s v="GEOVANA RADESKI DOS SANTOS"/>
    <s v="GEOVANA"/>
    <n v="10007754"/>
    <s v="DTM-02"/>
    <s v="DTM-02 - TRADE MARKETING MS"/>
    <s v="DXMS"/>
    <s v="DXGTRADE01"/>
    <s v="Trademarketing Comer"/>
    <n v="10007983"/>
    <s v="DTM-01"/>
    <s v="DTM-01 - GER TRADE MARKETING - MS"/>
    <s v="GISELE NAVARRO ITRE"/>
    <n v="10000080"/>
    <s v="EQUIPE"/>
    <s v="EQUIPE"/>
    <n v="10000003"/>
    <s v="DECA"/>
    <s v="DIR CML DECA"/>
    <m/>
    <m/>
    <m/>
    <m/>
    <m/>
    <m/>
    <d v="2020-05-10T00:00:00"/>
    <n v="0"/>
    <m/>
    <d v="1997-03-03T00:00:00"/>
    <x v="18"/>
    <m/>
    <s v="brasileira"/>
    <s v="GUARULHOS"/>
    <s v="SP"/>
    <s v="BR"/>
    <s v="Não"/>
    <s v="F"/>
    <s v="Não"/>
    <m/>
    <s v="Solt."/>
    <s v="Branca"/>
    <s v="Superior incompleto"/>
    <m/>
    <n v="22000802"/>
    <s v="220/M"/>
    <s v="ASSIST ADMINISTRATIVO"/>
    <n v="411010"/>
    <s v="Admissão"/>
    <d v="2020-10-01T00:00:00"/>
    <s v="220,00"/>
    <m/>
    <s v="DTM-01"/>
    <s v="DDC-01"/>
    <s v="CSS-01"/>
    <s v="DDE-01"/>
    <s v="PRE-01"/>
    <s v="2.300,00"/>
    <s v="2.300,00"/>
    <s v="2.300,00"/>
    <s v="0,00"/>
    <s v="BD"/>
    <s v="METAIS SP-220/M"/>
    <n v="16"/>
    <s v="GRS016OP"/>
    <d v="2020-10-01T00:00:00"/>
    <s v="Admissão"/>
    <s v="2.299,00"/>
    <s v="229900,00"/>
    <n v="1"/>
    <m/>
    <s v="N"/>
    <x v="104"/>
    <m/>
    <s v="21/07/2015"/>
    <s v="SP"/>
    <s v="439.202.668-03"/>
    <n v="46845"/>
    <n v="404"/>
    <s v="26/04/2012"/>
    <s v="SP"/>
    <n v="20716400426"/>
    <m/>
    <m/>
    <m/>
    <m/>
    <m/>
    <m/>
    <m/>
    <m/>
    <m/>
    <x v="104"/>
    <n v="394"/>
    <n v="489"/>
    <s v="27/03/2015"/>
    <s v="SP"/>
    <m/>
    <m/>
    <m/>
    <m/>
    <s v="RUA DOS COMANDANTES"/>
    <n v="25"/>
    <m/>
    <s v="JARDIM AERODROMO"/>
    <s v="GUARULHOS"/>
    <s v="SP"/>
    <s v="07161-719"/>
    <m/>
    <n v="11951285819"/>
    <m/>
    <n v="341"/>
    <n v="6413"/>
    <x v="104"/>
    <m/>
    <m/>
    <m/>
    <s v="ADMINISTRATIVO"/>
    <s v="ADMINISTRATIVO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GEOVANA.SANTOS@DECA.COM.BR"/>
    <m/>
    <s v="GEOVANSA"/>
    <n v="1"/>
    <s v="Sim"/>
  </r>
  <r>
    <n v="102020"/>
    <x v="105"/>
    <s v="Ativo"/>
    <s v="AD"/>
    <n v="30024623"/>
    <s v="Colaborador–M.O.Fixa"/>
    <s v="Aprendiz"/>
    <s v="1DX"/>
    <s v="Duratex S.A."/>
    <n v="11"/>
    <s v="FÁB LOUÇAS RECIFE"/>
    <n v="11"/>
    <s v="DECA"/>
    <s v="NAO"/>
    <s v="0011 - FÁB LOUÇAS RECIFE"/>
    <s v="MELISSA VANESSA DOS SANTOS SILVA"/>
    <s v="MELISSA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7/11/2001"/>
    <x v="26"/>
    <m/>
    <s v="brasileira"/>
    <s v="CABO DE SANTO AGOSTINHO"/>
    <s v="PE"/>
    <s v="BR"/>
    <s v="Não"/>
    <s v="F"/>
    <s v="Não"/>
    <m/>
    <s v="Solt."/>
    <s v="Pard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05"/>
    <m/>
    <s v="13/10/2014"/>
    <s v="PE"/>
    <s v="129.243.224-13"/>
    <n v="8430243"/>
    <n v="50"/>
    <s v="17/08/2017"/>
    <s v="PE"/>
    <n v="23707541114"/>
    <m/>
    <m/>
    <m/>
    <m/>
    <m/>
    <m/>
    <m/>
    <m/>
    <m/>
    <x v="105"/>
    <n v="15"/>
    <n v="205"/>
    <s v="26/11/2019"/>
    <s v="PE"/>
    <m/>
    <m/>
    <m/>
    <m/>
    <s v="RUA TRINTA E NOVE"/>
    <n v="100"/>
    <m/>
    <s v="CHARNECA CABO"/>
    <s v="CABO DE SANTO AGOSTINHO"/>
    <s v="PE"/>
    <s v="54535-380"/>
    <m/>
    <n v="81990000000"/>
    <m/>
    <n v="341"/>
    <n v="1737"/>
    <x v="105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ELSILVA"/>
    <n v="1"/>
    <s v="Sim"/>
  </r>
  <r>
    <n v="102020"/>
    <x v="106"/>
    <s v="Ativo"/>
    <s v="AD"/>
    <n v="30131403"/>
    <s v="Colaborador–M.O.Fixa"/>
    <s v="Aprendiz"/>
    <s v="1DX"/>
    <s v="Duratex S.A."/>
    <n v="11"/>
    <s v="FÁB LOUÇAS RECIFE"/>
    <n v="11"/>
    <s v="DECA"/>
    <s v="NAO"/>
    <s v="0011 - FÁB LOUÇAS RECIFE"/>
    <s v="REBECA MARIA DA SILVA SA"/>
    <s v="REBECA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8/12/1999"/>
    <x v="32"/>
    <m/>
    <s v="brasileira"/>
    <s v="ESCADA"/>
    <s v="PE"/>
    <s v="BR"/>
    <s v="Não"/>
    <s v="F"/>
    <s v="Não"/>
    <m/>
    <s v="Solt."/>
    <s v="Branc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06"/>
    <m/>
    <s v="19/08/2013"/>
    <s v="PE"/>
    <s v="122.623.954-46"/>
    <n v="6687664"/>
    <n v="50"/>
    <s v="20/02/2017"/>
    <s v="PE"/>
    <n v="20062940737"/>
    <m/>
    <m/>
    <m/>
    <m/>
    <m/>
    <m/>
    <m/>
    <m/>
    <m/>
    <x v="106"/>
    <n v="15"/>
    <n v="89"/>
    <s v="21/09/2017"/>
    <s v="PE"/>
    <m/>
    <m/>
    <m/>
    <m/>
    <s v="RUA DO PONTILHAO"/>
    <n v="1"/>
    <m/>
    <s v="MERCES"/>
    <s v="CABO DE SANTO AGOSTINHO"/>
    <s v="PE"/>
    <s v="54590-000"/>
    <m/>
    <n v="81990000000"/>
    <m/>
    <n v="341"/>
    <n v="1737"/>
    <x v="106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EBECSIL"/>
    <n v="1"/>
    <s v="Sim"/>
  </r>
  <r>
    <n v="102020"/>
    <x v="107"/>
    <s v="Ativo"/>
    <s v="AD"/>
    <n v="30039092"/>
    <s v="Colaborador–M.O.Var"/>
    <s v="Horista"/>
    <s v="1DX"/>
    <s v="Duratex S.A."/>
    <n v="6"/>
    <s v="FÁB METAIS SP"/>
    <n v="6"/>
    <s v="DECA"/>
    <s v="SIM"/>
    <s v="0006 - FÁB METAIS SP INDL"/>
    <s v="SUELI APARECIDA DE SOUZA"/>
    <s v="SUELI"/>
    <n v="10001433"/>
    <s v="DCA-02"/>
    <s v="DCA-02 - GALVANO AUTOMATICA - MS"/>
    <s v="DXMS"/>
    <s v="DXGALAUT06"/>
    <s v="Galvan. Automática"/>
    <n v="10001434"/>
    <s v="DCA-02"/>
    <s v="DCA-02 - GALVANO/CRUZETA/MISCELANEA - MS"/>
    <s v="VALDEMIR MANOEL DA SILVA"/>
    <n v="10000080"/>
    <s v="EQUIPE"/>
    <s v="EQUIPE"/>
    <n v="10000002"/>
    <s v="DECA"/>
    <s v="DIR IND DECA (METAIS)"/>
    <m/>
    <m/>
    <m/>
    <m/>
    <m/>
    <m/>
    <d v="2020-05-10T00:00:00"/>
    <n v="0"/>
    <m/>
    <s v="18/08/1971"/>
    <x v="25"/>
    <m/>
    <s v="brasileira"/>
    <s v="SAO PAULO"/>
    <s v="SP"/>
    <s v="BR"/>
    <s v="Não"/>
    <s v="F"/>
    <s v="Não"/>
    <m/>
    <s v="Solt."/>
    <s v="Parda"/>
    <s v="Colegial completo"/>
    <s v="Auditiva"/>
    <n v="22000271"/>
    <s v="220/H"/>
    <s v="AUX PRODUCAO"/>
    <n v="784205"/>
    <s v="Admiss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m/>
    <s v="N"/>
    <x v="107"/>
    <m/>
    <d v="2012-08-08T00:00:00"/>
    <s v="SP"/>
    <s v="248.956.928-76"/>
    <n v="34013"/>
    <n v="93"/>
    <s v="22/08/2003"/>
    <s v="SP"/>
    <n v="12301742026"/>
    <m/>
    <m/>
    <m/>
    <m/>
    <m/>
    <m/>
    <m/>
    <m/>
    <m/>
    <x v="107"/>
    <n v="420"/>
    <n v="28"/>
    <s v="22/11/1993"/>
    <s v="SP"/>
    <m/>
    <m/>
    <m/>
    <m/>
    <s v="RUA MAJOR BARACCA"/>
    <n v="1275"/>
    <m/>
    <s v="PARQUE EDU CHAVES"/>
    <s v="SÃO PAULO"/>
    <s v="SP"/>
    <s v="02232-000"/>
    <m/>
    <n v="11985296634"/>
    <m/>
    <n v="341"/>
    <n v="3184"/>
    <x v="10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UESOUZA"/>
    <n v="1"/>
    <s v="Sim"/>
  </r>
  <r>
    <n v="102020"/>
    <x v="108"/>
    <s v="Ativo"/>
    <s v="AD"/>
    <n v="30131405"/>
    <s v="Colaborador–M.O.Fixa"/>
    <s v="Aprendiz"/>
    <s v="1DX"/>
    <s v="Duratex S.A."/>
    <n v="11"/>
    <s v="FÁB LOUÇAS RECIFE"/>
    <n v="11"/>
    <s v="DECA"/>
    <s v="NAO"/>
    <s v="0011 - FÁB LOUÇAS RECIFE"/>
    <s v="PEDRO RAMOS DOS SANTOS"/>
    <s v="PEDRO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d v="1999-10-01T00:00:00"/>
    <x v="13"/>
    <m/>
    <s v="brasileira"/>
    <s v="CABO DE SANTO AGOSTINHO"/>
    <s v="PE"/>
    <s v="BR"/>
    <s v="Não"/>
    <s v="M"/>
    <s v="Não"/>
    <m/>
    <s v="Solt."/>
    <s v="Negr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08"/>
    <m/>
    <s v="16/12/2015"/>
    <s v="PE"/>
    <s v="123.724.744-64"/>
    <n v="6178168"/>
    <n v="50"/>
    <s v="21/12/2016"/>
    <s v="PE"/>
    <n v="16596402011"/>
    <m/>
    <m/>
    <m/>
    <m/>
    <m/>
    <m/>
    <m/>
    <m/>
    <m/>
    <x v="108"/>
    <n v="15"/>
    <n v="23"/>
    <s v="27/06/2017"/>
    <s v="PE"/>
    <n v="210022742204"/>
    <m/>
    <m/>
    <m/>
    <s v="RUA CINCO  CHARNECA"/>
    <n v="12"/>
    <m/>
    <s v="CHARNEQUINHA"/>
    <s v="CABO DE SANTO AGOSTINHO"/>
    <s v="PE"/>
    <s v="54535-040"/>
    <m/>
    <n v="81983725053"/>
    <m/>
    <n v="341"/>
    <n v="1737"/>
    <x v="108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NTPEDR"/>
    <n v="1"/>
    <s v="Sim"/>
  </r>
  <r>
    <n v="102020"/>
    <x v="109"/>
    <s v="Ativo"/>
    <s v="AD"/>
    <n v="30046274"/>
    <s v="Colaborador–M.O.Var"/>
    <s v="Horista"/>
    <s v="1DX"/>
    <s v="Duratex S.A."/>
    <n v="7"/>
    <s v="FÁB METAIS JUNDIAÍ"/>
    <n v="7"/>
    <s v="DECA"/>
    <s v="SIM"/>
    <s v="0007 - FÁB METAIS JUNDIAÍ"/>
    <s v="MARCOS ANTONIO DA SILVA"/>
    <s v="MARCOS"/>
    <n v="10001461"/>
    <s v="DVM-02"/>
    <s v="DVM-02 - GALVANO DE PLASTICOS - MP"/>
    <s v="DXMP"/>
    <s v="DXGALPLA33"/>
    <s v="Galv. Plásticos MP"/>
    <n v="10003570"/>
    <s v="DVM-01"/>
    <s v="DVM-01 - PROD GERADORAS/ACAB/MONTAGEM"/>
    <s v="WELTON ANGELO DA SILVA"/>
    <n v="10000059"/>
    <s v="SUPERVISOR"/>
    <s v="SUPERVISOR"/>
    <n v="10000002"/>
    <s v="DECA"/>
    <s v="DIR IND DECA (METAIS)"/>
    <m/>
    <m/>
    <m/>
    <m/>
    <m/>
    <m/>
    <d v="2020-05-10T00:00:00"/>
    <n v="0"/>
    <m/>
    <d v="1988-12-06T00:00:00"/>
    <x v="9"/>
    <m/>
    <s v="brasileira"/>
    <s v="MARILIA"/>
    <s v="SP"/>
    <s v="BR"/>
    <s v="Não"/>
    <s v="M"/>
    <s v="Não"/>
    <m/>
    <s v="Marita"/>
    <s v="Pard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109"/>
    <m/>
    <d v="2016-10-11T00:00:00"/>
    <s v="SP"/>
    <s v="232.202.458-97"/>
    <n v="60957"/>
    <n v="317"/>
    <s v="15/12/2007"/>
    <s v="SP"/>
    <n v="20487649758"/>
    <m/>
    <m/>
    <m/>
    <m/>
    <m/>
    <m/>
    <m/>
    <m/>
    <m/>
    <x v="88"/>
    <m/>
    <m/>
    <m/>
    <m/>
    <m/>
    <m/>
    <m/>
    <m/>
    <s v="RUA PERI"/>
    <n v="572"/>
    <m/>
    <s v="ESTANCIA LAGO AZUL"/>
    <s v="FRANCO DA ROCHA"/>
    <s v="SP"/>
    <s v="07866-260"/>
    <m/>
    <n v="11998546848"/>
    <m/>
    <n v="341"/>
    <n v="2523"/>
    <x v="10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NTONMAR"/>
    <n v="1"/>
    <s v="Sim"/>
  </r>
  <r>
    <n v="102020"/>
    <x v="110"/>
    <s v="Ativo"/>
    <s v="AD"/>
    <n v="30131400"/>
    <s v="Colaborador–M.O.Fixa"/>
    <s v="Aprendiz"/>
    <s v="1DX"/>
    <s v="Duratex S.A."/>
    <n v="11"/>
    <s v="FÁB LOUÇAS RECIFE"/>
    <n v="11"/>
    <s v="DECA"/>
    <s v="NAO"/>
    <s v="0011 - FÁB LOUÇAS RECIFE"/>
    <s v="CAIO MATEUS EMILIANO DA SILVA"/>
    <s v="CAIO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9/04/1999"/>
    <x v="13"/>
    <m/>
    <s v="brasileira"/>
    <s v="RECIFE"/>
    <s v="PE"/>
    <s v="BR"/>
    <s v="Não"/>
    <s v="M"/>
    <s v="Não"/>
    <m/>
    <s v="Solt."/>
    <s v="Branc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10"/>
    <m/>
    <d v="2013-09-03T00:00:00"/>
    <s v="PE"/>
    <s v="704.595.994-02"/>
    <n v="8430125"/>
    <n v="50"/>
    <s v="16/08/2017"/>
    <s v="PE"/>
    <n v="15704532067"/>
    <m/>
    <m/>
    <m/>
    <m/>
    <m/>
    <m/>
    <m/>
    <m/>
    <m/>
    <x v="109"/>
    <n v="15"/>
    <n v="184"/>
    <s v="27/07/2017"/>
    <s v="PE"/>
    <n v="210022742410"/>
    <m/>
    <m/>
    <m/>
    <s v="RUA GENERESTILDES F DE MELO"/>
    <n v="3"/>
    <m/>
    <s v="VILA DOUTOR MANOEL CLEMENTINO"/>
    <s v="CABO DE SANTO AGOSTINHO"/>
    <s v="PE"/>
    <s v="54510-300"/>
    <m/>
    <n v="81984539926"/>
    <m/>
    <n v="341"/>
    <n v="1737"/>
    <x v="110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CAIO"/>
    <n v="1"/>
    <s v="Sim"/>
  </r>
  <r>
    <n v="102020"/>
    <x v="111"/>
    <s v="Ativo"/>
    <s v="AD"/>
    <n v="30131401"/>
    <s v="Colaborador–M.O.Fixa"/>
    <s v="Aprendiz"/>
    <s v="1DX"/>
    <s v="Duratex S.A."/>
    <n v="11"/>
    <s v="FÁB LOUÇAS RECIFE"/>
    <n v="11"/>
    <s v="DECA"/>
    <s v="NAO"/>
    <s v="0011 - FÁB LOUÇAS RECIFE"/>
    <s v="LUIZ CARLOS FERNANDES DA SILVA"/>
    <s v="LUIZ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31/07/1999"/>
    <x v="13"/>
    <m/>
    <s v="brasileira"/>
    <s v="JABOATAO DOS GUARARAPES"/>
    <s v="PE"/>
    <s v="BR"/>
    <s v="Não"/>
    <s v="M"/>
    <s v="Não"/>
    <m/>
    <s v="Solt."/>
    <s v="Negr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11"/>
    <m/>
    <d v="2015-05-02T00:00:00"/>
    <s v="PE"/>
    <s v="139.146.944-59"/>
    <n v="5620161"/>
    <n v="60"/>
    <s v="23/05/2019"/>
    <s v="PE"/>
    <n v="20068616141"/>
    <m/>
    <m/>
    <m/>
    <m/>
    <m/>
    <m/>
    <m/>
    <m/>
    <m/>
    <x v="110"/>
    <n v="147"/>
    <n v="392"/>
    <s v="31/07/1999"/>
    <s v="PE"/>
    <n v="320003748478"/>
    <m/>
    <m/>
    <m/>
    <s v="TRAVESSA 2 CD DA BOA VISTA"/>
    <n v="101"/>
    <m/>
    <s v="JARDIM DO NAUTICO.PRAZERES"/>
    <s v="JABOATÃO DOS GUARARAPES"/>
    <s v="PE"/>
    <s v="54340-572"/>
    <m/>
    <n v="81987282528"/>
    <m/>
    <n v="341"/>
    <n v="6318"/>
    <x v="111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ELUIZ"/>
    <n v="1"/>
    <s v="Sim"/>
  </r>
  <r>
    <n v="102020"/>
    <x v="112"/>
    <s v="Ativo"/>
    <s v="AD"/>
    <n v="30131404"/>
    <s v="Colaborador–M.O.Fixa"/>
    <s v="Aprendiz"/>
    <s v="1DX"/>
    <s v="Duratex S.A."/>
    <n v="11"/>
    <s v="FÁB LOUÇAS RECIFE"/>
    <n v="11"/>
    <s v="DECA"/>
    <s v="NAO"/>
    <s v="0011 - FÁB LOUÇAS RECIFE"/>
    <s v="RANYELLE RAYSSA DE MELO"/>
    <s v="RANYELLE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8/07/2001"/>
    <x v="24"/>
    <m/>
    <s v="brasileira"/>
    <s v="RIBEIRAO"/>
    <s v="PE"/>
    <s v="BR"/>
    <s v="Não"/>
    <s v="F"/>
    <s v="Não"/>
    <m/>
    <s v="Solt."/>
    <s v="Negr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12"/>
    <m/>
    <s v="17/07/2017"/>
    <s v="PE"/>
    <s v="132.530.494-85"/>
    <n v="4637599"/>
    <n v="60"/>
    <s v="25/03/2019"/>
    <s v="PE"/>
    <n v="16597560087"/>
    <m/>
    <m/>
    <m/>
    <m/>
    <m/>
    <m/>
    <m/>
    <m/>
    <m/>
    <x v="111"/>
    <n v="28"/>
    <n v="78"/>
    <s v="26/09/2017"/>
    <s v="PE"/>
    <m/>
    <m/>
    <m/>
    <m/>
    <s v="LOTE SOLEDADE"/>
    <n v="46"/>
    <m/>
    <s v="VILA RICA"/>
    <s v="RIBEIRAO"/>
    <s v="PE"/>
    <s v="55520-000"/>
    <m/>
    <n v="81993575876"/>
    <m/>
    <n v="341"/>
    <n v="1737"/>
    <x v="112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AMELO"/>
    <n v="1"/>
    <s v="Sim"/>
  </r>
  <r>
    <n v="102020"/>
    <x v="113"/>
    <s v="Ativo"/>
    <s v="AD"/>
    <n v="30047178"/>
    <s v="Colaborador–M.O.Var"/>
    <s v="Horista"/>
    <s v="1DX"/>
    <s v="Duratex S.A."/>
    <n v="7"/>
    <s v="FÁB METAIS JUNDIAÍ"/>
    <n v="7"/>
    <s v="DECA"/>
    <s v="SIM"/>
    <s v="0007 - FÁB METAIS JUNDIAÍ"/>
    <s v="LILIANE APARECIDA SIMAO TEOFILO"/>
    <s v="LILIANE"/>
    <n v="10001460"/>
    <s v="DVM-02"/>
    <s v="DVM-02 - GALVANO AUTOMATICA - MP"/>
    <s v="DXMP"/>
    <s v="DXGALAUT33"/>
    <s v="Galvan. Metal MP"/>
    <n v="10001461"/>
    <s v="DVM-02"/>
    <s v="DVM-02 - GALVANO DE PLASTICOS - MP"/>
    <s v="WELTON ANGELO DA SILVA"/>
    <n v="10000080"/>
    <s v="EQUIPE"/>
    <s v="EQUIPE"/>
    <n v="10000002"/>
    <s v="DECA"/>
    <s v="DIR IND DECA (METAIS)"/>
    <m/>
    <m/>
    <m/>
    <m/>
    <m/>
    <m/>
    <d v="2020-05-10T00:00:00"/>
    <n v="0"/>
    <m/>
    <s v="27/03/1981"/>
    <x v="20"/>
    <m/>
    <s v="brasileira"/>
    <s v="JUNDIAI"/>
    <s v="SP"/>
    <s v="BR"/>
    <s v="Não"/>
    <s v="F"/>
    <s v="Não"/>
    <m/>
    <s v="Casado"/>
    <s v="Branc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113"/>
    <m/>
    <d v="2018-09-10T00:00:00"/>
    <s v="SP"/>
    <s v="331.782.708-41"/>
    <n v="38675"/>
    <n v="212"/>
    <d v="1999-03-11T00:00:00"/>
    <s v="SP"/>
    <n v="20653417815"/>
    <m/>
    <m/>
    <m/>
    <m/>
    <m/>
    <m/>
    <m/>
    <m/>
    <m/>
    <x v="112"/>
    <n v="242"/>
    <n v="77"/>
    <d v="2019-08-02T00:00:00"/>
    <s v="SP"/>
    <m/>
    <m/>
    <m/>
    <m/>
    <s v="RUA GUAIRA"/>
    <n v="30"/>
    <m/>
    <s v="PARQUE GUARANI"/>
    <s v="VÁRZEA PAULISTA"/>
    <s v="SP"/>
    <s v="13225-510"/>
    <m/>
    <n v="11974093980"/>
    <m/>
    <n v="341"/>
    <n v="8621"/>
    <x v="11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TEOFILO"/>
    <n v="1"/>
    <s v="Sim"/>
  </r>
  <r>
    <n v="102020"/>
    <x v="114"/>
    <s v="Ativo"/>
    <s v="AD"/>
    <n v="30131406"/>
    <s v="Colaborador–M.O.Fixa"/>
    <s v="Aprendiz"/>
    <s v="1DX"/>
    <s v="Duratex S.A."/>
    <n v="11"/>
    <s v="FÁB LOUÇAS RECIFE"/>
    <n v="11"/>
    <s v="DECA"/>
    <s v="NAO"/>
    <s v="0011 - FÁB LOUÇAS RECIFE"/>
    <s v="RHUAN KERVENI SOUSA RAMOS"/>
    <s v="RHUAN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d v="2002-05-04T00:00:00"/>
    <x v="26"/>
    <m/>
    <s v="brasileira"/>
    <s v="RECIFE"/>
    <s v="PE"/>
    <s v="BR"/>
    <s v="Não"/>
    <s v="M"/>
    <s v="Não"/>
    <m/>
    <s v="Solt."/>
    <s v="Pard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14"/>
    <m/>
    <s v="30/09/2010"/>
    <s v="PE"/>
    <s v="134.991.984-52"/>
    <n v="6592001"/>
    <n v="60"/>
    <s v="27/08/2019"/>
    <s v="PE"/>
    <n v="23620465610"/>
    <m/>
    <m/>
    <m/>
    <m/>
    <m/>
    <m/>
    <m/>
    <m/>
    <m/>
    <x v="113"/>
    <n v="15"/>
    <n v="110"/>
    <s v="28/10/2019"/>
    <s v="PE"/>
    <n v="320004431682"/>
    <m/>
    <m/>
    <m/>
    <s v="RUA A CINQUENTA E DOIS"/>
    <n v="2"/>
    <m/>
    <s v="SAO FRANCISCO"/>
    <s v="CABO DE SANTO AGOSTINHO"/>
    <s v="PE"/>
    <s v="54500-001"/>
    <m/>
    <n v="81986564265"/>
    <m/>
    <n v="341"/>
    <n v="6999"/>
    <x v="114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HRAMOS"/>
    <n v="1"/>
    <s v="Sim"/>
  </r>
  <r>
    <n v="102020"/>
    <x v="115"/>
    <s v="Ativo"/>
    <s v="AD"/>
    <n v="30047206"/>
    <s v="Colaborador–M.O.Var"/>
    <s v="Mensalista"/>
    <s v="1DX"/>
    <s v="Duratex S.A."/>
    <n v="9"/>
    <s v="FÁB LOUÇAS JUNDIAÍ I"/>
    <n v="9"/>
    <s v="DECA"/>
    <s v="SIM"/>
    <s v="0009 - FÁB LOUÇAS JUNDIAÍ I"/>
    <s v="VAGNER LUIS FRANCO DE ANDRADE"/>
    <s v="VAGNER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d v="1973-02-03T00:00:00"/>
    <x v="15"/>
    <m/>
    <s v="brasileira"/>
    <s v="JUNDIAI"/>
    <s v="SP"/>
    <s v="BR"/>
    <s v="Não"/>
    <s v="M"/>
    <s v="Não"/>
    <m/>
    <s v="Solt."/>
    <s v="Negra"/>
    <s v="Primário in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15"/>
    <m/>
    <s v="13/12/2014"/>
    <s v="SP"/>
    <s v="180.594.218-24"/>
    <n v="81570"/>
    <n v="105"/>
    <s v="14/01/1988"/>
    <s v="SP"/>
    <n v="12552121480"/>
    <m/>
    <m/>
    <m/>
    <m/>
    <m/>
    <m/>
    <m/>
    <m/>
    <m/>
    <x v="114"/>
    <n v="65"/>
    <n v="66"/>
    <s v="25/11/2011"/>
    <s v="SP"/>
    <m/>
    <m/>
    <m/>
    <m/>
    <s v="RUA BENEDITO FELICIANO DE MORAES"/>
    <n v="442"/>
    <m/>
    <s v="VILA LACERDA"/>
    <s v="JUNDIAÍ"/>
    <s v="SP"/>
    <s v="13214-070"/>
    <m/>
    <n v="11973298112"/>
    <m/>
    <n v="341"/>
    <n v="1951"/>
    <x v="11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AGNANDR"/>
    <n v="1"/>
    <s v="Sim"/>
  </r>
  <r>
    <n v="102020"/>
    <x v="116"/>
    <s v="Ativo"/>
    <s v="AD"/>
    <n v="30131407"/>
    <s v="Colaborador–M.O.Fixa"/>
    <s v="Aprendiz"/>
    <s v="1DX"/>
    <s v="Duratex S.A."/>
    <n v="11"/>
    <s v="FÁB LOUÇAS RECIFE"/>
    <n v="11"/>
    <s v="DECA"/>
    <s v="NAO"/>
    <s v="0011 - FÁB LOUÇAS RECIFE"/>
    <s v="KAROLINE CARDOSO PAULO"/>
    <s v="KAROLINE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1/02/2001"/>
    <x v="24"/>
    <m/>
    <s v="brasileira"/>
    <s v="JUNDIAI"/>
    <s v="SP"/>
    <s v="BR"/>
    <s v="Não"/>
    <s v="F"/>
    <s v="Não"/>
    <m/>
    <s v="Solt."/>
    <s v="Branc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16"/>
    <m/>
    <s v="22/12/2012"/>
    <s v="SP"/>
    <s v="463.682.378-80"/>
    <n v="36377"/>
    <n v="442"/>
    <s v="28/03/2016"/>
    <s v="SP"/>
    <n v="12871221792"/>
    <m/>
    <m/>
    <m/>
    <m/>
    <m/>
    <m/>
    <m/>
    <m/>
    <m/>
    <x v="115"/>
    <n v="101"/>
    <n v="327"/>
    <d v="2020-10-02T00:00:00"/>
    <s v="PE"/>
    <m/>
    <m/>
    <m/>
    <m/>
    <s v="RUA DO JANGADEIRO"/>
    <n v="294"/>
    <m/>
    <s v="CANDEIAS"/>
    <s v="JABOATÃO DOS GUARARAPES"/>
    <s v="PE"/>
    <s v="54430-315"/>
    <m/>
    <n v="11975304384"/>
    <m/>
    <n v="341"/>
    <n v="7477"/>
    <x v="116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KPAULO"/>
    <n v="1"/>
    <s v="Sim"/>
  </r>
  <r>
    <n v="102020"/>
    <x v="117"/>
    <s v="Ativo"/>
    <s v="AD"/>
    <n v="30047220"/>
    <s v="Colaborador–M.O.Var"/>
    <s v="Mensalista"/>
    <s v="1DX"/>
    <s v="Duratex S.A."/>
    <n v="9"/>
    <s v="FÁB LOUÇAS JUNDIAÍ I"/>
    <n v="9"/>
    <s v="DECA"/>
    <s v="SIM"/>
    <s v="0009 - FÁB LOUÇAS JUNDIAÍ I"/>
    <s v="PEDRO LUCAS LAUREANO"/>
    <s v="PEDRO"/>
    <n v="10001564"/>
    <s v="DMF-02"/>
    <s v="DMF-02 - FUNDICAO ACESS A.PRESSAO - LJ I"/>
    <s v="DXLJ"/>
    <s v="DXACESAP23"/>
    <s v="Fund.Acess.AltaPress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s v="21/11/2000"/>
    <x v="24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17"/>
    <m/>
    <s v="21/11/2018"/>
    <s v="SP"/>
    <s v="477.172.698-13"/>
    <n v="19509"/>
    <n v="448"/>
    <s v="26/11/2016"/>
    <s v="SP"/>
    <n v="21294153805"/>
    <m/>
    <m/>
    <m/>
    <m/>
    <m/>
    <m/>
    <m/>
    <m/>
    <m/>
    <x v="88"/>
    <m/>
    <m/>
    <m/>
    <m/>
    <n v="320001401336"/>
    <m/>
    <m/>
    <m/>
    <s v="RUA PROFESSOR JOAO DE OLIVEIRA SOBRINHO"/>
    <n v="186"/>
    <m/>
    <s v="JARDIM ESPLANADA"/>
    <s v="JUNDIAÍ"/>
    <s v="SP"/>
    <s v="13202-070"/>
    <m/>
    <n v="11997657810"/>
    <m/>
    <n v="341"/>
    <n v="658"/>
    <x v="11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PLAUREAN"/>
    <n v="1"/>
    <s v="Sim"/>
  </r>
  <r>
    <n v="102020"/>
    <x v="118"/>
    <s v="Ativo"/>
    <s v="AD"/>
    <n v="30047211"/>
    <s v="Colaborador–M.O.Var"/>
    <s v="Mensalista"/>
    <s v="1DX"/>
    <s v="Duratex S.A."/>
    <n v="9"/>
    <s v="FÁB LOUÇAS JUNDIAÍ I"/>
    <n v="9"/>
    <s v="DECA"/>
    <s v="SIM"/>
    <s v="0009 - FÁB LOUÇAS JUNDIAÍ I"/>
    <s v="LEONARDO MIRANDA DE ALCANTARA"/>
    <s v="LEONARDO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d v="2001-06-03T00:00:00"/>
    <x v="24"/>
    <m/>
    <s v="brasileira"/>
    <s v="ATALEIA"/>
    <s v="MG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18"/>
    <m/>
    <s v="14/03/2019"/>
    <s v="MG"/>
    <s v="159.821.746-10"/>
    <n v="3968699"/>
    <n v="60"/>
    <s v="18/03/2019"/>
    <s v="MG"/>
    <n v="16058513457"/>
    <m/>
    <m/>
    <m/>
    <m/>
    <m/>
    <m/>
    <m/>
    <m/>
    <m/>
    <x v="116"/>
    <n v="270"/>
    <n v="187"/>
    <s v="27/02/2018"/>
    <s v="MG"/>
    <n v="320004000000"/>
    <m/>
    <m/>
    <m/>
    <s v="RUA DOUTOR HEGG"/>
    <n v="130"/>
    <m/>
    <s v="VILA ARENS II"/>
    <s v="JUNDIAÍ"/>
    <s v="SP"/>
    <s v="13202-544"/>
    <m/>
    <n v="11960000000"/>
    <m/>
    <n v="341"/>
    <n v="2523"/>
    <x v="11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ALCANTA"/>
    <n v="1"/>
    <s v="Sim"/>
  </r>
  <r>
    <n v="102020"/>
    <x v="119"/>
    <s v="Ativo"/>
    <s v="AD"/>
    <n v="30047223"/>
    <s v="Colaborador–M.O.Var"/>
    <s v="Mensalista"/>
    <s v="1DX"/>
    <s v="Duratex S.A."/>
    <n v="9"/>
    <s v="FÁB LOUÇAS JUNDIAÍ I"/>
    <n v="9"/>
    <s v="DECA"/>
    <s v="SIM"/>
    <s v="0009 - FÁB LOUÇAS JUNDIAÍ I"/>
    <s v="GABRIEL PASCHOAL DANTAS"/>
    <s v="GABRIEL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s v="24/04/2002"/>
    <x v="26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19"/>
    <m/>
    <d v="2011-05-09T00:00:00"/>
    <s v="SP"/>
    <s v="519.316.538-95"/>
    <n v="88773"/>
    <n v="449"/>
    <s v="23/02/2017"/>
    <s v="SP"/>
    <n v="20742402023"/>
    <m/>
    <m/>
    <m/>
    <m/>
    <m/>
    <m/>
    <m/>
    <m/>
    <m/>
    <x v="88"/>
    <m/>
    <m/>
    <m/>
    <m/>
    <n v="320004403578"/>
    <m/>
    <m/>
    <m/>
    <s v="RUA AGOSTINHO JULIO PIACENTINI"/>
    <n v="222"/>
    <m/>
    <s v="JARDIM FLORESTAL"/>
    <s v="JUNDIAÍ"/>
    <s v="SP"/>
    <s v="13215-640"/>
    <m/>
    <n v="11940000000"/>
    <m/>
    <n v="341"/>
    <n v="2523"/>
    <x v="11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ADANTAS"/>
    <n v="1"/>
    <s v="Sim"/>
  </r>
  <r>
    <n v="102020"/>
    <x v="120"/>
    <s v="Ativo"/>
    <s v="AD"/>
    <n v="30047224"/>
    <s v="Colaborador–M.O.Var"/>
    <s v="Mensalista"/>
    <s v="1DX"/>
    <s v="Duratex S.A."/>
    <n v="9"/>
    <s v="FÁB LOUÇAS JUNDIAÍ I"/>
    <n v="9"/>
    <s v="DECA"/>
    <s v="SIM"/>
    <s v="0009 - FÁB LOUÇAS JUNDIAÍ I"/>
    <s v="MARCOS ALVES DA SILVA"/>
    <s v="MARCOS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s v="21/01/2001"/>
    <x v="24"/>
    <m/>
    <s v="brasileira"/>
    <s v="SAO SEBASTIAO DO MARANHAO"/>
    <s v="MG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20"/>
    <m/>
    <d v="2016-06-10T00:00:00"/>
    <s v="MG"/>
    <s v="155.896.456-89"/>
    <n v="1558964"/>
    <n v="5689"/>
    <d v="2020-03-10T00:00:00"/>
    <s v="SP"/>
    <n v="16445739165"/>
    <m/>
    <m/>
    <m/>
    <m/>
    <m/>
    <m/>
    <m/>
    <m/>
    <m/>
    <x v="117"/>
    <n v="247"/>
    <n v="61"/>
    <s v="24/07/2019"/>
    <s v="MG"/>
    <n v="320003549465"/>
    <m/>
    <m/>
    <m/>
    <s v="RUA BAHIA"/>
    <n v="181"/>
    <m/>
    <s v="JARDIM TARUMA"/>
    <s v="JUNDIAÍ"/>
    <s v="SP"/>
    <s v="13216-490"/>
    <m/>
    <n v="34000000000"/>
    <m/>
    <n v="341"/>
    <n v="26"/>
    <x v="12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COALV"/>
    <n v="1"/>
    <s v="Sim"/>
  </r>
  <r>
    <n v="102020"/>
    <x v="121"/>
    <s v="Ativo"/>
    <s v="AD"/>
    <n v="30047201"/>
    <s v="Colaborador–M.O.Var"/>
    <s v="Mensalista"/>
    <s v="1DX"/>
    <s v="Duratex S.A."/>
    <n v="9"/>
    <s v="FÁB LOUÇAS JUNDIAÍ I"/>
    <n v="9"/>
    <s v="DECA"/>
    <s v="SIM"/>
    <s v="0009 - FÁB LOUÇAS JUNDIAÍ I"/>
    <s v="BRUNO GUILHERME DA SILVA"/>
    <s v="BRUNO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s v="22/03/1992"/>
    <x v="11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21"/>
    <m/>
    <s v="22/01/2019"/>
    <s v="SP"/>
    <s v="353.325.708-80"/>
    <n v="29108"/>
    <n v="351"/>
    <s v="26/01/2009"/>
    <s v="SP"/>
    <n v="16128657398"/>
    <m/>
    <m/>
    <m/>
    <m/>
    <m/>
    <m/>
    <m/>
    <m/>
    <m/>
    <x v="118"/>
    <n v="281"/>
    <n v="169"/>
    <d v="2018-04-09T00:00:00"/>
    <s v="SP"/>
    <n v="140873015485"/>
    <m/>
    <m/>
    <m/>
    <s v="RUA NOSSA SENHORA APARECIDA"/>
    <n v="126"/>
    <m/>
    <s v="VILA RAMI"/>
    <s v="JUNDIAÍ"/>
    <s v="SP"/>
    <s v="13206-310"/>
    <m/>
    <n v="11970000000"/>
    <m/>
    <n v="341"/>
    <n v="2523"/>
    <x v="12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LBRUNO"/>
    <n v="1"/>
    <s v="Sim"/>
  </r>
  <r>
    <n v="102020"/>
    <x v="122"/>
    <s v="Ativo"/>
    <s v="AD"/>
    <n v="30047205"/>
    <s v="Colaborador–M.O.Var"/>
    <s v="Mensalista"/>
    <s v="1DX"/>
    <s v="Duratex S.A."/>
    <n v="9"/>
    <s v="FÁB LOUÇAS JUNDIAÍ I"/>
    <n v="9"/>
    <s v="DECA"/>
    <s v="SIM"/>
    <s v="0009 - FÁB LOUÇAS JUNDIAÍ I"/>
    <s v="FELIPE ALVES AZARIAS"/>
    <s v="FELIPE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s v="31/10/2001"/>
    <x v="24"/>
    <m/>
    <s v="brasileira"/>
    <s v="JUNDIAI"/>
    <s v="SP"/>
    <s v="BR"/>
    <s v="Não"/>
    <s v="M"/>
    <s v="Não"/>
    <m/>
    <s v="Solt."/>
    <s v="Negr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22"/>
    <m/>
    <d v="2012-02-03T00:00:00"/>
    <s v="SP"/>
    <s v="465.567.058-45"/>
    <n v="99861"/>
    <n v="439"/>
    <d v="2015-04-11T00:00:00"/>
    <s v="SP"/>
    <n v="14847522083"/>
    <m/>
    <m/>
    <m/>
    <m/>
    <m/>
    <m/>
    <m/>
    <m/>
    <m/>
    <x v="119"/>
    <n v="281"/>
    <n v="196"/>
    <s v="19/12/2019"/>
    <s v="SP"/>
    <n v="320002273983"/>
    <m/>
    <m/>
    <m/>
    <s v="RUA GUERINO PIEROBON"/>
    <n v="169"/>
    <m/>
    <s v="VILA C REDENTOR"/>
    <s v="JUNDIAÍ"/>
    <s v="SP"/>
    <s v="13203-180"/>
    <m/>
    <n v="11974739144"/>
    <m/>
    <n v="341"/>
    <n v="2523"/>
    <x v="12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AZARIAS"/>
    <n v="1"/>
    <s v="Sim"/>
  </r>
  <r>
    <n v="102020"/>
    <x v="123"/>
    <s v="Ativo"/>
    <s v="AD"/>
    <n v="30131408"/>
    <s v="Colaborador–M.O.Fixa"/>
    <s v="Aprendiz"/>
    <s v="1DX"/>
    <s v="Duratex S.A."/>
    <n v="11"/>
    <s v="FÁB LOUÇAS RECIFE"/>
    <n v="11"/>
    <s v="DECA"/>
    <s v="NAO"/>
    <s v="0011 - FÁB LOUÇAS RECIFE"/>
    <s v="LIVINSTHON DA SILVA CARVALHO"/>
    <s v="LIVINSTHON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13/08/2001"/>
    <x v="24"/>
    <m/>
    <s v="brasileira"/>
    <s v="RECIFE"/>
    <s v="PE"/>
    <s v="BR"/>
    <s v="Não"/>
    <s v="M"/>
    <s v="Não"/>
    <m/>
    <s v="Solt."/>
    <s v="Pard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23"/>
    <m/>
    <s v="20/11/2017"/>
    <s v="PE"/>
    <s v="144.114.394-76"/>
    <n v="4631268"/>
    <n v="60"/>
    <s v="27/02/2019"/>
    <s v="PE"/>
    <n v="23848571133"/>
    <m/>
    <m/>
    <m/>
    <m/>
    <m/>
    <m/>
    <m/>
    <m/>
    <m/>
    <x v="120"/>
    <n v="118"/>
    <n v="187"/>
    <d v="2018-07-03T00:00:00"/>
    <s v="PE"/>
    <n v="320002290196"/>
    <m/>
    <m/>
    <m/>
    <s v="RUA PROFESSOR JOAQUIM AMAZONAS"/>
    <n v="13"/>
    <m/>
    <s v="SUCUPIRA"/>
    <s v="JABOATÃO DOS GUARARAPES"/>
    <s v="PE"/>
    <s v="54280-070"/>
    <m/>
    <n v="81990000000"/>
    <m/>
    <n v="341"/>
    <n v="7924"/>
    <x v="123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ICARVAL"/>
    <n v="1"/>
    <s v="Sim"/>
  </r>
  <r>
    <n v="102020"/>
    <x v="124"/>
    <s v="Ativo"/>
    <s v="AD"/>
    <n v="30131410"/>
    <s v="Colaborador–M.O.Fixa"/>
    <s v="Aprendiz"/>
    <s v="1DX"/>
    <s v="Duratex S.A."/>
    <n v="11"/>
    <s v="FÁB LOUÇAS RECIFE"/>
    <n v="11"/>
    <s v="DECA"/>
    <s v="NAO"/>
    <s v="0011 - FÁB LOUÇAS RECIFE"/>
    <s v="VALESCA SILVA DE ANDRADE"/>
    <s v="VALESCA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d v="1999-08-04T00:00:00"/>
    <x v="13"/>
    <m/>
    <s v="brasileira"/>
    <s v="RECIFE"/>
    <s v="PE"/>
    <s v="BR"/>
    <s v="Não"/>
    <s v="F"/>
    <s v="Não"/>
    <m/>
    <s v="Solt."/>
    <s v="Branc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24"/>
    <m/>
    <s v="21/10/2017"/>
    <s v="PE"/>
    <s v="705.334.454-18"/>
    <n v="51852"/>
    <n v="117"/>
    <d v="2013-11-06T00:00:00"/>
    <s v="PE"/>
    <n v="20905555427"/>
    <m/>
    <m/>
    <m/>
    <m/>
    <m/>
    <m/>
    <m/>
    <m/>
    <m/>
    <x v="121"/>
    <n v="1"/>
    <n v="301"/>
    <s v="17/05/2017"/>
    <s v="PE"/>
    <m/>
    <m/>
    <m/>
    <m/>
    <s v="RUA CRICIUMA"/>
    <n v="355"/>
    <m/>
    <s v="BARRA DE JANGADA"/>
    <s v="JABOATÃO DOS GUARARAPES"/>
    <s v="PE"/>
    <s v="54470-000"/>
    <m/>
    <n v="81987387355"/>
    <m/>
    <n v="341"/>
    <n v="8302"/>
    <x v="124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ALEANDR"/>
    <n v="1"/>
    <s v="Sim"/>
  </r>
  <r>
    <n v="102020"/>
    <x v="125"/>
    <s v="Ativo"/>
    <s v="AD"/>
    <n v="30041274"/>
    <s v="Colaborador–M.O.Var"/>
    <s v="Mensalista"/>
    <s v="1DX"/>
    <s v="Duratex S.A."/>
    <n v="9"/>
    <s v="FÁB LOUÇAS JUNDIAÍ I"/>
    <n v="9"/>
    <s v="DECA"/>
    <s v="SIM"/>
    <s v="0009 - FÁB LOUÇAS JUNDIAÍ I"/>
    <s v="GABRIEL DOS REIS ALMEIDA SILVA"/>
    <s v="GABRIEL"/>
    <n v="10002635"/>
    <s v="DCF-03"/>
    <s v="DCF-03 - FUNDICAO MECANIZADA - LJ I"/>
    <s v="DXLJ"/>
    <s v="DXFMECAN23"/>
    <s v="Fundição Mecanizada"/>
    <n v="10001539"/>
    <s v="DCF-01"/>
    <s v="DCF-01 - FUND MEC /CONV/ FC/ INSP - LJ I"/>
    <s v="JOAO ROSINALDO LOPES"/>
    <n v="10000080"/>
    <s v="EQUIPE"/>
    <s v="EQUIPE"/>
    <n v="10000017"/>
    <s v="DECA"/>
    <s v="DIR IND DECA (LOUCAS)"/>
    <m/>
    <m/>
    <m/>
    <m/>
    <m/>
    <m/>
    <d v="2020-05-10T00:00:00"/>
    <n v="0"/>
    <m/>
    <d v="1998-08-02T00:00:00"/>
    <x v="28"/>
    <m/>
    <s v="brasileira"/>
    <s v="OSASCO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25"/>
    <m/>
    <s v="26/01/2016"/>
    <s v="SP"/>
    <s v="475.810.888-98"/>
    <n v="31044"/>
    <n v="415"/>
    <s v="17/10/2013"/>
    <s v="SP"/>
    <n v="16263825414"/>
    <m/>
    <m/>
    <m/>
    <m/>
    <m/>
    <m/>
    <m/>
    <m/>
    <m/>
    <x v="122"/>
    <n v="65"/>
    <n v="563"/>
    <s v="16/10/2017"/>
    <s v="SP"/>
    <n v="140873185643"/>
    <m/>
    <m/>
    <m/>
    <s v="RUA BENEDITO CUCHARO  CONJ  HAB  JOAO MEZZALIRA JUNIOR"/>
    <n v="127"/>
    <m/>
    <s v="NOVO HORIZONTE"/>
    <s v="JUNDIAÍ"/>
    <s v="SP"/>
    <s v="13213-475"/>
    <m/>
    <n v="11996598740"/>
    <m/>
    <n v="341"/>
    <n v="2523"/>
    <x v="12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ABRIALM"/>
    <n v="1"/>
    <s v="Sim"/>
  </r>
  <r>
    <n v="102020"/>
    <x v="126"/>
    <s v="Ativo"/>
    <s v="AD"/>
    <n v="30041258"/>
    <s v="Colaborador–M.O.Var"/>
    <s v="Mensalista"/>
    <s v="1DX"/>
    <s v="Duratex S.A."/>
    <n v="9"/>
    <s v="FÁB LOUÇAS JUNDIAÍ I"/>
    <n v="9"/>
    <s v="DECA"/>
    <s v="SIM"/>
    <s v="0009 - FÁB LOUÇAS JUNDIAÍ I"/>
    <s v="SCHEIDT FERNANDO ATANAZIO"/>
    <s v="SCHEIDT"/>
    <n v="10001548"/>
    <s v="DCF-02"/>
    <s v="DCF-02 - FUNDICAO CONVENCIONAL - LJ I"/>
    <s v="DXLJ"/>
    <s v="DXCONVEN23"/>
    <s v="Fund. Convencional"/>
    <n v="10001539"/>
    <s v="DCF-01"/>
    <s v="DCF-01 - FUND MEC /CONV/ FC/ INSP - LJ I"/>
    <s v="WILIAN GERALDO DOS SANTOS"/>
    <n v="10000059"/>
    <s v="SUPERVISOR"/>
    <s v="SUPERVISOR"/>
    <n v="10000017"/>
    <s v="DECA"/>
    <s v="DIR IND DECA (LOUCAS)"/>
    <m/>
    <m/>
    <m/>
    <m/>
    <m/>
    <m/>
    <d v="2020-05-10T00:00:00"/>
    <n v="0"/>
    <m/>
    <d v="2001-08-08T00:00:00"/>
    <x v="24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26"/>
    <m/>
    <s v="25/10/2012"/>
    <s v="SP"/>
    <s v="518.921.128-25"/>
    <n v="41677"/>
    <n v="463"/>
    <d v="2019-06-02T00:00:00"/>
    <s v="SP"/>
    <n v="14878988289"/>
    <m/>
    <m/>
    <m/>
    <m/>
    <m/>
    <m/>
    <m/>
    <m/>
    <m/>
    <x v="123"/>
    <n v="65"/>
    <n v="592"/>
    <s v="22/01/2020"/>
    <s v="SP"/>
    <n v="320002368109"/>
    <m/>
    <m/>
    <m/>
    <s v="AVENIDA BENTO FIGUEIREDO"/>
    <n v="493"/>
    <m/>
    <s v="VILA MARLENE"/>
    <s v="JUNDIAÍ"/>
    <s v="SP"/>
    <s v="13214-610"/>
    <m/>
    <n v="11971996962"/>
    <m/>
    <n v="341"/>
    <n v="7431"/>
    <x v="12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TANAZI"/>
    <n v="1"/>
    <s v="Sim"/>
  </r>
  <r>
    <n v="102020"/>
    <x v="127"/>
    <s v="Ativo"/>
    <s v="AD"/>
    <n v="30045726"/>
    <s v="Colaborador–M.O.Var"/>
    <s v="Mensalista"/>
    <s v="1DX"/>
    <s v="Duratex S.A."/>
    <n v="9"/>
    <s v="FÁB LOUÇAS JUNDIAÍ I"/>
    <n v="9"/>
    <s v="DECA"/>
    <s v="SIM"/>
    <s v="0009 - FÁB LOUÇAS JUNDIAÍ I"/>
    <s v="WESLEY MATTEUS CARDOSO DE ALMEIDA"/>
    <s v="WESLEY"/>
    <n v="10001548"/>
    <s v="DCF-02"/>
    <s v="DCF-02 - FUNDICAO CONVENCIONAL - LJ I"/>
    <s v="DXLJ"/>
    <s v="DXCONVEN23"/>
    <s v="Fund. Convencional"/>
    <n v="10001539"/>
    <s v="DCF-01"/>
    <s v="DCF-01 - FUND MEC /CONV/ FC/ INSP - LJ I"/>
    <s v="WILIAN GERALDO DOS SANTOS"/>
    <n v="10000059"/>
    <s v="SUPERVISOR"/>
    <s v="SUPERVISOR"/>
    <n v="10000017"/>
    <s v="DECA"/>
    <s v="DIR IND DECA (LOUCAS)"/>
    <m/>
    <m/>
    <m/>
    <m/>
    <m/>
    <m/>
    <d v="2020-05-10T00:00:00"/>
    <n v="0"/>
    <m/>
    <s v="22/01/2002"/>
    <x v="26"/>
    <m/>
    <s v="brasileira"/>
    <s v="RIO CLARO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27"/>
    <m/>
    <d v="2020-05-02T00:00:00"/>
    <s v="MG"/>
    <s v="149.424.386-59"/>
    <n v="1494293"/>
    <n v="8659"/>
    <d v="2020-10-02T00:00:00"/>
    <s v="SP"/>
    <n v="15841358654"/>
    <m/>
    <m/>
    <m/>
    <m/>
    <m/>
    <m/>
    <m/>
    <m/>
    <m/>
    <x v="124"/>
    <n v="180"/>
    <n v="185"/>
    <s v="22/01/2002"/>
    <s v="MG"/>
    <n v="320004323400"/>
    <m/>
    <m/>
    <m/>
    <s v="RUA ITAGUA"/>
    <n v="244"/>
    <m/>
    <s v="PARQUE GUARANI"/>
    <s v="VÁRZEA PAULISTA"/>
    <s v="SP"/>
    <s v="13225-565"/>
    <m/>
    <n v="11943932791"/>
    <m/>
    <n v="341"/>
    <n v="2523"/>
    <x v="12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WESALMEI"/>
    <n v="1"/>
    <s v="Sim"/>
  </r>
  <r>
    <n v="102020"/>
    <x v="128"/>
    <s v="Ativo"/>
    <s v="AD"/>
    <n v="30041275"/>
    <s v="Colaborador–M.O.Var"/>
    <s v="Mensalista"/>
    <s v="1DX"/>
    <s v="Duratex S.A."/>
    <n v="9"/>
    <s v="FÁB LOUÇAS JUNDIAÍ I"/>
    <n v="9"/>
    <s v="DECA"/>
    <s v="SIM"/>
    <s v="0009 - FÁB LOUÇAS JUNDIAÍ I"/>
    <s v="LUCAS FERNANDO PAIAO"/>
    <s v="LUCAS"/>
    <n v="10001527"/>
    <s v="DCF-06"/>
    <s v="DCF-06 - FUNDICAO FIRECLAY - LJ I"/>
    <s v="DXLJ"/>
    <s v="DXFIRECL23"/>
    <s v="Fundição Fireclay"/>
    <n v="10002440"/>
    <s v="DCF-06"/>
    <s v="DCF-06 - FUNDICAO E ACABAMENTO - LJ I"/>
    <s v="DENILSON CARLOS ADRIANO"/>
    <n v="10000080"/>
    <s v="EQUIPE"/>
    <s v="EQUIPE"/>
    <n v="10000017"/>
    <s v="DECA"/>
    <s v="DIR IND DECA (LOUCAS)"/>
    <m/>
    <m/>
    <m/>
    <m/>
    <m/>
    <m/>
    <d v="2020-05-10T00:00:00"/>
    <n v="0"/>
    <m/>
    <d v="1996-04-03T00:00:00"/>
    <x v="7"/>
    <m/>
    <s v="brasileira"/>
    <s v="JUNDIAI"/>
    <s v="SP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28"/>
    <m/>
    <d v="2017-08-06T00:00:00"/>
    <s v="SP"/>
    <s v="450.639.878-50"/>
    <n v="1336"/>
    <n v="393"/>
    <d v="2011-12-08T00:00:00"/>
    <s v="SP"/>
    <n v="26755821673"/>
    <m/>
    <m/>
    <m/>
    <m/>
    <m/>
    <m/>
    <m/>
    <m/>
    <m/>
    <x v="125"/>
    <n v="65"/>
    <n v="208"/>
    <d v="2014-07-05T00:00:00"/>
    <s v="SP"/>
    <n v="140873121663"/>
    <m/>
    <m/>
    <m/>
    <s v="RUA ATTILIO PRADELLA"/>
    <n v="122"/>
    <m/>
    <s v="TULIPAS"/>
    <s v="JUNDIAÍ"/>
    <s v="SP"/>
    <s v="13212-710"/>
    <m/>
    <n v="11943066096"/>
    <m/>
    <n v="341"/>
    <n v="8032"/>
    <x v="12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PAIAO"/>
    <n v="1"/>
    <s v="Sim"/>
  </r>
  <r>
    <n v="102020"/>
    <x v="129"/>
    <s v="Ativo"/>
    <s v="AD"/>
    <n v="30131413"/>
    <s v="Colaborador–M.O.Fixa"/>
    <s v="Aprendiz"/>
    <s v="1DX"/>
    <s v="Duratex S.A."/>
    <n v="11"/>
    <s v="FÁB LOUÇAS RECIFE"/>
    <n v="11"/>
    <s v="DECA"/>
    <s v="NAO"/>
    <s v="0011 - FÁB LOUÇAS RECIFE"/>
    <s v="LAYANE LAYS DA SILVA"/>
    <s v="LAYANE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6/06/1999"/>
    <x v="13"/>
    <m/>
    <s v="brasileira"/>
    <s v="CABO DE SANTO AGOSTINHO"/>
    <s v="PE"/>
    <s v="BR"/>
    <s v="Não"/>
    <s v="F"/>
    <s v="Não"/>
    <m/>
    <s v="Solt."/>
    <s v="Negra"/>
    <s v="Colegial completo"/>
    <m/>
    <n v="22003029"/>
    <s v="110/M"/>
    <s v="APRENDIZ SERVICOS ADMINISTRATIVOS"/>
    <n v="252105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29"/>
    <m/>
    <s v="31/03/2010"/>
    <s v="PE"/>
    <s v="105.729.384-97"/>
    <n v="9424072"/>
    <n v="40"/>
    <s v="29/01/2015"/>
    <s v="PE"/>
    <n v="21290107337"/>
    <m/>
    <m/>
    <m/>
    <m/>
    <m/>
    <m/>
    <m/>
    <m/>
    <m/>
    <x v="126"/>
    <n v="15"/>
    <n v="64"/>
    <d v="2016-10-11T00:00:00"/>
    <s v="PE"/>
    <m/>
    <m/>
    <m/>
    <m/>
    <s v="RUA 49"/>
    <n v="73"/>
    <m/>
    <s v="COHAB"/>
    <s v="CABO DE SANTO AGOSTINHO"/>
    <s v="PE"/>
    <s v="54525-570"/>
    <m/>
    <n v="81992773546"/>
    <m/>
    <n v="341"/>
    <n v="6999"/>
    <x v="129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AYASILV"/>
    <n v="1"/>
    <s v="Sim"/>
  </r>
  <r>
    <n v="102020"/>
    <x v="130"/>
    <s v="Ativo"/>
    <s v="AD"/>
    <n v="30047229"/>
    <s v="Colaborador–M.O.Var"/>
    <s v="Mensalista"/>
    <s v="1DX"/>
    <s v="Duratex S.A."/>
    <n v="9"/>
    <s v="FÁB LOUÇAS JUNDIAÍ I"/>
    <n v="9"/>
    <s v="DECA"/>
    <s v="SIM"/>
    <s v="0009 - FÁB LOUÇAS JUNDIAÍ I"/>
    <s v="VALDIR DE OLIVEIRA ROBERTO"/>
    <s v="VALDIR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5-10T00:00:00"/>
    <n v="0"/>
    <m/>
    <s v="31/07/2001"/>
    <x v="24"/>
    <m/>
    <s v="brasileira"/>
    <s v="COITE DO NOIA"/>
    <s v="AL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30"/>
    <m/>
    <s v="24/08/2015"/>
    <s v="SP"/>
    <s v="458.517.808-27"/>
    <n v="41525"/>
    <n v="439"/>
    <s v="17/08/2015"/>
    <s v="SP"/>
    <n v="16581033996"/>
    <m/>
    <m/>
    <m/>
    <m/>
    <m/>
    <m/>
    <m/>
    <m/>
    <m/>
    <x v="88"/>
    <m/>
    <m/>
    <m/>
    <m/>
    <n v="320002491361"/>
    <m/>
    <m/>
    <m/>
    <s v="RUA MARIA JOSE DA SILVA SANTOS"/>
    <n v="150"/>
    <m/>
    <s v="PARQUE SANTANA"/>
    <s v="CAMPO LIMPO PAULISTA"/>
    <s v="SP"/>
    <s v="13230-000"/>
    <m/>
    <n v="11972771618"/>
    <m/>
    <n v="341"/>
    <n v="2523"/>
    <x v="13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ROBERTO"/>
    <n v="1"/>
    <s v="Sim"/>
  </r>
  <r>
    <n v="102020"/>
    <x v="131"/>
    <s v="Ativo"/>
    <s v="AD"/>
    <n v="30131414"/>
    <s v="Colaborador–M.O.Fixa"/>
    <s v="Aprendiz"/>
    <s v="1DX"/>
    <s v="Duratex S.A."/>
    <n v="11"/>
    <s v="FÁB LOUÇAS RECIFE"/>
    <n v="11"/>
    <s v="DECA"/>
    <s v="NAO"/>
    <s v="0011 - FÁB LOUÇAS RECIFE"/>
    <s v="PEDRO LUIZ CARNEIRO VASCONCELOS"/>
    <s v="PEDRO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18/09/2000"/>
    <x v="32"/>
    <m/>
    <s v="brasileira"/>
    <s v="JABOATAO DOS GUARARAPES"/>
    <s v="PE"/>
    <s v="BR"/>
    <s v="Não"/>
    <s v="M"/>
    <s v="Não"/>
    <m/>
    <s v="Solt."/>
    <s v="Parda"/>
    <s v="Colegial completo"/>
    <m/>
    <n v="22003029"/>
    <s v="110/M"/>
    <s v="APRENDIZ SERVICOS ADMINISTRATIVOS"/>
    <n v="252105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31"/>
    <m/>
    <s v="17/08/2019"/>
    <s v="PE"/>
    <s v="137.280.604-02"/>
    <n v="6589990"/>
    <n v="60"/>
    <s v="21/08/2019"/>
    <s v="PE"/>
    <n v="14835717402"/>
    <m/>
    <m/>
    <m/>
    <m/>
    <m/>
    <m/>
    <m/>
    <m/>
    <m/>
    <x v="127"/>
    <n v="121"/>
    <n v="231"/>
    <d v="2018-09-05T00:00:00"/>
    <s v="PE"/>
    <n v="320002030930"/>
    <m/>
    <m/>
    <m/>
    <s v="AVENIDA PARQUES VIRAS"/>
    <n v="77"/>
    <m/>
    <s v="ENSEADAS DOS CORAIS"/>
    <s v="CABO DE SANTO AGOSTINHO"/>
    <s v="PE"/>
    <s v="54500-001"/>
    <m/>
    <n v="81984538613"/>
    <m/>
    <n v="341"/>
    <n v="6999"/>
    <x v="131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PVASCONC"/>
    <n v="1"/>
    <s v="Sim"/>
  </r>
  <r>
    <n v="102020"/>
    <x v="132"/>
    <s v="Ativo"/>
    <s v="AD"/>
    <n v="30041269"/>
    <s v="Colaborador–M.O.Var"/>
    <s v="Mensalista"/>
    <s v="1DX"/>
    <s v="Duratex S.A."/>
    <n v="9"/>
    <s v="FÁB LOUÇAS JUNDIAÍ I"/>
    <n v="9"/>
    <s v="DECA"/>
    <s v="SIM"/>
    <s v="0009 - FÁB LOUÇAS JUNDIAÍ I"/>
    <s v="FELIPE GALVAO DOS ANJOS OLIVEIRA"/>
    <s v="FELIPE"/>
    <n v="10001548"/>
    <s v="DCF-02"/>
    <s v="DCF-02 - FUNDICAO CONVENCIONAL - LJ I"/>
    <s v="DXLJ"/>
    <s v="DXCONVEN23"/>
    <s v="Fund. Convencional"/>
    <n v="10001539"/>
    <s v="DCF-01"/>
    <s v="DCF-01 - FUND MEC /CONV/ FC/ INSP - LJ I"/>
    <s v="WILIAN GERALDO DOS SANTOS"/>
    <n v="10000059"/>
    <s v="SUPERVISOR"/>
    <s v="SUPERVISOR"/>
    <n v="10000017"/>
    <s v="DECA"/>
    <s v="DIR IND DECA (LOUCAS)"/>
    <m/>
    <m/>
    <m/>
    <m/>
    <m/>
    <m/>
    <d v="2020-05-10T00:00:00"/>
    <n v="0"/>
    <m/>
    <s v="13/02/1999"/>
    <x v="13"/>
    <m/>
    <s v="brasileira"/>
    <s v="JUNDIAI"/>
    <s v="SP"/>
    <s v="BR"/>
    <s v="Não"/>
    <s v="M"/>
    <s v="Não"/>
    <m/>
    <s v="Solt."/>
    <s v="Branca"/>
    <s v="Ginasial in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32"/>
    <m/>
    <s v="25/09/2010"/>
    <s v="SP"/>
    <s v="526.769.328-61"/>
    <n v="93645"/>
    <n v="440"/>
    <s v="18/01/2016"/>
    <s v="SP"/>
    <n v="14306602555"/>
    <m/>
    <m/>
    <m/>
    <m/>
    <m/>
    <m/>
    <m/>
    <m/>
    <m/>
    <x v="128"/>
    <n v="281"/>
    <n v="405"/>
    <s v="23/03/2017"/>
    <s v="SP"/>
    <n v="140873261642"/>
    <m/>
    <m/>
    <m/>
    <s v="RUA MACAJUBÁ"/>
    <n v="75"/>
    <m/>
    <s v="JARDIM AMÉRICA"/>
    <s v="VÁRZEA PAULISTA"/>
    <s v="SP"/>
    <s v="13222-260"/>
    <m/>
    <n v="11971157658"/>
    <m/>
    <n v="341"/>
    <n v="2523"/>
    <x v="13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OLFELIPE"/>
    <n v="1"/>
    <s v="Sim"/>
  </r>
  <r>
    <n v="102020"/>
    <x v="133"/>
    <s v="Ativo"/>
    <s v="AD"/>
    <n v="30131415"/>
    <s v="Colaborador–M.O.Fixa"/>
    <s v="Aprendiz"/>
    <s v="1DX"/>
    <s v="Duratex S.A."/>
    <n v="11"/>
    <s v="FÁB LOUÇAS RECIFE"/>
    <n v="11"/>
    <s v="DECA"/>
    <s v="NAO"/>
    <s v="0011 - FÁB LOUÇAS RECIFE"/>
    <s v="TACILA MIKELE MARIA DA SILVA"/>
    <s v="TACILA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7/10/2001"/>
    <x v="24"/>
    <m/>
    <s v="brasileira"/>
    <s v="CABO DE SANTO AGOSTINHO"/>
    <s v="PE"/>
    <s v="BR"/>
    <s v="Não"/>
    <s v="F"/>
    <s v="Não"/>
    <m/>
    <s v="Solt."/>
    <s v="Negra"/>
    <s v="Colegial completo"/>
    <m/>
    <n v="22003029"/>
    <s v="110/M"/>
    <s v="APRENDIZ SERVICOS ADMINISTRATIVOS"/>
    <n v="252105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33"/>
    <m/>
    <s v="20/01/2017"/>
    <s v="PE"/>
    <s v="137.224.674-62"/>
    <n v="5628860"/>
    <n v="60"/>
    <s v="27/06/2019"/>
    <s v="PE"/>
    <n v="16637981703"/>
    <m/>
    <m/>
    <m/>
    <m/>
    <m/>
    <m/>
    <m/>
    <m/>
    <m/>
    <x v="129"/>
    <n v="121"/>
    <n v="270"/>
    <s v="13/08/2019"/>
    <s v="PE"/>
    <m/>
    <m/>
    <m/>
    <m/>
    <s v="QUADRA CINQUENTA E NOVE"/>
    <n v="148"/>
    <m/>
    <s v="GARAPU"/>
    <s v="CABO DE SANTO AGOSTINHO"/>
    <s v="PE"/>
    <s v="54500-001"/>
    <m/>
    <n v="81986505700"/>
    <m/>
    <n v="341"/>
    <n v="6999"/>
    <x v="133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TACSILVA"/>
    <n v="1"/>
    <s v="Sim"/>
  </r>
  <r>
    <n v="102020"/>
    <x v="134"/>
    <s v="Ativo"/>
    <s v="AD"/>
    <n v="30131399"/>
    <s v="Colaborador–M.O.Fixa"/>
    <s v="Aprendiz"/>
    <s v="1DX"/>
    <s v="Duratex S.A."/>
    <n v="11"/>
    <s v="FÁB LOUÇAS RECIFE"/>
    <n v="11"/>
    <s v="DECA"/>
    <s v="NAO"/>
    <s v="0011 - FÁB LOUÇAS RECIFE"/>
    <s v="ADRIELLE MARIA GOMES SANTANA"/>
    <s v="ADRIELLE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14/05/2001"/>
    <x v="24"/>
    <m/>
    <s v="brasileira"/>
    <s v="CABO DE SANTO AGOSTINHO"/>
    <s v="PE"/>
    <s v="BR"/>
    <s v="Não"/>
    <s v="F"/>
    <s v="Não"/>
    <m/>
    <s v="Solt."/>
    <s v="Branc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34"/>
    <m/>
    <s v="19/03/2015"/>
    <s v="PE"/>
    <s v="131.684.684-95"/>
    <n v="1316846"/>
    <n v="8495"/>
    <d v="2001-11-09T00:00:00"/>
    <s v="PE"/>
    <n v="15251346666"/>
    <m/>
    <m/>
    <m/>
    <m/>
    <m/>
    <m/>
    <m/>
    <m/>
    <m/>
    <x v="88"/>
    <m/>
    <m/>
    <m/>
    <m/>
    <m/>
    <m/>
    <m/>
    <m/>
    <s v="RUA JOSE PLECH FERNANDES"/>
    <n v="75"/>
    <m/>
    <s v="CENTRO"/>
    <s v="CABO DE SANTO AGOSTINHO"/>
    <s v="PE"/>
    <s v="54510-390"/>
    <m/>
    <n v="81988761806"/>
    <m/>
    <n v="341"/>
    <n v="6999"/>
    <x v="134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DSANTAN"/>
    <n v="1"/>
    <s v="Sim"/>
  </r>
  <r>
    <n v="102020"/>
    <x v="135"/>
    <s v="Ativo"/>
    <s v="AD"/>
    <n v="30131402"/>
    <s v="Colaborador–M.O.Fixa"/>
    <s v="Aprendiz"/>
    <s v="1DX"/>
    <s v="Duratex S.A."/>
    <n v="11"/>
    <s v="FÁB LOUÇAS RECIFE"/>
    <n v="11"/>
    <s v="DECA"/>
    <s v="NAO"/>
    <s v="0011 - FÁB LOUÇAS RECIFE"/>
    <s v="ALINE KELLY LEONARDO DE LIRA"/>
    <s v="ALINE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30/07/2001"/>
    <x v="24"/>
    <m/>
    <s v="brasileira"/>
    <s v="RECIFE"/>
    <s v="PE"/>
    <s v="BR"/>
    <s v="Não"/>
    <s v="F"/>
    <s v="Não"/>
    <m/>
    <s v="Solt."/>
    <s v="Negr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35"/>
    <m/>
    <s v="21/02/2017"/>
    <s v="PE"/>
    <s v="144.092.944-07"/>
    <n v="8118285"/>
    <n v="60"/>
    <d v="2020-11-03T00:00:00"/>
    <s v="PE"/>
    <n v="20199064134"/>
    <m/>
    <m/>
    <m/>
    <m/>
    <m/>
    <m/>
    <m/>
    <m/>
    <m/>
    <x v="88"/>
    <m/>
    <m/>
    <m/>
    <m/>
    <m/>
    <m/>
    <m/>
    <m/>
    <s v="AVENIDA ENGENHO SERRARIA"/>
    <n v="1"/>
    <m/>
    <s v="CABO DE SANTO AGOSTINHO"/>
    <s v="CABO DE SANTO AGOSTINHO"/>
    <s v="PE"/>
    <s v="54590-000"/>
    <m/>
    <n v="81982696256"/>
    <m/>
    <n v="341"/>
    <n v="1737"/>
    <x v="135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IRA"/>
    <n v="1"/>
    <s v="Sim"/>
  </r>
  <r>
    <n v="102020"/>
    <x v="136"/>
    <s v="Ativo"/>
    <s v="AD"/>
    <n v="30131409"/>
    <s v="Colaborador–M.O.Fixa"/>
    <s v="Aprendiz"/>
    <s v="1DX"/>
    <s v="Duratex S.A."/>
    <n v="11"/>
    <s v="FÁB LOUÇAS RECIFE"/>
    <n v="11"/>
    <s v="DECA"/>
    <s v="NAO"/>
    <s v="0011 - FÁB LOUÇAS RECIFE"/>
    <s v="NAIZA CASTRO ALVES LIMA"/>
    <s v="NAIZA"/>
    <n v="10006727"/>
    <s v="DLR-04"/>
    <s v="DLR-04 - APRENDIZ  - LR"/>
    <s v="DXLR"/>
    <s v="DXAPREND65"/>
    <s v="Aprendizes"/>
    <n v="10005975"/>
    <s v="DLR-06"/>
    <s v="DLR-06 - ADM/SERVICOS – LR"/>
    <s v="LUCIANA PEREIRA VAN LUME DOS SANTOS"/>
    <n v="10000080"/>
    <s v="EQUIPE"/>
    <s v="EQUIPE"/>
    <n v="10000017"/>
    <s v="DECA"/>
    <s v="DIR IND DECA (LOUCAS)"/>
    <m/>
    <m/>
    <m/>
    <m/>
    <m/>
    <m/>
    <d v="2020-05-10T00:00:00"/>
    <n v="0"/>
    <m/>
    <s v="26/06/2002"/>
    <x v="26"/>
    <m/>
    <s v="brasileira"/>
    <s v="RECIFE"/>
    <s v="PE"/>
    <s v="BR"/>
    <s v="Não"/>
    <s v="F"/>
    <s v="Não"/>
    <m/>
    <s v="Solt."/>
    <s v="Parda"/>
    <s v="Colegial completo"/>
    <m/>
    <n v="22001644"/>
    <s v="110/M"/>
    <s v="APRENDIZ SENAI"/>
    <n v="725010"/>
    <s v="Admissão"/>
    <d v="2020-10-01T00:00:00"/>
    <s v="110,00"/>
    <m/>
    <s v="DLR-01"/>
    <s v="DDI-01"/>
    <s v="CSS-01"/>
    <s v="DDE-01"/>
    <s v="PRE-01"/>
    <s v="522,50"/>
    <s v="522,50"/>
    <s v="522,50"/>
    <s v="0,00"/>
    <s v="WD"/>
    <s v="FÁB LOUÇAS RECIFE"/>
    <n v="3"/>
    <s v="GRS03DE"/>
    <d v="2020-10-01T00:00:00"/>
    <s v="Admissão"/>
    <s v="521,50"/>
    <s v="52.150,00"/>
    <n v="1"/>
    <m/>
    <s v="N"/>
    <x v="136"/>
    <m/>
    <s v="16/10/2017"/>
    <s v="PE"/>
    <s v="715.959.684-66"/>
    <s v="715.959.6"/>
    <n v="8466"/>
    <s v="16/09/2020"/>
    <s v="PE"/>
    <n v="16614639030"/>
    <m/>
    <m/>
    <m/>
    <m/>
    <m/>
    <m/>
    <m/>
    <m/>
    <m/>
    <x v="88"/>
    <m/>
    <m/>
    <m/>
    <m/>
    <m/>
    <m/>
    <m/>
    <m/>
    <s v="RUA MEXICO"/>
    <n v="12"/>
    <m/>
    <s v="SUCUPIRA"/>
    <s v="JABOATÃO DOS GUARARAPES"/>
    <s v="PE"/>
    <s v="54280-420"/>
    <m/>
    <n v="81987103256"/>
    <m/>
    <n v="341"/>
    <n v="364"/>
    <x v="136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NALIMA"/>
    <n v="1"/>
    <s v="Sim"/>
  </r>
  <r>
    <n v="102020"/>
    <x v="137"/>
    <s v="Ativo"/>
    <s v="AD"/>
    <n v="30045489"/>
    <s v="Colaborador–M.O.Var"/>
    <s v="Horista"/>
    <s v="1DX"/>
    <s v="Duratex S.A."/>
    <n v="13"/>
    <s v="FÁB LOUÇAS QUEIMADOS"/>
    <n v="13"/>
    <s v="DECA"/>
    <s v="SIM"/>
    <s v="0013 - FÁB LOUÇAS QUEIMADOS"/>
    <s v="REGINALDO MISSIAS DOS SANTOS"/>
    <s v="REGINALDO"/>
    <n v="10001264"/>
    <s v="DJA-02"/>
    <s v="DJA-03 - PRODUCAO DE MASSA - LQ"/>
    <s v="DXLQ"/>
    <s v="DXPRMASS68"/>
    <s v="Produção de Massa"/>
    <n v="10008236"/>
    <s v="DJA-02"/>
    <s v="DJA-02 - PROD DE MASSA - LQ"/>
    <s v="ALEXANDRE DE OLIVEIRA FERRERO"/>
    <n v="10000080"/>
    <s v="EQUIPE"/>
    <s v="EQUIPE"/>
    <n v="10000017"/>
    <s v="DECA"/>
    <s v="DIR IND DECA (LOUCAS)"/>
    <m/>
    <m/>
    <m/>
    <m/>
    <m/>
    <m/>
    <d v="2020-05-10T00:00:00"/>
    <n v="0"/>
    <m/>
    <s v="27/09/1968"/>
    <x v="33"/>
    <m/>
    <s v="brasileira"/>
    <s v="RIO DE JANEIRO"/>
    <s v="RJ"/>
    <s v="BR"/>
    <s v="Não"/>
    <s v="M"/>
    <s v="Não"/>
    <m/>
    <s v="Casado"/>
    <s v="Negr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37"/>
    <m/>
    <s v="17/04/2015"/>
    <s v="RJ"/>
    <s v="649.977.827-34"/>
    <n v="4789311"/>
    <n v="50"/>
    <s v="26/07/2016"/>
    <s v="RJ"/>
    <n v="12371116280"/>
    <m/>
    <m/>
    <m/>
    <m/>
    <m/>
    <m/>
    <m/>
    <m/>
    <m/>
    <x v="130"/>
    <n v="159"/>
    <n v="220"/>
    <d v="2019-02-09T00:00:00"/>
    <s v="RJ"/>
    <m/>
    <m/>
    <m/>
    <m/>
    <s v="RUA BUENOS AIRES"/>
    <n v="379"/>
    <m/>
    <s v="JARDIM PERNAMBUCO"/>
    <s v="NOVA IGUAÇU"/>
    <s v="RJ"/>
    <s v="26275-390"/>
    <m/>
    <n v="21966879134"/>
    <m/>
    <n v="341"/>
    <n v="8166"/>
    <x v="13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EGINSAN"/>
    <n v="1"/>
    <s v="Sim"/>
  </r>
  <r>
    <n v="102020"/>
    <x v="138"/>
    <s v="Ativo"/>
    <s v="AD"/>
    <n v="30044775"/>
    <s v="Colaborador–M.O.Var"/>
    <s v="Horista"/>
    <s v="1DX"/>
    <s v="Duratex S.A."/>
    <n v="13"/>
    <s v="FÁB LOUÇAS QUEIMADOS"/>
    <n v="13"/>
    <s v="DECA"/>
    <s v="SIM"/>
    <s v="0013 - FÁB LOUÇAS QUEIMADOS"/>
    <s v="VERONICA BERNARDO"/>
    <s v="VERONICA"/>
    <n v="10001248"/>
    <s v="DJA-06"/>
    <s v="DJA-06 - ESMALTACAO - LQ"/>
    <s v="DXLQ"/>
    <s v="DXESMALT68"/>
    <s v="Esmalt. Convencional"/>
    <n v="10002775"/>
    <s v="DJA-06"/>
    <s v="DJA-06 - ESMALTACAO - LQ"/>
    <s v="JULIANA CRISTINA RIBEIRO"/>
    <n v="10000080"/>
    <s v="EQUIPE"/>
    <s v="EQUIPE"/>
    <n v="10000017"/>
    <s v="DECA"/>
    <s v="DIR IND DECA (LOUCAS)"/>
    <m/>
    <m/>
    <m/>
    <m/>
    <m/>
    <m/>
    <d v="2020-05-10T00:00:00"/>
    <n v="0"/>
    <m/>
    <s v="24/03/1980"/>
    <x v="8"/>
    <m/>
    <s v="brasileira"/>
    <s v="SAO JOAO DE MERITI"/>
    <s v="RJ"/>
    <s v="BR"/>
    <s v="Não"/>
    <s v="F"/>
    <s v="Não"/>
    <m/>
    <s v="Divor.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s v="Ausência B.H. Empresa"/>
    <s v="N"/>
    <x v="138"/>
    <m/>
    <d v="2020-12-03T00:00:00"/>
    <s v="RJ"/>
    <s v="087.716.147-02"/>
    <n v="78953"/>
    <n v="128"/>
    <d v="2012-10-09T00:00:00"/>
    <s v="RJ"/>
    <n v="12884897609"/>
    <m/>
    <m/>
    <m/>
    <m/>
    <m/>
    <m/>
    <m/>
    <m/>
    <m/>
    <x v="131"/>
    <n v="159"/>
    <n v="138"/>
    <d v="2012-09-03T00:00:00"/>
    <s v="RJ"/>
    <m/>
    <m/>
    <m/>
    <m/>
    <s v="RUA ANA CARLA LT2 BL15 AP401"/>
    <n v="1"/>
    <m/>
    <s v="JARDIM PALMARES"/>
    <s v="NOVA IGUAÇU"/>
    <s v="RJ"/>
    <s v="26277-475"/>
    <m/>
    <n v="21975542155"/>
    <m/>
    <n v="341"/>
    <n v="8166"/>
    <x v="13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BERNARD"/>
    <n v="1"/>
    <s v="Sim"/>
  </r>
  <r>
    <n v="102020"/>
    <x v="139"/>
    <s v="Ativo"/>
    <s v="AD"/>
    <n v="30029018"/>
    <s v="Colaborador–M.O.Var"/>
    <s v="Horista"/>
    <s v="1DX"/>
    <s v="Duratex S.A."/>
    <n v="13"/>
    <s v="FÁB LOUÇAS QUEIMADOS"/>
    <n v="13"/>
    <s v="DECA"/>
    <s v="SIM"/>
    <s v="0013 - FÁB LOUÇAS QUEIMADOS"/>
    <s v="IGOR SANTOS FERREIRA"/>
    <s v="IGOR"/>
    <n v="10001256"/>
    <s v="DJA-03"/>
    <s v="DJA-03- FORNOS - LQ"/>
    <s v="DXLQ"/>
    <s v="DXFORNOS68"/>
    <s v="Fornos"/>
    <n v="10007687"/>
    <s v="DJA-01"/>
    <s v="DJA-01 - ESM/INSP/FUND/ALTPR - LQ"/>
    <s v="ESER MARQUES PEREIRA"/>
    <n v="10000059"/>
    <s v="SUPERVISOR"/>
    <s v="SUPERVISOR"/>
    <n v="10000017"/>
    <s v="DECA"/>
    <s v="DIR IND DECA (LOUCAS)"/>
    <m/>
    <m/>
    <m/>
    <m/>
    <m/>
    <m/>
    <d v="2020-05-10T00:00:00"/>
    <n v="0"/>
    <m/>
    <d v="1998-04-05T00:00:00"/>
    <x v="28"/>
    <m/>
    <s v="brasileira"/>
    <s v="JAPERI"/>
    <s v="RJ"/>
    <s v="BR"/>
    <s v="Não"/>
    <s v="M"/>
    <s v="Não"/>
    <m/>
    <s v="Solt."/>
    <s v="Parda"/>
    <s v="Colegial in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39"/>
    <m/>
    <d v="2019-04-11T00:00:00"/>
    <s v="RJ"/>
    <s v="185.309.227-43"/>
    <n v="8946"/>
    <n v="417"/>
    <s v="15/03/2014"/>
    <s v="SP"/>
    <n v="20466064106"/>
    <m/>
    <m/>
    <m/>
    <m/>
    <m/>
    <m/>
    <m/>
    <m/>
    <m/>
    <x v="132"/>
    <n v="139"/>
    <n v="221"/>
    <s v="15/05/2017"/>
    <s v="RJ"/>
    <n v="21582252835"/>
    <m/>
    <m/>
    <m/>
    <s v="RUA DOUTOR VALENTIM"/>
    <n v="10"/>
    <m/>
    <s v="PARQUE MARABA"/>
    <s v="JAPERI"/>
    <s v="RJ"/>
    <s v="26413-230"/>
    <m/>
    <n v="21975131980"/>
    <m/>
    <n v="341"/>
    <n v="7795"/>
    <x v="13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IGFERREI"/>
    <n v="1"/>
    <s v="Sim"/>
  </r>
  <r>
    <n v="102020"/>
    <x v="140"/>
    <s v="Ativo"/>
    <s v="AD"/>
    <n v="30029005"/>
    <s v="Colaborador–M.O.Var"/>
    <s v="Horista"/>
    <s v="1DX"/>
    <s v="Duratex S.A."/>
    <n v="13"/>
    <s v="FÁB LOUÇAS QUEIMADOS"/>
    <n v="13"/>
    <s v="DECA"/>
    <s v="SIM"/>
    <s v="0013 - FÁB LOUÇAS QUEIMADOS"/>
    <s v="LEANDRO GUIMARAES MARTINS DE OLIVEIRA"/>
    <s v="LEANDRO"/>
    <n v="10001259"/>
    <s v="DND-02"/>
    <s v="DND-02 - INSPECAO - LQ"/>
    <s v="DXLQ"/>
    <s v="DXINSPEC68"/>
    <s v="Inspeção"/>
    <n v="10007686"/>
    <s v="DND-01"/>
    <s v="DND-01 - FUNDICAO MEC- LQ"/>
    <s v="LUCIANO DE OLIVEIRA SOUZA"/>
    <n v="10000059"/>
    <s v="SUPERVISOR"/>
    <s v="SUPERVISOR"/>
    <n v="10000017"/>
    <s v="DECA"/>
    <s v="DIR IND DECA (LOUCAS)"/>
    <m/>
    <m/>
    <m/>
    <m/>
    <m/>
    <m/>
    <d v="2020-05-10T00:00:00"/>
    <n v="0"/>
    <m/>
    <d v="1997-12-12T00:00:00"/>
    <x v="28"/>
    <m/>
    <s v="brasileira"/>
    <s v="RIO DE JANEIRO"/>
    <s v="RJ"/>
    <s v="BR"/>
    <s v="Não"/>
    <s v="M"/>
    <s v="Não"/>
    <m/>
    <s v="Solt.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40"/>
    <m/>
    <d v="2015-04-12T00:00:00"/>
    <s v="RJ"/>
    <s v="173.118.627-44"/>
    <n v="7710846"/>
    <n v="50"/>
    <s v="13/06/2017"/>
    <s v="RJ"/>
    <n v="20191619145"/>
    <m/>
    <m/>
    <m/>
    <m/>
    <m/>
    <m/>
    <m/>
    <m/>
    <m/>
    <x v="133"/>
    <n v="139"/>
    <n v="204"/>
    <d v="2015-09-01T00:00:00"/>
    <s v="RJ"/>
    <n v="21522127964"/>
    <m/>
    <m/>
    <m/>
    <s v="RUA MARUMBI"/>
    <n v="1"/>
    <m/>
    <s v="ENGENHEIRO PEDREIRA"/>
    <s v="JAPERI"/>
    <s v="RJ"/>
    <s v="26455-300"/>
    <m/>
    <n v="21974248168"/>
    <m/>
    <n v="341"/>
    <n v="3143"/>
    <x v="14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OLEANDRO"/>
    <n v="1"/>
    <s v="Sim"/>
  </r>
  <r>
    <n v="102020"/>
    <x v="141"/>
    <s v="Ativo"/>
    <s v="AD"/>
    <n v="30033480"/>
    <s v="Colaborador–M.O.Var"/>
    <s v="Horista"/>
    <s v="1DX"/>
    <s v="Duratex S.A."/>
    <n v="13"/>
    <s v="FÁB LOUÇAS QUEIMADOS"/>
    <n v="13"/>
    <s v="DECA"/>
    <s v="SIM"/>
    <s v="0013 - FÁB LOUÇAS QUEIMADOS"/>
    <s v="ERDY FRANCISCO FERNANDES JUNIOR"/>
    <s v="ERDY"/>
    <n v="10003675"/>
    <s v="DND-08"/>
    <s v="DND-08 - FUNDICAO MECANIZADA - LQ"/>
    <s v="DXLQ"/>
    <s v="DXFMECAN68"/>
    <s v="Fundição Mecanizada"/>
    <n v="10001253"/>
    <s v="DND-07"/>
    <s v="DND-07 - FUNDICAO MECANIZADA - LQ"/>
    <s v="GEISON SANTOS DE OLIVEIRA"/>
    <n v="10000059"/>
    <s v="SUPERVISOR"/>
    <s v="SUPERVISOR"/>
    <n v="10000017"/>
    <s v="DECA"/>
    <s v="DIR IND DECA (LOUCAS)"/>
    <m/>
    <m/>
    <m/>
    <m/>
    <m/>
    <m/>
    <d v="2020-05-10T00:00:00"/>
    <n v="0"/>
    <m/>
    <s v="25/03/1983"/>
    <x v="31"/>
    <m/>
    <s v="brasileira"/>
    <s v="RIO DE JANEIRO"/>
    <s v="RJ"/>
    <s v="BR"/>
    <s v="Não"/>
    <s v="M"/>
    <s v="Não"/>
    <m/>
    <s v="Casado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41"/>
    <m/>
    <d v="2000-05-07T00:00:00"/>
    <s v="RJ"/>
    <s v="099.868.137-78"/>
    <n v="6612573"/>
    <n v="60"/>
    <d v="2019-11-12T00:00:00"/>
    <s v="RJ"/>
    <n v="12835357582"/>
    <m/>
    <m/>
    <m/>
    <m/>
    <m/>
    <m/>
    <m/>
    <m/>
    <m/>
    <x v="134"/>
    <n v="156"/>
    <n v="132"/>
    <d v="2019-09-12T00:00:00"/>
    <s v="RJ"/>
    <n v="1"/>
    <m/>
    <m/>
    <m/>
    <s v="RUA ERNESTO REGATIERE"/>
    <n v="593"/>
    <m/>
    <s v="CORUMBA"/>
    <s v="NOVA IGUAÇU"/>
    <s v="RJ"/>
    <s v="26043-302"/>
    <m/>
    <n v="21964841061"/>
    <m/>
    <n v="341"/>
    <n v="6110"/>
    <x v="14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RDJUNIO"/>
    <n v="1"/>
    <s v="Sim"/>
  </r>
  <r>
    <n v="102020"/>
    <x v="142"/>
    <s v="Desligado"/>
    <s v="AD"/>
    <n v="99999999"/>
    <s v="Colaborador–M.O.Var"/>
    <s v="Mensalista"/>
    <s v="1DX"/>
    <s v="Duratex S.A."/>
    <n v="13"/>
    <s v="FÁB LOUÇAS QUEIMADOS"/>
    <n v="13"/>
    <s v="DECA"/>
    <s v="SIM"/>
    <s v="0013 - FÁB LOUÇAS QUEIMADOS"/>
    <s v="FABRICIA OLIVEIRA DA SILVA"/>
    <s v="FABRICIA"/>
    <n v="10001260"/>
    <s v="DJA-03"/>
    <s v="DJA-03 - LABORATORIO DE MASSA - LQ"/>
    <s v="DXLQ"/>
    <s v="DXLAMASS68"/>
    <s v="Laboratório de Massa"/>
    <n v="10008236"/>
    <s v="DJA-02"/>
    <s v="DJA-02 - PROD DE MASSA - LQ"/>
    <s v="ALEXANDRE DE OLIVEIRA FERRERO"/>
    <n v="10000080"/>
    <s v="EQUIPE"/>
    <s v="EQUIPE"/>
    <n v="10000017"/>
    <s v="DECA"/>
    <s v="DIR IND DECA (LOUCAS)"/>
    <m/>
    <m/>
    <m/>
    <m/>
    <m/>
    <m/>
    <d v="2020-05-10T00:00:00"/>
    <n v="0"/>
    <m/>
    <d v="1999-11-03T00:00:00"/>
    <x v="13"/>
    <m/>
    <s v="brasileira"/>
    <s v="JAPERI"/>
    <s v="RJ"/>
    <s v="BR"/>
    <s v="Não"/>
    <s v="F"/>
    <s v="Não"/>
    <m/>
    <s v="Solt."/>
    <s v="Negra"/>
    <s v="Colegial completo"/>
    <m/>
    <n v="22000832"/>
    <s v="220/M"/>
    <s v="ASSIST LABORATORIO"/>
    <n v="818105"/>
    <s v="Admissão"/>
    <d v="2020-10-01T00:00:00"/>
    <s v="220,00"/>
    <m/>
    <s v="DJT-01"/>
    <s v="DDI-01"/>
    <s v="CSS-01"/>
    <s v="DDE-01"/>
    <s v="PRE-01"/>
    <s v="1.536,56"/>
    <s v="1.536,56"/>
    <s v="1.536,56"/>
    <s v="2.360,16"/>
    <s v="DB"/>
    <s v="LO QUEIMADOS-220/M"/>
    <n v="16"/>
    <s v="GRS016OP"/>
    <d v="2020-10-01T00:00:00"/>
    <s v="Admissão"/>
    <s v="1.535,56"/>
    <s v="153556,00"/>
    <n v="1"/>
    <m/>
    <s v="N"/>
    <x v="142"/>
    <m/>
    <s v="28/03/2017"/>
    <s v="RJ"/>
    <s v="161.511.967-16"/>
    <n v="5989985"/>
    <n v="50"/>
    <s v="25/04/2017"/>
    <s v="RJ"/>
    <n v="20771233455"/>
    <m/>
    <m/>
    <m/>
    <m/>
    <m/>
    <m/>
    <m/>
    <m/>
    <m/>
    <x v="135"/>
    <n v="138"/>
    <n v="115"/>
    <d v="2017-11-12T00:00:00"/>
    <s v="RJ"/>
    <m/>
    <m/>
    <m/>
    <m/>
    <s v="RUA FAGUNDES LT 08 QD 03"/>
    <n v="1"/>
    <m/>
    <s v="SAO FRANCISCO"/>
    <s v="QUEIMADOS"/>
    <s v="RJ"/>
    <s v="26381-428"/>
    <m/>
    <n v="21980894315"/>
    <m/>
    <n v="341"/>
    <n v="4556"/>
    <x v="142"/>
    <d v="2020-06-10T00:00:00"/>
    <s v="DISP ANTES TÉRMINO CONTRATO"/>
    <s v="INDISCIPLINA"/>
    <s v="ADMINISTRATIVO"/>
    <s v="OPERACOES"/>
    <s v="TEC/ OPERACIONAL"/>
    <s v="ADMINISTRATIVO"/>
    <s v="EQUIPE"/>
    <s v="102,44"/>
    <s v="0,00"/>
    <s v="0,00"/>
    <s v="0,00"/>
    <s v="2.257,72"/>
    <s v="0,00"/>
    <s v="0,00"/>
    <s v="0,00"/>
    <s v="0,00"/>
    <s v="102,44"/>
    <s v="102,44"/>
    <s v="4,1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FABRIC"/>
    <n v="1"/>
    <s v="Sim"/>
  </r>
  <r>
    <n v="102020"/>
    <x v="143"/>
    <s v="Ativo"/>
    <s v="AD"/>
    <n v="30046288"/>
    <s v="Colaborador–M.O.Fixa"/>
    <s v="Aprendiz"/>
    <s v="1DX"/>
    <s v="Duratex S.A."/>
    <n v="13"/>
    <s v="FÁB LOUÇAS QUEIMADOS"/>
    <n v="13"/>
    <s v="DECA"/>
    <s v="NAO"/>
    <s v="0013 - FÁB LOUÇAS QUEIMADOS"/>
    <s v="DANIEL NASCIMENTO DOS SANTOS"/>
    <s v="DANIEL"/>
    <n v="10006726"/>
    <s v="DJT-08"/>
    <s v="DJT-08 - APRENDIZES - LQ"/>
    <s v="DXLQ"/>
    <s v="DXAPREND68"/>
    <s v="Aprendizes"/>
    <n v="10008302"/>
    <s v="DJT-01"/>
    <s v="DJT-01 - GER LOUCAS QUEIMADOS"/>
    <s v="ARMANDO MACHADO DA SILVA DE MATOS"/>
    <n v="10000080"/>
    <s v="EQUIPE"/>
    <s v="EQUIPE"/>
    <n v="10000017"/>
    <s v="DECA"/>
    <s v="DIR IND DECA (LOUCAS)"/>
    <m/>
    <m/>
    <m/>
    <m/>
    <m/>
    <m/>
    <d v="2020-05-10T00:00:00"/>
    <n v="0"/>
    <m/>
    <s v="23/10/2000"/>
    <x v="32"/>
    <m/>
    <s v="brasileira"/>
    <s v="QUEIMADOS"/>
    <s v="RJ"/>
    <s v="BR"/>
    <s v="Não"/>
    <s v="M"/>
    <s v="Não"/>
    <m/>
    <s v="Solt."/>
    <s v="Parda"/>
    <s v="Colegial completo"/>
    <m/>
    <n v="22001612"/>
    <s v="110/M"/>
    <s v="APRENDIZ MANUT MECANICA"/>
    <n v="313105"/>
    <s v="Admissão"/>
    <d v="2020-10-01T00:00:00"/>
    <s v="110,00"/>
    <m/>
    <s v="DJT-01"/>
    <s v="DDI-01"/>
    <s v="CSS-01"/>
    <s v="DDE-01"/>
    <s v="PRE-01"/>
    <s v="622,48"/>
    <s v="622,48"/>
    <s v="622,48"/>
    <s v="0,00"/>
    <s v="WJ"/>
    <s v="FÁB LOUÇAS QUEIMADOS"/>
    <n v="2"/>
    <s v="GRS02DE"/>
    <d v="2020-10-01T00:00:00"/>
    <s v="Admissão"/>
    <s v="621,48"/>
    <s v="62.148,00"/>
    <n v="1"/>
    <m/>
    <s v="N"/>
    <x v="143"/>
    <m/>
    <s v="30/10/2018"/>
    <s v="RJ"/>
    <s v="183.557.807-10"/>
    <n v="6034138"/>
    <n v="50"/>
    <s v="23/01/2017"/>
    <s v="RJ"/>
    <n v="21210709491"/>
    <m/>
    <m/>
    <m/>
    <m/>
    <m/>
    <m/>
    <m/>
    <m/>
    <m/>
    <x v="136"/>
    <n v="158"/>
    <n v="166"/>
    <d v="2019-04-06T00:00:00"/>
    <s v="RJ"/>
    <n v="320001762725"/>
    <m/>
    <m/>
    <m/>
    <s v="RUA VERA LUCIA"/>
    <n v="21"/>
    <m/>
    <s v="RODILANDIA"/>
    <s v="NOVA IGUAÇU"/>
    <s v="RJ"/>
    <s v="26083-590"/>
    <m/>
    <n v="21982317889"/>
    <m/>
    <n v="341"/>
    <n v="8166"/>
    <x v="143"/>
    <m/>
    <m/>
    <m/>
    <s v="APRENDIZ"/>
    <s v="ADMINISTRATIVO"/>
    <m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ODANIEL"/>
    <n v="1"/>
    <s v="Sim"/>
  </r>
  <r>
    <n v="102020"/>
    <x v="144"/>
    <s v="Ativo"/>
    <s v="AD"/>
    <n v="30046297"/>
    <s v="Colaborador–M.O.Fixa"/>
    <s v="Aprendiz"/>
    <s v="1DX"/>
    <s v="Duratex S.A."/>
    <n v="13"/>
    <s v="FÁB LOUÇAS QUEIMADOS"/>
    <n v="13"/>
    <s v="DECA"/>
    <s v="NAO"/>
    <s v="0013 - FÁB LOUÇAS QUEIMADOS"/>
    <s v="NATA MARTINS DA CRUZ"/>
    <s v="NATA"/>
    <n v="10006726"/>
    <s v="DJT-08"/>
    <s v="DJT-08 - APRENDIZES - LQ"/>
    <s v="DXLQ"/>
    <s v="DXAPREND68"/>
    <s v="Aprendizes"/>
    <n v="10008302"/>
    <s v="DJT-01"/>
    <s v="DJT-01 - GER LOUCAS QUEIMADOS"/>
    <s v="ARMANDO MACHADO DA SILVA DE MATOS"/>
    <n v="10000080"/>
    <s v="EQUIPE"/>
    <s v="EQUIPE"/>
    <n v="10000017"/>
    <s v="DECA"/>
    <s v="DIR IND DECA (LOUCAS)"/>
    <m/>
    <m/>
    <m/>
    <m/>
    <m/>
    <m/>
    <d v="2020-05-10T00:00:00"/>
    <n v="0"/>
    <m/>
    <s v="17/06/2002"/>
    <x v="26"/>
    <m/>
    <s v="brasileira"/>
    <s v="JAPERI"/>
    <s v="RJ"/>
    <s v="BR"/>
    <s v="Não"/>
    <s v="M"/>
    <s v="Não"/>
    <m/>
    <s v="Solt."/>
    <s v="Negra"/>
    <s v="Colegial completo"/>
    <m/>
    <n v="22002837"/>
    <s v="110/M"/>
    <s v="APRENDIZ MEC USINAGEM"/>
    <n v="313205"/>
    <s v="Admissão"/>
    <d v="2020-10-01T00:00:00"/>
    <s v="110,00"/>
    <m/>
    <s v="DJT-01"/>
    <s v="DDI-01"/>
    <s v="CSS-01"/>
    <s v="DDE-01"/>
    <s v="PRE-01"/>
    <s v="622,48"/>
    <s v="622,48"/>
    <s v="622,48"/>
    <s v="0,00"/>
    <s v="GH"/>
    <s v="APRENDIZES"/>
    <n v="1"/>
    <s v="GRP001AP"/>
    <d v="2020-10-01T00:00:00"/>
    <s v="Admissão"/>
    <s v="621,48"/>
    <s v="62.148,00"/>
    <n v="1"/>
    <m/>
    <s v="N"/>
    <x v="144"/>
    <m/>
    <d v="2019-06-06T00:00:00"/>
    <s v="RJ"/>
    <s v="153.660.297-32"/>
    <n v="9535029"/>
    <n v="50"/>
    <s v="13/12/2017"/>
    <s v="RJ"/>
    <n v="16690134254"/>
    <m/>
    <m/>
    <m/>
    <m/>
    <m/>
    <m/>
    <m/>
    <m/>
    <m/>
    <x v="137"/>
    <n v="138"/>
    <n v="13"/>
    <d v="2020-03-03T00:00:00"/>
    <s v="RJ"/>
    <n v="320004627144"/>
    <m/>
    <m/>
    <m/>
    <s v="RUA PADRE ARLINDO"/>
    <n v="9"/>
    <m/>
    <s v="FLESMAM"/>
    <s v="QUEIMADOS"/>
    <s v="RJ"/>
    <s v="26327-280"/>
    <m/>
    <n v="21979797328"/>
    <m/>
    <n v="341"/>
    <n v="6891"/>
    <x v="144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NACRUZ"/>
    <n v="1"/>
    <s v="Sim"/>
  </r>
  <r>
    <n v="102020"/>
    <x v="145"/>
    <s v="Ativo"/>
    <s v="AD"/>
    <n v="30011173"/>
    <s v="Colaborador–M.O.Var"/>
    <s v="Horista"/>
    <s v="1DX"/>
    <s v="Duratex S.A."/>
    <n v="13"/>
    <s v="FÁB LOUÇAS QUEIMADOS"/>
    <n v="13"/>
    <s v="DECA"/>
    <s v="SIM"/>
    <s v="0013 - FÁB LOUÇAS QUEIMADOS"/>
    <s v="WALLACE DOS SANTOS LIMA"/>
    <s v="WALLACE"/>
    <n v="10001259"/>
    <s v="DND-02"/>
    <s v="DND-02 - INSPECAO - LQ"/>
    <s v="DXLQ"/>
    <s v="DXINSPEC68"/>
    <s v="Inspeção"/>
    <n v="10007686"/>
    <s v="DND-01"/>
    <s v="DND-01 - FUNDICAO MEC- LQ"/>
    <s v="LUCIANO DE OLIVEIRA SOUZA"/>
    <n v="10000059"/>
    <s v="SUPERVISOR"/>
    <s v="SUPERVISOR"/>
    <n v="10000017"/>
    <s v="DECA"/>
    <s v="DIR IND DECA (LOUCAS)"/>
    <m/>
    <m/>
    <m/>
    <m/>
    <m/>
    <m/>
    <d v="2020-05-10T00:00:00"/>
    <n v="0"/>
    <m/>
    <d v="1993-01-06T00:00:00"/>
    <x v="16"/>
    <m/>
    <s v="brasileira"/>
    <s v="RIO DE JANEIRO"/>
    <s v="RJ"/>
    <s v="BR"/>
    <s v="Não"/>
    <s v="M"/>
    <s v="Não"/>
    <m/>
    <s v="Solt.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45"/>
    <m/>
    <d v="2012-10-07T00:00:00"/>
    <s v="RJ"/>
    <s v="164.641.027-02"/>
    <n v="39902"/>
    <n v="174"/>
    <d v="2012-05-07T00:00:00"/>
    <s v="RJ"/>
    <n v="20762153398"/>
    <m/>
    <m/>
    <m/>
    <m/>
    <m/>
    <m/>
    <m/>
    <m/>
    <m/>
    <x v="138"/>
    <n v="158"/>
    <n v="220"/>
    <d v="2012-09-01T00:00:00"/>
    <s v="RJ"/>
    <n v="102346475"/>
    <m/>
    <m/>
    <m/>
    <s v="ESTRADA LINHA VELHA"/>
    <n v="220"/>
    <m/>
    <s v="AUSTIN"/>
    <s v="NOVA IGUAÇU"/>
    <s v="RJ"/>
    <s v="26086-050"/>
    <m/>
    <n v="21965922110"/>
    <m/>
    <n v="341"/>
    <n v="6891"/>
    <x v="14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WALLLIMA"/>
    <n v="1"/>
    <s v="Sim"/>
  </r>
  <r>
    <n v="102020"/>
    <x v="146"/>
    <s v="Ativo"/>
    <s v="AD"/>
    <n v="30047425"/>
    <s v="Colaborador–M.O.Fixa"/>
    <s v="Aprendiz"/>
    <s v="1DX"/>
    <s v="Duratex S.A."/>
    <n v="13"/>
    <s v="FÁB LOUÇAS QUEIMADOS"/>
    <n v="13"/>
    <s v="DECA"/>
    <s v="NAO"/>
    <s v="0013 - FÁB LOUÇAS QUEIMADOS"/>
    <s v="AMANDA KELLY BARRETO TEODORO"/>
    <s v="AMANDA"/>
    <n v="10006726"/>
    <s v="DJT-08"/>
    <s v="DJT-08 - APRENDIZES - LQ"/>
    <s v="DXLQ"/>
    <s v="DXAPREND68"/>
    <s v="Aprendizes"/>
    <n v="10008302"/>
    <s v="DJT-01"/>
    <s v="DJT-01 - GER LOUCAS QUEIMADOS"/>
    <s v="ARMANDO MACHADO DA SILVA DE MATOS"/>
    <n v="10000080"/>
    <s v="EQUIPE"/>
    <s v="EQUIPE"/>
    <n v="10000017"/>
    <s v="DECA"/>
    <s v="DIR IND DECA (LOUCAS)"/>
    <m/>
    <m/>
    <m/>
    <m/>
    <m/>
    <m/>
    <d v="2020-05-10T00:00:00"/>
    <n v="0"/>
    <m/>
    <d v="2001-06-11T00:00:00"/>
    <x v="26"/>
    <m/>
    <s v="brasileira"/>
    <s v="QUEIMADOS"/>
    <s v="RJ"/>
    <s v="BR"/>
    <s v="Não"/>
    <s v="F"/>
    <s v="Não"/>
    <m/>
    <s v="Solt."/>
    <s v="Branca"/>
    <s v="Colegial completo"/>
    <m/>
    <n v="22002837"/>
    <s v="110/M"/>
    <s v="APRENDIZ MEC USINAGEM"/>
    <n v="313205"/>
    <s v="Admissão"/>
    <d v="2020-10-01T00:00:00"/>
    <s v="110,00"/>
    <m/>
    <s v="DJT-01"/>
    <s v="DDI-01"/>
    <s v="CSS-01"/>
    <s v="DDE-01"/>
    <s v="PRE-01"/>
    <s v="622,48"/>
    <s v="622,48"/>
    <s v="622,48"/>
    <s v="0,00"/>
    <s v="GH"/>
    <s v="APRENDIZES"/>
    <n v="1"/>
    <s v="GRP001AP"/>
    <d v="2020-10-01T00:00:00"/>
    <s v="Admissão"/>
    <s v="621,48"/>
    <s v="62.148,00"/>
    <n v="1"/>
    <m/>
    <s v="N"/>
    <x v="146"/>
    <m/>
    <d v="2019-05-12T00:00:00"/>
    <s v="RJ"/>
    <s v="196.194.797-85"/>
    <n v="8998321"/>
    <n v="50"/>
    <d v="2017-05-10T00:00:00"/>
    <s v="RJ"/>
    <n v="16169520923"/>
    <m/>
    <m/>
    <m/>
    <m/>
    <m/>
    <m/>
    <m/>
    <m/>
    <m/>
    <x v="139"/>
    <n v="138"/>
    <n v="88"/>
    <s v="31/07/2019"/>
    <s v="RJ"/>
    <m/>
    <m/>
    <m/>
    <m/>
    <s v="RUA CORCOVADO"/>
    <n v="13"/>
    <m/>
    <s v="CENTRO"/>
    <s v="QUEIMADOS"/>
    <s v="RJ"/>
    <s v="26327-390"/>
    <m/>
    <n v="21990117674"/>
    <m/>
    <n v="341"/>
    <n v="6891"/>
    <x v="146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TEODORO"/>
    <n v="1"/>
    <s v="Sim"/>
  </r>
  <r>
    <n v="102020"/>
    <x v="147"/>
    <s v="Ativo"/>
    <s v="AD"/>
    <n v="30034642"/>
    <s v="Colaborador–M.O.Var"/>
    <s v="Horista"/>
    <s v="1DX"/>
    <s v="Duratex S.A."/>
    <n v="13"/>
    <s v="FÁB LOUÇAS QUEIMADOS"/>
    <n v="13"/>
    <s v="DECA"/>
    <s v="SIM"/>
    <s v="0013 - FÁB LOUÇAS QUEIMADOS"/>
    <s v="LEONARDO DOS SANTOS VIEIRA"/>
    <s v="LEONARDO"/>
    <n v="10001256"/>
    <s v="DJA-03"/>
    <s v="DJA-03- FORNOS - LQ"/>
    <s v="DXLQ"/>
    <s v="DXFORNOS68"/>
    <s v="Fornos"/>
    <n v="10007687"/>
    <s v="DJA-01"/>
    <s v="DJA-01 - ESM/INSP/FUND/ALTPR - LQ"/>
    <s v="ESER MARQUES PEREIRA"/>
    <n v="10000059"/>
    <s v="SUPERVISOR"/>
    <s v="SUPERVISOR"/>
    <n v="10000017"/>
    <s v="DECA"/>
    <s v="DIR IND DECA (LOUCAS)"/>
    <m/>
    <m/>
    <m/>
    <m/>
    <m/>
    <m/>
    <d v="2020-05-10T00:00:00"/>
    <n v="0"/>
    <m/>
    <s v="22/08/1994"/>
    <x v="2"/>
    <m/>
    <s v="brasileira"/>
    <s v="QUEIMADOS"/>
    <s v="RJ"/>
    <s v="BR"/>
    <s v="Não"/>
    <s v="M"/>
    <s v="Não"/>
    <m/>
    <s v="Solt."/>
    <s v="Negr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47"/>
    <m/>
    <d v="2019-11-10T00:00:00"/>
    <s v="RJ"/>
    <s v="172.813.637-70"/>
    <n v="90845"/>
    <n v="176"/>
    <d v="2013-02-04T00:00:00"/>
    <s v="RJ"/>
    <n v="20762617122"/>
    <m/>
    <m/>
    <m/>
    <m/>
    <m/>
    <m/>
    <m/>
    <m/>
    <m/>
    <x v="140"/>
    <n v="138"/>
    <n v="306"/>
    <s v="21/03/2018"/>
    <s v="RJ"/>
    <n v="21502178391"/>
    <m/>
    <m/>
    <m/>
    <s v="ESTRADA CARLOS SAMPAIO  ATE 528 529"/>
    <n v="4"/>
    <m/>
    <s v="QUEIMADOS"/>
    <s v="QUEIMADOS"/>
    <s v="RJ"/>
    <s v="26385-450"/>
    <m/>
    <n v="21976887835"/>
    <m/>
    <n v="341"/>
    <n v="4556"/>
    <x v="14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EOVIEIR"/>
    <n v="1"/>
    <s v="Sim"/>
  </r>
  <r>
    <n v="102020"/>
    <x v="148"/>
    <s v="Ativo"/>
    <s v="AD"/>
    <n v="30046292"/>
    <s v="Colaborador–M.O.Fixa"/>
    <s v="Aprendiz"/>
    <s v="1DX"/>
    <s v="Duratex S.A."/>
    <n v="13"/>
    <s v="FÁB LOUÇAS QUEIMADOS"/>
    <n v="13"/>
    <s v="DECA"/>
    <s v="NAO"/>
    <s v="0013 - FÁB LOUÇAS QUEIMADOS"/>
    <s v="CARINA OLIVEIRA VITOR"/>
    <s v="CARINA"/>
    <n v="10006726"/>
    <s v="DJT-08"/>
    <s v="DJT-08 - APRENDIZES - LQ"/>
    <s v="DXLQ"/>
    <s v="DXAPREND68"/>
    <s v="Aprendizes"/>
    <n v="10008302"/>
    <s v="DJT-01"/>
    <s v="DJT-01 - GER LOUCAS QUEIMADOS"/>
    <s v="ARMANDO MACHADO DA SILVA DE MATOS"/>
    <n v="10000080"/>
    <s v="EQUIPE"/>
    <s v="EQUIPE"/>
    <n v="10000017"/>
    <s v="DECA"/>
    <s v="DIR IND DECA (LOUCAS)"/>
    <m/>
    <m/>
    <m/>
    <m/>
    <m/>
    <m/>
    <d v="2020-05-10T00:00:00"/>
    <n v="0"/>
    <m/>
    <s v="30/10/2001"/>
    <x v="24"/>
    <m/>
    <s v="brasileira"/>
    <s v="PARACAMBI"/>
    <s v="RJ"/>
    <s v="BR"/>
    <s v="Não"/>
    <s v="F"/>
    <s v="Não"/>
    <m/>
    <s v="Solt."/>
    <s v="Negra"/>
    <s v="Colegial completo"/>
    <m/>
    <n v="22001612"/>
    <s v="110/M"/>
    <s v="APRENDIZ MANUT MECANICA"/>
    <n v="313105"/>
    <s v="Admissão"/>
    <d v="2020-10-01T00:00:00"/>
    <s v="110,00"/>
    <m/>
    <s v="DJT-01"/>
    <s v="DDI-01"/>
    <s v="CSS-01"/>
    <s v="DDE-01"/>
    <s v="PRE-01"/>
    <s v="622,48"/>
    <s v="622,48"/>
    <s v="622,48"/>
    <s v="0,00"/>
    <s v="WJ"/>
    <s v="FÁB LOUÇAS QUEIMADOS"/>
    <n v="2"/>
    <s v="GRS02DE"/>
    <d v="2020-10-01T00:00:00"/>
    <s v="Admissão"/>
    <s v="621,48"/>
    <s v="62.148,00"/>
    <n v="1"/>
    <m/>
    <s v="N"/>
    <x v="148"/>
    <m/>
    <d v="2019-12-12T00:00:00"/>
    <s v="RJ"/>
    <s v="172.280.847-05"/>
    <n v="5491796"/>
    <n v="50"/>
    <s v="13/09/2016"/>
    <s v="RJ"/>
    <n v="16296450681"/>
    <m/>
    <m/>
    <m/>
    <m/>
    <m/>
    <m/>
    <m/>
    <m/>
    <m/>
    <x v="141"/>
    <n v="138"/>
    <n v="254"/>
    <d v="2019-11-02T00:00:00"/>
    <s v="RJ"/>
    <m/>
    <m/>
    <m/>
    <m/>
    <s v="ESTRADA CONQUISTA"/>
    <n v="98"/>
    <m/>
    <s v="CAMPO ALEGRE"/>
    <s v="QUEIMADOS"/>
    <s v="RJ"/>
    <s v="26373-190"/>
    <m/>
    <n v="21995395322"/>
    <m/>
    <n v="341"/>
    <n v="6891"/>
    <x v="148"/>
    <m/>
    <m/>
    <m/>
    <s v="APRENDIZ"/>
    <s v="ADMINISTRATIVO"/>
    <m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VITOR"/>
    <n v="1"/>
    <s v="Sim"/>
  </r>
  <r>
    <n v="102020"/>
    <x v="149"/>
    <s v="Ativo"/>
    <s v="AD"/>
    <n v="30035289"/>
    <s v="Estagiário"/>
    <s v="Horista"/>
    <s v="1DX"/>
    <s v="Duratex S.A."/>
    <n v="13"/>
    <s v="FÁB LOUÇAS QUEIMADOS"/>
    <n v="13"/>
    <s v="DECA"/>
    <m/>
    <s v="0013 - FÁB LOUÇAS QUEIMADOS"/>
    <s v="LEONARDO DAS GRACAS GOMES"/>
    <s v="LEONARDO"/>
    <n v="10001250"/>
    <s v="DJA-02"/>
    <s v="DJA-02 - FABRICA DE ESMALTE - LQ"/>
    <s v="DXLQ"/>
    <s v="DXFAESMA68"/>
    <s v="Fábrica de Esmalte"/>
    <n v="10008236"/>
    <s v="DJA-02"/>
    <s v="DJA-02 - PROD DE MASSA - LQ"/>
    <s v="ALEXANDRE DE OLIVEIRA FERRERO"/>
    <n v="10000080"/>
    <s v="EQUIPE"/>
    <s v="EQUIPE"/>
    <n v="10000017"/>
    <s v="DECA"/>
    <s v="DIR IND DECA (LOUCAS)"/>
    <m/>
    <m/>
    <m/>
    <m/>
    <m/>
    <m/>
    <d v="2020-05-10T00:00:00"/>
    <n v="0"/>
    <m/>
    <d v="1995-10-05T00:00:00"/>
    <x v="4"/>
    <m/>
    <s v="brasileira"/>
    <s v="NOVA IGUACU"/>
    <s v="RJ"/>
    <s v="BR"/>
    <s v="Não"/>
    <s v="M"/>
    <s v="Não"/>
    <m/>
    <s v="Solt."/>
    <s v="Parda"/>
    <s v="Superior incompleto"/>
    <m/>
    <n v="22000003"/>
    <s v="120/H"/>
    <s v="ESTAGIARIO SUP"/>
    <n v="999999"/>
    <s v="Admissão"/>
    <d v="2020-10-01T00:00:00"/>
    <s v="120,00"/>
    <m/>
    <s v="DJT-01"/>
    <s v="DDI-01"/>
    <s v="CSS-01"/>
    <s v="DDE-01"/>
    <s v="PRE-01"/>
    <s v="1.350,00"/>
    <s v="11,25"/>
    <s v="1.350,00"/>
    <s v="0,00"/>
    <s v="QV"/>
    <s v="FÁB LOUÇAS QUEIMADOS"/>
    <n v="2"/>
    <s v="GRS02DE"/>
    <d v="2020-10-01T00:00:00"/>
    <s v="Admissão"/>
    <s v="1.349,00"/>
    <s v="134900,00"/>
    <n v="1"/>
    <m/>
    <s v="N"/>
    <x v="149"/>
    <m/>
    <s v="28/08/2013"/>
    <s v="RJ"/>
    <s v="108.655.417-52"/>
    <n v="4205482"/>
    <n v="50"/>
    <d v="2016-12-04T00:00:00"/>
    <s v="RJ"/>
    <m/>
    <m/>
    <m/>
    <m/>
    <m/>
    <m/>
    <m/>
    <m/>
    <m/>
    <m/>
    <x v="142"/>
    <n v="157"/>
    <n v="42"/>
    <d v="2011-12-07T00:00:00"/>
    <s v="RJ"/>
    <n v="21313059392"/>
    <m/>
    <m/>
    <m/>
    <s v="ESTRADA LUIS LEMOS  ATE 1126 1127"/>
    <n v="455"/>
    <m/>
    <s v="VILA BORGERTH"/>
    <s v="NOVA IGUAÇU"/>
    <s v="RJ"/>
    <s v="26020-810"/>
    <m/>
    <n v="21979415130"/>
    <m/>
    <n v="341"/>
    <n v="3143"/>
    <x v="149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LEONARDO.GOMES@DECA.COM.BR"/>
    <m/>
    <s v="LEONGOME"/>
    <n v="9"/>
    <s v="Não"/>
  </r>
  <r>
    <n v="102020"/>
    <x v="150"/>
    <s v="Ativo"/>
    <s v="AD"/>
    <n v="30046294"/>
    <s v="Colaborador–M.O.Fixa"/>
    <s v="Aprendiz"/>
    <s v="1DX"/>
    <s v="Duratex S.A."/>
    <n v="13"/>
    <s v="FÁB LOUÇAS QUEIMADOS"/>
    <n v="13"/>
    <s v="DECA"/>
    <s v="NAO"/>
    <s v="0013 - FÁB LOUÇAS QUEIMADOS"/>
    <s v="TATIELE LIMA DE OLIVEIRA"/>
    <s v="TATIELE"/>
    <n v="10006726"/>
    <s v="DJT-08"/>
    <s v="DJT-08 - APRENDIZES - LQ"/>
    <s v="DXLQ"/>
    <s v="DXAPREND68"/>
    <s v="Aprendizes"/>
    <n v="10008302"/>
    <s v="DJT-01"/>
    <s v="DJT-01 - GER LOUCAS QUEIMADOS"/>
    <s v="ARMANDO MACHADO DA SILVA DE MATOS"/>
    <n v="10000080"/>
    <s v="EQUIPE"/>
    <s v="EQUIPE"/>
    <n v="10000017"/>
    <s v="DECA"/>
    <s v="DIR IND DECA (LOUCAS)"/>
    <m/>
    <m/>
    <m/>
    <m/>
    <m/>
    <m/>
    <d v="2020-05-10T00:00:00"/>
    <n v="0"/>
    <m/>
    <s v="24/09/2000"/>
    <x v="32"/>
    <m/>
    <s v="brasileira"/>
    <s v="RIO DE JANEIRO"/>
    <s v="RJ"/>
    <s v="BR"/>
    <s v="Não"/>
    <s v="F"/>
    <s v="Não"/>
    <m/>
    <s v="Solt."/>
    <s v="Negra"/>
    <s v="Colegial completo"/>
    <m/>
    <n v="22002837"/>
    <s v="110/M"/>
    <s v="APRENDIZ MEC USINAGEM"/>
    <n v="313205"/>
    <s v="Admissão"/>
    <d v="2020-10-01T00:00:00"/>
    <s v="110,00"/>
    <m/>
    <s v="DJT-01"/>
    <s v="DDI-01"/>
    <s v="CSS-01"/>
    <s v="DDE-01"/>
    <s v="PRE-01"/>
    <s v="622,48"/>
    <s v="622,48"/>
    <s v="622,48"/>
    <s v="0,00"/>
    <s v="GH"/>
    <s v="APRENDIZES"/>
    <n v="1"/>
    <s v="GRP001AP"/>
    <d v="2020-10-01T00:00:00"/>
    <s v="Admissão"/>
    <s v="621,48"/>
    <s v="62.148,00"/>
    <n v="1"/>
    <m/>
    <s v="N"/>
    <x v="150"/>
    <m/>
    <s v="20/02/2013"/>
    <s v="RJ"/>
    <s v="187.249.387-42"/>
    <n v="615695"/>
    <n v="60"/>
    <d v="2018-10-04T00:00:00"/>
    <s v="RJ"/>
    <n v="16619621792"/>
    <m/>
    <m/>
    <m/>
    <m/>
    <m/>
    <m/>
    <m/>
    <m/>
    <m/>
    <x v="143"/>
    <n v="157"/>
    <n v="52"/>
    <d v="2019-09-01T00:00:00"/>
    <s v="RJ"/>
    <m/>
    <m/>
    <m/>
    <m/>
    <s v="TRAVESSA CHILE"/>
    <n v="235"/>
    <m/>
    <s v="KENNEDY"/>
    <s v="NOVA IGUAÇU"/>
    <s v="RJ"/>
    <s v="26020-455"/>
    <m/>
    <n v="21974281530"/>
    <m/>
    <n v="341"/>
    <n v="6110"/>
    <x v="150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TATIEOLI"/>
    <n v="1"/>
    <s v="Sim"/>
  </r>
  <r>
    <n v="102020"/>
    <x v="151"/>
    <s v="Ativo"/>
    <s v="AD"/>
    <n v="30046289"/>
    <s v="Colaborador–M.O.Fixa"/>
    <s v="Aprendiz"/>
    <s v="1DX"/>
    <s v="Duratex S.A."/>
    <n v="13"/>
    <s v="FÁB LOUÇAS QUEIMADOS"/>
    <n v="13"/>
    <s v="DECA"/>
    <s v="NAO"/>
    <s v="0013 - FÁB LOUÇAS QUEIMADOS"/>
    <s v="JOAO VICTOR COSTA SIQUEIRA FERNANDES"/>
    <s v="JOAO"/>
    <n v="10006726"/>
    <s v="DJT-08"/>
    <s v="DJT-08 - APRENDIZES - LQ"/>
    <s v="DXLQ"/>
    <s v="DXAPREND68"/>
    <s v="Aprendizes"/>
    <n v="10008302"/>
    <s v="DJT-01"/>
    <s v="DJT-01 - GER LOUCAS QUEIMADOS"/>
    <s v="ARMANDO MACHADO DA SILVA DE MATOS"/>
    <n v="10000080"/>
    <s v="EQUIPE"/>
    <s v="EQUIPE"/>
    <n v="10000017"/>
    <s v="DECA"/>
    <s v="DIR IND DECA (LOUCAS)"/>
    <m/>
    <m/>
    <m/>
    <m/>
    <m/>
    <m/>
    <d v="2020-05-10T00:00:00"/>
    <n v="0"/>
    <m/>
    <d v="1999-08-11T00:00:00"/>
    <x v="32"/>
    <m/>
    <s v="brasileira"/>
    <s v="RIO DE JANEIRO"/>
    <s v="RJ"/>
    <s v="BR"/>
    <s v="Não"/>
    <s v="M"/>
    <s v="Não"/>
    <m/>
    <s v="Solt."/>
    <s v="Não Informado"/>
    <s v="Colegial completo"/>
    <m/>
    <n v="22001612"/>
    <s v="110/M"/>
    <s v="APRENDIZ MANUT MECANICA"/>
    <n v="313105"/>
    <s v="Admissão"/>
    <d v="2020-10-01T00:00:00"/>
    <s v="110,00"/>
    <m/>
    <s v="DJT-01"/>
    <s v="DDI-01"/>
    <s v="CSS-01"/>
    <s v="DDE-01"/>
    <s v="PRE-01"/>
    <s v="622,48"/>
    <s v="622,48"/>
    <s v="622,48"/>
    <s v="0,00"/>
    <s v="WJ"/>
    <s v="FÁB LOUÇAS QUEIMADOS"/>
    <n v="2"/>
    <s v="GRS02DE"/>
    <d v="2020-10-01T00:00:00"/>
    <s v="Admissão"/>
    <s v="621,48"/>
    <s v="62.148,00"/>
    <n v="1"/>
    <m/>
    <s v="N"/>
    <x v="151"/>
    <m/>
    <s v="26/01/2018"/>
    <s v="RJ"/>
    <s v="188.978.567-99"/>
    <n v="5106735"/>
    <n v="60"/>
    <d v="2019-12-06T00:00:00"/>
    <s v="RJ"/>
    <n v="15451430903"/>
    <m/>
    <m/>
    <m/>
    <m/>
    <m/>
    <m/>
    <m/>
    <m/>
    <m/>
    <x v="144"/>
    <n v="139"/>
    <n v="227"/>
    <s v="26/06/2017"/>
    <s v="RJ"/>
    <n v="21522179742"/>
    <m/>
    <m/>
    <m/>
    <s v="RUA CAROLINA RUSSO"/>
    <n v="27"/>
    <m/>
    <s v="ENGENHEIRO PEDREIRA"/>
    <s v="JAPERI"/>
    <s v="RJ"/>
    <s v="26445-132"/>
    <m/>
    <n v="21975907227"/>
    <m/>
    <n v="341"/>
    <n v="7795"/>
    <x v="151"/>
    <m/>
    <m/>
    <m/>
    <s v="APRENDIZ"/>
    <s v="ADMINISTRATIVO"/>
    <m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ERJOAO"/>
    <n v="1"/>
    <s v="Sim"/>
  </r>
  <r>
    <n v="102020"/>
    <x v="152"/>
    <s v="Ativo"/>
    <s v="AD"/>
    <n v="30046498"/>
    <s v="Colaborador–M.O.Fixa"/>
    <s v="Mensalista"/>
    <s v="1DX"/>
    <s v="Duratex S.A."/>
    <n v="14"/>
    <s v="FÁB LOUÇAS PARAÍBA"/>
    <n v="14"/>
    <s v="DECA"/>
    <s v="NAO"/>
    <s v="0014 - FÁB LOUÇAS PARAÍBA"/>
    <s v="SASHA GABRIELLE DA COSTA SILVA"/>
    <s v="SASHA"/>
    <n v="10008543"/>
    <s v="DOS-03"/>
    <s v="DOS-03 - MELHORIAS LP"/>
    <s v="DXLP"/>
    <s v="DXIMPROT69"/>
    <s v="Implant. de rotina"/>
    <n v="10008631"/>
    <s v="DOS-01"/>
    <s v="DOS-01 - MELHORIAS LJ"/>
    <s v="FERNANDO BARROS MARTINS"/>
    <n v="10000080"/>
    <s v="EQUIPE"/>
    <s v="EQUIPE"/>
    <n v="10000002"/>
    <s v="DECA"/>
    <s v="DIR IND DECA (METAIS)"/>
    <m/>
    <m/>
    <m/>
    <m/>
    <m/>
    <m/>
    <d v="2020-05-10T00:00:00"/>
    <n v="0"/>
    <m/>
    <d v="1992-10-03T00:00:00"/>
    <x v="11"/>
    <m/>
    <s v="brasileira"/>
    <s v="FORTALEZA"/>
    <s v="CE"/>
    <s v="BR"/>
    <s v="Não"/>
    <s v="F"/>
    <s v="Não"/>
    <m/>
    <s v="Solt."/>
    <s v="Branca"/>
    <s v="Superior completo"/>
    <m/>
    <n v="22002717"/>
    <s v="220/M"/>
    <s v="ENGENHEIRO SR"/>
    <n v="214905"/>
    <s v="Admissão"/>
    <d v="2020-10-01T00:00:00"/>
    <s v="220,00"/>
    <m/>
    <s v="DFD-01"/>
    <s v="DDI-01"/>
    <s v="CSS-01"/>
    <s v="DDE-01"/>
    <s v="PRE-01"/>
    <s v="6.900,00"/>
    <s v="6.900,00"/>
    <s v="6.900,00"/>
    <s v="0,00"/>
    <s v="DF"/>
    <s v="LO PARAÍBA-220/M"/>
    <n v="23"/>
    <s v="GRS023PR"/>
    <d v="2020-10-01T00:00:00"/>
    <s v="Admissão"/>
    <s v="6.899,00"/>
    <s v="689900,00"/>
    <n v="1"/>
    <m/>
    <s v="N"/>
    <x v="152"/>
    <m/>
    <s v="27/11/2019"/>
    <s v="CE"/>
    <s v="045.932.173-00"/>
    <n v="1569011"/>
    <n v="40"/>
    <s v="18/09/2012"/>
    <s v="CE"/>
    <n v="21081721903"/>
    <m/>
    <m/>
    <m/>
    <m/>
    <m/>
    <m/>
    <m/>
    <m/>
    <m/>
    <x v="145"/>
    <n v="113"/>
    <n v="355"/>
    <d v="2018-04-04T00:00:00"/>
    <s v="CE"/>
    <m/>
    <m/>
    <m/>
    <m/>
    <s v="RUA ANDRE CHAVES"/>
    <n v="305"/>
    <m/>
    <s v="JARDIM AMERICA"/>
    <s v="FORTALEZA"/>
    <s v="CE"/>
    <s v="60416-135"/>
    <m/>
    <n v="85996789804"/>
    <m/>
    <n v="341"/>
    <n v="9179"/>
    <x v="152"/>
    <m/>
    <m/>
    <m/>
    <s v="SUPERIOR"/>
    <s v="OPERACOE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SASHA.SILVA@DECA.COM.BR"/>
    <m/>
    <s v="SASSILVA"/>
    <n v="9"/>
    <s v="Não"/>
  </r>
  <r>
    <n v="102020"/>
    <x v="153"/>
    <s v="Ativo"/>
    <s v="AD"/>
    <n v="30046296"/>
    <s v="Colaborador–M.O.Fixa"/>
    <s v="Horista"/>
    <s v="1DX"/>
    <s v="Duratex S.A."/>
    <n v="13"/>
    <s v="FÁB LOUÇAS QUEIMADOS"/>
    <n v="13"/>
    <s v="DECA"/>
    <s v="SIM"/>
    <s v="0013 - FÁB LOUÇAS QUEIMADOS"/>
    <s v="LEANDRO DE PAULA BARNABES"/>
    <s v="LEANDRO"/>
    <n v="10001634"/>
    <s v="DJT-02"/>
    <s v="DJT-02 - ELETRICA E INSTRUMENTACAO - LQ"/>
    <s v="DXLQ"/>
    <s v="DXELETRI68"/>
    <s v="Elétrica e Instrum."/>
    <n v="10001637"/>
    <s v="DJT-06"/>
    <s v="DJT-06 - ENGENHARIA DE MANUTENCAO - LQ"/>
    <s v="ALEX BRAGA LOPES"/>
    <n v="10000080"/>
    <s v="EQUIPE"/>
    <s v="EQUIPE"/>
    <n v="10000017"/>
    <s v="DECA"/>
    <s v="DIR IND DECA (LOUCAS)"/>
    <m/>
    <m/>
    <m/>
    <m/>
    <m/>
    <m/>
    <d v="2020-05-10T00:00:00"/>
    <n v="0"/>
    <m/>
    <d v="1981-03-10T00:00:00"/>
    <x v="20"/>
    <m/>
    <s v="brasileira"/>
    <s v="BELFORD ROXO"/>
    <s v="RJ"/>
    <s v="BR"/>
    <s v="Não"/>
    <s v="M"/>
    <s v="Não"/>
    <m/>
    <s v="Casado"/>
    <s v="Negra"/>
    <s v="Colegial completo"/>
    <m/>
    <n v="22000313"/>
    <s v="220/H"/>
    <s v="ELETRICISTA"/>
    <n v="951105"/>
    <s v="Admissão"/>
    <d v="2020-10-01T00:00:00"/>
    <s v="220,00"/>
    <m/>
    <s v="DJT-01"/>
    <s v="DDI-01"/>
    <s v="CSS-01"/>
    <s v="DDE-01"/>
    <s v="PRE-01"/>
    <s v="2.367,20"/>
    <s v="10,76"/>
    <s v="2.367,20"/>
    <s v="0,00"/>
    <s v="DE"/>
    <s v="LO QUEIMADOS-220/H"/>
    <n v="19"/>
    <s v="GRS019PR"/>
    <d v="2020-10-01T00:00:00"/>
    <s v="Admissão"/>
    <s v="2.366,20"/>
    <s v="236620,00"/>
    <n v="1"/>
    <m/>
    <s v="N"/>
    <x v="153"/>
    <m/>
    <d v="2008-03-10T00:00:00"/>
    <s v="RJ"/>
    <s v="092.934.207-08"/>
    <n v="72486"/>
    <n v="129"/>
    <d v="1998-06-08T00:00:00"/>
    <s v="RJ"/>
    <n v="12771431582"/>
    <m/>
    <m/>
    <m/>
    <m/>
    <m/>
    <m/>
    <m/>
    <m/>
    <m/>
    <x v="146"/>
    <n v="152"/>
    <n v="34"/>
    <s v="28/03/2007"/>
    <s v="RJ"/>
    <n v="10313206137"/>
    <m/>
    <m/>
    <m/>
    <s v="RUA ROSEMARY SADDI"/>
    <n v="120"/>
    <m/>
    <s v="EDSON PASSOS"/>
    <s v="MESQUITA"/>
    <s v="RJ"/>
    <s v="26582-230"/>
    <m/>
    <n v="21997816313"/>
    <m/>
    <n v="341"/>
    <n v="7185"/>
    <x v="153"/>
    <m/>
    <m/>
    <m/>
    <s v="OPERACIONAL"/>
    <s v="OPERACOES"/>
    <s v="TEC/ OPERACIONAL"/>
    <s v="TECNIC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BARNABE"/>
    <n v="1"/>
    <s v="Sim"/>
  </r>
  <r>
    <n v="102020"/>
    <x v="154"/>
    <s v="Ativo"/>
    <s v="AD"/>
    <n v="30034987"/>
    <s v="Colaborador–M.O.Fixa"/>
    <s v="Horista"/>
    <s v="1DX"/>
    <s v="Duratex S.A."/>
    <n v="13"/>
    <s v="FÁB LOUÇAS QUEIMADOS"/>
    <n v="13"/>
    <s v="DECA"/>
    <s v="SIM"/>
    <s v="0013 - FÁB LOUÇAS QUEIMADOS"/>
    <s v="FABIO DA SILVA FREITAS"/>
    <s v="FABIO"/>
    <n v="10001635"/>
    <s v="DJT-02"/>
    <s v="DJT-02 - MECANICA - LQ"/>
    <s v="DXLQ"/>
    <s v="DXMECANI68"/>
    <s v="Mecânica"/>
    <n v="10001637"/>
    <s v="DJT-06"/>
    <s v="DJT-06 - ENGENHARIA DE MANUTENCAO - LQ"/>
    <s v="ALEX BRAGA LOPES"/>
    <n v="10000080"/>
    <s v="EQUIPE"/>
    <s v="EQUIPE"/>
    <n v="10000017"/>
    <s v="DECA"/>
    <s v="DIR IND DECA (LOUCAS)"/>
    <m/>
    <m/>
    <m/>
    <m/>
    <m/>
    <m/>
    <d v="2020-05-10T00:00:00"/>
    <n v="0"/>
    <m/>
    <s v="26/11/1984"/>
    <x v="21"/>
    <m/>
    <s v="brasileira"/>
    <s v="ENGENHEIRO PAULO DE FRONT"/>
    <s v="RJ"/>
    <s v="BR"/>
    <s v="Não"/>
    <s v="M"/>
    <s v="Não"/>
    <m/>
    <s v="Casado"/>
    <s v="Branca"/>
    <s v="Colegial completo"/>
    <m/>
    <n v="22000361"/>
    <s v="220/H"/>
    <s v="MECANICO"/>
    <n v="911305"/>
    <s v="Admissão"/>
    <d v="2020-10-01T00:00:00"/>
    <s v="220,00"/>
    <m/>
    <s v="DJT-01"/>
    <s v="DDI-01"/>
    <s v="CSS-01"/>
    <s v="DDE-01"/>
    <s v="PRE-01"/>
    <s v="2.651,00"/>
    <s v="12,05"/>
    <s v="2.651,00"/>
    <s v="0,00"/>
    <s v="DE"/>
    <s v="LO QUEIMADOS-220/H"/>
    <n v="19"/>
    <s v="GRS019PR"/>
    <d v="2020-10-01T00:00:00"/>
    <s v="Admissão"/>
    <s v="2.650,00"/>
    <s v="265000,00"/>
    <n v="1"/>
    <m/>
    <s v="N"/>
    <x v="154"/>
    <m/>
    <d v="2019-12-03T00:00:00"/>
    <s v="RJ"/>
    <s v="099.951.727-98"/>
    <n v="15530"/>
    <n v="134"/>
    <s v="15/01/2001"/>
    <s v="RJ"/>
    <n v="20625202451"/>
    <m/>
    <m/>
    <m/>
    <m/>
    <m/>
    <m/>
    <m/>
    <m/>
    <m/>
    <x v="147"/>
    <n v="74"/>
    <n v="36"/>
    <s v="22/07/2019"/>
    <s v="RJ"/>
    <n v="21432003347"/>
    <m/>
    <m/>
    <m/>
    <s v="ESTRADA DO LAGO AZUL"/>
    <n v="625"/>
    <m/>
    <s v="MATADOURO"/>
    <s v="ENGENHEIRO PAULO DE FRONTIN"/>
    <s v="RJ"/>
    <s v="26650-000"/>
    <m/>
    <n v="24999167734"/>
    <m/>
    <n v="341"/>
    <n v="6089"/>
    <x v="154"/>
    <m/>
    <m/>
    <m/>
    <s v="OPERACIONAL"/>
    <s v="OPERACOES"/>
    <s v="TEC/ OPERACIONAL"/>
    <s v="TECNIC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ABFREIT"/>
    <n v="1"/>
    <s v="Sim"/>
  </r>
  <r>
    <n v="102020"/>
    <x v="155"/>
    <s v="Ativo"/>
    <s v="AD"/>
    <n v="30007582"/>
    <s v="Colaborador–M.O.Var"/>
    <s v="Horista"/>
    <s v="1DX"/>
    <s v="Duratex S.A."/>
    <n v="13"/>
    <s v="FÁB LOUÇAS QUEIMADOS"/>
    <n v="13"/>
    <s v="DECA"/>
    <s v="SIM"/>
    <s v="0013 - FÁB LOUÇAS QUEIMADOS"/>
    <s v="JEFFERSON NUNES DA SILVA SANTOS"/>
    <s v="JEFFERSON"/>
    <n v="10003675"/>
    <s v="DND-08"/>
    <s v="DND-08 - FUNDICAO MECANIZADA - LQ"/>
    <s v="DXLQ"/>
    <s v="DXFMECAN68"/>
    <s v="Fundição Mecanizada"/>
    <n v="10001253"/>
    <s v="DND-07"/>
    <s v="DND-07 - FUNDICAO MECANIZADA - LQ"/>
    <s v="GEISON SANTOS DE OLIVEIRA"/>
    <n v="10000059"/>
    <s v="SUPERVISOR"/>
    <s v="SUPERVISOR"/>
    <n v="10000017"/>
    <s v="DECA"/>
    <s v="DIR IND DECA (LOUCAS)"/>
    <m/>
    <m/>
    <m/>
    <m/>
    <m/>
    <m/>
    <d v="2020-05-10T00:00:00"/>
    <n v="0"/>
    <m/>
    <d v="1996-09-11T00:00:00"/>
    <x v="18"/>
    <m/>
    <s v="brasileira"/>
    <s v="RIO DE JANEIRO"/>
    <s v="RJ"/>
    <s v="BR"/>
    <s v="Não"/>
    <s v="M"/>
    <s v="Não"/>
    <m/>
    <s v="Solt.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55"/>
    <m/>
    <s v="17/11/2014"/>
    <s v="RJ"/>
    <s v="145.292.077-06"/>
    <n v="3681969"/>
    <n v="50"/>
    <d v="2016-02-05T00:00:00"/>
    <s v="RJ"/>
    <n v="19055528504"/>
    <m/>
    <m/>
    <m/>
    <m/>
    <m/>
    <m/>
    <m/>
    <m/>
    <m/>
    <x v="148"/>
    <n v="84"/>
    <n v="517"/>
    <d v="2020-12-09T00:00:00"/>
    <s v="RJ"/>
    <n v="2131315592"/>
    <m/>
    <m/>
    <m/>
    <s v="RUA JOSE CARLOS BRANDAO MONTEIRO"/>
    <n v="1"/>
    <s v="LT13 QD123"/>
    <s v="CABUCU"/>
    <s v="NOVA IGUAÇU"/>
    <s v="RJ"/>
    <s v="26291-377"/>
    <m/>
    <n v="21965550799"/>
    <m/>
    <n v="341"/>
    <n v="4556"/>
    <x v="15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LJEFFE"/>
    <n v="1"/>
    <s v="Sim"/>
  </r>
  <r>
    <n v="102020"/>
    <x v="156"/>
    <s v="Ativo"/>
    <s v="AD"/>
    <n v="30047410"/>
    <s v="Colaborador–M.O.Fixa"/>
    <s v="Mensalista"/>
    <s v="1DX"/>
    <s v="Duratex S.A."/>
    <n v="6"/>
    <s v="FÁB METAIS SP"/>
    <n v="6"/>
    <s v="DECA"/>
    <m/>
    <s v="0006 - FÁB METAIS SP CML"/>
    <s v="FERNANDA SANTANA CACADOR"/>
    <s v="FERNANDA"/>
    <n v="10001104"/>
    <s v="DCC-02"/>
    <s v="DCC-02 - MERCHANDISING - MS"/>
    <s v="DXMS"/>
    <s v="DXMERCHA01"/>
    <s v="Merchandising"/>
    <n v="10008950"/>
    <s v="DCC-01"/>
    <s v="DCC-01 - MERCHANDISING - MS"/>
    <s v="ANDRE LUIZ COSTA SOUSA"/>
    <n v="10000080"/>
    <s v="EQUIPE"/>
    <s v="EQUIPE"/>
    <n v="10000003"/>
    <s v="DECA"/>
    <s v="DIR CML DECA"/>
    <m/>
    <m/>
    <m/>
    <m/>
    <m/>
    <m/>
    <d v="2020-06-10T00:00:00"/>
    <n v="0"/>
    <m/>
    <s v="23/04/1989"/>
    <x v="12"/>
    <m/>
    <s v="brasileira"/>
    <s v="SAO PAULO"/>
    <s v="SP"/>
    <s v="BR"/>
    <s v="Não"/>
    <s v="F"/>
    <s v="Não"/>
    <m/>
    <s v="Solt."/>
    <s v="Branca"/>
    <s v="Superior completo"/>
    <m/>
    <n v="22003459"/>
    <s v="220/M"/>
    <s v="CONSULTOR VENDAS"/>
    <n v="521110"/>
    <s v="Admissão"/>
    <d v="2020-10-01T00:00:00"/>
    <s v="220,00"/>
    <m/>
    <s v="DTM-01"/>
    <s v="DDC-01"/>
    <s v="CSS-01"/>
    <s v="DDE-01"/>
    <s v="PRE-01"/>
    <s v="3.048,00"/>
    <s v="3.048,00"/>
    <s v="3.048,00"/>
    <s v="0,00"/>
    <s v="BD"/>
    <s v="METAIS SP-220/M"/>
    <n v="20"/>
    <s v="GRS020PR"/>
    <d v="2020-10-01T00:00:00"/>
    <s v="Admissão"/>
    <s v="3.047,00"/>
    <s v="304700,00"/>
    <n v="1"/>
    <m/>
    <s v="N"/>
    <x v="156"/>
    <m/>
    <s v="23/11/2011"/>
    <s v="SP"/>
    <s v="393.065.618-30"/>
    <n v="24513"/>
    <n v="341"/>
    <s v="21/08/2018"/>
    <s v="SP"/>
    <n v="13562095936"/>
    <m/>
    <m/>
    <m/>
    <m/>
    <m/>
    <m/>
    <m/>
    <m/>
    <m/>
    <x v="149"/>
    <n v="413"/>
    <n v="270"/>
    <s v="24/03/2014"/>
    <s v="SP"/>
    <m/>
    <m/>
    <m/>
    <m/>
    <s v="RUA SEBASTIANO MAZZONI"/>
    <n v="627"/>
    <m/>
    <s v="VILA MORAES"/>
    <s v="SÃO PAULO"/>
    <s v="SP"/>
    <s v="04171-000"/>
    <m/>
    <n v="11989357636"/>
    <m/>
    <n v="341"/>
    <n v="4465"/>
    <x v="156"/>
    <m/>
    <m/>
    <m/>
    <s v="ADMINISTRATIVO"/>
    <s v="COMERCIAL MKT E ASSIST TECNICA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FERNANDA.CACADOR@DECA.COM.BR"/>
    <m/>
    <s v="FCACADOR"/>
    <n v="1"/>
    <s v="Sim"/>
  </r>
  <r>
    <n v="102020"/>
    <x v="157"/>
    <s v="Ativo"/>
    <s v="AD"/>
    <n v="30047408"/>
    <s v="Colaborador–M.O.Fixa"/>
    <s v="Mensalista"/>
    <s v="1DX"/>
    <s v="Duratex S.A."/>
    <n v="6"/>
    <s v="FÁB METAIS SP"/>
    <n v="6"/>
    <s v="DECA"/>
    <m/>
    <s v="0006 - FÁB METAIS SP CML"/>
    <s v="KEYLA IANZER FUZARO"/>
    <s v="KEYLA"/>
    <n v="10001104"/>
    <s v="DCC-02"/>
    <s v="DCC-02 - MERCHANDISING - MS"/>
    <s v="DXMS"/>
    <s v="DXMERCHA01"/>
    <s v="Merchandising"/>
    <n v="10008950"/>
    <s v="DCC-01"/>
    <s v="DCC-01 - MERCHANDISING - MS"/>
    <s v="ANDRE LUIZ COSTA SOUSA"/>
    <n v="10000080"/>
    <s v="EQUIPE"/>
    <s v="EQUIPE"/>
    <n v="10000003"/>
    <s v="DECA"/>
    <s v="DIR CML DECA"/>
    <m/>
    <m/>
    <m/>
    <m/>
    <m/>
    <m/>
    <d v="2020-06-10T00:00:00"/>
    <n v="0"/>
    <m/>
    <s v="23/07/1986"/>
    <x v="3"/>
    <m/>
    <s v="brasileira"/>
    <s v="SAO PAULO"/>
    <s v="SP"/>
    <s v="BR"/>
    <s v="Não"/>
    <s v="F"/>
    <s v="Não"/>
    <m/>
    <s v="Solt."/>
    <s v="Branca"/>
    <s v="Superior completo"/>
    <m/>
    <n v="22003459"/>
    <s v="220/M"/>
    <s v="CONSULTOR VENDAS"/>
    <n v="521110"/>
    <s v="Admissão"/>
    <d v="2020-10-01T00:00:00"/>
    <s v="220,00"/>
    <m/>
    <s v="DTM-01"/>
    <s v="DDC-01"/>
    <s v="CSS-01"/>
    <s v="DDE-01"/>
    <s v="PRE-01"/>
    <s v="3.048,00"/>
    <s v="3.048,00"/>
    <s v="3.048,00"/>
    <s v="0,00"/>
    <s v="BD"/>
    <s v="METAIS SP-220/M"/>
    <n v="20"/>
    <s v="GRS020PR"/>
    <d v="2020-10-01T00:00:00"/>
    <s v="Admissão"/>
    <s v="3.047,00"/>
    <s v="304700,00"/>
    <n v="1"/>
    <m/>
    <s v="N"/>
    <x v="157"/>
    <m/>
    <d v="2016-06-04T00:00:00"/>
    <s v="SP"/>
    <s v="366.571.118-51"/>
    <n v="7663"/>
    <n v="325"/>
    <d v="2005-11-05T00:00:00"/>
    <s v="SP"/>
    <n v="13393066810"/>
    <m/>
    <m/>
    <m/>
    <m/>
    <m/>
    <m/>
    <m/>
    <m/>
    <m/>
    <x v="150"/>
    <n v="258"/>
    <n v="425"/>
    <s v="29/04/2004"/>
    <s v="SP"/>
    <m/>
    <m/>
    <m/>
    <m/>
    <s v="AVENIDA JURUCE"/>
    <n v="70"/>
    <m/>
    <s v="INDIANOPOLIS"/>
    <s v="SÃO PAULO"/>
    <s v="SP"/>
    <s v="04080-010"/>
    <m/>
    <n v="11984588610"/>
    <m/>
    <n v="341"/>
    <n v="285"/>
    <x v="157"/>
    <m/>
    <m/>
    <m/>
    <s v="ADMINISTRATIVO"/>
    <s v="COMERCIAL MKT E ASSIST TECNICA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KEYLA.FUZARO@DECA.COM.BR"/>
    <m/>
    <s v="KFUZARO"/>
    <n v="1"/>
    <s v="Sim"/>
  </r>
  <r>
    <n v="102020"/>
    <x v="158"/>
    <s v="Ativo"/>
    <s v="AD"/>
    <n v="30045036"/>
    <s v="Colaborador–M.O.Fixa"/>
    <s v="Mensalista"/>
    <s v="1DF"/>
    <s v="Duratex Florestal Ltda"/>
    <n v="26"/>
    <s v="FL LENCÓIS PAULISTA"/>
    <n v="26"/>
    <s v="MADEIRA"/>
    <s v="SIM"/>
    <s v="0026 - FL LENÇÓIS PAULISTA"/>
    <s v="IVONE CARDOSO NOGUEIRA"/>
    <s v="IVONE"/>
    <n v="10002086"/>
    <s v="MMU-07"/>
    <s v="MMU-07 - PRODUCAO DE MUDAS - LP"/>
    <s v="DFLP"/>
    <s v="DFPROMUD83"/>
    <s v="Produção Mudas"/>
    <n v="10000963"/>
    <s v="MMU-01"/>
    <s v="MMU-01 - PRODUCAO DE MUDAS - LP"/>
    <s v="ROMULO CESAR GUIMARAES"/>
    <n v="10000080"/>
    <s v="EQUIPE"/>
    <s v="EQUIPE"/>
    <n v="10000004"/>
    <s v="MADEIRA"/>
    <s v="DIR OPER FLORESTAL"/>
    <m/>
    <m/>
    <m/>
    <m/>
    <m/>
    <m/>
    <d v="2020-07-10T00:00:00"/>
    <n v="0"/>
    <m/>
    <s v="20/08/1971"/>
    <x v="25"/>
    <m/>
    <s v="brasileira"/>
    <s v="SANTO ANTONIO DA PLATINA"/>
    <s v="PR"/>
    <s v="BR"/>
    <s v="Não"/>
    <s v="F"/>
    <s v="Não"/>
    <m/>
    <s v="Casado"/>
    <s v="Parda"/>
    <s v="Analfabeto"/>
    <m/>
    <n v="22001380"/>
    <s v="220/M"/>
    <s v="TRABALHADOR RURAL"/>
    <n v="622020"/>
    <s v="Admissão"/>
    <d v="2020-10-01T00:00:00"/>
    <s v="220,00"/>
    <s v="MSL-01"/>
    <s v="MPA-01"/>
    <s v="MFL-01"/>
    <s v="CSS-01"/>
    <s v="MDP-01"/>
    <s v="PRE-01"/>
    <s v="1.211,00"/>
    <s v="1.211,00"/>
    <s v="1.211,00"/>
    <s v="0,00"/>
    <s v="AJ"/>
    <s v="FL LENÇOIS PTA-220/M"/>
    <n v="13"/>
    <s v="GRS013OP"/>
    <d v="2020-10-01T00:00:00"/>
    <s v="Admissão"/>
    <s v="1.210,00"/>
    <s v="121000,00"/>
    <n v="1"/>
    <m/>
    <s v="N"/>
    <x v="158"/>
    <m/>
    <d v="1995-10-04T00:00:00"/>
    <s v="SP"/>
    <s v="200.736.578-24"/>
    <n v="87143"/>
    <n v="53"/>
    <d v="1986-03-03T00:00:00"/>
    <s v="SP"/>
    <n v="12279703558"/>
    <m/>
    <m/>
    <m/>
    <m/>
    <m/>
    <m/>
    <m/>
    <m/>
    <m/>
    <x v="151"/>
    <n v="161"/>
    <n v="156"/>
    <s v="16/10/2017"/>
    <s v="SP"/>
    <m/>
    <m/>
    <m/>
    <m/>
    <s v="RUA SANTO LEONARDO GIGLIOLI"/>
    <n v="596"/>
    <m/>
    <s v="JARDIM DO CAJU I"/>
    <s v="LENÇÓIS PAULISTA"/>
    <s v="SP"/>
    <s v="18682-751"/>
    <m/>
    <n v="14996514833"/>
    <m/>
    <n v="341"/>
    <n v="612"/>
    <x v="15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IVNOGUEI"/>
    <n v="1"/>
    <s v="Sim"/>
  </r>
  <r>
    <n v="102020"/>
    <x v="159"/>
    <s v="Ativo"/>
    <s v="AD"/>
    <n v="30045038"/>
    <s v="Colaborador–M.O.Fixa"/>
    <s v="Mensalista"/>
    <s v="1DF"/>
    <s v="Duratex Florestal Ltda"/>
    <n v="26"/>
    <s v="FL LENCÓIS PAULISTA"/>
    <n v="26"/>
    <s v="MADEIRA"/>
    <s v="SIM"/>
    <s v="0026 - FL LENÇÓIS PAULISTA"/>
    <s v="KARINA CARLA FERMINO BERTANHA"/>
    <s v="KARINA"/>
    <n v="10002084"/>
    <s v="MMU-05"/>
    <s v="MMU-05 - PRODUCAO DE MUDAS - LP"/>
    <s v="DFLP"/>
    <s v="DFPROMUD83"/>
    <s v="Produção Mudas"/>
    <n v="10000963"/>
    <s v="MMU-01"/>
    <s v="MMU-01 - PRODUCAO DE MUDAS - LP"/>
    <s v="ROMULO CESAR GUIMARAES"/>
    <n v="10000080"/>
    <s v="EQUIPE"/>
    <s v="EQUIPE"/>
    <n v="10000004"/>
    <s v="MADEIRA"/>
    <s v="DIR OPER FLORESTAL"/>
    <m/>
    <m/>
    <m/>
    <m/>
    <m/>
    <m/>
    <d v="2020-07-10T00:00:00"/>
    <n v="0"/>
    <m/>
    <d v="1996-06-03T00:00:00"/>
    <x v="7"/>
    <m/>
    <s v="brasileira"/>
    <s v="IPAUSSU"/>
    <s v="SP"/>
    <s v="BR"/>
    <s v="Não"/>
    <s v="F"/>
    <s v="Não"/>
    <m/>
    <s v="Casado"/>
    <s v="Branca"/>
    <s v="Colegial completo"/>
    <m/>
    <n v="22001380"/>
    <s v="220/M"/>
    <s v="TRABALHADOR RURAL"/>
    <n v="622020"/>
    <s v="Admissão"/>
    <d v="2020-10-01T00:00:00"/>
    <s v="220,00"/>
    <s v="MSL-01"/>
    <s v="MPA-01"/>
    <s v="MFL-01"/>
    <s v="CSS-01"/>
    <s v="MDP-01"/>
    <s v="PRE-01"/>
    <s v="1.211,00"/>
    <s v="1.211,00"/>
    <s v="1.211,00"/>
    <s v="0,00"/>
    <s v="AJ"/>
    <s v="FL LENÇOIS PTA-220/M"/>
    <n v="13"/>
    <s v="GRS013OP"/>
    <d v="2020-10-01T00:00:00"/>
    <s v="Admissão"/>
    <s v="1.210,00"/>
    <s v="121000,00"/>
    <n v="1"/>
    <m/>
    <s v="N"/>
    <x v="159"/>
    <m/>
    <d v="2007-04-01T00:00:00"/>
    <s v="SP"/>
    <s v="452.515.068-80"/>
    <n v="49536"/>
    <n v="358"/>
    <s v="16/03/2012"/>
    <s v="SP"/>
    <n v="20490745231"/>
    <m/>
    <m/>
    <m/>
    <m/>
    <m/>
    <m/>
    <m/>
    <m/>
    <m/>
    <x v="152"/>
    <n v="129"/>
    <n v="124"/>
    <s v="16/03/2012"/>
    <s v="SP"/>
    <m/>
    <m/>
    <m/>
    <m/>
    <s v="RUA ERNESTO PEREIRA RAMOS"/>
    <n v="116"/>
    <m/>
    <s v="TARGA"/>
    <s v="AREIOPOLIS"/>
    <s v="SP"/>
    <s v="18670-000"/>
    <m/>
    <n v="14991146409"/>
    <m/>
    <n v="341"/>
    <n v="483"/>
    <x v="15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KBERTANH"/>
    <n v="1"/>
    <s v="Sim"/>
  </r>
  <r>
    <n v="102020"/>
    <x v="160"/>
    <s v="Ativo"/>
    <s v="AD"/>
    <n v="30045040"/>
    <s v="Colaborador–M.O.Fixa"/>
    <s v="Mensalista"/>
    <s v="1DF"/>
    <s v="Duratex Florestal Ltda"/>
    <n v="26"/>
    <s v="FL LENCÓIS PAULISTA"/>
    <n v="26"/>
    <s v="MADEIRA"/>
    <s v="SIM"/>
    <s v="0026 - FL LENÇÓIS PAULISTA"/>
    <s v="ANA LUZIA PEREIRA"/>
    <s v="ANA"/>
    <n v="10002084"/>
    <s v="MMU-05"/>
    <s v="MMU-05 - PRODUCAO DE MUDAS - LP"/>
    <s v="DFLP"/>
    <s v="DFPROMUD83"/>
    <s v="Produção Mudas"/>
    <n v="10000963"/>
    <s v="MMU-01"/>
    <s v="MMU-01 - PRODUCAO DE MUDAS - LP"/>
    <s v="ROMULO CESAR GUIMARAES"/>
    <n v="10000080"/>
    <s v="EQUIPE"/>
    <s v="EQUIPE"/>
    <n v="10000004"/>
    <s v="MADEIRA"/>
    <s v="DIR OPER FLORESTAL"/>
    <m/>
    <m/>
    <m/>
    <m/>
    <m/>
    <m/>
    <d v="2020-07-10T00:00:00"/>
    <n v="0"/>
    <m/>
    <d v="1973-03-03T00:00:00"/>
    <x v="15"/>
    <m/>
    <s v="brasileira"/>
    <s v="MOREILANDIA"/>
    <s v="PE"/>
    <s v="BR"/>
    <s v="Não"/>
    <s v="F"/>
    <s v="Não"/>
    <m/>
    <s v="Divor."/>
    <s v="Negra"/>
    <s v="Analfabeto"/>
    <m/>
    <n v="22001380"/>
    <s v="220/M"/>
    <s v="TRABALHADOR RURAL"/>
    <n v="622020"/>
    <s v="Admissão"/>
    <d v="2020-10-01T00:00:00"/>
    <s v="220,00"/>
    <s v="MSL-01"/>
    <s v="MPA-01"/>
    <s v="MFL-01"/>
    <s v="CSS-01"/>
    <s v="MDP-01"/>
    <s v="PRE-01"/>
    <s v="1.211,00"/>
    <s v="1.211,00"/>
    <s v="1.211,00"/>
    <s v="0,00"/>
    <s v="AJ"/>
    <s v="FL LENÇOIS PTA-220/M"/>
    <n v="13"/>
    <s v="GRS013OP"/>
    <d v="2020-10-01T00:00:00"/>
    <s v="Admissão"/>
    <s v="1.210,00"/>
    <s v="121000,00"/>
    <n v="1"/>
    <m/>
    <s v="N"/>
    <x v="160"/>
    <m/>
    <d v="2018-10-05T00:00:00"/>
    <s v="SP"/>
    <s v="041.080.214-01"/>
    <n v="14566"/>
    <n v="37"/>
    <d v="2011-08-08T00:00:00"/>
    <s v="SP"/>
    <n v="20100446099"/>
    <m/>
    <m/>
    <m/>
    <m/>
    <m/>
    <m/>
    <m/>
    <m/>
    <m/>
    <x v="153"/>
    <n v="129"/>
    <n v="133"/>
    <d v="2015-08-05T00:00:00"/>
    <s v="SP"/>
    <m/>
    <m/>
    <m/>
    <m/>
    <s v="RUA  DOIS"/>
    <n v="206"/>
    <m/>
    <s v="PLINIO TARGA"/>
    <s v="AREIOPOLIS"/>
    <s v="SP"/>
    <s v="18670-000"/>
    <m/>
    <n v="14999035861"/>
    <m/>
    <n v="341"/>
    <n v="483"/>
    <x v="16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PANA"/>
    <n v="1"/>
    <s v="Sim"/>
  </r>
  <r>
    <n v="102020"/>
    <x v="161"/>
    <s v="Ativo"/>
    <s v="AD"/>
    <n v="30039881"/>
    <s v="Colaborador–M.O.Fixa"/>
    <s v="Mensalista"/>
    <s v="1DX"/>
    <s v="Duratex S.A."/>
    <n v="19"/>
    <s v="FÁB AGUDOS"/>
    <n v="19"/>
    <s v="MADEIRA"/>
    <s v="SIM"/>
    <s v="0019 - FÁB AGUDOS"/>
    <s v="JAQUELINE MOREIRA BERTONI"/>
    <s v="JAQUELINE"/>
    <n v="10006605"/>
    <s v="MMR-02"/>
    <s v="MMR-02 - REVESTIDOS - AG"/>
    <s v="DXAG"/>
    <s v="DXACESLF63"/>
    <s v="Acessórios Flooring"/>
    <n v="10007576"/>
    <s v="MMR-10"/>
    <s v="MMR-10 - REVESTIDOS - AG"/>
    <s v="GUILHERME AUGUSTO SENO DA SILVA"/>
    <n v="10000080"/>
    <s v="EQUIPE"/>
    <s v="EQUIPE"/>
    <n v="10000005"/>
    <s v="MADEIRA"/>
    <s v="DIR OPER PAINEIS"/>
    <n v="10000108"/>
    <s v="FABRICA"/>
    <n v="10000129"/>
    <s v="REVESTIDOS"/>
    <m/>
    <m/>
    <d v="2020-07-10T00:00:00"/>
    <n v="0"/>
    <m/>
    <d v="1988-12-04T00:00:00"/>
    <x v="9"/>
    <m/>
    <s v="brasileira"/>
    <s v="AGUDOS"/>
    <s v="SP"/>
    <s v="BR"/>
    <s v="Não"/>
    <s v="F"/>
    <s v="Não"/>
    <m/>
    <s v="Casado"/>
    <s v="Branca"/>
    <s v="Colegial completo"/>
    <m/>
    <n v="22002459"/>
    <s v="220/M"/>
    <s v="EMBALADOR"/>
    <n v="784105"/>
    <s v="Admissão"/>
    <d v="2020-10-01T00:00:00"/>
    <s v="220,00"/>
    <s v="MMF-01"/>
    <s v="MOI-01"/>
    <s v="MFL-01"/>
    <s v="CSS-01"/>
    <s v="MDP-01"/>
    <s v="PRE-01"/>
    <s v="1.437,58"/>
    <s v="1.437,58"/>
    <s v="1.437,58"/>
    <s v="0,00"/>
    <s v="CJ"/>
    <s v="FB AGUDOS-220/M"/>
    <n v="13"/>
    <s v="GRS013OP"/>
    <d v="2020-10-01T00:00:00"/>
    <s v="Admissão"/>
    <s v="1.436,58"/>
    <s v="143658,00"/>
    <n v="1"/>
    <m/>
    <s v="N"/>
    <x v="161"/>
    <m/>
    <s v="30/01/2003"/>
    <s v="SP"/>
    <s v="365.337.368-92"/>
    <n v="98016"/>
    <n v="298"/>
    <s v="25/01/2005"/>
    <s v="SP"/>
    <n v="12883144186"/>
    <m/>
    <m/>
    <m/>
    <m/>
    <m/>
    <m/>
    <m/>
    <m/>
    <m/>
    <x v="154"/>
    <n v="3"/>
    <n v="295"/>
    <d v="2016-03-03T00:00:00"/>
    <s v="CE"/>
    <m/>
    <m/>
    <m/>
    <m/>
    <s v="RUA FRANCISCO ALVES BARBOSA"/>
    <n v="134"/>
    <m/>
    <s v="JARDIM CRUZEIRO"/>
    <s v="AGUDOS"/>
    <s v="SP"/>
    <s v="17120-000"/>
    <m/>
    <n v="14981000457"/>
    <m/>
    <n v="341"/>
    <n v="1851"/>
    <x v="16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BERTONI"/>
    <n v="1"/>
    <s v="Sim"/>
  </r>
  <r>
    <n v="102020"/>
    <x v="162"/>
    <s v="Ativo"/>
    <s v="AD"/>
    <n v="30047605"/>
    <s v="Colaborador–M.O.Fixa"/>
    <s v="Mensalista"/>
    <s v="1DX"/>
    <s v="Duratex S.A."/>
    <n v="19"/>
    <s v="FÁB AGUDOS"/>
    <n v="19"/>
    <s v="MADEIRA"/>
    <s v="SIM"/>
    <s v="0019 - FÁB AGUDOS"/>
    <s v="RODRIGO FERNANDES DE JESUS"/>
    <s v="RODRIGO"/>
    <n v="10005346"/>
    <s v="MMR-06"/>
    <s v="MMR-06 - REVESTIDOS - AG"/>
    <s v="DXAG"/>
    <s v="DXFLOOR263"/>
    <s v="Linha de Flooring 2"/>
    <n v="10000311"/>
    <s v="MMR-06"/>
    <s v="MMR-06 - REVESTIDOS - AG"/>
    <s v="MARCOS DE CONTI PEREIRA"/>
    <n v="10000080"/>
    <s v="EQUIPE"/>
    <s v="EQUIPE"/>
    <n v="10000005"/>
    <s v="MADEIRA"/>
    <s v="DIR OPER PAINEIS"/>
    <m/>
    <m/>
    <m/>
    <m/>
    <m/>
    <m/>
    <d v="2020-07-10T00:00:00"/>
    <n v="0"/>
    <m/>
    <s v="18/07/1983"/>
    <x v="31"/>
    <m/>
    <s v="brasileira"/>
    <s v="LENCOIS PAULISTA"/>
    <s v="SP"/>
    <s v="BR"/>
    <s v="Não"/>
    <s v="M"/>
    <s v="Não"/>
    <m/>
    <s v="Casado"/>
    <s v="Branca"/>
    <s v="Colegial completo"/>
    <m/>
    <n v="22000878"/>
    <s v="220/M"/>
    <s v="AUX PRODUCAO"/>
    <n v="784205"/>
    <s v="Admissão"/>
    <d v="2020-10-01T00:00:00"/>
    <s v="220,00"/>
    <s v="MMF-01"/>
    <s v="MOI-01"/>
    <s v="MFL-01"/>
    <s v="CSS-01"/>
    <s v="MDP-01"/>
    <s v="PRE-01"/>
    <s v="1.437,58"/>
    <s v="1.437,58"/>
    <s v="1.437,58"/>
    <s v="0,00"/>
    <s v="CJ"/>
    <s v="FB AGUDOS-220/M"/>
    <n v="13"/>
    <s v="GRS013OP"/>
    <d v="2020-10-01T00:00:00"/>
    <s v="Admissão"/>
    <s v="1.436,58"/>
    <s v="143658,00"/>
    <n v="1"/>
    <m/>
    <s v="N"/>
    <x v="162"/>
    <m/>
    <s v="19/12/2000"/>
    <s v="SP"/>
    <s v="338.761.598-14"/>
    <n v="54832"/>
    <n v="221"/>
    <s v="22/02/2000"/>
    <s v="SP"/>
    <n v="20139959356"/>
    <m/>
    <m/>
    <m/>
    <m/>
    <m/>
    <m/>
    <m/>
    <m/>
    <m/>
    <x v="155"/>
    <n v="7"/>
    <n v="97"/>
    <s v="13/05/2019"/>
    <s v="SP"/>
    <n v="15513204"/>
    <m/>
    <m/>
    <m/>
    <s v="RUA WALDEMAR DUARTE"/>
    <n v="148"/>
    <m/>
    <s v="JD STA CANDIDA"/>
    <s v="AGUDOS"/>
    <s v="SP"/>
    <s v="17120-330"/>
    <m/>
    <n v="14991771521"/>
    <m/>
    <n v="341"/>
    <n v="1851"/>
    <x v="16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ODJESUS"/>
    <n v="1"/>
    <s v="Sim"/>
  </r>
  <r>
    <n v="102020"/>
    <x v="163"/>
    <s v="Ativo"/>
    <s v="AD"/>
    <n v="30047603"/>
    <s v="Colaborador–M.O.Fixa"/>
    <s v="Mensalista"/>
    <s v="1DX"/>
    <s v="Duratex S.A."/>
    <n v="19"/>
    <s v="FÁB AGUDOS"/>
    <n v="19"/>
    <s v="MADEIRA"/>
    <s v="SIM"/>
    <s v="0019 - FÁB AGUDOS"/>
    <s v="TAIANE DE FREITAS SANTOS"/>
    <s v="TAIANE"/>
    <n v="10006606"/>
    <s v="MMR-06"/>
    <s v="MMR-06 - REVESTIDOS - AG"/>
    <s v="DXAG"/>
    <s v="DXACESLF63"/>
    <s v="Acessórios Flooring"/>
    <n v="10000311"/>
    <s v="MMR-06"/>
    <s v="MMR-06 - REVESTIDOS - AG"/>
    <s v="MARCOS DE CONTI PEREIRA"/>
    <n v="10000080"/>
    <s v="EQUIPE"/>
    <s v="EQUIPE"/>
    <n v="10000005"/>
    <s v="MADEIRA"/>
    <s v="DIR OPER PAINEIS"/>
    <m/>
    <m/>
    <m/>
    <m/>
    <m/>
    <m/>
    <d v="2020-07-10T00:00:00"/>
    <n v="0"/>
    <m/>
    <s v="13/03/2000"/>
    <x v="32"/>
    <m/>
    <s v="brasileira"/>
    <s v="SANTOS"/>
    <s v="SP"/>
    <s v="BR"/>
    <s v="Não"/>
    <s v="F"/>
    <s v="Não"/>
    <m/>
    <s v="Casado"/>
    <s v="Parda"/>
    <s v="Colegial completo"/>
    <m/>
    <n v="22002459"/>
    <s v="220/M"/>
    <s v="EMBALADOR"/>
    <n v="784105"/>
    <s v="Admissão"/>
    <d v="2020-10-01T00:00:00"/>
    <s v="220,00"/>
    <s v="MMF-01"/>
    <s v="MOI-01"/>
    <s v="MFL-01"/>
    <s v="CSS-01"/>
    <s v="MDP-01"/>
    <s v="PRE-01"/>
    <s v="1.437,58"/>
    <s v="1.437,58"/>
    <s v="1.437,58"/>
    <s v="0,00"/>
    <s v="CJ"/>
    <s v="FB AGUDOS-220/M"/>
    <n v="13"/>
    <s v="GRS013OP"/>
    <d v="2020-10-01T00:00:00"/>
    <s v="Admissão"/>
    <s v="1.436,58"/>
    <s v="143658,00"/>
    <n v="1"/>
    <m/>
    <s v="N"/>
    <x v="163"/>
    <m/>
    <s v="27/01/2020"/>
    <s v="SP"/>
    <s v="494.015.428-99"/>
    <n v="95766"/>
    <n v="358"/>
    <s v="23/01/2015"/>
    <s v="SP"/>
    <n v="20930594201"/>
    <m/>
    <m/>
    <m/>
    <m/>
    <m/>
    <m/>
    <m/>
    <m/>
    <m/>
    <x v="156"/>
    <n v="7"/>
    <n v="17"/>
    <s v="21/01/2020"/>
    <s v="SP"/>
    <m/>
    <m/>
    <m/>
    <m/>
    <s v="AVENIDA ALCIDES ESCADA"/>
    <n v="316"/>
    <m/>
    <s v="PQ PAMPULHA"/>
    <s v="AGUDOS"/>
    <s v="SP"/>
    <s v="17120-000"/>
    <m/>
    <n v="14998059326"/>
    <m/>
    <n v="341"/>
    <n v="1851"/>
    <x v="16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TAIASANT"/>
    <n v="1"/>
    <s v="Sim"/>
  </r>
  <r>
    <n v="102020"/>
    <x v="164"/>
    <s v="Ativo"/>
    <s v="AD"/>
    <n v="30046613"/>
    <s v="Colaborador–M.O.Fixa"/>
    <s v="Mensalista"/>
    <s v="1DF"/>
    <s v="Duratex Florestal Ltda"/>
    <n v="25"/>
    <s v="FL AGUDOS"/>
    <n v="25"/>
    <s v="MADEIRA"/>
    <s v="SIM"/>
    <s v="0025 - FL AGUDOS"/>
    <s v="MARCIO ROBERTO MARCIANO"/>
    <s v="MARCIO"/>
    <n v="10000913"/>
    <s v="MOF-02"/>
    <s v="MOF-02 - COLHEITA AGUDOS - AG"/>
    <s v="DFAG"/>
    <s v="DFCAMPES82"/>
    <s v="Cam. Extra Pesado"/>
    <n v="10000911"/>
    <s v="MOF-03"/>
    <s v="MOF-03 - COLHEITA AGUDOS - AG"/>
    <s v="THIAGO GARCIA DE ALMEIDA"/>
    <n v="10000080"/>
    <s v="EQUIPE"/>
    <s v="EQUIPE"/>
    <n v="10000004"/>
    <s v="MADEIRA"/>
    <s v="DIR OPER FLORESTAL"/>
    <m/>
    <m/>
    <m/>
    <m/>
    <m/>
    <m/>
    <d v="2020-07-10T00:00:00"/>
    <n v="0"/>
    <m/>
    <s v="29/04/1973"/>
    <x v="15"/>
    <m/>
    <s v="brasileira"/>
    <s v="AGUDOS"/>
    <s v="SP"/>
    <s v="BR"/>
    <s v="Não"/>
    <s v="M"/>
    <s v="Não"/>
    <m/>
    <s v="Casado"/>
    <s v="Branca"/>
    <s v="Colegial completo"/>
    <m/>
    <n v="22001166"/>
    <s v="220/M"/>
    <s v="OPER MAQUINA A"/>
    <n v="642010"/>
    <s v="Admissão"/>
    <d v="2020-10-01T00:00:00"/>
    <s v="220,00"/>
    <s v="MSL-01"/>
    <s v="MPA-01"/>
    <s v="MFL-01"/>
    <s v="CSS-01"/>
    <s v="MDP-01"/>
    <s v="PRE-01"/>
    <s v="2.400,00"/>
    <s v="2.400,00"/>
    <s v="2.400,00"/>
    <s v="0,00"/>
    <s v="AG"/>
    <s v="FL AGUDOS-220/M"/>
    <n v="18"/>
    <s v="GRS018OP"/>
    <d v="2020-10-01T00:00:00"/>
    <s v="Admissão"/>
    <s v="2.399,00"/>
    <s v="239900,00"/>
    <n v="1"/>
    <m/>
    <s v="N"/>
    <x v="164"/>
    <m/>
    <d v="1998-05-02T00:00:00"/>
    <s v="SP"/>
    <s v="180.973.808-38"/>
    <n v="34185"/>
    <n v="51"/>
    <s v="26/01/2018"/>
    <s v="SP"/>
    <n v="12283631787"/>
    <m/>
    <n v="2315128722"/>
    <s v="AE"/>
    <s v="17/12/2015"/>
    <d v="2020-07-10T00:00:00"/>
    <s v="14/12/2020"/>
    <m/>
    <m/>
    <m/>
    <x v="157"/>
    <n v="7"/>
    <n v="35"/>
    <d v="2018-10-01T00:00:00"/>
    <s v="SP"/>
    <m/>
    <m/>
    <m/>
    <m/>
    <s v="RUA HUGO CALDIERI LUCIANO"/>
    <n v="102"/>
    <m/>
    <s v="PARQUE PAMPULHA"/>
    <s v="AGUDOS"/>
    <s v="SP"/>
    <s v="17120-000"/>
    <m/>
    <n v="14997404599"/>
    <m/>
    <n v="341"/>
    <n v="1958"/>
    <x v="16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MARCIA"/>
    <n v="1"/>
    <s v="Sim"/>
  </r>
  <r>
    <n v="102020"/>
    <x v="165"/>
    <s v="Ativo"/>
    <s v="AD"/>
    <n v="30046314"/>
    <s v="Colaborador–M.O.Fixa"/>
    <s v="Mensalista"/>
    <s v="1DX"/>
    <s v="Duratex S.A."/>
    <n v="19"/>
    <s v="FÁB AGUDOS"/>
    <n v="19"/>
    <s v="MADEIRA"/>
    <s v="NAO"/>
    <s v="0019 - FÁB AGUDOS"/>
    <s v="GUILHERME LOURENZONI DIAS"/>
    <s v="GUILHERME"/>
    <n v="10000190"/>
    <s v="MEG-02"/>
    <s v="MEG-02 - ADM - AG"/>
    <s v="DXAG"/>
    <s v="DXEXPEDI62"/>
    <s v="Expedição"/>
    <n v="10007874"/>
    <s v="MEG-01"/>
    <s v="MEG-01 - EXPED E ALMOX - AG/BT/IT/CD REC"/>
    <s v="KELLY ANDRESSA PADILHA DOS SANTOS"/>
    <n v="10000059"/>
    <s v="SUPERVISOR"/>
    <s v="SUPERVISOR"/>
    <n v="10000005"/>
    <s v="MADEIRA"/>
    <s v="DIR OPER PAINEIS"/>
    <n v="10000108"/>
    <s v="FABRICA"/>
    <n v="10000102"/>
    <s v="ADM GERAL"/>
    <m/>
    <m/>
    <d v="2020-07-10T00:00:00"/>
    <n v="0"/>
    <m/>
    <d v="2001-04-05T00:00:00"/>
    <x v="24"/>
    <m/>
    <s v="brasileira"/>
    <s v="BAURU"/>
    <s v="SP"/>
    <s v="BR"/>
    <s v="Não"/>
    <s v="M"/>
    <s v="Não"/>
    <m/>
    <s v="Solt."/>
    <s v="Branca"/>
    <s v="Superior incompleto"/>
    <m/>
    <n v="22003272"/>
    <s v="220/M"/>
    <s v="ASSIST LOGISTICA"/>
    <n v="342125"/>
    <s v="Admissão"/>
    <d v="2020-10-01T00:00:00"/>
    <s v="220,00"/>
    <s v="MLO-01"/>
    <s v="MPG-01"/>
    <m/>
    <s v="CSS-01"/>
    <s v="MDP-01"/>
    <s v="PRE-01"/>
    <s v="1.774,08"/>
    <s v="1.774,08"/>
    <s v="1.774,08"/>
    <s v="0,00"/>
    <s v="CJ"/>
    <s v="FB AGUDOS-220/M"/>
    <n v="16"/>
    <s v="GRS016OP"/>
    <d v="2020-10-01T00:00:00"/>
    <s v="Admissão"/>
    <s v="1.773,08"/>
    <s v="177308,00"/>
    <n v="1"/>
    <m/>
    <s v="N"/>
    <x v="165"/>
    <m/>
    <d v="2015-08-01T00:00:00"/>
    <s v="SP"/>
    <s v="455.456.438-00"/>
    <n v="4554564"/>
    <n v="3800"/>
    <s v="29/09/2020"/>
    <s v="SP"/>
    <n v="26881396382"/>
    <m/>
    <m/>
    <m/>
    <m/>
    <m/>
    <m/>
    <m/>
    <m/>
    <m/>
    <x v="158"/>
    <n v="7"/>
    <n v="30"/>
    <s v="22/01/2018"/>
    <s v="SP"/>
    <n v="320002156774"/>
    <m/>
    <m/>
    <m/>
    <s v="RUA JOSE DE ROSA"/>
    <n v="330"/>
    <m/>
    <s v="JARDIM SANTA ANGELINA"/>
    <s v="AGUDOS"/>
    <s v="SP"/>
    <s v="17120-000"/>
    <m/>
    <n v="14997252564"/>
    <m/>
    <n v="341"/>
    <n v="1851"/>
    <x v="165"/>
    <m/>
    <m/>
    <m/>
    <s v="ADMINISTRATIVO"/>
    <s v="PLANEJAMENTO LOGISTICA E PCP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GUILHERME.DIAS@DURATEX.COM.BR"/>
    <m/>
    <s v="GUIDIAS"/>
    <n v="1"/>
    <s v="Sim"/>
  </r>
  <r>
    <n v="102020"/>
    <x v="166"/>
    <s v="Ativo"/>
    <s v="AD"/>
    <n v="30014414"/>
    <s v="Colaborador–M.O.Fixa"/>
    <s v="Mensalista"/>
    <s v="1DX"/>
    <s v="Duratex S.A."/>
    <n v="21"/>
    <s v="FÁB TAQUARI"/>
    <n v="21"/>
    <s v="MADEIRA"/>
    <s v="SIM"/>
    <s v="0021 - FÁB TAQUARI"/>
    <s v="ANDERSON GUSTAVO DA SILVA BITTENCOURT"/>
    <s v="ANDERSON"/>
    <n v="10000103"/>
    <s v="MEE-03"/>
    <s v="MEE-03 - ADM - TQ"/>
    <s v="DXTQ"/>
    <s v="DXENLONA64"/>
    <s v="Enlonamento FV"/>
    <n v="10000104"/>
    <s v="MEE-03"/>
    <s v="MEE-03 - ADM - TQ"/>
    <s v="RODRIGO LIMA DA ROSA"/>
    <n v="10000080"/>
    <s v="EQUIPE"/>
    <s v="EQUIPE"/>
    <n v="10000005"/>
    <s v="MADEIRA"/>
    <s v="DIR OPER PAINEIS"/>
    <n v="10000108"/>
    <s v="FABRICA"/>
    <n v="10000102"/>
    <s v="ADM GERAL"/>
    <m/>
    <m/>
    <d v="2020-07-10T00:00:00"/>
    <n v="0"/>
    <m/>
    <s v="23/08/2001"/>
    <x v="24"/>
    <m/>
    <s v="brasileira"/>
    <s v="TAQUARI"/>
    <s v="RS"/>
    <s v="BR"/>
    <s v="Não"/>
    <s v="M"/>
    <s v="Não"/>
    <m/>
    <s v="Solt."/>
    <s v="Branca"/>
    <s v="Colegial completo"/>
    <m/>
    <n v="22001415"/>
    <s v="220/M"/>
    <s v="AUX EXPEDICAO"/>
    <n v="414110"/>
    <s v="Admissão"/>
    <d v="2020-10-01T00:00:00"/>
    <s v="220,00"/>
    <s v="MLO-01"/>
    <s v="MPG-01"/>
    <m/>
    <s v="CSS-01"/>
    <s v="MDP-01"/>
    <s v="PRE-01"/>
    <s v="1.282,95"/>
    <s v="1.282,95"/>
    <s v="1.282,95"/>
    <s v="0,00"/>
    <s v="CP"/>
    <s v="FB TAQUARI-220/M"/>
    <n v="14"/>
    <s v="GRS014OP"/>
    <d v="2020-10-01T00:00:00"/>
    <s v="Admissão"/>
    <s v="1.281,95"/>
    <s v="128195,00"/>
    <n v="1"/>
    <m/>
    <s v="N"/>
    <x v="166"/>
    <m/>
    <s v="26/03/2018"/>
    <s v="RS"/>
    <s v="040.391.050-10"/>
    <n v="640647"/>
    <n v="60"/>
    <s v="24/04/2018"/>
    <s v="RS"/>
    <n v="20078726829"/>
    <m/>
    <m/>
    <m/>
    <m/>
    <m/>
    <m/>
    <m/>
    <m/>
    <m/>
    <x v="159"/>
    <n v="56"/>
    <n v="55"/>
    <s v="30/09/2020"/>
    <s v="RS"/>
    <n v="320003397040"/>
    <m/>
    <m/>
    <m/>
    <s v="RUA AMERICO JOSE DE QUADROS"/>
    <n v="50"/>
    <m/>
    <s v="RINCAO SAO JOSE"/>
    <s v="TAQUARI"/>
    <s v="RS"/>
    <s v="95860-000"/>
    <m/>
    <n v="51996711872"/>
    <m/>
    <n v="1"/>
    <n v="671"/>
    <x v="166"/>
    <m/>
    <m/>
    <m/>
    <s v="ADMINISTRATIVO"/>
    <s v="PLANEJAMENTO LOGISTICA E PCP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NBITTEN"/>
    <n v="1"/>
    <s v="Sim"/>
  </r>
  <r>
    <n v="102020"/>
    <x v="167"/>
    <s v="Ativo"/>
    <s v="AD"/>
    <n v="30046171"/>
    <s v="Colaborador–M.O.Fixa"/>
    <s v="Mensalista"/>
    <s v="1DX"/>
    <s v="Duratex S.A."/>
    <n v="21"/>
    <s v="FÁB TAQUARI"/>
    <n v="21"/>
    <s v="MADEIRA"/>
    <s v="SIM"/>
    <s v="0021 - FÁB TAQUARI"/>
    <s v="MISAEL DOS SANTOS RODRIGUES"/>
    <s v="MISAEL"/>
    <n v="10008251"/>
    <s v="MDQ-04"/>
    <s v="MDQ-04 - REVESTIDOS - TQ"/>
    <s v="DXTQ"/>
    <s v="DXLAMBP364"/>
    <s v="Laminação BP3"/>
    <n v="10008151"/>
    <s v="MDQ-02"/>
    <s v="MDQ-02 - REVESTIDOS - TQ"/>
    <s v="GREGORI HAUSCHILD"/>
    <n v="10000080"/>
    <s v="EQUIPE"/>
    <s v="EQUIPE"/>
    <n v="10000005"/>
    <s v="MADEIRA"/>
    <s v="DIR OPER PAINEIS"/>
    <m/>
    <m/>
    <m/>
    <m/>
    <m/>
    <m/>
    <d v="2020-07-10T00:00:00"/>
    <n v="0"/>
    <m/>
    <d v="1994-05-05T00:00:00"/>
    <x v="2"/>
    <m/>
    <s v="brasileira"/>
    <s v="TAQUARI"/>
    <s v="RS"/>
    <s v="BR"/>
    <s v="Não"/>
    <s v="M"/>
    <s v="Não"/>
    <m/>
    <s v="Casado"/>
    <s v="Branca"/>
    <s v="Colegial completo"/>
    <m/>
    <n v="22001184"/>
    <s v="220/M"/>
    <s v="OPER PRODUCAO B"/>
    <n v="862150"/>
    <s v="Admissão"/>
    <d v="2020-10-01T00:00:00"/>
    <s v="220,00"/>
    <s v="MTQ-01"/>
    <s v="MOI-01"/>
    <s v="MFL-01"/>
    <s v="CSS-01"/>
    <s v="MDP-01"/>
    <s v="PRE-01"/>
    <s v="2.142,08"/>
    <s v="2.142,08"/>
    <s v="2.142,08"/>
    <s v="0,00"/>
    <s v="CP"/>
    <s v="FB TAQUARI-220/M"/>
    <n v="17"/>
    <s v="GRS017OP"/>
    <d v="2020-10-01T00:00:00"/>
    <s v="Admissão"/>
    <s v="2.141,08"/>
    <s v="214108,00"/>
    <n v="1"/>
    <m/>
    <s v="N"/>
    <x v="167"/>
    <m/>
    <d v="2011-06-12T00:00:00"/>
    <s v="RS"/>
    <s v="037.630.180-50"/>
    <n v="8754067"/>
    <n v="30"/>
    <s v="17/11/2011"/>
    <s v="RS"/>
    <n v="20692736012"/>
    <m/>
    <m/>
    <m/>
    <m/>
    <m/>
    <m/>
    <m/>
    <m/>
    <m/>
    <x v="160"/>
    <n v="56"/>
    <n v="111"/>
    <s v="30/10/2017"/>
    <s v="RS"/>
    <n v="81582036026"/>
    <m/>
    <m/>
    <m/>
    <s v="AVENIDA GETULIO VARGAS"/>
    <n v="574"/>
    <m/>
    <s v="PRAIA"/>
    <s v="TAQUARI"/>
    <s v="RS"/>
    <s v="95860-000"/>
    <m/>
    <n v="51998980898"/>
    <m/>
    <n v="1"/>
    <n v="671"/>
    <x v="16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ISRODRI"/>
    <n v="1"/>
    <s v="Sim"/>
  </r>
  <r>
    <n v="102020"/>
    <x v="168"/>
    <s v="Ativo"/>
    <s v="AD"/>
    <n v="30024541"/>
    <s v="Colaborador–M.O.Fixa"/>
    <s v="Mensalista"/>
    <s v="1DX"/>
    <s v="Duratex S.A."/>
    <n v="21"/>
    <s v="FÁB TAQUARI"/>
    <n v="21"/>
    <s v="MADEIRA"/>
    <s v="SIM"/>
    <s v="0021 - FÁB TAQUARI"/>
    <s v="RENAN ANTONIO PEREIRA"/>
    <s v="RENAN"/>
    <n v="10000103"/>
    <s v="MEE-03"/>
    <s v="MEE-03 - ADM - TQ"/>
    <s v="DXTQ"/>
    <s v="DXENLONA64"/>
    <s v="Enlonamento FV"/>
    <n v="10000104"/>
    <s v="MEE-03"/>
    <s v="MEE-03 - ADM - TQ"/>
    <s v="RODRIGO LIMA DA ROSA"/>
    <n v="10000080"/>
    <s v="EQUIPE"/>
    <s v="EQUIPE"/>
    <n v="10000005"/>
    <s v="MADEIRA"/>
    <s v="DIR OPER PAINEIS"/>
    <n v="10000108"/>
    <s v="FABRICA"/>
    <n v="10000102"/>
    <s v="ADM GERAL"/>
    <m/>
    <m/>
    <d v="2020-07-10T00:00:00"/>
    <n v="0"/>
    <m/>
    <s v="26/08/1987"/>
    <x v="0"/>
    <m/>
    <s v="brasileira"/>
    <s v="TAQUARI"/>
    <s v="RS"/>
    <s v="BR"/>
    <s v="Não"/>
    <s v="M"/>
    <s v="Não"/>
    <m/>
    <s v="Solt."/>
    <s v="Branca"/>
    <s v="Colegial completo"/>
    <m/>
    <n v="22001415"/>
    <s v="220/M"/>
    <s v="AUX EXPEDICAO"/>
    <n v="414110"/>
    <s v="Admissão"/>
    <d v="2020-10-01T00:00:00"/>
    <s v="220,00"/>
    <s v="MLO-01"/>
    <s v="MPG-01"/>
    <m/>
    <s v="CSS-01"/>
    <s v="MDP-01"/>
    <s v="PRE-01"/>
    <s v="1.282,95"/>
    <s v="1.282,95"/>
    <s v="1.282,95"/>
    <s v="0,00"/>
    <s v="CP"/>
    <s v="FB TAQUARI-220/M"/>
    <n v="14"/>
    <s v="GRS014OP"/>
    <d v="2020-10-01T00:00:00"/>
    <s v="Admissão"/>
    <s v="1.281,95"/>
    <s v="128195,00"/>
    <n v="1"/>
    <m/>
    <s v="N"/>
    <x v="168"/>
    <m/>
    <s v="29/09/2005"/>
    <s v="RS"/>
    <s v="019.626.310-79"/>
    <n v="1330454"/>
    <n v="20"/>
    <d v="2007-07-02T00:00:00"/>
    <s v="RS"/>
    <n v="16544381919"/>
    <m/>
    <m/>
    <m/>
    <m/>
    <m/>
    <m/>
    <m/>
    <m/>
    <m/>
    <x v="88"/>
    <m/>
    <m/>
    <m/>
    <m/>
    <m/>
    <m/>
    <m/>
    <m/>
    <s v="RUA VICENTE LABRES"/>
    <n v="91"/>
    <m/>
    <s v="CADEADO PA"/>
    <s v="TAQUARI"/>
    <s v="RS"/>
    <s v="95860-000"/>
    <m/>
    <n v="51998444174"/>
    <m/>
    <n v="1"/>
    <n v="671"/>
    <x v="168"/>
    <m/>
    <m/>
    <m/>
    <s v="ADMINISTRATIVO"/>
    <s v="PLANEJAMENTO LOGISTICA E PCP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ENPEREI"/>
    <n v="1"/>
    <s v="Sim"/>
  </r>
  <r>
    <n v="102020"/>
    <x v="169"/>
    <s v="Ativo"/>
    <s v="AD"/>
    <n v="30124854"/>
    <s v="Colaborador–M.O.Fixa"/>
    <s v="Mensalista"/>
    <s v="1DX"/>
    <s v="Duratex S.A."/>
    <n v="21"/>
    <s v="FÁB TAQUARI"/>
    <n v="21"/>
    <s v="MADEIRA"/>
    <s v="SIM"/>
    <s v="0021 - FÁB TAQUARI"/>
    <s v="JUNIOR PATRIKE GOMES DA SILVA"/>
    <s v="JUNIOR"/>
    <n v="10000103"/>
    <s v="MEE-03"/>
    <s v="MEE-03 - ADM - TQ"/>
    <s v="DXTQ"/>
    <s v="DXENLONA64"/>
    <s v="Enlonamento FV"/>
    <n v="10000104"/>
    <s v="MEE-03"/>
    <s v="MEE-03 - ADM - TQ"/>
    <s v="RODRIGO LIMA DA ROSA"/>
    <n v="10000080"/>
    <s v="EQUIPE"/>
    <s v="EQUIPE"/>
    <n v="10000005"/>
    <s v="MADEIRA"/>
    <s v="DIR OPER PAINEIS"/>
    <n v="10000108"/>
    <s v="FABRICA"/>
    <n v="10000102"/>
    <s v="ADM GERAL"/>
    <m/>
    <m/>
    <d v="2020-07-10T00:00:00"/>
    <n v="0"/>
    <m/>
    <s v="21/01/1993"/>
    <x v="16"/>
    <m/>
    <s v="brasileira"/>
    <s v="TAQUARI"/>
    <s v="RS"/>
    <s v="BR"/>
    <s v="Não"/>
    <s v="M"/>
    <s v="Não"/>
    <m/>
    <s v="Solt."/>
    <s v="Branca"/>
    <s v="Ginasial completo"/>
    <m/>
    <n v="22001415"/>
    <s v="220/M"/>
    <s v="AUX EXPEDICAO"/>
    <n v="414110"/>
    <s v="Admissão"/>
    <d v="2020-10-01T00:00:00"/>
    <s v="220,00"/>
    <s v="MLO-01"/>
    <s v="MPG-01"/>
    <m/>
    <s v="CSS-01"/>
    <s v="MDP-01"/>
    <s v="PRE-01"/>
    <s v="1.282,95"/>
    <s v="1.282,95"/>
    <s v="1.282,95"/>
    <s v="0,00"/>
    <s v="CP"/>
    <s v="FB TAQUARI-220/M"/>
    <n v="14"/>
    <s v="GRS014OP"/>
    <d v="2020-10-01T00:00:00"/>
    <s v="Admissão"/>
    <s v="1.281,95"/>
    <s v="128195,00"/>
    <n v="1"/>
    <m/>
    <s v="N"/>
    <x v="169"/>
    <m/>
    <s v="13/07/2016"/>
    <s v="RS"/>
    <s v="025.947.120-86"/>
    <n v="6878549"/>
    <n v="60"/>
    <d v="2019-02-12T00:00:00"/>
    <s v="RS"/>
    <n v="16195946487"/>
    <m/>
    <m/>
    <m/>
    <m/>
    <m/>
    <m/>
    <m/>
    <m/>
    <m/>
    <x v="161"/>
    <n v="56"/>
    <n v="16"/>
    <s v="25/03/2013"/>
    <s v="RS"/>
    <n v="81572150704"/>
    <m/>
    <m/>
    <m/>
    <s v="RUA LEVINOS KERBER"/>
    <n v="297"/>
    <m/>
    <s v="COQUEIRAS"/>
    <s v="TAQUARI"/>
    <s v="RS"/>
    <s v="95860-000"/>
    <m/>
    <n v="51998225465"/>
    <m/>
    <n v="1"/>
    <n v="671"/>
    <x v="169"/>
    <m/>
    <m/>
    <m/>
    <s v="ADMINISTRATIVO"/>
    <s v="PLANEJAMENTO LOGISTICA E PCP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UNIOSIL"/>
    <n v="1"/>
    <s v="Sim"/>
  </r>
  <r>
    <n v="102020"/>
    <x v="170"/>
    <s v="Ativo"/>
    <s v="AD"/>
    <n v="30046315"/>
    <s v="Colaborador–M.O.Fixa"/>
    <s v="Mensalista"/>
    <s v="1HY"/>
    <s v="HYDRA CORONA SIST.AQ.LTD."/>
    <n v="32"/>
    <s v="HYDRA ARACAJU"/>
    <n v="32"/>
    <s v="CORONA"/>
    <s v="NAO"/>
    <s v="0032 – FÁB. HYDRA ARACAJU"/>
    <s v="HAAB BARBOSA SANTOS"/>
    <s v="HAAB"/>
    <n v="10004072"/>
    <s v="HJI-04"/>
    <s v="HJI-04 - MANUTENCAO INDUSTRIAL - HA"/>
    <s v="HYAR"/>
    <s v="HYGERAMA04"/>
    <s v="Gerais de Manutenção"/>
    <n v="10007336"/>
    <s v="HJI-01"/>
    <s v="HJI-01 - INJECAO - HA"/>
    <s v="ANDRE BARBOSA SANTANA SANTOS"/>
    <n v="10000059"/>
    <s v="SUPERVISOR"/>
    <s v="SUPERVISOR"/>
    <n v="10000019"/>
    <s v="HYDRA"/>
    <s v="DIR IND HYDRA"/>
    <m/>
    <m/>
    <m/>
    <m/>
    <m/>
    <m/>
    <d v="2020-07-10T00:00:00"/>
    <n v="0"/>
    <m/>
    <s v="19/02/1989"/>
    <x v="12"/>
    <m/>
    <s v="brasileira"/>
    <s v="ITABAIANA"/>
    <s v="SE"/>
    <s v="BR"/>
    <s v="Não"/>
    <s v="F"/>
    <s v="Não"/>
    <m/>
    <s v="Solt."/>
    <s v="Parda"/>
    <s v="Colegial completo"/>
    <m/>
    <n v="22001191"/>
    <s v="220/M"/>
    <s v="PROGRAMADOR PCM PL"/>
    <n v="391130"/>
    <s v="Admissão"/>
    <d v="2020-10-01T00:00:00"/>
    <s v="220,00"/>
    <m/>
    <s v="HDD-01"/>
    <s v="DDI-01"/>
    <s v="CSS-01"/>
    <s v="DDE-01"/>
    <s v="PRE-01"/>
    <s v="2.500,00"/>
    <s v="2.500,00"/>
    <s v="2.500,00"/>
    <s v="0,00"/>
    <s v="HU"/>
    <s v="HYDRA ARACAJU-220/M"/>
    <n v="19"/>
    <s v="GRS019PR"/>
    <d v="2020-10-01T00:00:00"/>
    <s v="Admissão"/>
    <s v="2.499,00"/>
    <s v="249900,00"/>
    <n v="1"/>
    <m/>
    <s v="N"/>
    <x v="170"/>
    <m/>
    <s v="19/12/2014"/>
    <s v="SE"/>
    <s v="021.990.585-14"/>
    <n v="7516150"/>
    <n v="10"/>
    <s v="22/09/2005"/>
    <s v="SE"/>
    <n v="12891292768"/>
    <m/>
    <m/>
    <m/>
    <m/>
    <m/>
    <m/>
    <m/>
    <m/>
    <m/>
    <x v="162"/>
    <n v="2"/>
    <n v="110"/>
    <d v="2011-12-09T00:00:00"/>
    <s v="SE"/>
    <m/>
    <m/>
    <m/>
    <m/>
    <s v="AVENIDA AUGUSTO FRANCO"/>
    <n v="2000"/>
    <m/>
    <s v="SIQUEIRA CAMPOS"/>
    <s v="ARACAJU"/>
    <s v="SE"/>
    <s v="49050-090"/>
    <m/>
    <n v="79988001697"/>
    <m/>
    <n v="341"/>
    <n v="5634"/>
    <x v="170"/>
    <m/>
    <m/>
    <m/>
    <s v="SUPERIOR"/>
    <s v="OPERACOE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HAAB.SANTOS@HYDRA-CORONA.COM.BR"/>
    <m/>
    <s v="HASANTOS"/>
    <n v="1"/>
    <s v="Sim"/>
  </r>
  <r>
    <n v="102020"/>
    <x v="171"/>
    <s v="Ativo"/>
    <s v="AD"/>
    <n v="30047604"/>
    <s v="Colaborador–M.O.Fixa"/>
    <s v="Mensalista"/>
    <s v="1DX"/>
    <s v="Duratex S.A."/>
    <n v="19"/>
    <s v="FÁB AGUDOS"/>
    <n v="19"/>
    <s v="MADEIRA"/>
    <s v="SIM"/>
    <s v="0019 - FÁB AGUDOS"/>
    <s v="GUSTAVO CUSTODIO DA SILVA"/>
    <s v="GUSTAVO"/>
    <n v="10008836"/>
    <s v="MMR-03"/>
    <s v="MMR-03 - REVESTIDOS - AG"/>
    <s v="DXAG"/>
    <s v="DXEMBREV62"/>
    <s v="Armaz. Embal.-Reves."/>
    <n v="10000314"/>
    <s v="MMR-03"/>
    <s v="MMR-03 - REVESTIDOS - AG"/>
    <s v="LETICIA DE LIMA PAES"/>
    <n v="10000080"/>
    <s v="EQUIPE"/>
    <s v="EQUIPE"/>
    <n v="10000005"/>
    <s v="MADEIRA"/>
    <s v="DIR OPER PAINEIS"/>
    <m/>
    <m/>
    <m/>
    <m/>
    <m/>
    <m/>
    <d v="2020-07-10T00:00:00"/>
    <n v="0"/>
    <m/>
    <s v="25/05/1992"/>
    <x v="11"/>
    <m/>
    <s v="brasileira"/>
    <s v="AGUDOS"/>
    <s v="SP"/>
    <s v="BR"/>
    <s v="Não"/>
    <s v="M"/>
    <s v="Não"/>
    <m/>
    <s v="Solt."/>
    <s v="Branca"/>
    <s v="Colegial completo"/>
    <m/>
    <n v="22002459"/>
    <s v="220/M"/>
    <s v="EMBALADOR"/>
    <n v="784105"/>
    <s v="Admissão"/>
    <d v="2020-10-01T00:00:00"/>
    <s v="220,00"/>
    <s v="MMF-01"/>
    <s v="MOI-01"/>
    <s v="MFL-01"/>
    <s v="CSS-01"/>
    <s v="MDP-01"/>
    <s v="PRE-01"/>
    <s v="1.438,06"/>
    <s v="1.438,06"/>
    <s v="1.438,06"/>
    <s v="0,00"/>
    <s v="CJ"/>
    <s v="FB AGUDOS-220/M"/>
    <n v="13"/>
    <s v="GRS013OP"/>
    <d v="2020-10-01T00:00:00"/>
    <s v="Admissão"/>
    <s v="1.437,06"/>
    <s v="143706,00"/>
    <n v="1"/>
    <m/>
    <s v="N"/>
    <x v="171"/>
    <m/>
    <s v="17/02/2005"/>
    <s v="SP"/>
    <s v="390.531.438-07"/>
    <n v="45659"/>
    <n v="358"/>
    <s v="29/03/2010"/>
    <s v="SP"/>
    <n v="20374005103"/>
    <m/>
    <m/>
    <m/>
    <m/>
    <m/>
    <m/>
    <m/>
    <m/>
    <m/>
    <x v="163"/>
    <n v="7"/>
    <n v="85"/>
    <s v="21/02/2018"/>
    <s v="SP"/>
    <n v="60022111623"/>
    <m/>
    <m/>
    <m/>
    <s v="RUA TREZE DE MAIO"/>
    <n v="1091"/>
    <m/>
    <s v="CENTRO"/>
    <s v="AGUDOS"/>
    <s v="SP"/>
    <s v="17120-009"/>
    <m/>
    <n v="14991568599"/>
    <m/>
    <n v="341"/>
    <n v="1958"/>
    <x v="17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CUSTODI"/>
    <n v="1"/>
    <s v="Sim"/>
  </r>
  <r>
    <n v="102020"/>
    <x v="172"/>
    <s v="Ativo"/>
    <s v="AD"/>
    <n v="30048328"/>
    <s v="Colaborador–M.O.Var"/>
    <s v="Horista"/>
    <s v="1DX"/>
    <s v="Duratex S.A."/>
    <n v="13"/>
    <s v="FÁB LOUÇAS QUEIMADOS"/>
    <n v="13"/>
    <s v="DECA"/>
    <s v="SIM"/>
    <s v="0013 - FÁB LOUÇAS QUEIMADOS"/>
    <s v="ELIEL TEIXEIRA DOS SANTOS MACHADO"/>
    <s v="ELIEL"/>
    <n v="10001261"/>
    <s v="DJA-04"/>
    <s v="DJA-04 - FABRICA DE MOLDES - LQ"/>
    <s v="DXLQ"/>
    <s v="DXMOLGES68"/>
    <s v="Fáb. Moldes Gesso"/>
    <n v="10008236"/>
    <s v="DJA-02"/>
    <s v="DJA-02 - PROD DE MASSA - LQ"/>
    <s v="ALEXANDRE DE OLIVEIRA FERRERO"/>
    <n v="10000080"/>
    <s v="EQUIPE"/>
    <s v="EQUIPE"/>
    <n v="10000017"/>
    <s v="DECA"/>
    <s v="DIR IND DECA (LOUCAS)"/>
    <m/>
    <m/>
    <m/>
    <m/>
    <m/>
    <m/>
    <d v="2020-07-10T00:00:00"/>
    <n v="0"/>
    <m/>
    <s v="26/04/1998"/>
    <x v="28"/>
    <m/>
    <s v="brasileira"/>
    <s v="PARACAMBI"/>
    <s v="RJ"/>
    <s v="BR"/>
    <s v="Não"/>
    <s v="M"/>
    <s v="Não"/>
    <m/>
    <s v="Solt.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72"/>
    <m/>
    <s v="16/05/2016"/>
    <s v="RJ"/>
    <s v="167.510.427-10"/>
    <n v="20879"/>
    <n v="177"/>
    <s v="16/09/2013"/>
    <s v="RJ"/>
    <n v="20762423158"/>
    <m/>
    <m/>
    <m/>
    <m/>
    <m/>
    <m/>
    <m/>
    <m/>
    <m/>
    <x v="164"/>
    <n v="70"/>
    <n v="14"/>
    <d v="2015-09-06T00:00:00"/>
    <s v="RJ"/>
    <n v="21432110712"/>
    <m/>
    <m/>
    <m/>
    <s v="RUA TRANQUILIDADE"/>
    <n v="79"/>
    <m/>
    <s v="COSTA VERDE"/>
    <s v="PARACAMBI"/>
    <s v="RJ"/>
    <s v="26600-000"/>
    <m/>
    <n v="21987984004"/>
    <m/>
    <n v="341"/>
    <n v="6080"/>
    <x v="17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LIMACHA"/>
    <n v="1"/>
    <s v="Sim"/>
  </r>
  <r>
    <n v="102020"/>
    <x v="173"/>
    <s v="Ativo"/>
    <s v="AD"/>
    <n v="30047179"/>
    <s v="Colaborador–M.O.Var"/>
    <s v="Horista"/>
    <s v="1DX"/>
    <s v="Duratex S.A."/>
    <n v="13"/>
    <s v="FÁB LOUÇAS QUEIMADOS"/>
    <n v="13"/>
    <s v="DECA"/>
    <s v="SIM"/>
    <s v="0013 - FÁB LOUÇAS QUEIMADOS"/>
    <s v="SAMUEL DE CARVALHO ROGERIO"/>
    <s v="SAMUEL"/>
    <n v="10001243"/>
    <s v="DND-02"/>
    <s v="DND-02 - ALTA PRESSAO - LQ"/>
    <s v="DXLQ"/>
    <s v="DXALTPRE68"/>
    <s v="Fund. Alta Pressão"/>
    <n v="10007686"/>
    <s v="DND-01"/>
    <s v="DND-01 - FUNDICAO MEC- LQ"/>
    <s v="JESSICA CRISTINA DE SOUZA PINTO LOPES"/>
    <n v="10000059"/>
    <s v="SUPERVISOR"/>
    <s v="SUPERVISOR"/>
    <n v="10000017"/>
    <s v="DECA"/>
    <s v="DIR IND DECA (LOUCAS)"/>
    <m/>
    <m/>
    <m/>
    <m/>
    <m/>
    <m/>
    <d v="2020-07-10T00:00:00"/>
    <n v="0"/>
    <m/>
    <s v="25/05/1998"/>
    <x v="28"/>
    <m/>
    <s v="brasileira"/>
    <s v="PARACAMBI"/>
    <s v="RJ"/>
    <s v="BR"/>
    <s v="Não"/>
    <s v="M"/>
    <s v="Não"/>
    <m/>
    <s v="Solt.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73"/>
    <m/>
    <s v="16/10/2017"/>
    <s v="RJ"/>
    <s v="172.738.057-69"/>
    <n v="57366"/>
    <n v="175"/>
    <s v="26/03/2013"/>
    <s v="RJ"/>
    <n v="20762430138"/>
    <m/>
    <m/>
    <m/>
    <m/>
    <m/>
    <m/>
    <m/>
    <m/>
    <m/>
    <x v="165"/>
    <n v="70"/>
    <n v="78"/>
    <d v="2018-05-03T00:00:00"/>
    <s v="RJ"/>
    <n v="21432111132"/>
    <m/>
    <m/>
    <m/>
    <s v="RUA WALDEMIRO DA SILVA SANTOS FEITAL"/>
    <n v="430"/>
    <m/>
    <s v="CABRAL"/>
    <s v="SEROPEDICA"/>
    <s v="RJ"/>
    <s v="23890-000"/>
    <m/>
    <n v="21986122831"/>
    <m/>
    <n v="341"/>
    <n v="6080"/>
    <x v="17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ROGERIO"/>
    <n v="1"/>
    <s v="Sim"/>
  </r>
  <r>
    <n v="102020"/>
    <x v="174"/>
    <s v="Ativo"/>
    <s v="AD"/>
    <n v="30131219"/>
    <s v="Colaborador–M.O.Fixa"/>
    <s v="Mensalista"/>
    <s v="1DX"/>
    <s v="Duratex S.A."/>
    <n v="1"/>
    <s v="ADM CENTRAL"/>
    <n v="1"/>
    <s v="CORPORATIVO"/>
    <s v="NAO"/>
    <s v="EC 0001 - 8º ANDAR"/>
    <s v="MARIA JOSE PEREIRA DE SOUZA SILVA"/>
    <s v="MARIA"/>
    <n v="10008209"/>
    <s v="CST-01"/>
    <s v="CST-01 - SEGURANCA DIGITAL - EC"/>
    <s v="DXEC"/>
    <s v="DXGINFRA01"/>
    <s v="Ger Inf, Seg e Serv"/>
    <n v="10008228"/>
    <s v="CSI-01"/>
    <s v="CSI-01 -  GER INFRA, SEG E OPERACOES"/>
    <s v="ANDRE LUIZ ZOCCOLARO"/>
    <n v="10000050"/>
    <s v="COORDENADOR"/>
    <s v="COORDENADOR"/>
    <n v="10000025"/>
    <s v="CORPORATIVO"/>
    <s v="DIR TI E NEGOCIOS DIGITAIS"/>
    <m/>
    <m/>
    <m/>
    <m/>
    <m/>
    <m/>
    <d v="2020-07-10T00:00:00"/>
    <n v="0"/>
    <m/>
    <d v="1978-06-04T00:00:00"/>
    <x v="5"/>
    <m/>
    <s v="brasileira"/>
    <s v="BELMONTE"/>
    <s v="BA"/>
    <s v="BR"/>
    <s v="Não"/>
    <s v="F"/>
    <s v="Não"/>
    <m/>
    <s v="Casado"/>
    <s v="Parda"/>
    <s v="Superior completo"/>
    <m/>
    <n v="22002771"/>
    <s v="220/M"/>
    <s v="AN SEGURANCA DA INFORMACAO SR"/>
    <n v="212320"/>
    <s v="Admissão"/>
    <d v="2020-10-01T00:00:00"/>
    <s v="220,00"/>
    <m/>
    <s v="CSI-01"/>
    <s v="CTN-01"/>
    <s v="CSS-01"/>
    <m/>
    <s v="PRE-01"/>
    <s v="7.680,00"/>
    <s v="7.680,00"/>
    <s v="7.680,00"/>
    <s v="0,00"/>
    <s v="AV"/>
    <s v="ADM CENTRAL-220/M"/>
    <n v="23"/>
    <s v="GRS023PR"/>
    <d v="2020-10-01T00:00:00"/>
    <s v="Admissão"/>
    <s v="7.679,00"/>
    <s v="767900,00"/>
    <n v="1"/>
    <m/>
    <s v="N"/>
    <x v="174"/>
    <m/>
    <s v="17/03/2010"/>
    <s v="SP"/>
    <s v="259.722.758-80"/>
    <n v="70838"/>
    <n v="242"/>
    <s v="21/01/1998"/>
    <s v="SP"/>
    <n v="12530615731"/>
    <m/>
    <m/>
    <m/>
    <m/>
    <m/>
    <m/>
    <m/>
    <m/>
    <m/>
    <x v="166"/>
    <n v="262"/>
    <n v="207"/>
    <s v="23/04/2016"/>
    <s v="SP"/>
    <m/>
    <m/>
    <m/>
    <m/>
    <s v="RUA DOS BAMBUS"/>
    <n v="589"/>
    <m/>
    <s v="VILA LINDA"/>
    <s v="SANTO ANDRÉ"/>
    <s v="SP"/>
    <s v="09175-170"/>
    <m/>
    <n v="11966759830"/>
    <m/>
    <n v="341"/>
    <n v="561"/>
    <x v="174"/>
    <m/>
    <m/>
    <m/>
    <s v="SUPERIOR"/>
    <s v="TI E NEGÓCIOS DIGITAI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MARIA.PEREIRA@DURATEX.COM.BR"/>
    <m/>
    <s v="SOUZAMAR"/>
    <n v="9"/>
    <s v="Não"/>
  </r>
  <r>
    <n v="102020"/>
    <x v="175"/>
    <s v="Ativo"/>
    <s v="AD"/>
    <n v="30046186"/>
    <s v="Colaborador–M.O.Var"/>
    <s v="Mensalista"/>
    <s v="1DX"/>
    <s v="Duratex S.A."/>
    <n v="11"/>
    <s v="FÁB LOUÇAS RECIFE"/>
    <n v="11"/>
    <s v="DECA"/>
    <s v="NAO"/>
    <s v="0011 - FÁB LOUÇAS RECIFE"/>
    <s v="VINICIUS SILVA DO NASCIMENTO"/>
    <s v="VINICIUS"/>
    <n v="10007977"/>
    <s v="DAD-01"/>
    <s v="DAD-01 - ADM GERAL DE PROUCAO - LR"/>
    <s v="DXLR"/>
    <s v="DXFMECAN65"/>
    <s v="Fundição Mecanizada"/>
    <n v="10001328"/>
    <s v="DLR-01"/>
    <s v="DLR-01 - GER FABRICA LOUCAS RECIFE"/>
    <s v="HAMILTON DE ANDRADE SOUSA"/>
    <n v="10000050"/>
    <s v="COORDENADOR"/>
    <s v="COORDENADOR"/>
    <n v="10000017"/>
    <s v="DECA"/>
    <s v="DIR IND DECA (LOUCAS)"/>
    <m/>
    <m/>
    <m/>
    <m/>
    <m/>
    <m/>
    <d v="2020-07-10T00:00:00"/>
    <n v="0"/>
    <m/>
    <s v="24/04/1995"/>
    <x v="4"/>
    <m/>
    <s v="brasileira"/>
    <s v="SURUBIM"/>
    <s v="PE"/>
    <s v="BR"/>
    <s v="Não"/>
    <s v="M"/>
    <s v="Não"/>
    <m/>
    <s v="Solt."/>
    <s v="Branca"/>
    <s v="Superior incompleto"/>
    <m/>
    <n v="22000738"/>
    <s v="220/M"/>
    <s v="AN PRODUCAO JR"/>
    <n v="391105"/>
    <s v="Admissão"/>
    <d v="2020-10-01T00:00:00"/>
    <s v="220,00"/>
    <m/>
    <s v="DLR-01"/>
    <s v="DDI-01"/>
    <s v="CSS-01"/>
    <s v="DDE-01"/>
    <s v="PRE-01"/>
    <s v="2.200,00"/>
    <s v="2.200,00"/>
    <s v="2.200,00"/>
    <s v="0,00"/>
    <s v="CS"/>
    <s v="LO RECIFE-220/M"/>
    <n v="19"/>
    <s v="GRS019PR"/>
    <d v="2020-10-01T00:00:00"/>
    <s v="Admissão"/>
    <s v="2.199,00"/>
    <s v="219900,00"/>
    <n v="1"/>
    <m/>
    <s v="N"/>
    <x v="175"/>
    <m/>
    <d v="2018-09-04T00:00:00"/>
    <s v="PE"/>
    <s v="107.176.524-83"/>
    <n v="98585"/>
    <n v="116"/>
    <s v="29/05/2013"/>
    <s v="PE"/>
    <n v="14879458631"/>
    <m/>
    <m/>
    <m/>
    <m/>
    <m/>
    <m/>
    <m/>
    <m/>
    <m/>
    <x v="167"/>
    <n v="34"/>
    <n v="208"/>
    <s v="31/10/2017"/>
    <s v="PE"/>
    <n v="210732189688"/>
    <m/>
    <m/>
    <m/>
    <s v="RUA JOSE HIPOLITO CARDOSO  ATE 600 601"/>
    <n v="77"/>
    <m/>
    <s v="BOA VIAGEM"/>
    <s v="RECIFE"/>
    <s v="PE"/>
    <s v="51030-060"/>
    <m/>
    <n v="81995038917"/>
    <m/>
    <n v="341"/>
    <n v="6782"/>
    <x v="175"/>
    <m/>
    <m/>
    <m/>
    <s v="SUPERIOR"/>
    <s v="OPERACOES"/>
    <s v="TEC/ OPERACIONAL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VINICIUS.S.NASCIMENTO@DECA.COM.BR"/>
    <m/>
    <s v="VININASC"/>
    <n v="1"/>
    <s v="Sim"/>
  </r>
  <r>
    <n v="102020"/>
    <x v="176"/>
    <s v="Ativo"/>
    <s v="AD"/>
    <n v="30047404"/>
    <s v="Colaborador–M.O.Var"/>
    <s v="Mensalista"/>
    <s v="1DX"/>
    <s v="Duratex S.A."/>
    <n v="11"/>
    <s v="FÁB LOUÇAS RECIFE"/>
    <n v="11"/>
    <s v="DECA"/>
    <s v="SIM"/>
    <s v="0011 - FÁB LOUÇAS RECIFE"/>
    <s v="BRUNO FRANCISCO DE MEDEIROS"/>
    <s v="BRUNO"/>
    <n v="10001354"/>
    <s v="DRR-03"/>
    <s v="DRR-03 - FORNOS - LR"/>
    <s v="DXLR"/>
    <s v="DXFORNOS65"/>
    <s v="Fornos"/>
    <n v="10001333"/>
    <s v="DRR-01"/>
    <s v="DRR-01 - INSPEC/ESMAL/FOR/REQ – LR"/>
    <s v="AIRTON ARAUJO CARDOSO DE OLIVEIRA"/>
    <n v="10000059"/>
    <s v="SUPERVISOR"/>
    <s v="SUPERVISOR"/>
    <n v="10000017"/>
    <s v="DECA"/>
    <s v="DIR IND DECA (LOUCAS)"/>
    <m/>
    <m/>
    <m/>
    <m/>
    <m/>
    <m/>
    <d v="2020-07-10T00:00:00"/>
    <n v="0"/>
    <m/>
    <s v="28/11/1992"/>
    <x v="16"/>
    <m/>
    <s v="brasileira"/>
    <s v="CABO DE SANTO AGOSTINHO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176"/>
    <m/>
    <d v="2010-04-02T00:00:00"/>
    <s v="PE"/>
    <s v="109.037.074-11"/>
    <n v="2115"/>
    <n v="107"/>
    <d v="2010-10-12T00:00:00"/>
    <s v="PE"/>
    <n v="20063035353"/>
    <m/>
    <m/>
    <m/>
    <m/>
    <m/>
    <m/>
    <m/>
    <m/>
    <m/>
    <x v="168"/>
    <n v="16"/>
    <n v="141"/>
    <s v="15/02/2013"/>
    <s v="PE"/>
    <n v="210042161849"/>
    <m/>
    <m/>
    <m/>
    <s v="RUA ANTONIO DOURADO NETO"/>
    <n v="505"/>
    <m/>
    <s v="IPOJUCA"/>
    <s v="IPOJUCA"/>
    <s v="PE"/>
    <s v="55590-000"/>
    <m/>
    <n v="81992625050"/>
    <m/>
    <n v="341"/>
    <n v="6999"/>
    <x v="17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BRMEDEIR"/>
    <n v="1"/>
    <s v="Sim"/>
  </r>
  <r>
    <n v="102020"/>
    <x v="177"/>
    <s v="Ativo"/>
    <s v="AD"/>
    <n v="30047405"/>
    <s v="Colaborador–M.O.Var"/>
    <s v="Mensalista"/>
    <s v="1DX"/>
    <s v="Duratex S.A."/>
    <n v="11"/>
    <s v="FÁB LOUÇAS RECIFE"/>
    <n v="11"/>
    <s v="DECA"/>
    <s v="SIM"/>
    <s v="0011 - FÁB LOUÇAS RECIFE"/>
    <s v="YURI AMARO DA HORA"/>
    <s v="YURI"/>
    <n v="10001354"/>
    <s v="DRR-03"/>
    <s v="DRR-03 - FORNOS - LR"/>
    <s v="DXLR"/>
    <s v="DXFORNOS65"/>
    <s v="Fornos"/>
    <n v="10001333"/>
    <s v="DRR-01"/>
    <s v="DRR-01 - INSPEC/ESMAL/FOR/REQ – LR"/>
    <s v="AIRTON ARAUJO CARDOSO DE OLIVEIRA"/>
    <n v="10000059"/>
    <s v="SUPERVISOR"/>
    <s v="SUPERVISOR"/>
    <n v="10000017"/>
    <s v="DECA"/>
    <s v="DIR IND DECA (LOUCAS)"/>
    <m/>
    <m/>
    <m/>
    <m/>
    <m/>
    <m/>
    <d v="2020-07-10T00:00:00"/>
    <n v="0"/>
    <m/>
    <d v="1996-05-12T00:00:00"/>
    <x v="18"/>
    <m/>
    <s v="brasileira"/>
    <s v="IPOJUCA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177"/>
    <m/>
    <s v="23/12/2007"/>
    <s v="PE"/>
    <s v="120.150.454-65"/>
    <n v="2653"/>
    <n v="113"/>
    <s v="22/07/2013"/>
    <s v="PE"/>
    <n v="14875151914"/>
    <m/>
    <m/>
    <m/>
    <m/>
    <m/>
    <m/>
    <m/>
    <m/>
    <m/>
    <x v="169"/>
    <n v="15"/>
    <n v="173"/>
    <s v="15/12/2017"/>
    <s v="PE"/>
    <n v="210022607167"/>
    <m/>
    <m/>
    <m/>
    <s v="RUA AMARO ANTERO SABINO  CHARNECA"/>
    <n v="55"/>
    <m/>
    <s v="CHARNECA"/>
    <s v="CABO DE SANTO AGOSTINHO"/>
    <s v="PE"/>
    <s v="54535-260"/>
    <m/>
    <n v="81991139069"/>
    <m/>
    <n v="341"/>
    <n v="1737"/>
    <x v="17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YHORA"/>
    <n v="1"/>
    <s v="Sim"/>
  </r>
  <r>
    <n v="102020"/>
    <x v="178"/>
    <s v="Ativo"/>
    <s v="AD"/>
    <n v="30037893"/>
    <s v="Colaborador–M.O.Var"/>
    <s v="Horista"/>
    <s v="1DX"/>
    <s v="Duratex S.A."/>
    <n v="13"/>
    <s v="FÁB LOUÇAS QUEIMADOS"/>
    <n v="13"/>
    <s v="DECA"/>
    <s v="SIM"/>
    <s v="0013 - FÁB LOUÇAS QUEIMADOS"/>
    <s v="WALLACE DE MOURA DE CARVALHO"/>
    <s v="WALLACE"/>
    <n v="10001246"/>
    <s v="DJA-03"/>
    <s v="DJA-03 - CLASSIFICACAO - LQ"/>
    <s v="DXLQ"/>
    <s v="DXCLEMBL68"/>
    <s v="Classificação"/>
    <n v="10007687"/>
    <s v="DJA-01"/>
    <s v="DJA-01 - ESM/INSP/FUND/ALTPR - LQ"/>
    <s v="PERES SERGIO DE SOUZA"/>
    <n v="10000059"/>
    <s v="SUPERVISOR"/>
    <s v="SUPERVISOR"/>
    <n v="10000017"/>
    <s v="DECA"/>
    <s v="DIR IND DECA (LOUCAS)"/>
    <m/>
    <m/>
    <m/>
    <m/>
    <m/>
    <m/>
    <d v="2020-07-10T00:00:00"/>
    <n v="0"/>
    <m/>
    <s v="21/04/1988"/>
    <x v="9"/>
    <m/>
    <s v="brasileira"/>
    <s v="PARACAMBI"/>
    <s v="RJ"/>
    <s v="BR"/>
    <s v="Não"/>
    <s v="M"/>
    <s v="Não"/>
    <m/>
    <s v="Divor."/>
    <s v="Parda"/>
    <s v="Colegial in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78"/>
    <m/>
    <s v="30/01/2015"/>
    <s v="RJ"/>
    <s v="058.511.927-98"/>
    <n v="43491"/>
    <n v="146"/>
    <s v="19/02/2015"/>
    <s v="RJ"/>
    <n v="20439574964"/>
    <m/>
    <m/>
    <m/>
    <m/>
    <m/>
    <m/>
    <m/>
    <m/>
    <m/>
    <x v="170"/>
    <n v="70"/>
    <n v="87"/>
    <s v="26/01/2015"/>
    <s v="RJ"/>
    <n v="21432020887"/>
    <m/>
    <m/>
    <m/>
    <s v="RUA SANTA TEREZINHA"/>
    <n v="460"/>
    <m/>
    <s v="LAGES"/>
    <s v="PARACAMBI"/>
    <s v="RJ"/>
    <s v="26600-000"/>
    <m/>
    <n v="21967196019"/>
    <m/>
    <n v="341"/>
    <n v="6080"/>
    <x v="17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WACARVAL"/>
    <n v="1"/>
    <s v="Sim"/>
  </r>
  <r>
    <n v="102020"/>
    <x v="179"/>
    <s v="Ativo"/>
    <s v="AD"/>
    <n v="30047407"/>
    <s v="Colaborador–M.O.Var"/>
    <s v="Mensalista"/>
    <s v="1DX"/>
    <s v="Duratex S.A."/>
    <n v="11"/>
    <s v="FÁB LOUÇAS RECIFE"/>
    <n v="11"/>
    <s v="DECA"/>
    <s v="SIM"/>
    <s v="0011 - FÁB LOUÇAS RECIFE"/>
    <s v="JOSE VITALINO DA SILVA"/>
    <s v="JOSE"/>
    <n v="10001356"/>
    <s v="DRR-04"/>
    <s v="DRR-04- REQUEIMA - LR"/>
    <s v="DXLR"/>
    <s v="DXREQUEI65"/>
    <s v="Requeima e Recup."/>
    <n v="10001333"/>
    <s v="DRR-01"/>
    <s v="DRR-01 - INSPEC/ESMAL/FOR/REQ – LR"/>
    <s v="JOHN PABLO DE BARROS LIMA"/>
    <n v="10000059"/>
    <s v="SUPERVISOR"/>
    <s v="SUPERVISOR"/>
    <n v="10000017"/>
    <s v="DECA"/>
    <s v="DIR IND DECA (LOUCAS)"/>
    <m/>
    <m/>
    <m/>
    <m/>
    <m/>
    <m/>
    <d v="2020-07-10T00:00:00"/>
    <n v="0"/>
    <m/>
    <s v="27/03/1988"/>
    <x v="9"/>
    <m/>
    <s v="brasileira"/>
    <s v="IPOJUCA"/>
    <s v="PE"/>
    <s v="BR"/>
    <s v="Não"/>
    <s v="M"/>
    <s v="Não"/>
    <m/>
    <s v="Marita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179"/>
    <m/>
    <s v="21/08/2002"/>
    <s v="PE"/>
    <s v="081.542.324-13"/>
    <n v="29012"/>
    <n v="83"/>
    <s v="16/10/2004"/>
    <s v="PE"/>
    <n v="16211561998"/>
    <m/>
    <m/>
    <m/>
    <m/>
    <m/>
    <m/>
    <m/>
    <m/>
    <m/>
    <x v="171"/>
    <n v="16"/>
    <n v="69"/>
    <s v="16/07/2013"/>
    <s v="PE"/>
    <n v="210042120605"/>
    <m/>
    <m/>
    <m/>
    <s v="VILA NOVA"/>
    <n v="23"/>
    <m/>
    <s v="CAMELA"/>
    <s v="IPOJUCA"/>
    <s v="PE"/>
    <s v="55590-000"/>
    <m/>
    <n v="81994160787"/>
    <m/>
    <n v="341"/>
    <n v="7731"/>
    <x v="17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VITALI"/>
    <n v="1"/>
    <s v="Sim"/>
  </r>
  <r>
    <n v="102020"/>
    <x v="180"/>
    <s v="Ativo"/>
    <s v="AD"/>
    <n v="30008287"/>
    <s v="Colaborador–M.O.Var"/>
    <s v="Mensalista"/>
    <s v="1DX"/>
    <s v="Duratex S.A."/>
    <n v="11"/>
    <s v="FÁB LOUÇAS RECIFE"/>
    <n v="11"/>
    <s v="DECA"/>
    <s v="SIM"/>
    <s v="0011 - FÁB LOUÇAS RECIFE"/>
    <s v="AILTON FERREIRA DO NASCIMENTO"/>
    <s v="AILTON"/>
    <n v="10007199"/>
    <s v="DAP-09"/>
    <s v="DAP-09 - FUNDICAO ALTA PRESSÃO - LR"/>
    <s v="DXLR"/>
    <s v="DXALTPRE65"/>
    <s v="Fund. Alta Pressão"/>
    <n v="10008185"/>
    <s v="DAP-01"/>
    <s v="DAP-01 - FUND ALT PRESS/MANUTENCAO – LR"/>
    <s v="VANDERSON GONCALVES NEVES"/>
    <n v="10000059"/>
    <s v="SUPERVISOR"/>
    <s v="SUPERVISOR"/>
    <n v="10000002"/>
    <s v="DECA"/>
    <s v="DIR IND DECA (METAIS)"/>
    <m/>
    <m/>
    <m/>
    <m/>
    <m/>
    <m/>
    <d v="2020-07-10T00:00:00"/>
    <n v="0"/>
    <m/>
    <d v="1975-08-07T00:00:00"/>
    <x v="10"/>
    <m/>
    <s v="brasileira"/>
    <s v="MORENO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180"/>
    <m/>
    <d v="2006-10-02T00:00:00"/>
    <s v="PE"/>
    <s v="869.687.264-91"/>
    <n v="69283"/>
    <n v="31"/>
    <d v="2010-01-02T00:00:00"/>
    <s v="PE"/>
    <n v="12743002451"/>
    <m/>
    <m/>
    <m/>
    <m/>
    <m/>
    <m/>
    <m/>
    <m/>
    <m/>
    <x v="172"/>
    <n v="14"/>
    <n v="75"/>
    <s v="31/03/2014"/>
    <s v="PE"/>
    <m/>
    <m/>
    <m/>
    <m/>
    <s v="RUA PARAGUAI"/>
    <n v="43"/>
    <m/>
    <s v="SANTO ANTONIO"/>
    <s v="MORENO"/>
    <s v="PE"/>
    <s v="54800-000"/>
    <m/>
    <n v="81988236046"/>
    <m/>
    <n v="341"/>
    <n v="7924"/>
    <x v="18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INASCIM"/>
    <n v="1"/>
    <s v="Sim"/>
  </r>
  <r>
    <n v="102020"/>
    <x v="181"/>
    <s v="Ativo"/>
    <s v="AD"/>
    <n v="30030343"/>
    <s v="Colaborador–M.O.Var"/>
    <s v="Mensalista"/>
    <s v="1DX"/>
    <s v="Duratex S.A."/>
    <n v="11"/>
    <s v="FÁB LOUÇAS RECIFE"/>
    <n v="11"/>
    <s v="DECA"/>
    <s v="SIM"/>
    <s v="0011 - FÁB LOUÇAS RECIFE"/>
    <s v="DANIEL JOSE DA SILVA FILHO"/>
    <s v="DANIEL"/>
    <n v="10007199"/>
    <s v="DAP-09"/>
    <s v="DAP-09 - FUNDICAO ALTA PRESSÃO - LR"/>
    <s v="DXLR"/>
    <s v="DXALTPRE65"/>
    <s v="Fund. Alta Pressão"/>
    <n v="10008185"/>
    <s v="DAP-01"/>
    <s v="DAP-01 - FUND ALT PRESS/MANUTENCAO – LR"/>
    <s v="VANDERSON GONCALVES NEVES"/>
    <n v="10000059"/>
    <s v="SUPERVISOR"/>
    <s v="SUPERVISOR"/>
    <n v="10000002"/>
    <s v="DECA"/>
    <s v="DIR IND DECA (METAIS)"/>
    <m/>
    <m/>
    <m/>
    <m/>
    <m/>
    <m/>
    <d v="2020-07-10T00:00:00"/>
    <n v="0"/>
    <m/>
    <s v="30/01/1988"/>
    <x v="9"/>
    <m/>
    <s v="brasileira"/>
    <s v="CABO DE SANTO AGOSTINHO"/>
    <s v="PE"/>
    <s v="BR"/>
    <s v="Não"/>
    <s v="M"/>
    <s v="Não"/>
    <m/>
    <s v="Casado"/>
    <s v="Parda"/>
    <s v="Superior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181"/>
    <m/>
    <d v="2001-07-02T00:00:00"/>
    <s v="PE"/>
    <s v="080.836.394-86"/>
    <n v="2512"/>
    <n v="113"/>
    <s v="14/06/2013"/>
    <s v="PE"/>
    <n v="19039644856"/>
    <m/>
    <m/>
    <m/>
    <m/>
    <m/>
    <m/>
    <m/>
    <m/>
    <m/>
    <x v="173"/>
    <n v="16"/>
    <n v="80"/>
    <s v="26/07/2013"/>
    <s v="PE"/>
    <n v="210042115969"/>
    <m/>
    <m/>
    <m/>
    <s v="RUA JOAO BELARMINO DA ROCHA"/>
    <n v="45"/>
    <m/>
    <s v="COHAB"/>
    <s v="CABO DE SANTO AGOSTINHO"/>
    <s v="PE"/>
    <s v="54520-320"/>
    <m/>
    <n v="81986986784"/>
    <m/>
    <n v="341"/>
    <n v="1737"/>
    <x v="18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ANFILHO"/>
    <n v="1"/>
    <s v="Sim"/>
  </r>
  <r>
    <n v="102020"/>
    <x v="182"/>
    <s v="Ativo"/>
    <s v="AD"/>
    <n v="30047181"/>
    <s v="Colaborador–M.O.Var"/>
    <s v="Mensalista"/>
    <s v="1DX"/>
    <s v="Duratex S.A."/>
    <n v="11"/>
    <s v="FÁB LOUÇAS RECIFE"/>
    <n v="11"/>
    <s v="DECA"/>
    <s v="SIM"/>
    <s v="0011 - FÁB LOUÇAS RECIFE"/>
    <s v="VITTHOR MATTHEUS ALVES CORREIA"/>
    <s v="VITTHOR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7-10T00:00:00"/>
    <n v="0"/>
    <m/>
    <s v="15/07/1994"/>
    <x v="2"/>
    <m/>
    <s v="brasileira"/>
    <s v="CABO DE SANTO AGOSTINHO"/>
    <s v="PE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182"/>
    <m/>
    <s v="30/08/2010"/>
    <s v="PE"/>
    <s v="107.632.584-07"/>
    <n v="64831"/>
    <n v="65"/>
    <s v="29/05/2013"/>
    <s v="PE"/>
    <n v="20046648598"/>
    <m/>
    <m/>
    <m/>
    <m/>
    <m/>
    <m/>
    <m/>
    <m/>
    <m/>
    <x v="174"/>
    <n v="121"/>
    <n v="31"/>
    <s v="14/03/2018"/>
    <s v="PE"/>
    <n v="210022546746"/>
    <m/>
    <m/>
    <m/>
    <s v="RUA DEZ"/>
    <n v="67"/>
    <m/>
    <s v="PONTE DOS CARVALHOS"/>
    <s v="CABO DE SANTO AGOSTINHO"/>
    <s v="PE"/>
    <s v="54580-333"/>
    <m/>
    <n v="81984728961"/>
    <m/>
    <n v="341"/>
    <n v="478"/>
    <x v="18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CORREIA"/>
    <n v="1"/>
    <s v="Sim"/>
  </r>
  <r>
    <n v="102020"/>
    <x v="183"/>
    <s v="Ativo"/>
    <s v="AD"/>
    <n v="30047406"/>
    <s v="Colaborador–M.O.Var"/>
    <s v="Mensalista"/>
    <s v="1DX"/>
    <s v="Duratex S.A."/>
    <n v="11"/>
    <s v="FÁB LOUÇAS RECIFE"/>
    <n v="11"/>
    <s v="DECA"/>
    <s v="SIM"/>
    <s v="0011 - FÁB LOUÇAS RECIFE"/>
    <s v="JOSE ROBERTO DOS SANTOS JUNIOR"/>
    <s v="JOSE"/>
    <n v="10001356"/>
    <s v="DRR-04"/>
    <s v="DRR-04- REQUEIMA - LR"/>
    <s v="DXLR"/>
    <s v="DXREQUEI65"/>
    <s v="Requeima e Recup."/>
    <n v="10001333"/>
    <s v="DRR-01"/>
    <s v="DRR-01 - INSPEC/ESMAL/FOR/REQ – LR"/>
    <s v="JOHN PABLO DE BARROS LIMA"/>
    <n v="10000059"/>
    <s v="SUPERVISOR"/>
    <s v="SUPERVISOR"/>
    <n v="10000017"/>
    <s v="DECA"/>
    <s v="DIR IND DECA (LOUCAS)"/>
    <m/>
    <m/>
    <m/>
    <m/>
    <m/>
    <m/>
    <d v="2020-07-10T00:00:00"/>
    <n v="0"/>
    <m/>
    <s v="24/01/1986"/>
    <x v="3"/>
    <m/>
    <s v="brasileira"/>
    <s v="IPOJUCA"/>
    <s v="PE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183"/>
    <m/>
    <s v="17/10/2004"/>
    <s v="PE"/>
    <s v="088.574.284-27"/>
    <n v="29132"/>
    <n v="83"/>
    <s v="16/10/2004"/>
    <s v="PE"/>
    <n v="20063500072"/>
    <m/>
    <m/>
    <m/>
    <m/>
    <m/>
    <m/>
    <m/>
    <m/>
    <m/>
    <x v="175"/>
    <n v="16"/>
    <n v="60"/>
    <s v="22/01/2014"/>
    <s v="PE"/>
    <n v="210042116553"/>
    <m/>
    <m/>
    <m/>
    <s v="RUA MAJOR AGEU"/>
    <n v="33"/>
    <m/>
    <s v="CAMELA"/>
    <s v="IPOJUCA"/>
    <s v="PE"/>
    <s v="55590-000"/>
    <m/>
    <n v="81994471907"/>
    <m/>
    <n v="341"/>
    <n v="7731"/>
    <x v="18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OBJOSE"/>
    <n v="1"/>
    <s v="Sim"/>
  </r>
  <r>
    <n v="102020"/>
    <x v="184"/>
    <s v="Ativo"/>
    <s v="AD"/>
    <n v="30041769"/>
    <s v="Colaborador–M.O.Var"/>
    <s v="Mensalista"/>
    <s v="1DX"/>
    <s v="Duratex S.A."/>
    <n v="9"/>
    <s v="FÁB LOUÇAS JUNDIAÍ I"/>
    <n v="9"/>
    <s v="DECA"/>
    <s v="SIM"/>
    <s v="0009 - FÁB LOUÇAS JUNDIAÍ I"/>
    <s v="JONATAS HENRIQUE VITORINO DA SILVA"/>
    <s v="JONATAS"/>
    <n v="10001590"/>
    <s v="DCI-02"/>
    <s v="DCI-02 - CLASSIFICACAO - LJ I"/>
    <s v="DXLJ"/>
    <s v="DXCLEMBL23"/>
    <s v="Classificação"/>
    <n v="10008652"/>
    <s v="DCI-01"/>
    <s v="DCI-01 - CLASSIFICAÇÃO E MANUT. LJ I"/>
    <s v="MAYKON HENRIQUE PADUA PINTO"/>
    <n v="10000060"/>
    <s v="SUPERIOR"/>
    <s v="SUPERIOR"/>
    <n v="10000017"/>
    <s v="DECA"/>
    <s v="DIR IND DECA (LOUCAS)"/>
    <m/>
    <m/>
    <m/>
    <m/>
    <m/>
    <m/>
    <d v="2020-08-10T00:00:00"/>
    <n v="0"/>
    <m/>
    <d v="1993-10-08T00:00:00"/>
    <x v="16"/>
    <m/>
    <s v="brasileira"/>
    <s v="RIBEIRAO"/>
    <s v="PE"/>
    <s v="BR"/>
    <s v="Não"/>
    <s v="M"/>
    <s v="Não"/>
    <m/>
    <s v="Solt."/>
    <s v="Parda"/>
    <s v="Ginas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84"/>
    <m/>
    <d v="2017-12-06T00:00:00"/>
    <s v="SP"/>
    <s v="398.766.098-82"/>
    <n v="94819"/>
    <n v="318"/>
    <s v="31/08/2007"/>
    <s v="SP"/>
    <n v="20984481219"/>
    <m/>
    <m/>
    <m/>
    <m/>
    <m/>
    <m/>
    <m/>
    <m/>
    <m/>
    <x v="176"/>
    <n v="242"/>
    <n v="180"/>
    <d v="2018-02-02T00:00:00"/>
    <s v="SP"/>
    <n v="141672274729"/>
    <m/>
    <m/>
    <m/>
    <s v="RUA ADHERBAL DA COSTA MOREIRA"/>
    <n v="69"/>
    <m/>
    <s v="JARDIM PRIMAVERA"/>
    <s v="VÁRZEA PAULISTA"/>
    <s v="SP"/>
    <s v="13220-242"/>
    <m/>
    <n v="11973154302"/>
    <m/>
    <n v="341"/>
    <n v="4837"/>
    <x v="18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LVJONA"/>
    <n v="1"/>
    <s v="Sim"/>
  </r>
  <r>
    <n v="102020"/>
    <x v="185"/>
    <s v="Ativo"/>
    <s v="AD"/>
    <n v="30041774"/>
    <s v="Colaborador–M.O.Var"/>
    <s v="Mensalista"/>
    <s v="1DX"/>
    <s v="Duratex S.A."/>
    <n v="9"/>
    <s v="FÁB LOUÇAS JUNDIAÍ I"/>
    <n v="9"/>
    <s v="DECA"/>
    <s v="SIM"/>
    <s v="0009 - FÁB LOUÇAS JUNDIAÍ I"/>
    <s v="ADRIANO ROCATE"/>
    <s v="ADRIANO"/>
    <n v="10001590"/>
    <s v="DCI-02"/>
    <s v="DCI-02 - CLASSIFICACAO - LJ I"/>
    <s v="DXLJ"/>
    <s v="DXCLEMBL23"/>
    <s v="Classificação"/>
    <n v="10008652"/>
    <s v="DCI-01"/>
    <s v="DCI-01 - CLASSIFICAÇÃO E MANUT. LJ I"/>
    <s v="MAYKON HENRIQUE PADUA PINTO"/>
    <n v="10000060"/>
    <s v="SUPERIOR"/>
    <s v="SUPERIOR"/>
    <n v="10000017"/>
    <s v="DECA"/>
    <s v="DIR IND DECA (LOUCAS)"/>
    <m/>
    <m/>
    <m/>
    <m/>
    <m/>
    <m/>
    <d v="2020-08-10T00:00:00"/>
    <n v="0"/>
    <m/>
    <d v="1987-09-02T00:00:00"/>
    <x v="0"/>
    <m/>
    <s v="brasileira"/>
    <s v="IBATE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85"/>
    <m/>
    <s v="15/03/2016"/>
    <s v="SP"/>
    <s v="357.248.218-69"/>
    <n v="34630"/>
    <n v="290"/>
    <s v="22/01/2003"/>
    <s v="SP"/>
    <n v="16028158829"/>
    <m/>
    <m/>
    <m/>
    <m/>
    <m/>
    <m/>
    <m/>
    <m/>
    <m/>
    <x v="177"/>
    <n v="242"/>
    <n v="40"/>
    <s v="18/09/2017"/>
    <s v="SP"/>
    <n v="141672209410"/>
    <m/>
    <m/>
    <m/>
    <s v="RUA GUAIRA"/>
    <n v="395"/>
    <m/>
    <s v="PQ GUARANI"/>
    <s v="VÁRZEA PAULISTA"/>
    <s v="SP"/>
    <s v="13225-510"/>
    <m/>
    <n v="11974817476"/>
    <m/>
    <n v="341"/>
    <n v="2523"/>
    <x v="18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ROCATE"/>
    <n v="1"/>
    <s v="Sim"/>
  </r>
  <r>
    <n v="102020"/>
    <x v="186"/>
    <s v="Ativo"/>
    <s v="AD"/>
    <n v="30041771"/>
    <s v="Colaborador–M.O.Var"/>
    <s v="Mensalista"/>
    <s v="1DX"/>
    <s v="Duratex S.A."/>
    <n v="9"/>
    <s v="FÁB LOUÇAS JUNDIAÍ I"/>
    <n v="9"/>
    <s v="DECA"/>
    <s v="SIM"/>
    <s v="0009 - FÁB LOUÇAS JUNDIAÍ I"/>
    <s v="HENRIQUE FERREIRA RODRIGUES CRUZ"/>
    <s v="HENRIQUE"/>
    <n v="10001590"/>
    <s v="DCI-02"/>
    <s v="DCI-02 - CLASSIFICACAO - LJ I"/>
    <s v="DXLJ"/>
    <s v="DXCLEMBL23"/>
    <s v="Classificação"/>
    <n v="10008652"/>
    <s v="DCI-01"/>
    <s v="DCI-01 - CLASSIFICAÇÃO E MANUT. LJ I"/>
    <s v="MAYKON HENRIQUE PADUA PINTO"/>
    <n v="10000060"/>
    <s v="SUPERIOR"/>
    <s v="SUPERIOR"/>
    <n v="10000017"/>
    <s v="DECA"/>
    <s v="DIR IND DECA (LOUCAS)"/>
    <m/>
    <m/>
    <m/>
    <m/>
    <m/>
    <m/>
    <d v="2020-08-10T00:00:00"/>
    <n v="0"/>
    <m/>
    <d v="1994-01-03T00:00:00"/>
    <x v="2"/>
    <m/>
    <s v="brasileira"/>
    <s v="JUNDIAI"/>
    <s v="SP"/>
    <s v="BR"/>
    <s v="Não"/>
    <s v="M"/>
    <s v="Não"/>
    <m/>
    <s v="Casado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86"/>
    <m/>
    <s v="13/01/2015"/>
    <s v="SP"/>
    <s v="413.417.748-05"/>
    <n v="28572"/>
    <n v="351"/>
    <s v="26/08/2014"/>
    <s v="SP"/>
    <n v="20099376045"/>
    <m/>
    <m/>
    <m/>
    <m/>
    <m/>
    <m/>
    <m/>
    <m/>
    <m/>
    <x v="178"/>
    <n v="424"/>
    <n v="51"/>
    <d v="2013-07-06T00:00:00"/>
    <s v="SP"/>
    <n v="140873053791"/>
    <m/>
    <m/>
    <m/>
    <s v="RUA APORE"/>
    <n v="144"/>
    <m/>
    <s v="RES AIMORE"/>
    <s v="VÁRZEA PAULISTA"/>
    <s v="SP"/>
    <s v="13225-352"/>
    <m/>
    <n v="11945921497"/>
    <m/>
    <n v="341"/>
    <n v="7649"/>
    <x v="18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HENCRUZ"/>
    <n v="1"/>
    <s v="Sim"/>
  </r>
  <r>
    <n v="102020"/>
    <x v="187"/>
    <s v="Ativo"/>
    <s v="AD"/>
    <n v="30041770"/>
    <s v="Colaborador–M.O.Var"/>
    <s v="Mensalista"/>
    <s v="1DX"/>
    <s v="Duratex S.A."/>
    <n v="9"/>
    <s v="FÁB LOUÇAS JUNDIAÍ I"/>
    <n v="9"/>
    <s v="DECA"/>
    <s v="SIM"/>
    <s v="0009 - FÁB LOUÇAS JUNDIAÍ I"/>
    <s v="MARCIO VINICIUS DA SILVA RODRIGUES"/>
    <s v="MARCIO"/>
    <n v="10001590"/>
    <s v="DCI-02"/>
    <s v="DCI-02 - CLASSIFICACAO - LJ I"/>
    <s v="DXLJ"/>
    <s v="DXCLEMBL23"/>
    <s v="Classificação"/>
    <n v="10008652"/>
    <s v="DCI-01"/>
    <s v="DCI-01 - CLASSIFICAÇÃO E MANUT. LJ I"/>
    <s v="MAYKON HENRIQUE PADUA PINTO"/>
    <n v="10000060"/>
    <s v="SUPERIOR"/>
    <s v="SUPERIOR"/>
    <n v="10000017"/>
    <s v="DECA"/>
    <s v="DIR IND DECA (LOUCAS)"/>
    <m/>
    <m/>
    <m/>
    <m/>
    <m/>
    <m/>
    <d v="2020-08-10T00:00:00"/>
    <n v="0"/>
    <m/>
    <s v="15/08/1996"/>
    <x v="7"/>
    <m/>
    <s v="brasileira"/>
    <s v="REMANSO"/>
    <s v="BA"/>
    <s v="BR"/>
    <s v="Não"/>
    <s v="M"/>
    <s v="Não"/>
    <m/>
    <s v="Casado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s v="Ausência B.H. Empregado"/>
    <s v="N"/>
    <x v="187"/>
    <m/>
    <s v="25/07/2017"/>
    <s v="SP"/>
    <s v="410.263.238-78"/>
    <n v="55681"/>
    <n v="408"/>
    <s v="21/02/2013"/>
    <s v="SP"/>
    <n v="15065646930"/>
    <m/>
    <m/>
    <m/>
    <m/>
    <m/>
    <m/>
    <m/>
    <m/>
    <m/>
    <x v="179"/>
    <n v="281"/>
    <n v="167"/>
    <d v="2014-11-11T00:00:00"/>
    <s v="SP"/>
    <n v="140873142255"/>
    <m/>
    <m/>
    <m/>
    <s v="RUA ANTONIO TONINI"/>
    <n v="65"/>
    <m/>
    <s v="VILA NOVA JUNDIAINOPOLIS"/>
    <s v="JUNDIAÍ"/>
    <s v="SP"/>
    <s v="13210-706"/>
    <m/>
    <n v="11963815360"/>
    <m/>
    <n v="341"/>
    <n v="26"/>
    <x v="18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MARCIO"/>
    <n v="1"/>
    <s v="Sim"/>
  </r>
  <r>
    <n v="102020"/>
    <x v="188"/>
    <s v="Ativo"/>
    <s v="AD"/>
    <n v="30047238"/>
    <s v="Colaborador–M.O.Var"/>
    <s v="Mensalista"/>
    <s v="1DX"/>
    <s v="Duratex S.A."/>
    <n v="9"/>
    <s v="FÁB LOUÇAS JUNDIAÍ I"/>
    <n v="9"/>
    <s v="DECA"/>
    <s v="SIM"/>
    <s v="0009 - FÁB LOUÇAS JUNDIAÍ I"/>
    <s v="ARLINDO CANDIDO DA SILVA FILHO"/>
    <s v="ARLINDO"/>
    <n v="10004432"/>
    <s v="DMF-05"/>
    <s v="DMF-05 - PRODUCAO DE MASSAS - LJ I"/>
    <s v="DXLJ"/>
    <s v="DXPRMASS23"/>
    <s v="Produção de Massa"/>
    <n v="10005655"/>
    <s v="DMF-01"/>
    <s v="DMF-01 - FAB AUXILIARES/ALTPRESS/FORNOS"/>
    <s v="DENYS PETERSON VIVIANI"/>
    <n v="10000059"/>
    <s v="SUPERVISOR"/>
    <s v="SUPERVISOR"/>
    <n v="10000017"/>
    <s v="DECA"/>
    <s v="DIR IND DECA (LOUCAS)"/>
    <m/>
    <m/>
    <m/>
    <m/>
    <m/>
    <m/>
    <d v="2020-08-10T00:00:00"/>
    <n v="0"/>
    <m/>
    <d v="1988-01-01T00:00:00"/>
    <x v="9"/>
    <m/>
    <s v="brasileira"/>
    <s v="GARANHUNS"/>
    <s v="PE"/>
    <s v="BR"/>
    <s v="Não"/>
    <s v="M"/>
    <s v="Não"/>
    <m/>
    <s v="Divor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88"/>
    <m/>
    <d v="2019-07-11T00:00:00"/>
    <s v="SP"/>
    <s v="378.860.648-79"/>
    <n v="30588"/>
    <n v="311"/>
    <s v="16/02/2004"/>
    <s v="SP"/>
    <n v="16148254167"/>
    <m/>
    <m/>
    <m/>
    <m/>
    <m/>
    <m/>
    <m/>
    <m/>
    <m/>
    <x v="180"/>
    <n v="367"/>
    <n v="211"/>
    <d v="2007-02-05T00:00:00"/>
    <s v="SP"/>
    <n v="140552215117"/>
    <m/>
    <m/>
    <m/>
    <s v="RUA ERCILIA DE NOVAES"/>
    <n v="563"/>
    <m/>
    <s v="JD VASSOURAS II"/>
    <s v="FRANCISCO MORATO"/>
    <s v="SP"/>
    <s v="07955-110"/>
    <m/>
    <n v="11930992691"/>
    <m/>
    <n v="341"/>
    <n v="8551"/>
    <x v="18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RLFILHO"/>
    <n v="1"/>
    <s v="Sim"/>
  </r>
  <r>
    <n v="102020"/>
    <x v="189"/>
    <s v="Ativo"/>
    <s v="AD"/>
    <n v="30047212"/>
    <s v="Colaborador–M.O.Var"/>
    <s v="Mensalista"/>
    <s v="1DX"/>
    <s v="Duratex S.A."/>
    <n v="9"/>
    <s v="FÁB LOUÇAS JUNDIAÍ I"/>
    <n v="9"/>
    <s v="DECA"/>
    <s v="SIM"/>
    <s v="0009 - FÁB LOUÇAS JUNDIAÍ I"/>
    <s v="RODRIGO ALVES AUGUSTO"/>
    <s v="RODRIGO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8-10T00:00:00"/>
    <n v="0"/>
    <m/>
    <s v="15/11/1984"/>
    <x v="21"/>
    <m/>
    <s v="brasileira"/>
    <s v="SAO PAULO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89"/>
    <m/>
    <d v="2019-01-10T00:00:00"/>
    <s v="SP"/>
    <s v="342.349.768-81"/>
    <n v="51950"/>
    <n v="210"/>
    <s v="30/04/2019"/>
    <s v="SP"/>
    <n v="12850617263"/>
    <m/>
    <m/>
    <m/>
    <m/>
    <m/>
    <m/>
    <m/>
    <m/>
    <m/>
    <x v="181"/>
    <n v="65"/>
    <n v="564"/>
    <s v="20/03/2017"/>
    <s v="SP"/>
    <n v="140872733419"/>
    <m/>
    <m/>
    <m/>
    <s v="RUA CARMEM DE OLIVEIRA"/>
    <n v="211"/>
    <m/>
    <s v="JARDIM NOVO HORIZONTE"/>
    <s v="JUNDIAI"/>
    <s v="SP"/>
    <s v="13212-592"/>
    <m/>
    <n v="11996627190"/>
    <m/>
    <n v="341"/>
    <n v="2523"/>
    <x v="18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AUGUSTO"/>
    <n v="1"/>
    <s v="Sim"/>
  </r>
  <r>
    <n v="102020"/>
    <x v="190"/>
    <s v="Ativo"/>
    <s v="AD"/>
    <n v="30047235"/>
    <s v="Colaborador–M.O.Var"/>
    <s v="Mensalista"/>
    <s v="1DX"/>
    <s v="Duratex S.A."/>
    <n v="9"/>
    <s v="FÁB LOUÇAS JUNDIAÍ I"/>
    <n v="9"/>
    <s v="DECA"/>
    <s v="SIM"/>
    <s v="0009 - FÁB LOUÇAS JUNDIAÍ I"/>
    <s v="CAUAN SOBRINHO DOS SANTOS"/>
    <s v="CAUAN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8-10T00:00:00"/>
    <n v="0"/>
    <m/>
    <s v="13/10/1993"/>
    <x v="16"/>
    <m/>
    <s v="brasileira"/>
    <s v="CAMPINAS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90"/>
    <m/>
    <d v="2018-12-04T00:00:00"/>
    <s v="SP"/>
    <s v="379.760.688-57"/>
    <n v="63430"/>
    <n v="351"/>
    <d v="2009-05-12T00:00:00"/>
    <s v="SP"/>
    <n v="20491727237"/>
    <m/>
    <m/>
    <m/>
    <m/>
    <m/>
    <m/>
    <m/>
    <m/>
    <m/>
    <x v="182"/>
    <n v="242"/>
    <n v="35"/>
    <s v="28/11/2012"/>
    <s v="SP"/>
    <n v="141672276898"/>
    <m/>
    <m/>
    <m/>
    <s v="RUA GUAPORE"/>
    <n v="203"/>
    <m/>
    <s v="JARDIM AMERICA"/>
    <s v="VÁRZEA PAULISTA"/>
    <s v="SP"/>
    <s v="13221-250"/>
    <m/>
    <n v="11950332479"/>
    <m/>
    <n v="341"/>
    <n v="26"/>
    <x v="19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AUSANTO"/>
    <n v="1"/>
    <s v="Sim"/>
  </r>
  <r>
    <n v="102020"/>
    <x v="191"/>
    <s v="Ativo"/>
    <s v="AD"/>
    <n v="30047219"/>
    <s v="Colaborador–M.O.Var"/>
    <s v="Mensalista"/>
    <s v="1DX"/>
    <s v="Duratex S.A."/>
    <n v="9"/>
    <s v="FÁB LOUÇAS JUNDIAÍ I"/>
    <n v="9"/>
    <s v="DECA"/>
    <s v="SIM"/>
    <s v="0009 - FÁB LOUÇAS JUNDIAÍ I"/>
    <s v="GUSTAVO LUIZ RODRIGUES"/>
    <s v="GUSTAVO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8-10T00:00:00"/>
    <n v="0"/>
    <m/>
    <d v="1999-08-01T00:00:00"/>
    <x v="13"/>
    <m/>
    <s v="brasileira"/>
    <s v="JUNDIAI"/>
    <s v="SP"/>
    <s v="BR"/>
    <s v="Não"/>
    <s v="M"/>
    <s v="Não"/>
    <m/>
    <s v="Solt."/>
    <s v="Parda"/>
    <s v="Colegial in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91"/>
    <m/>
    <s v="15/10/2018"/>
    <s v="SP"/>
    <s v="499.165.258-89"/>
    <n v="28372"/>
    <n v="437"/>
    <s v="16/06/2015"/>
    <s v="SP"/>
    <n v="20928224281"/>
    <m/>
    <m/>
    <m/>
    <m/>
    <m/>
    <m/>
    <m/>
    <m/>
    <m/>
    <x v="183"/>
    <n v="281"/>
    <n v="212"/>
    <s v="20/03/2019"/>
    <s v="SP"/>
    <n v="140873248268"/>
    <m/>
    <m/>
    <m/>
    <s v="RUA 02 NUCLEO"/>
    <n v="57"/>
    <m/>
    <s v="VILA MARINGA"/>
    <s v="JUNDIAI"/>
    <s v="SP"/>
    <s v="13200-000"/>
    <m/>
    <n v="11934979451"/>
    <m/>
    <n v="341"/>
    <n v="1586"/>
    <x v="19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USRODRI"/>
    <n v="1"/>
    <s v="Sim"/>
  </r>
  <r>
    <n v="102020"/>
    <x v="192"/>
    <s v="Ativo"/>
    <s v="AD"/>
    <n v="30048326"/>
    <s v="Colaborador–M.O.Var"/>
    <s v="Horista"/>
    <s v="1DX"/>
    <s v="Duratex S.A."/>
    <n v="13"/>
    <s v="FÁB LOUÇAS QUEIMADOS"/>
    <n v="13"/>
    <s v="DECA"/>
    <s v="SIM"/>
    <s v="0013 - FÁB LOUÇAS QUEIMADOS"/>
    <s v="ALAN FIGUEIREDO ESTEVAO"/>
    <s v="ALAN"/>
    <n v="10001243"/>
    <s v="DND-02"/>
    <s v="DND-02 - ALTA PRESSAO - LQ"/>
    <s v="DXLQ"/>
    <s v="DXALTPRE68"/>
    <s v="Fund. Alta Pressão"/>
    <n v="10007686"/>
    <s v="DND-01"/>
    <s v="DND-01 - FUNDICAO MEC- LQ"/>
    <s v="JESSICA CRISTINA DE SOUZA PINTO LOPES"/>
    <n v="10000059"/>
    <s v="SUPERVISOR"/>
    <s v="SUPERVISOR"/>
    <n v="10000017"/>
    <s v="DECA"/>
    <s v="DIR IND DECA (LOUCAS)"/>
    <m/>
    <m/>
    <m/>
    <m/>
    <m/>
    <m/>
    <d v="2020-08-10T00:00:00"/>
    <n v="0"/>
    <m/>
    <s v="29/12/1998"/>
    <x v="13"/>
    <m/>
    <s v="brasileira"/>
    <s v="RIO DE JANEIRO"/>
    <s v="RJ"/>
    <s v="BR"/>
    <s v="Não"/>
    <s v="M"/>
    <s v="Não"/>
    <m/>
    <s v="Casado"/>
    <s v="Branc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92"/>
    <m/>
    <d v="2017-12-04T00:00:00"/>
    <s v="RJ"/>
    <s v="171.310.667-10"/>
    <n v="8050191"/>
    <n v="40"/>
    <d v="2014-11-06T00:00:00"/>
    <s v="RJ"/>
    <n v="21285095075"/>
    <m/>
    <m/>
    <m/>
    <m/>
    <m/>
    <m/>
    <m/>
    <m/>
    <m/>
    <x v="184"/>
    <n v="234"/>
    <n v="10"/>
    <s v="17/01/2017"/>
    <s v="RJ"/>
    <n v="21083081246"/>
    <m/>
    <m/>
    <m/>
    <s v="RUA TENENTE RICARDO MIRANDA"/>
    <n v="103"/>
    <m/>
    <s v="INCONFIDENCIA"/>
    <s v="NOVA IGUAÇU"/>
    <s v="RJ"/>
    <s v="26085-015"/>
    <m/>
    <n v="21976391897"/>
    <m/>
    <n v="341"/>
    <n v="3133"/>
    <x v="19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ESTEVAO"/>
    <n v="1"/>
    <s v="Sim"/>
  </r>
  <r>
    <n v="102020"/>
    <x v="193"/>
    <s v="Ativo"/>
    <s v="AD"/>
    <n v="30043141"/>
    <s v="Colaborador–M.O.Var"/>
    <s v="Horista"/>
    <s v="1DX"/>
    <s v="Duratex S.A."/>
    <n v="13"/>
    <s v="FÁB LOUÇAS QUEIMADOS"/>
    <n v="13"/>
    <s v="DECA"/>
    <s v="SIM"/>
    <s v="0013 - FÁB LOUÇAS QUEIMADOS"/>
    <s v="PAULO ROBERTO PEREIRA DA SILVA"/>
    <s v="PAULO"/>
    <n v="10001259"/>
    <s v="DND-02"/>
    <s v="DND-02 - INSPECAO - LQ"/>
    <s v="DXLQ"/>
    <s v="DXINSPEC68"/>
    <s v="Inspeção"/>
    <n v="10007686"/>
    <s v="DND-01"/>
    <s v="DND-01 - FUNDICAO MEC- LQ"/>
    <s v="LUCIANO DE OLIVEIRA SOUZA"/>
    <n v="10000059"/>
    <s v="SUPERVISOR"/>
    <s v="SUPERVISOR"/>
    <n v="10000017"/>
    <s v="DECA"/>
    <s v="DIR IND DECA (LOUCAS)"/>
    <m/>
    <m/>
    <m/>
    <m/>
    <m/>
    <m/>
    <d v="2020-08-10T00:00:00"/>
    <n v="0"/>
    <m/>
    <s v="19/09/1988"/>
    <x v="9"/>
    <m/>
    <s v="brasileira"/>
    <s v="RIO DE JANEIRO"/>
    <s v="RJ"/>
    <s v="BR"/>
    <s v="Não"/>
    <s v="M"/>
    <s v="Não"/>
    <m/>
    <s v="Solt."/>
    <s v="Parda"/>
    <s v="Colegial in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193"/>
    <m/>
    <s v="20/06/2013"/>
    <s v="RJ"/>
    <s v="134.931.937-69"/>
    <n v="1233747"/>
    <n v="60"/>
    <d v="2018-06-06T00:00:00"/>
    <s v="RJ"/>
    <n v="19037469534"/>
    <m/>
    <m/>
    <m/>
    <m/>
    <m/>
    <m/>
    <m/>
    <m/>
    <m/>
    <x v="185"/>
    <n v="138"/>
    <n v="140"/>
    <s v="22/02/2018"/>
    <s v="RJ"/>
    <n v="1414425382"/>
    <m/>
    <m/>
    <m/>
    <s v="RUA FERNANDINHO"/>
    <n v="1"/>
    <m/>
    <s v="VALDARIOSA"/>
    <s v="QUEIMADOS"/>
    <s v="RJ"/>
    <s v="26311-210"/>
    <m/>
    <n v="21975842953"/>
    <m/>
    <n v="341"/>
    <n v="8379"/>
    <x v="19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PAULPERE"/>
    <n v="1"/>
    <s v="Sim"/>
  </r>
  <r>
    <n v="102020"/>
    <x v="194"/>
    <s v="Ativo"/>
    <s v="AD"/>
    <n v="30047226"/>
    <s v="Colaborador–M.O.Var"/>
    <s v="Mensalista"/>
    <s v="1DX"/>
    <s v="Duratex S.A."/>
    <n v="9"/>
    <s v="FÁB LOUÇAS JUNDIAÍ I"/>
    <n v="9"/>
    <s v="DECA"/>
    <s v="SIM"/>
    <s v="0009 - FÁB LOUÇAS JUNDIAÍ I"/>
    <s v="GILSON BATISTA DE SOUSA"/>
    <s v="GILSON"/>
    <n v="10001569"/>
    <s v="DMF-02"/>
    <s v="DMF-02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8-10T00:00:00"/>
    <n v="0"/>
    <m/>
    <d v="1978-10-11T00:00:00"/>
    <x v="17"/>
    <m/>
    <s v="brasileira"/>
    <s v="ANGICAL DO PIAUI"/>
    <s v="PI"/>
    <s v="BR"/>
    <s v="Não"/>
    <s v="M"/>
    <s v="Não"/>
    <m/>
    <s v="Casado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94"/>
    <m/>
    <s v="13/11/2013"/>
    <s v="SP"/>
    <s v="806.691.823-20"/>
    <n v="32860"/>
    <n v="12"/>
    <d v="1996-02-12T00:00:00"/>
    <s v="MA"/>
    <n v="12746923248"/>
    <m/>
    <m/>
    <m/>
    <m/>
    <m/>
    <m/>
    <m/>
    <m/>
    <m/>
    <x v="186"/>
    <n v="65"/>
    <n v="206"/>
    <s v="25/04/2004"/>
    <s v="SP"/>
    <n v="261142207479"/>
    <m/>
    <m/>
    <m/>
    <s v="RUA INTEGRACAO MARIA DA C GOUVEIA VELLO"/>
    <n v="73"/>
    <m/>
    <s v="SANTO ANTONIO 2"/>
    <s v="ITUPEVA"/>
    <s v="SP"/>
    <s v="13295-000"/>
    <m/>
    <n v="11975719166"/>
    <m/>
    <n v="341"/>
    <n v="2523"/>
    <x v="19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ILSOSOU"/>
    <n v="1"/>
    <s v="Sim"/>
  </r>
  <r>
    <n v="102020"/>
    <x v="195"/>
    <s v="Ativo"/>
    <s v="AD"/>
    <n v="30042902"/>
    <s v="Colaborador–M.O.Var"/>
    <s v="Mensalista"/>
    <s v="1DX"/>
    <s v="Duratex S.A."/>
    <n v="9"/>
    <s v="FÁB LOUÇAS JUNDIAÍ I"/>
    <n v="9"/>
    <s v="DECA"/>
    <s v="SIM"/>
    <s v="0009 - FÁB LOUÇAS JUNDIAÍ I"/>
    <s v="OSMAR DIAS PINHEIRO"/>
    <s v="OSMAR"/>
    <n v="10002635"/>
    <s v="DCF-03"/>
    <s v="DCF-03 - FUNDICAO MECANIZADA - LJ I"/>
    <s v="DXLJ"/>
    <s v="DXFMECAN23"/>
    <s v="Fundição Mecanizada"/>
    <n v="10001539"/>
    <s v="DCF-01"/>
    <s v="DCF-01 - FUND MEC /CONV/ FC/ INSP - LJ I"/>
    <s v="JOAO ROSINALDO LOPES"/>
    <n v="10000080"/>
    <s v="EQUIPE"/>
    <s v="EQUIPE"/>
    <n v="10000017"/>
    <s v="DECA"/>
    <s v="DIR IND DECA (LOUCAS)"/>
    <m/>
    <m/>
    <m/>
    <m/>
    <m/>
    <m/>
    <d v="2020-08-10T00:00:00"/>
    <n v="0"/>
    <m/>
    <s v="21/04/1976"/>
    <x v="22"/>
    <m/>
    <s v="brasileira"/>
    <s v="FLORESTOPOLIS"/>
    <s v="PR"/>
    <s v="BR"/>
    <s v="Não"/>
    <s v="M"/>
    <s v="Não"/>
    <m/>
    <s v="Casado"/>
    <s v="Parda"/>
    <s v="Ginasial incompleto"/>
    <m/>
    <n v="22003015"/>
    <s v="220/M"/>
    <s v="FUNDIDOR"/>
    <n v="752305"/>
    <s v="Admissão"/>
    <d v="2020-10-01T00:00:00"/>
    <s v="220,00"/>
    <m/>
    <s v="DLJ-01"/>
    <s v="DDI-01"/>
    <s v="CSS-01"/>
    <s v="DDE-01"/>
    <s v="PRE-01"/>
    <s v="3.000,00"/>
    <s v="3.000,00"/>
    <s v="3.000,00"/>
    <s v="0,00"/>
    <s v="BH"/>
    <s v="LO JUNDIAÍ-220/M"/>
    <n v="18"/>
    <s v="GRS018OP"/>
    <d v="2020-10-01T00:00:00"/>
    <s v="Admissão"/>
    <s v="2.999,00"/>
    <s v="299900,00"/>
    <n v="1"/>
    <m/>
    <s v="N"/>
    <x v="195"/>
    <m/>
    <s v="19/11/2015"/>
    <s v="SP"/>
    <s v="017.388.509-86"/>
    <n v="94371"/>
    <n v="38"/>
    <s v="19/02/1991"/>
    <s v="PR"/>
    <n v="12423738899"/>
    <m/>
    <m/>
    <m/>
    <m/>
    <m/>
    <m/>
    <m/>
    <m/>
    <m/>
    <x v="187"/>
    <n v="59"/>
    <n v="198"/>
    <d v="2002-04-05T00:00:00"/>
    <s v="SP"/>
    <s v="Ƒ"/>
    <m/>
    <m/>
    <m/>
    <s v="RUA BERILO"/>
    <n v="237"/>
    <m/>
    <s v="JD COLINA DA SERRA II"/>
    <s v="CABREUVA"/>
    <s v="SP"/>
    <s v="13315-000"/>
    <m/>
    <n v="11968590348"/>
    <m/>
    <n v="341"/>
    <n v="7883"/>
    <x v="19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OPINHEIR"/>
    <n v="1"/>
    <s v="Sim"/>
  </r>
  <r>
    <n v="102020"/>
    <x v="196"/>
    <s v="Ativo"/>
    <s v="AD"/>
    <n v="30047209"/>
    <s v="Colaborador–M.O.Var"/>
    <s v="Mensalista"/>
    <s v="1DX"/>
    <s v="Duratex S.A."/>
    <n v="9"/>
    <s v="FÁB LOUÇAS JUNDIAÍ I"/>
    <n v="9"/>
    <s v="DECA"/>
    <s v="SIM"/>
    <s v="0009 - FÁB LOUÇAS JUNDIAÍ I"/>
    <s v="JHONATA BEZERRA PEIXOTO PAULO"/>
    <s v="JHONATA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8-10T00:00:00"/>
    <n v="0"/>
    <m/>
    <s v="17/10/2001"/>
    <x v="24"/>
    <m/>
    <s v="brasileira"/>
    <s v="JUNDIAI"/>
    <s v="SP"/>
    <s v="BR"/>
    <s v="Não"/>
    <s v="M"/>
    <s v="Não"/>
    <m/>
    <s v="Solt."/>
    <s v="Parda"/>
    <s v="Colegial completo"/>
    <m/>
    <n v="22002830"/>
    <s v="220/M"/>
    <s v="PREPARADOR PRODUCAO B"/>
    <n v="823120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4"/>
    <s v="GRS014OP"/>
    <d v="2020-10-01T00:00:00"/>
    <s v="Admissão"/>
    <s v="1.644,05"/>
    <s v="164405,00"/>
    <n v="1"/>
    <m/>
    <s v="N"/>
    <x v="196"/>
    <m/>
    <s v="19/10/2016"/>
    <s v="SP"/>
    <s v="477.211.188-32"/>
    <n v="19084"/>
    <n v="448"/>
    <s v="26/10/2016"/>
    <s v="SP"/>
    <n v="14948200537"/>
    <m/>
    <m/>
    <m/>
    <m/>
    <m/>
    <m/>
    <m/>
    <m/>
    <m/>
    <x v="188"/>
    <n v="242"/>
    <n v="128"/>
    <d v="2018-03-05T00:00:00"/>
    <s v="SP"/>
    <n v="320002782449"/>
    <m/>
    <m/>
    <m/>
    <s v="RUA ITUPEVA"/>
    <n v="196"/>
    <m/>
    <s v="JARDIM AMERICA IV"/>
    <s v="VÁRZEA PAULISTA"/>
    <s v="SP"/>
    <s v="13222-390"/>
    <m/>
    <n v="11983324716"/>
    <m/>
    <n v="341"/>
    <n v="2171"/>
    <x v="19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HPAULO"/>
    <n v="1"/>
    <s v="Sim"/>
  </r>
  <r>
    <n v="102020"/>
    <x v="197"/>
    <s v="Ativo"/>
    <s v="AD"/>
    <n v="30047242"/>
    <s v="Colaborador–M.O.Var"/>
    <s v="Mensalista"/>
    <s v="1DX"/>
    <s v="Duratex S.A."/>
    <n v="9"/>
    <s v="FÁB LOUÇAS JUNDIAÍ I"/>
    <n v="9"/>
    <s v="DECA"/>
    <s v="SIM"/>
    <s v="0009 - FÁB LOUÇAS JUNDIAÍ I"/>
    <s v="MARCOS MESSIAS PEREIRA"/>
    <s v="MARCOS"/>
    <n v="10001583"/>
    <s v="DMF-05"/>
    <s v="DMF-05 - FORNOS - LJ I"/>
    <s v="DXLJ"/>
    <s v="DXFORNOS23"/>
    <s v="Fornos"/>
    <n v="10001582"/>
    <s v="DMF-05"/>
    <s v="DMF-05 - FORNOS - LJ I"/>
    <s v="ANTONIO EVERSON COSTA"/>
    <n v="10000080"/>
    <s v="EQUIPE"/>
    <s v="EQUIPE"/>
    <n v="10000017"/>
    <s v="DECA"/>
    <s v="DIR IND DECA (LOUCAS)"/>
    <m/>
    <m/>
    <m/>
    <m/>
    <m/>
    <m/>
    <d v="2020-08-10T00:00:00"/>
    <n v="0"/>
    <m/>
    <d v="1992-04-09T00:00:00"/>
    <x v="11"/>
    <m/>
    <s v="brasileira"/>
    <s v="CAMPO LIMPO PAULISTA"/>
    <s v="SP"/>
    <s v="BR"/>
    <s v="Não"/>
    <s v="M"/>
    <s v="Não"/>
    <m/>
    <s v="Casado"/>
    <s v="Negr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97"/>
    <m/>
    <d v="2009-03-12T00:00:00"/>
    <s v="SP"/>
    <s v="423.367.558-66"/>
    <n v="16156"/>
    <n v="351"/>
    <s v="27/06/2008"/>
    <s v="SP"/>
    <n v="20216989900"/>
    <m/>
    <m/>
    <m/>
    <m/>
    <m/>
    <m/>
    <m/>
    <m/>
    <m/>
    <x v="189"/>
    <n v="344"/>
    <n v="138"/>
    <d v="2019-07-12T00:00:00"/>
    <s v="SP"/>
    <n v="140342179953"/>
    <m/>
    <m/>
    <m/>
    <s v="RUA DAS ANGELICAS"/>
    <n v="125"/>
    <m/>
    <s v="PARQUE INTERNACIONAL"/>
    <s v="CAMPO LIMPO PAULISTA"/>
    <s v="SP"/>
    <s v="13232-515"/>
    <m/>
    <n v="11964089477"/>
    <m/>
    <n v="341"/>
    <n v="2523"/>
    <x v="19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PMARCOS"/>
    <n v="1"/>
    <s v="Sim"/>
  </r>
  <r>
    <n v="102020"/>
    <x v="198"/>
    <s v="Ativo"/>
    <s v="AD"/>
    <n v="30045667"/>
    <s v="Colaborador–M.O.Fixa"/>
    <s v="Mensalista"/>
    <s v="1DX"/>
    <s v="Duratex S.A."/>
    <n v="9"/>
    <s v="FÁB LOUÇAS JUNDIAÍ I"/>
    <n v="9"/>
    <s v="DECA"/>
    <s v="SIM"/>
    <s v="0009 - FÁB LOUÇAS JUNDIAÍ I"/>
    <s v="VITOR GAMA ROCHA"/>
    <s v="VITOR"/>
    <n v="10007400"/>
    <s v="DCF-08"/>
    <s v="DCF-08 - FUNDICAO MECANIZADA - LJ I"/>
    <s v="DXLJ"/>
    <s v="DXFMECAN23"/>
    <s v="Fundição Mecanizada"/>
    <n v="10001553"/>
    <s v="DCF-07"/>
    <s v="DCF-07 - FABRICA DE MOLDES GESSO - LJ I"/>
    <s v="FABIO LUIZ DOS SANTOS"/>
    <n v="10000060"/>
    <s v="SUPERIOR"/>
    <s v="SUPERIOR"/>
    <n v="10000002"/>
    <s v="DECA"/>
    <s v="DIR IND DECA (METAIS)"/>
    <m/>
    <m/>
    <m/>
    <m/>
    <m/>
    <m/>
    <d v="2020-08-10T00:00:00"/>
    <n v="0"/>
    <m/>
    <s v="14/06/2001"/>
    <x v="24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198"/>
    <m/>
    <s v="27/08/2015"/>
    <s v="SP"/>
    <s v="509.093.948-90"/>
    <n v="50395"/>
    <n v="448"/>
    <s v="13/01/2017"/>
    <s v="SP"/>
    <n v="23735720567"/>
    <m/>
    <m/>
    <m/>
    <m/>
    <m/>
    <m/>
    <m/>
    <m/>
    <m/>
    <x v="190"/>
    <n v="242"/>
    <n v="88"/>
    <s v="26/09/2019"/>
    <s v="SP"/>
    <n v="320002082931"/>
    <m/>
    <m/>
    <m/>
    <s v="RUA JOSE RABELLO PORTELLA"/>
    <n v="3065"/>
    <m/>
    <s v="VILA POPULAR"/>
    <s v="VÁRZEA PAULISTA"/>
    <s v="SP"/>
    <s v="13225-100"/>
    <m/>
    <n v="11999329083"/>
    <m/>
    <n v="341"/>
    <n v="4837"/>
    <x v="19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ITROCHA"/>
    <n v="1"/>
    <s v="Sim"/>
  </r>
  <r>
    <n v="102020"/>
    <x v="199"/>
    <s v="Ativo"/>
    <s v="AD"/>
    <n v="30040904"/>
    <s v="Colaborador–M.O.Var"/>
    <s v="Mensalista"/>
    <s v="1DX"/>
    <s v="Duratex S.A."/>
    <n v="9"/>
    <s v="FÁB LOUÇAS JUNDIAÍ I"/>
    <n v="9"/>
    <s v="DECA"/>
    <s v="SIM"/>
    <s v="0009 - FÁB LOUÇAS JUNDIAÍ I"/>
    <s v="CLAUDINEI BORGES"/>
    <s v="CLAUDINEI"/>
    <n v="10001527"/>
    <s v="DCF-06"/>
    <s v="DCF-06 - FUNDICAO FIRECLAY - LJ I"/>
    <s v="DXLJ"/>
    <s v="DXFIRECL23"/>
    <s v="Fundição Fireclay"/>
    <n v="10002440"/>
    <s v="DCF-06"/>
    <s v="DCF-06 - FUNDICAO E ACABAMENTO - LJ I"/>
    <s v="DENILSON CARLOS ADRIANO"/>
    <n v="10000080"/>
    <s v="EQUIPE"/>
    <s v="EQUIPE"/>
    <n v="10000017"/>
    <s v="DECA"/>
    <s v="DIR IND DECA (LOUCAS)"/>
    <m/>
    <m/>
    <m/>
    <m/>
    <m/>
    <m/>
    <d v="2020-08-10T00:00:00"/>
    <n v="0"/>
    <m/>
    <s v="27/09/1976"/>
    <x v="22"/>
    <m/>
    <s v="brasileira"/>
    <s v="JARDIM ALEGRE"/>
    <s v="PR"/>
    <s v="BR"/>
    <s v="Não"/>
    <s v="M"/>
    <s v="Não"/>
    <m/>
    <s v="Casado"/>
    <s v="Branca"/>
    <s v="Colegial completo"/>
    <m/>
    <n v="22003015"/>
    <s v="220/M"/>
    <s v="FUNDIDOR"/>
    <n v="752305"/>
    <s v="Admissão"/>
    <d v="2020-10-01T00:00:00"/>
    <s v="220,00"/>
    <m/>
    <s v="DLJ-01"/>
    <s v="DDI-01"/>
    <s v="CSS-01"/>
    <s v="DDE-01"/>
    <s v="PRE-01"/>
    <s v="3.000,00"/>
    <s v="3.000,00"/>
    <s v="3.000,00"/>
    <s v="0,00"/>
    <s v="BH"/>
    <s v="LO JUNDIAÍ-220/M"/>
    <n v="18"/>
    <s v="GRS018OP"/>
    <d v="2020-10-01T00:00:00"/>
    <s v="Admissão"/>
    <s v="2.999,00"/>
    <s v="299900,00"/>
    <n v="1"/>
    <m/>
    <s v="N"/>
    <x v="199"/>
    <m/>
    <d v="2018-10-03T00:00:00"/>
    <s v="SP"/>
    <s v="257.412.448-07"/>
    <n v="76132"/>
    <n v="126"/>
    <s v="23/01/2019"/>
    <s v="SP"/>
    <n v="12451023432"/>
    <m/>
    <m/>
    <m/>
    <m/>
    <m/>
    <m/>
    <m/>
    <m/>
    <m/>
    <x v="191"/>
    <n v="344"/>
    <n v="59"/>
    <s v="14/04/2016"/>
    <s v="SP"/>
    <n v="140342058520"/>
    <m/>
    <m/>
    <m/>
    <s v="RUA SABIA"/>
    <n v="65"/>
    <m/>
    <s v="CIDADE NOVA II"/>
    <s v="VÁRZEA PAULISTA"/>
    <s v="SP"/>
    <s v="13221-601"/>
    <m/>
    <n v="11998045401"/>
    <m/>
    <n v="341"/>
    <n v="2523"/>
    <x v="19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LBORGES"/>
    <n v="1"/>
    <s v="Sim"/>
  </r>
  <r>
    <n v="102020"/>
    <x v="200"/>
    <s v="Ativo"/>
    <s v="AD"/>
    <n v="30041775"/>
    <s v="Colaborador–M.O.Var"/>
    <s v="Mensalista"/>
    <s v="1DX"/>
    <s v="Duratex S.A."/>
    <n v="9"/>
    <s v="FÁB LOUÇAS JUNDIAÍ I"/>
    <n v="9"/>
    <s v="DECA"/>
    <s v="SIM"/>
    <s v="0009 - FÁB LOUÇAS JUNDIAÍ I"/>
    <s v="MARCO ANTONIO DE BARROS"/>
    <s v="MARCO"/>
    <n v="10001590"/>
    <s v="DCI-02"/>
    <s v="DCI-02 - CLASSIFICACAO - LJ I"/>
    <s v="DXLJ"/>
    <s v="DXCLEMBL23"/>
    <s v="Classificação"/>
    <n v="10008652"/>
    <s v="DCI-01"/>
    <s v="DCI-01 - CLASSIFICAÇÃO E MANUT. LJ I"/>
    <s v="MAYKON HENRIQUE PADUA PINTO"/>
    <n v="10000060"/>
    <s v="SUPERIOR"/>
    <s v="SUPERIOR"/>
    <n v="10000017"/>
    <s v="DECA"/>
    <s v="DIR IND DECA (LOUCAS)"/>
    <m/>
    <m/>
    <m/>
    <m/>
    <m/>
    <m/>
    <d v="2020-08-10T00:00:00"/>
    <n v="0"/>
    <m/>
    <s v="28/11/1991"/>
    <x v="11"/>
    <m/>
    <s v="brasileira"/>
    <s v="JUNDIAI"/>
    <s v="SP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s v="Ausência B.H. Empregado"/>
    <s v="N"/>
    <x v="200"/>
    <m/>
    <s v="14/01/2020"/>
    <s v="SP"/>
    <s v="394.645.828-98"/>
    <n v="73120"/>
    <n v="318"/>
    <s v="15/09/2018"/>
    <s v="SP"/>
    <n v="20491733822"/>
    <m/>
    <m/>
    <m/>
    <m/>
    <m/>
    <m/>
    <m/>
    <m/>
    <m/>
    <x v="192"/>
    <n v="281"/>
    <n v="311"/>
    <s v="15/11/2011"/>
    <s v="SP"/>
    <n v="140872961085"/>
    <m/>
    <m/>
    <m/>
    <s v="RUA FRANCISCO PEDROSO"/>
    <n v="80"/>
    <m/>
    <s v="IVOTURUCAIA"/>
    <s v="JUNDIAÍ"/>
    <s v="SP"/>
    <s v="13218-823"/>
    <m/>
    <n v="11992446454"/>
    <m/>
    <n v="341"/>
    <n v="7467"/>
    <x v="20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CBARR"/>
    <n v="1"/>
    <s v="Sim"/>
  </r>
  <r>
    <n v="102020"/>
    <x v="201"/>
    <s v="Ativo"/>
    <s v="AD"/>
    <n v="30042376"/>
    <s v="Colaborador–M.O.Var"/>
    <s v="Horista"/>
    <s v="1DX"/>
    <s v="Duratex S.A."/>
    <n v="7"/>
    <s v="FÁB METAIS JUNDIAÍ"/>
    <n v="7"/>
    <s v="DECA"/>
    <s v="SIM"/>
    <s v="0007 - FÁB METAIS JUNDIAÍ"/>
    <s v="SAMEI LEVY DE OLIVEIRA SANTOS"/>
    <s v="SAMEI"/>
    <n v="10001477"/>
    <s v="DVM-02"/>
    <s v="DVM-02 - MONTADORA - MP"/>
    <s v="DXMP"/>
    <s v="DXMONTAD33"/>
    <s v="Montadora"/>
    <n v="10001480"/>
    <s v="DVM-03"/>
    <s v="DVM-03 - CELULAS DE VALVULAS/MONTAD - MP"/>
    <s v="ADRIANO LEONARDO LUCIO DOS SANTOS"/>
    <n v="10000080"/>
    <s v="EQUIPE"/>
    <s v="EQUIPE"/>
    <n v="10000002"/>
    <s v="DECA"/>
    <s v="DIR IND DECA (METAIS)"/>
    <m/>
    <m/>
    <m/>
    <m/>
    <m/>
    <m/>
    <d v="2020-08-10T00:00:00"/>
    <n v="0"/>
    <m/>
    <s v="18/04/1989"/>
    <x v="12"/>
    <m/>
    <s v="brasileira"/>
    <s v="CAIEIRAS"/>
    <s v="SP"/>
    <s v="BR"/>
    <s v="Não"/>
    <s v="M"/>
    <s v="Não"/>
    <m/>
    <s v="Casado"/>
    <s v="Negr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201"/>
    <m/>
    <s v="28/04/2016"/>
    <s v="SP"/>
    <s v="329.746.618-90"/>
    <n v="92740"/>
    <n v="334"/>
    <s v="28/04/2006"/>
    <s v="SP"/>
    <n v="16558477093"/>
    <m/>
    <m/>
    <m/>
    <m/>
    <m/>
    <m/>
    <m/>
    <m/>
    <m/>
    <x v="193"/>
    <n v="192"/>
    <n v="357"/>
    <s v="19/04/2005"/>
    <s v="SP"/>
    <n v="140562268833"/>
    <m/>
    <m/>
    <m/>
    <s v="RUA JOSE LUIZ DE ANDRADE"/>
    <n v="46"/>
    <m/>
    <s v="JARDIM ALICE"/>
    <s v="FRANCO DA ROCHA"/>
    <s v="SP"/>
    <s v="07808-250"/>
    <m/>
    <n v="11955405602"/>
    <m/>
    <n v="341"/>
    <n v="411"/>
    <x v="20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MESANT"/>
    <n v="1"/>
    <s v="Sim"/>
  </r>
  <r>
    <n v="102020"/>
    <x v="202"/>
    <s v="Ativo"/>
    <s v="AD"/>
    <n v="30032791"/>
    <s v="Colaborador–M.O.Var"/>
    <s v="Horista"/>
    <s v="1DX"/>
    <s v="Duratex S.A."/>
    <n v="7"/>
    <s v="FÁB METAIS JUNDIAÍ"/>
    <n v="7"/>
    <s v="DECA"/>
    <s v="SIM"/>
    <s v="0007 - FÁB METAIS JUNDIAÍ"/>
    <s v="DAVID CARLOS FORMIS"/>
    <s v="DAVID"/>
    <n v="10001047"/>
    <s v="DVM-02"/>
    <s v="DVM-02 - ACABAMENTO - MP"/>
    <s v="DXMP"/>
    <s v="DXACABAM33"/>
    <s v="Acabamento MP"/>
    <n v="10003570"/>
    <s v="DVM-01"/>
    <s v="DVM-01 - PROD GERADORAS/ACAB/MONTAGEM"/>
    <s v="SILVIO APARECIDO BARROS"/>
    <n v="10000059"/>
    <s v="SUPERVISOR"/>
    <s v="SUPERVISOR"/>
    <n v="10000002"/>
    <s v="DECA"/>
    <s v="DIR IND DECA (METAIS)"/>
    <m/>
    <m/>
    <m/>
    <m/>
    <m/>
    <m/>
    <d v="2020-08-10T00:00:00"/>
    <n v="0"/>
    <m/>
    <d v="1985-10-10T00:00:00"/>
    <x v="21"/>
    <m/>
    <s v="brasileira"/>
    <s v="JUNDIAI"/>
    <s v="SP"/>
    <s v="BR"/>
    <s v="Não"/>
    <s v="M"/>
    <s v="Não"/>
    <m/>
    <s v="Casado"/>
    <s v="Branca"/>
    <s v="Colegial completo"/>
    <m/>
    <n v="22000417"/>
    <s v="220/H"/>
    <s v="OPER PRODUCAO C"/>
    <n v="862150"/>
    <s v="Admissão"/>
    <d v="2020-10-01T00:00:00"/>
    <s v="220,00"/>
    <m/>
    <s v="DJD-01"/>
    <s v="DDI-01"/>
    <s v="CSS-01"/>
    <s v="DDE-01"/>
    <s v="PRE-01"/>
    <s v="1.859,00"/>
    <s v="8,45"/>
    <s v="1.859,00"/>
    <s v="0,00"/>
    <s v="BV"/>
    <s v="METAIS JUNDIAÍ-220/H"/>
    <n v="16"/>
    <s v="GRS016OP"/>
    <d v="2020-10-01T00:00:00"/>
    <s v="Admissão"/>
    <s v="1.858,00"/>
    <s v="185800,00"/>
    <n v="1"/>
    <s v="Ausência B.H. Empresa"/>
    <s v="N"/>
    <x v="202"/>
    <m/>
    <s v="22/10/2014"/>
    <s v="SP"/>
    <s v="326.103.798-97"/>
    <n v="3367"/>
    <n v="290"/>
    <s v="30/01/2002"/>
    <s v="SP"/>
    <n v="13285441819"/>
    <m/>
    <m/>
    <m/>
    <m/>
    <m/>
    <m/>
    <m/>
    <m/>
    <m/>
    <x v="194"/>
    <n v="281"/>
    <n v="10"/>
    <s v="22/11/2011"/>
    <s v="SP"/>
    <n v="140872764745"/>
    <m/>
    <m/>
    <m/>
    <s v="RUA ASSIS CHATEAUBRIANT"/>
    <n v="92"/>
    <m/>
    <s v="JD DO LAGO"/>
    <s v="JUNDIAÍ"/>
    <s v="SP"/>
    <s v="13203-670"/>
    <m/>
    <n v="11973019592"/>
    <m/>
    <n v="341"/>
    <n v="2523"/>
    <x v="20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FORMIS"/>
    <n v="1"/>
    <s v="Sim"/>
  </r>
  <r>
    <n v="102020"/>
    <x v="203"/>
    <s v="Ativo"/>
    <s v="AD"/>
    <n v="30047433"/>
    <s v="Colaborador–M.O.Var"/>
    <s v="Mensalista"/>
    <s v="1DX"/>
    <s v="Duratex S.A."/>
    <n v="11"/>
    <s v="FÁB LOUÇAS RECIFE"/>
    <n v="11"/>
    <s v="DECA"/>
    <s v="SIM"/>
    <s v="0011 - FÁB LOUÇAS RECIFE"/>
    <s v="VALTER MARIANO FERREIRA"/>
    <s v="VALTER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s v="25/11/1982"/>
    <x v="31"/>
    <m/>
    <s v="brasileira"/>
    <s v="CABO DE SANTO AGOSTINHO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03"/>
    <m/>
    <s v="19/06/2000"/>
    <s v="PE"/>
    <s v="043.531.504-80"/>
    <n v="20320"/>
    <n v="72"/>
    <s v="30/06/2000"/>
    <s v="PE"/>
    <n v="12992700454"/>
    <m/>
    <m/>
    <m/>
    <m/>
    <m/>
    <m/>
    <m/>
    <m/>
    <m/>
    <x v="195"/>
    <n v="121"/>
    <n v="253"/>
    <s v="23/11/2017"/>
    <s v="PE"/>
    <n v="721753"/>
    <m/>
    <m/>
    <m/>
    <s v="RUA TRINTA"/>
    <n v="64"/>
    <m/>
    <s v="PONTE DOS CARVALHOS"/>
    <s v="CABO DE SANTO AGOSTINHO"/>
    <s v="PE"/>
    <s v="54580-787"/>
    <m/>
    <n v="81987038906"/>
    <m/>
    <n v="341"/>
    <n v="1737"/>
    <x v="20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ALTEFER"/>
    <n v="1"/>
    <s v="Sim"/>
  </r>
  <r>
    <n v="102020"/>
    <x v="204"/>
    <s v="Ativo"/>
    <s v="AD"/>
    <n v="30047432"/>
    <s v="Colaborador–M.O.Var"/>
    <s v="Mensalista"/>
    <s v="1DX"/>
    <s v="Duratex S.A."/>
    <n v="11"/>
    <s v="FÁB LOUÇAS RECIFE"/>
    <n v="11"/>
    <s v="DECA"/>
    <s v="SIM"/>
    <s v="0011 - FÁB LOUÇAS RECIFE"/>
    <s v="MICHAEL ENDRWOS SILVA DE SANTANA"/>
    <s v="MICHAEL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s v="24/06/2000"/>
    <x v="32"/>
    <m/>
    <s v="brasileira"/>
    <s v="IPOJUCA"/>
    <s v="PE"/>
    <s v="BR"/>
    <s v="Não"/>
    <s v="M"/>
    <s v="Não"/>
    <m/>
    <s v="Solt."/>
    <s v="Não Informado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04"/>
    <m/>
    <s v="25/09/2018"/>
    <s v="PE"/>
    <s v="121.058.554-58"/>
    <n v="2720872"/>
    <n v="60"/>
    <s v="30/08/2018"/>
    <s v="PE"/>
    <n v="20494465640"/>
    <m/>
    <m/>
    <m/>
    <m/>
    <m/>
    <m/>
    <m/>
    <m/>
    <m/>
    <x v="196"/>
    <n v="16"/>
    <n v="198"/>
    <d v="2018-09-03T00:00:00"/>
    <s v="PE"/>
    <n v="320001822531"/>
    <m/>
    <m/>
    <m/>
    <s v="RUA VINTE"/>
    <n v="1"/>
    <m/>
    <s v="N SA DO O"/>
    <s v="IPOJUCA"/>
    <s v="PE"/>
    <s v="55590-000"/>
    <m/>
    <n v="81992684451"/>
    <m/>
    <n v="341"/>
    <n v="6999"/>
    <x v="20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ICSANTA"/>
    <n v="1"/>
    <s v="Sim"/>
  </r>
  <r>
    <n v="102020"/>
    <x v="205"/>
    <s v="Ativo"/>
    <s v="AD"/>
    <n v="30047434"/>
    <s v="Colaborador–M.O.Var"/>
    <s v="Mensalista"/>
    <s v="1DX"/>
    <s v="Duratex S.A."/>
    <n v="11"/>
    <s v="FÁB LOUÇAS RECIFE"/>
    <n v="11"/>
    <s v="DECA"/>
    <s v="SIM"/>
    <s v="0011 - FÁB LOUÇAS RECIFE"/>
    <s v="THALISSON RODRIGUES DA SILVA"/>
    <s v="THALISSON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d v="1995-01-10T00:00:00"/>
    <x v="4"/>
    <m/>
    <s v="brasileira"/>
    <s v="JABOATAO DOS GUARARAPES"/>
    <s v="PE"/>
    <s v="BR"/>
    <s v="Não"/>
    <s v="M"/>
    <s v="Não"/>
    <m/>
    <s v="Solt."/>
    <s v="Parda"/>
    <s v="Ginasial in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05"/>
    <m/>
    <d v="2017-12-05T00:00:00"/>
    <s v="PE"/>
    <s v="114.296.164-82"/>
    <n v="3478"/>
    <n v="113"/>
    <d v="2014-06-01T00:00:00"/>
    <s v="PE"/>
    <n v="16650916138"/>
    <m/>
    <m/>
    <m/>
    <m/>
    <m/>
    <m/>
    <m/>
    <m/>
    <m/>
    <x v="197"/>
    <n v="16"/>
    <n v="68"/>
    <d v="2014-06-01T00:00:00"/>
    <s v="PE"/>
    <n v="210022588847"/>
    <m/>
    <m/>
    <m/>
    <s v="RUA CUIABA"/>
    <n v="10"/>
    <m/>
    <s v="CANDEIAS"/>
    <s v="JABOATÃO DOS GUARARAPES"/>
    <s v="PE"/>
    <s v="54440-130"/>
    <m/>
    <n v="81984588439"/>
    <m/>
    <n v="341"/>
    <n v="6999"/>
    <x v="20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THALSILV"/>
    <n v="1"/>
    <s v="Sim"/>
  </r>
  <r>
    <n v="102020"/>
    <x v="206"/>
    <s v="Ativo"/>
    <s v="AD"/>
    <n v="30042377"/>
    <s v="Colaborador–M.O.Var"/>
    <s v="Horista"/>
    <s v="1DX"/>
    <s v="Duratex S.A."/>
    <n v="7"/>
    <s v="FÁB METAIS JUNDIAÍ"/>
    <n v="7"/>
    <s v="DECA"/>
    <s v="SIM"/>
    <s v="0007 - FÁB METAIS JUNDIAÍ"/>
    <s v="ANDERSON LUIZ VINCRE"/>
    <s v="ANDERSON"/>
    <n v="10001477"/>
    <s v="DVM-02"/>
    <s v="DVM-02 - MONTADORA - MP"/>
    <s v="DXMP"/>
    <s v="DXMONTAD33"/>
    <s v="Montadora"/>
    <n v="10001480"/>
    <s v="DVM-03"/>
    <s v="DVM-03 - CELULAS DE VALVULAS/MONTAD - MP"/>
    <s v="ADRIANO LEONARDO LUCIO DOS SANTOS"/>
    <n v="10000080"/>
    <s v="EQUIPE"/>
    <s v="EQUIPE"/>
    <n v="10000002"/>
    <s v="DECA"/>
    <s v="DIR IND DECA (METAIS)"/>
    <m/>
    <m/>
    <m/>
    <m/>
    <m/>
    <m/>
    <d v="2020-08-10T00:00:00"/>
    <n v="0"/>
    <m/>
    <s v="24/04/1978"/>
    <x v="5"/>
    <m/>
    <s v="brasileira"/>
    <s v="SAO PAULO"/>
    <s v="SP"/>
    <s v="BR"/>
    <s v="Não"/>
    <s v="M"/>
    <s v="Não"/>
    <m/>
    <s v="Casado"/>
    <s v="Branca"/>
    <s v="Colegial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206"/>
    <m/>
    <s v="30/05/2007"/>
    <s v="SP"/>
    <s v="276.199.578-39"/>
    <n v="47708"/>
    <n v="176"/>
    <d v="1994-08-02T00:00:00"/>
    <s v="SP"/>
    <n v="12989934857"/>
    <m/>
    <m/>
    <m/>
    <m/>
    <m/>
    <m/>
    <m/>
    <m/>
    <m/>
    <x v="198"/>
    <n v="367"/>
    <n v="278"/>
    <s v="20/04/2018"/>
    <s v="SP"/>
    <m/>
    <m/>
    <m/>
    <m/>
    <s v="RUA DO ACRE"/>
    <n v="5"/>
    <m/>
    <s v="PARQUE CENTO E VINTE"/>
    <s v="FRANCISCO MORATO"/>
    <s v="SP"/>
    <s v="07941-030"/>
    <m/>
    <n v="11946709508"/>
    <m/>
    <n v="341"/>
    <n v="6511"/>
    <x v="20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VINCRE"/>
    <n v="1"/>
    <s v="Sim"/>
  </r>
  <r>
    <n v="102020"/>
    <x v="207"/>
    <s v="Ativo"/>
    <s v="AD"/>
    <n v="30047436"/>
    <s v="Colaborador–M.O.Var"/>
    <s v="Mensalista"/>
    <s v="1DX"/>
    <s v="Duratex S.A."/>
    <n v="11"/>
    <s v="FÁB LOUÇAS RECIFE"/>
    <n v="11"/>
    <s v="DECA"/>
    <s v="SIM"/>
    <s v="0011 - FÁB LOUÇAS RECIFE"/>
    <s v="FELIPE LINS DA SILVA"/>
    <s v="FELIPE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d v="1993-06-02T00:00:00"/>
    <x v="16"/>
    <m/>
    <s v="brasileira"/>
    <s v="CABO DE SANTO AGOSTINHO"/>
    <s v="PE"/>
    <s v="BR"/>
    <s v="Não"/>
    <s v="M"/>
    <s v="Não"/>
    <m/>
    <s v="Solt."/>
    <s v="Parda"/>
    <s v="Primário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07"/>
    <m/>
    <s v="28/02/2012"/>
    <s v="PE"/>
    <s v="110.552.564-31"/>
    <n v="16987"/>
    <n v="89"/>
    <d v="2012-07-11T00:00:00"/>
    <s v="PE"/>
    <n v="16240505634"/>
    <m/>
    <m/>
    <m/>
    <m/>
    <m/>
    <m/>
    <m/>
    <m/>
    <m/>
    <x v="199"/>
    <n v="121"/>
    <n v="46"/>
    <s v="18/11/2017"/>
    <s v="PE"/>
    <n v="210022509348"/>
    <m/>
    <m/>
    <m/>
    <s v="RUA DA ALEGRIA"/>
    <n v="12"/>
    <m/>
    <s v="PONTE DOS CARVALHOS"/>
    <s v="CABO DE SANTO AGOSTINHO"/>
    <s v="PE"/>
    <s v="54580-000"/>
    <m/>
    <n v="81986750917"/>
    <m/>
    <n v="341"/>
    <n v="1737"/>
    <x v="20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LINS"/>
    <n v="1"/>
    <s v="Sim"/>
  </r>
  <r>
    <n v="102020"/>
    <x v="208"/>
    <s v="Ativo"/>
    <s v="AD"/>
    <n v="30047239"/>
    <s v="Colaborador–M.O.Var"/>
    <s v="Mensalista"/>
    <s v="1DX"/>
    <s v="Duratex S.A."/>
    <n v="9"/>
    <s v="FÁB LOUÇAS JUNDIAÍ I"/>
    <n v="9"/>
    <s v="DECA"/>
    <s v="SIM"/>
    <s v="0009 - FÁB LOUÇAS JUNDIAÍ I"/>
    <s v="JOHN WELLINGTON NUNES DOS SANTOS"/>
    <s v="JOHN"/>
    <n v="10001583"/>
    <s v="DMF-05"/>
    <s v="DMF-05 - FORNOS - LJ I"/>
    <s v="DXLJ"/>
    <s v="DXFORNOS23"/>
    <s v="Fornos"/>
    <n v="10001582"/>
    <s v="DMF-05"/>
    <s v="DMF-05 - FORNOS - LJ I"/>
    <s v="ANTONIO EVERSON COSTA"/>
    <n v="10000080"/>
    <s v="EQUIPE"/>
    <s v="EQUIPE"/>
    <n v="10000017"/>
    <s v="DECA"/>
    <s v="DIR IND DECA (LOUCAS)"/>
    <m/>
    <m/>
    <m/>
    <m/>
    <m/>
    <m/>
    <d v="2020-08-10T00:00:00"/>
    <n v="0"/>
    <m/>
    <d v="1994-11-08T00:00:00"/>
    <x v="2"/>
    <m/>
    <s v="brasileira"/>
    <s v="TERESINA"/>
    <s v="PI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208"/>
    <m/>
    <s v="21/08/2012"/>
    <s v="PI"/>
    <s v="068.980.303-61"/>
    <n v="19937"/>
    <n v="410"/>
    <s v="29/04/2013"/>
    <s v="SP"/>
    <n v="14551208589"/>
    <m/>
    <m/>
    <m/>
    <m/>
    <m/>
    <m/>
    <m/>
    <m/>
    <m/>
    <x v="200"/>
    <n v="242"/>
    <n v="189"/>
    <d v="2018-05-05T00:00:00"/>
    <s v="SP"/>
    <n v="261142493483"/>
    <m/>
    <m/>
    <m/>
    <s v="RUA RAFAEL GABRIEL"/>
    <n v="30"/>
    <m/>
    <s v="JARDIM PROMECA"/>
    <s v="VÁRZEA PAULISTA"/>
    <s v="SP"/>
    <s v="13223-060"/>
    <m/>
    <n v="11962681311"/>
    <m/>
    <n v="341"/>
    <n v="2523"/>
    <x v="20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JOHN"/>
    <n v="1"/>
    <s v="Sim"/>
  </r>
  <r>
    <n v="102020"/>
    <x v="209"/>
    <s v="Ativo"/>
    <s v="AD"/>
    <n v="30046073"/>
    <s v="Colaborador–M.O.Var"/>
    <s v="Mensalista"/>
    <s v="1DX"/>
    <s v="Duratex S.A."/>
    <n v="11"/>
    <s v="FÁB LOUÇAS RECIFE"/>
    <n v="11"/>
    <s v="DECA"/>
    <s v="SIM"/>
    <s v="0011 - FÁB LOUÇAS RECIFE"/>
    <s v="ARLISSON COSTA RIBEIRO"/>
    <s v="ARLISSON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s v="27/08/2000"/>
    <x v="32"/>
    <m/>
    <s v="brasileira"/>
    <s v="SANTA INES"/>
    <s v="MA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09"/>
    <m/>
    <s v="18/09/2013"/>
    <s v="PE"/>
    <s v="071.052.103-03"/>
    <n v="2043191"/>
    <n v="60"/>
    <s v="19/07/2018"/>
    <s v="PE"/>
    <n v="20419854252"/>
    <m/>
    <m/>
    <m/>
    <m/>
    <m/>
    <m/>
    <m/>
    <m/>
    <m/>
    <x v="201"/>
    <n v="121"/>
    <n v="163"/>
    <d v="2017-01-09T00:00:00"/>
    <s v="PE"/>
    <n v="320000973243"/>
    <m/>
    <m/>
    <m/>
    <s v="RUA DO PROGRESSO"/>
    <n v="132"/>
    <m/>
    <s v="PONTE DOS CARVALHOS"/>
    <s v="CABO DE SANTO AGOSTINHO"/>
    <s v="PE"/>
    <s v="54580-525"/>
    <m/>
    <n v="81983042162"/>
    <m/>
    <n v="341"/>
    <n v="1737"/>
    <x v="20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RLRIBEI"/>
    <n v="1"/>
    <s v="Sim"/>
  </r>
  <r>
    <n v="102020"/>
    <x v="210"/>
    <s v="Ativo"/>
    <s v="AD"/>
    <n v="30047778"/>
    <s v="Colaborador–M.O.Var"/>
    <s v="Horista"/>
    <s v="1DX"/>
    <s v="Duratex S.A."/>
    <n v="7"/>
    <s v="FÁB METAIS JUNDIAÍ"/>
    <n v="7"/>
    <s v="DECA"/>
    <s v="SIM"/>
    <s v="0007 - FÁB METAIS JUNDIAÍ"/>
    <s v="GILMAR FIRMINO DA SILVA"/>
    <s v="GILMAR"/>
    <n v="10001477"/>
    <s v="DVM-02"/>
    <s v="DVM-02 - MONTADORA - MP"/>
    <s v="DXMP"/>
    <s v="DXMONTAD33"/>
    <s v="Montadora"/>
    <n v="10001480"/>
    <s v="DVM-03"/>
    <s v="DVM-03 - CELULAS DE VALVULAS/MONTAD - MP"/>
    <s v="ADRIANO LEONARDO LUCIO DOS SANTOS"/>
    <n v="10000080"/>
    <s v="EQUIPE"/>
    <s v="EQUIPE"/>
    <n v="10000002"/>
    <s v="DECA"/>
    <s v="DIR IND DECA (METAIS)"/>
    <m/>
    <m/>
    <m/>
    <m/>
    <m/>
    <m/>
    <d v="2020-08-10T00:00:00"/>
    <n v="0"/>
    <m/>
    <s v="14/04/1981"/>
    <x v="20"/>
    <m/>
    <s v="brasileira"/>
    <s v="SAO PAULO"/>
    <s v="SP"/>
    <s v="BR"/>
    <s v="Não"/>
    <s v="M"/>
    <s v="Não"/>
    <m/>
    <s v="Solt."/>
    <s v="Parda"/>
    <s v="Superior completo"/>
    <m/>
    <n v="22000271"/>
    <s v="220/H"/>
    <s v="AUX PRODUCAO"/>
    <n v="7842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3"/>
    <s v="GRS013OP"/>
    <d v="2020-10-01T00:00:00"/>
    <s v="Admissão"/>
    <s v="1.796,40"/>
    <s v="179640,00"/>
    <n v="1"/>
    <m/>
    <s v="N"/>
    <x v="210"/>
    <m/>
    <d v="2012-10-01T00:00:00"/>
    <s v="SP"/>
    <s v="299.274.748-30"/>
    <n v="38275"/>
    <n v="215"/>
    <s v="31/07/1996"/>
    <s v="SP"/>
    <n v="12647502937"/>
    <m/>
    <m/>
    <m/>
    <m/>
    <m/>
    <m/>
    <m/>
    <m/>
    <m/>
    <x v="202"/>
    <n v="367"/>
    <n v="103"/>
    <d v="1999-06-09T00:00:00"/>
    <s v="SP"/>
    <n v="140552137469"/>
    <m/>
    <m/>
    <m/>
    <s v="RUA ANTONIO NASCIMENTO"/>
    <n v="213"/>
    <m/>
    <s v="PARQUE VITORIA"/>
    <s v="FRANCO DA ROCHA"/>
    <s v="SP"/>
    <s v="07856-260"/>
    <m/>
    <n v="11960315653"/>
    <m/>
    <n v="341"/>
    <n v="2523"/>
    <x v="21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LVGILM"/>
    <n v="1"/>
    <s v="Sim"/>
  </r>
  <r>
    <n v="102020"/>
    <x v="211"/>
    <s v="Ativo"/>
    <s v="AD"/>
    <n v="30048364"/>
    <s v="Colaborador–M.O.Var"/>
    <s v="Mensalista"/>
    <s v="1DX"/>
    <s v="Duratex S.A."/>
    <n v="9"/>
    <s v="FÁB LOUÇAS JUNDIAÍ I"/>
    <n v="9"/>
    <s v="DECA"/>
    <s v="SIM"/>
    <s v="0009 - FÁB LOUÇAS JUNDIAÍ I"/>
    <s v="MATHEUS HENRIQUE DA SILVA ROCHA"/>
    <s v="MATHEUS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s v="18/08/1999"/>
    <x v="13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11"/>
    <m/>
    <d v="2018-03-09T00:00:00"/>
    <s v="SP"/>
    <s v="417.008.368-70"/>
    <n v="68228"/>
    <n v="419"/>
    <d v="2014-06-08T00:00:00"/>
    <s v="SP"/>
    <n v="13474124489"/>
    <m/>
    <m/>
    <m/>
    <m/>
    <m/>
    <m/>
    <m/>
    <m/>
    <m/>
    <x v="203"/>
    <n v="424"/>
    <n v="97"/>
    <d v="2018-09-05T00:00:00"/>
    <s v="SP"/>
    <n v="140873273316"/>
    <m/>
    <m/>
    <m/>
    <s v="AVENIDA SAO CAMILO"/>
    <n v="1099"/>
    <m/>
    <s v="JARDIM SAO CAMILO NOVO"/>
    <s v="JUNDIAÍ"/>
    <s v="SP"/>
    <s v="13216-420"/>
    <m/>
    <n v="11999460485"/>
    <m/>
    <n v="341"/>
    <n v="26"/>
    <x v="21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THEURO"/>
    <n v="1"/>
    <s v="Sim"/>
  </r>
  <r>
    <n v="102020"/>
    <x v="212"/>
    <s v="Ativo"/>
    <s v="AD"/>
    <n v="30047437"/>
    <s v="Colaborador–M.O.Var"/>
    <s v="Mensalista"/>
    <s v="1DX"/>
    <s v="Duratex S.A."/>
    <n v="11"/>
    <s v="FÁB LOUÇAS RECIFE"/>
    <n v="11"/>
    <s v="DECA"/>
    <s v="SIM"/>
    <s v="0011 - FÁB LOUÇAS RECIFE"/>
    <s v="ERIBERTO GOMES DE OLIVEIRA"/>
    <s v="ERIBERTO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d v="1990-07-05T00:00:00"/>
    <x v="30"/>
    <m/>
    <s v="brasileira"/>
    <s v="PRIMAVERA"/>
    <s v="PE"/>
    <s v="BR"/>
    <s v="Não"/>
    <s v="M"/>
    <s v="Não"/>
    <m/>
    <s v="Casado"/>
    <s v="Amarel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12"/>
    <m/>
    <d v="2014-01-11T00:00:00"/>
    <s v="PE"/>
    <s v="103.063.164-63"/>
    <n v="39591"/>
    <n v="65"/>
    <d v="2008-07-10T00:00:00"/>
    <s v="PE"/>
    <n v="16100222141"/>
    <m/>
    <m/>
    <m/>
    <m/>
    <m/>
    <m/>
    <m/>
    <m/>
    <m/>
    <x v="204"/>
    <n v="3"/>
    <n v="521"/>
    <s v="14/03/2008"/>
    <s v="PE"/>
    <n v="210782637537"/>
    <m/>
    <m/>
    <m/>
    <s v="AVENIDA ENGENHO BABILONIA"/>
    <n v="36"/>
    <m/>
    <s v="COHAB"/>
    <s v="RECIFE"/>
    <s v="PE"/>
    <s v="51270-080"/>
    <m/>
    <n v="81984422624"/>
    <m/>
    <n v="341"/>
    <n v="8322"/>
    <x v="21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RIBEOLI"/>
    <n v="1"/>
    <s v="Sim"/>
  </r>
  <r>
    <n v="102020"/>
    <x v="213"/>
    <s v="Ativo"/>
    <s v="AD"/>
    <n v="30048363"/>
    <s v="Colaborador–M.O.Var"/>
    <s v="Mensalista"/>
    <s v="1DX"/>
    <s v="Duratex S.A."/>
    <n v="9"/>
    <s v="FÁB LOUÇAS JUNDIAÍ I"/>
    <n v="9"/>
    <s v="DECA"/>
    <s v="SIM"/>
    <s v="0009 - FÁB LOUÇAS JUNDIAÍ I"/>
    <s v="LUCAS ZAVANI DA SILVA"/>
    <s v="LUCAS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s v="23/07/1994"/>
    <x v="2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13"/>
    <m/>
    <s v="27/03/2019"/>
    <s v="SP"/>
    <s v="415.720.458-17"/>
    <n v="48520"/>
    <n v="405"/>
    <s v="13/08/2016"/>
    <s v="SP"/>
    <n v="20487273588"/>
    <m/>
    <m/>
    <m/>
    <m/>
    <m/>
    <m/>
    <m/>
    <m/>
    <m/>
    <x v="205"/>
    <n v="65"/>
    <n v="389"/>
    <s v="19/02/2013"/>
    <s v="SP"/>
    <n v="140873066488"/>
    <m/>
    <m/>
    <m/>
    <s v="RUA NAIR TOMAZETO"/>
    <n v="146"/>
    <m/>
    <s v="DO POSTE"/>
    <s v="JUNDIAÍ"/>
    <s v="SP"/>
    <s v="13213-249"/>
    <m/>
    <n v="11942571450"/>
    <m/>
    <n v="341"/>
    <n v="2523"/>
    <x v="21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ZAVANI"/>
    <n v="1"/>
    <s v="Sim"/>
  </r>
  <r>
    <n v="102020"/>
    <x v="214"/>
    <s v="Ativo"/>
    <s v="AD"/>
    <n v="30048359"/>
    <s v="Colaborador–M.O.Var"/>
    <s v="Mensalista"/>
    <s v="1DX"/>
    <s v="Duratex S.A."/>
    <n v="9"/>
    <s v="FÁB LOUÇAS JUNDIAÍ I"/>
    <n v="9"/>
    <s v="DECA"/>
    <s v="SIM"/>
    <s v="0009 - FÁB LOUÇAS JUNDIAÍ I"/>
    <s v="GUSTAVO SANTOS DAS GRACAS"/>
    <s v="GUSTAVO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d v="2001-07-08T00:00:00"/>
    <x v="24"/>
    <m/>
    <s v="brasileira"/>
    <s v="CAIEIRAS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s v="Faltas não justificadas"/>
    <s v="N"/>
    <x v="214"/>
    <m/>
    <s v="21/09/2010"/>
    <s v="SP"/>
    <s v="498.048.348-80"/>
    <n v="75467"/>
    <n v="439"/>
    <s v="28/09/2015"/>
    <s v="SP"/>
    <n v="12587635219"/>
    <m/>
    <m/>
    <m/>
    <m/>
    <m/>
    <m/>
    <m/>
    <m/>
    <m/>
    <x v="88"/>
    <m/>
    <m/>
    <m/>
    <m/>
    <n v="320002101089"/>
    <m/>
    <m/>
    <m/>
    <s v="RUA SAO GABRIEL"/>
    <n v="250"/>
    <m/>
    <s v="BOTUJURU (BOTUJURU)"/>
    <s v="CAMPO LIMPO PAULISTA"/>
    <s v="SP"/>
    <s v="13238-253"/>
    <m/>
    <n v="11953512440"/>
    <m/>
    <n v="341"/>
    <n v="2523"/>
    <x v="21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GRACAS"/>
    <n v="1"/>
    <s v="Sim"/>
  </r>
  <r>
    <n v="102020"/>
    <x v="215"/>
    <s v="Ativo"/>
    <s v="AD"/>
    <n v="30047435"/>
    <s v="Colaborador–M.O.Var"/>
    <s v="Mensalista"/>
    <s v="1DX"/>
    <s v="Duratex S.A."/>
    <n v="11"/>
    <s v="FÁB LOUÇAS RECIFE"/>
    <n v="11"/>
    <s v="DECA"/>
    <s v="SIM"/>
    <s v="0011 - FÁB LOUÇAS RECIFE"/>
    <s v="DENILSON SOUZA DE FREITAS"/>
    <s v="DENILSON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s v="21/05/1979"/>
    <x v="17"/>
    <m/>
    <s v="brasileira"/>
    <s v="RECIFE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15"/>
    <m/>
    <d v="2004-07-06T00:00:00"/>
    <s v="PE"/>
    <s v="036.051.384-03"/>
    <n v="2123"/>
    <n v="63"/>
    <s v="28/08/1997"/>
    <s v="PE"/>
    <n v="12956065450"/>
    <m/>
    <m/>
    <m/>
    <m/>
    <m/>
    <m/>
    <m/>
    <m/>
    <m/>
    <x v="206"/>
    <n v="110"/>
    <n v="33"/>
    <d v="1996-02-01T00:00:00"/>
    <s v="PE"/>
    <n v="210822319336"/>
    <m/>
    <m/>
    <m/>
    <s v="RUA  DO CONSELHO"/>
    <n v="87"/>
    <m/>
    <s v="CAJUEIRO SECO"/>
    <s v="JABOATÃO DOS GUARARAPES"/>
    <s v="PE"/>
    <s v="54330-421"/>
    <m/>
    <n v="81986326856"/>
    <m/>
    <n v="341"/>
    <n v="6318"/>
    <x v="21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ENFREIT"/>
    <n v="1"/>
    <s v="Sim"/>
  </r>
  <r>
    <n v="102020"/>
    <x v="216"/>
    <s v="Ativo"/>
    <s v="AD"/>
    <n v="30048360"/>
    <s v="Colaborador–M.O.Var"/>
    <s v="Mensalista"/>
    <s v="1DX"/>
    <s v="Duratex S.A."/>
    <n v="9"/>
    <s v="FÁB LOUÇAS JUNDIAÍ I"/>
    <n v="9"/>
    <s v="DECA"/>
    <s v="SIM"/>
    <s v="0009 - FÁB LOUÇAS JUNDIAÍ I"/>
    <s v="ELIEZER OLIVEIRA CARVALHO"/>
    <s v="ELIEZER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s v="19/09/1997"/>
    <x v="18"/>
    <m/>
    <s v="brasileira"/>
    <s v="AP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s v="Ausência B.H. Empregado"/>
    <s v="N"/>
    <x v="216"/>
    <m/>
    <d v="2016-10-10T00:00:00"/>
    <s v="SP"/>
    <s v="455.760.558-37"/>
    <n v="72845"/>
    <n v="338"/>
    <d v="2014-06-05T00:00:00"/>
    <s v="SP"/>
    <n v="16093260241"/>
    <m/>
    <m/>
    <m/>
    <m/>
    <m/>
    <m/>
    <m/>
    <m/>
    <m/>
    <x v="207"/>
    <n v="53"/>
    <n v="117"/>
    <d v="2020-03-10T00:00:00"/>
    <s v="SP"/>
    <n v="141292049956"/>
    <m/>
    <m/>
    <m/>
    <s v="RUA RIO IPOJUCA"/>
    <n v="19"/>
    <m/>
    <s v="JARDIM SANTO ANTONIO II"/>
    <s v="CAMPO LIMPO PAULISTA"/>
    <s v="SP"/>
    <s v="13232-151"/>
    <m/>
    <n v="15996833675"/>
    <m/>
    <n v="341"/>
    <n v="162"/>
    <x v="21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LIECARV"/>
    <n v="1"/>
    <s v="Sim"/>
  </r>
  <r>
    <n v="102020"/>
    <x v="217"/>
    <s v="Ativo"/>
    <s v="AD"/>
    <n v="30048362"/>
    <s v="Colaborador–M.O.Var"/>
    <s v="Mensalista"/>
    <s v="1DX"/>
    <s v="Duratex S.A."/>
    <n v="9"/>
    <s v="FÁB LOUÇAS JUNDIAÍ I"/>
    <n v="9"/>
    <s v="DECA"/>
    <s v="SIM"/>
    <s v="0009 - FÁB LOUÇAS JUNDIAÍ I"/>
    <s v="MATHEUS DA ROCHA VIANNA"/>
    <s v="MATHEUS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s v="26/04/1999"/>
    <x v="13"/>
    <m/>
    <s v="brasileira"/>
    <s v="JUNDIAI"/>
    <s v="SP"/>
    <s v="BR"/>
    <s v="Não"/>
    <s v="M"/>
    <s v="Não"/>
    <m/>
    <s v="Solt."/>
    <s v="Negr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17"/>
    <m/>
    <s v="28/07/2016"/>
    <s v="SP"/>
    <s v="402.795.468-82"/>
    <n v="92861"/>
    <n v="437"/>
    <s v="29/06/2015"/>
    <s v="SP"/>
    <n v="14304018791"/>
    <m/>
    <m/>
    <m/>
    <m/>
    <m/>
    <m/>
    <m/>
    <m/>
    <m/>
    <x v="208"/>
    <n v="242"/>
    <n v="69"/>
    <d v="2018-02-02T00:00:00"/>
    <s v="SP"/>
    <n v="141672369917"/>
    <m/>
    <m/>
    <m/>
    <s v="RUA IGURUPI"/>
    <n v="222"/>
    <m/>
    <s v="JARDIM CRUZ ALTA"/>
    <s v="VÁRZEA PAULISTA"/>
    <s v="SP"/>
    <s v="13224-425"/>
    <m/>
    <n v="11973176724"/>
    <m/>
    <n v="341"/>
    <n v="9895"/>
    <x v="21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VIANNA"/>
    <n v="1"/>
    <s v="Sim"/>
  </r>
  <r>
    <n v="102020"/>
    <x v="218"/>
    <s v="Ativo"/>
    <s v="AD"/>
    <n v="30047438"/>
    <s v="Colaborador–M.O.Var"/>
    <s v="Mensalista"/>
    <s v="1DX"/>
    <s v="Duratex S.A."/>
    <n v="11"/>
    <s v="FÁB LOUÇAS RECIFE"/>
    <n v="11"/>
    <s v="DECA"/>
    <s v="SIM"/>
    <s v="0011 - FÁB LOUÇAS RECIFE"/>
    <s v="RAVEL GOMES DA SILVA"/>
    <s v="RAVEL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d v="1996-01-12T00:00:00"/>
    <x v="18"/>
    <m/>
    <s v="brasileira"/>
    <s v="RECIFE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18"/>
    <m/>
    <s v="15/12/2009"/>
    <s v="PE"/>
    <s v="120.205.274-64"/>
    <n v="1545"/>
    <n v="120"/>
    <s v="20/01/2014"/>
    <s v="PE"/>
    <n v="20199448498"/>
    <m/>
    <m/>
    <m/>
    <m/>
    <m/>
    <m/>
    <m/>
    <m/>
    <m/>
    <x v="209"/>
    <n v="121"/>
    <n v="47"/>
    <s v="13/10/2017"/>
    <s v="PE"/>
    <n v="210022603711"/>
    <m/>
    <m/>
    <m/>
    <s v="RUA PROJETADA A"/>
    <n v="71"/>
    <m/>
    <s v="GARAPU"/>
    <s v="CABO DE SANTO AGOSTINHO"/>
    <s v="PE"/>
    <s v="54517-710"/>
    <m/>
    <n v="81985935358"/>
    <m/>
    <n v="341"/>
    <n v="1737"/>
    <x v="21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AVESILV"/>
    <n v="1"/>
    <s v="Sim"/>
  </r>
  <r>
    <n v="102020"/>
    <x v="219"/>
    <s v="Ativo"/>
    <s v="AD"/>
    <n v="30048358"/>
    <s v="Colaborador–M.O.Var"/>
    <s v="Mensalista"/>
    <s v="1DX"/>
    <s v="Duratex S.A."/>
    <n v="9"/>
    <s v="FÁB LOUÇAS JUNDIAÍ I"/>
    <n v="9"/>
    <s v="DECA"/>
    <s v="SIM"/>
    <s v="0009 - FÁB LOUÇAS JUNDIAÍ I"/>
    <s v="LUIZ CARLOS SOUZA DA CONCEICAO"/>
    <s v="LUIZ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s v="19/05/2000"/>
    <x v="32"/>
    <m/>
    <s v="brasileira"/>
    <s v="CAMPINAS"/>
    <s v="SP"/>
    <s v="BR"/>
    <s v="Não"/>
    <s v="M"/>
    <s v="Não"/>
    <m/>
    <s v="Solt."/>
    <s v="Parda"/>
    <s v="Ginasial in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19"/>
    <m/>
    <d v="2014-03-09T00:00:00"/>
    <s v="SP"/>
    <s v="471.825.408-60"/>
    <n v="95414"/>
    <n v="419"/>
    <d v="2014-03-09T00:00:00"/>
    <s v="SP"/>
    <n v="20734688770"/>
    <m/>
    <m/>
    <m/>
    <m/>
    <m/>
    <m/>
    <m/>
    <m/>
    <m/>
    <x v="210"/>
    <n v="242"/>
    <n v="265"/>
    <s v="27/04/2018"/>
    <s v="SP"/>
    <n v="320002649935"/>
    <m/>
    <m/>
    <m/>
    <s v="RUA JUNDIAI"/>
    <n v="353"/>
    <m/>
    <s v="JARDIM PAULISTA"/>
    <s v="VÁRZEA PAULISTA"/>
    <s v="SP"/>
    <s v="13222-030"/>
    <m/>
    <n v="11934037927"/>
    <m/>
    <n v="341"/>
    <n v="1292"/>
    <x v="21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ONLUIZ"/>
    <n v="1"/>
    <s v="Sim"/>
  </r>
  <r>
    <n v="102020"/>
    <x v="220"/>
    <s v="Ativo"/>
    <s v="AD"/>
    <n v="30047440"/>
    <s v="Colaborador–M.O.Var"/>
    <s v="Mensalista"/>
    <s v="1DX"/>
    <s v="Duratex S.A."/>
    <n v="11"/>
    <s v="FÁB LOUÇAS RECIFE"/>
    <n v="11"/>
    <s v="DECA"/>
    <s v="SIM"/>
    <s v="0011 - FÁB LOUÇAS RECIFE"/>
    <s v="DAVID FELLIPE PIAUILINO"/>
    <s v="DAVID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s v="21/08/1993"/>
    <x v="16"/>
    <m/>
    <s v="brasileira"/>
    <s v="CABO DE SANTO AGOSTINHO"/>
    <s v="PE"/>
    <s v="BR"/>
    <s v="Não"/>
    <s v="M"/>
    <s v="Não"/>
    <m/>
    <s v="Divor."/>
    <s v="Branca"/>
    <s v="Colegial in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20"/>
    <m/>
    <s v="24/09/2007"/>
    <s v="PE"/>
    <s v="102.244.274-07"/>
    <n v="15620"/>
    <n v="89"/>
    <s v="24/02/2016"/>
    <s v="PE"/>
    <n v="20031580119"/>
    <m/>
    <m/>
    <m/>
    <m/>
    <m/>
    <m/>
    <m/>
    <m/>
    <m/>
    <x v="211"/>
    <n v="15"/>
    <n v="169"/>
    <s v="26/07/2017"/>
    <s v="PE"/>
    <n v="210022522168"/>
    <m/>
    <m/>
    <m/>
    <s v="RUA ADOLFO LINS DE ARAUJO"/>
    <n v="1"/>
    <m/>
    <s v="TORRINHA"/>
    <s v="CABO DE SANTO AGOSTINHO"/>
    <s v="PE"/>
    <s v="54525-240"/>
    <m/>
    <n v="81985578323"/>
    <m/>
    <n v="341"/>
    <n v="6999"/>
    <x v="22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PIAUILI"/>
    <n v="1"/>
    <s v="Sim"/>
  </r>
  <r>
    <n v="102020"/>
    <x v="221"/>
    <s v="Ativo"/>
    <s v="AD"/>
    <n v="30047439"/>
    <s v="Colaborador–M.O.Var"/>
    <s v="Mensalista"/>
    <s v="1DX"/>
    <s v="Duratex S.A."/>
    <n v="11"/>
    <s v="FÁB LOUÇAS RECIFE"/>
    <n v="11"/>
    <s v="DECA"/>
    <s v="SIM"/>
    <s v="0011 - FÁB LOUÇAS RECIFE"/>
    <s v="MILANES WILLAMS LUIZ DA SILVA"/>
    <s v="MILANES"/>
    <n v="10004875"/>
    <s v="DRR-05"/>
    <s v="DRR-05- CLASSIFICACAO - LR"/>
    <s v="DXLR"/>
    <s v="DXCLEMBL65"/>
    <s v="Classificação"/>
    <n v="10001333"/>
    <s v="DRR-01"/>
    <s v="DRR-01 - INSPEC/ESMAL/FOR/REQ – LR"/>
    <s v="ADSON NICOLAS GOMES DOS SANTOS"/>
    <n v="10000059"/>
    <s v="SUPERVISOR"/>
    <s v="SUPERVISOR"/>
    <n v="10000017"/>
    <s v="DECA"/>
    <s v="DIR IND DECA (LOUCAS)"/>
    <m/>
    <m/>
    <m/>
    <m/>
    <m/>
    <m/>
    <d v="2020-08-10T00:00:00"/>
    <n v="0"/>
    <m/>
    <s v="19/04/2000"/>
    <x v="32"/>
    <m/>
    <s v="brasileira"/>
    <s v="CABO DE SANTO AGOSTINHO"/>
    <s v="PE"/>
    <s v="BR"/>
    <s v="Não"/>
    <s v="M"/>
    <s v="Não"/>
    <m/>
    <s v="Solt."/>
    <s v="Negr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21"/>
    <m/>
    <d v="2014-06-02T00:00:00"/>
    <s v="PE"/>
    <s v="124.678.194-85"/>
    <n v="9423975"/>
    <n v="40"/>
    <s v="27/01/2015"/>
    <s v="PE"/>
    <n v="21290054683"/>
    <m/>
    <m/>
    <m/>
    <m/>
    <m/>
    <m/>
    <m/>
    <m/>
    <m/>
    <x v="212"/>
    <n v="121"/>
    <n v="73"/>
    <d v="2017-08-06T00:00:00"/>
    <s v="PE"/>
    <n v="320000924870"/>
    <m/>
    <m/>
    <m/>
    <s v="RUA CEL JOSE DE MORAES"/>
    <n v="26"/>
    <m/>
    <s v="CENTRO"/>
    <s v="CABO DE SANTO AGOSTINHO"/>
    <s v="PE"/>
    <s v="54505-690"/>
    <m/>
    <n v="81985519453"/>
    <m/>
    <n v="341"/>
    <n v="1737"/>
    <x v="22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ILASILV"/>
    <n v="1"/>
    <s v="Sim"/>
  </r>
  <r>
    <n v="102020"/>
    <x v="222"/>
    <s v="Ativo"/>
    <s v="AD"/>
    <n v="30041261"/>
    <s v="Colaborador–M.O.Var"/>
    <s v="Mensalista"/>
    <s v="1DX"/>
    <s v="Duratex S.A."/>
    <n v="9"/>
    <s v="FÁB LOUÇAS JUNDIAÍ I"/>
    <n v="9"/>
    <s v="DECA"/>
    <s v="SIM"/>
    <s v="0009 - FÁB LOUÇAS JUNDIAÍ I"/>
    <s v="LEONARDO NOGUEIRA NERY"/>
    <s v="LEONARDO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s v="24/07/2000"/>
    <x v="32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s v="Faltas não justificadas"/>
    <s v="N"/>
    <x v="222"/>
    <m/>
    <s v="14/11/2019"/>
    <s v="SP"/>
    <s v="524.952.528-85"/>
    <n v="88728"/>
    <n v="449"/>
    <s v="22/02/2017"/>
    <s v="SP"/>
    <n v="16424842455"/>
    <m/>
    <m/>
    <m/>
    <m/>
    <m/>
    <m/>
    <m/>
    <m/>
    <m/>
    <x v="213"/>
    <n v="65"/>
    <n v="578"/>
    <d v="2019-01-04T00:00:00"/>
    <s v="SP"/>
    <n v="320000970104"/>
    <m/>
    <m/>
    <m/>
    <s v="RUA RAULINO BAPTISTA BULHOES"/>
    <n v="301"/>
    <m/>
    <s v="CH PAI JACO"/>
    <s v="JUNDIAÍ"/>
    <s v="SP"/>
    <s v="13214-725"/>
    <m/>
    <n v="11954438729"/>
    <m/>
    <n v="341"/>
    <n v="2523"/>
    <x v="22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ENERY"/>
    <n v="1"/>
    <s v="Sim"/>
  </r>
  <r>
    <n v="102020"/>
    <x v="223"/>
    <s v="Ativo"/>
    <s v="AD"/>
    <n v="30041405"/>
    <s v="Colaborador–M.O.Var"/>
    <s v="Mensalista"/>
    <s v="1DX"/>
    <s v="Duratex S.A."/>
    <n v="9"/>
    <s v="FÁB LOUÇAS JUNDIAÍ I"/>
    <n v="9"/>
    <s v="DECA"/>
    <s v="SIM"/>
    <s v="0009 - FÁB LOUÇAS JUNDIAÍ I"/>
    <s v="ESDEVAL BARBOSA DOS SANTOS"/>
    <s v="ESDEVAL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d v="1974-08-10T00:00:00"/>
    <x v="14"/>
    <m/>
    <s v="brasileira"/>
    <s v="PONTA GROSSA"/>
    <s v="PR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23"/>
    <m/>
    <s v="21/11/2013"/>
    <s v="SP"/>
    <s v="257.189.288-60"/>
    <n v="19569"/>
    <n v="126"/>
    <d v="1989-04-08T00:00:00"/>
    <s v="SP"/>
    <n v="12397404437"/>
    <m/>
    <m/>
    <m/>
    <m/>
    <m/>
    <m/>
    <m/>
    <m/>
    <m/>
    <x v="214"/>
    <n v="281"/>
    <n v="221"/>
    <s v="30/03/2012"/>
    <s v="SP"/>
    <m/>
    <m/>
    <m/>
    <m/>
    <s v="RUA VAGNER DE SOUZA"/>
    <n v="175"/>
    <m/>
    <s v="JARDIM SANTA GERTRUDES"/>
    <s v="JUNDIAÍ"/>
    <s v="SP"/>
    <s v="13205-450"/>
    <m/>
    <n v="11964958334"/>
    <m/>
    <n v="341"/>
    <n v="2866"/>
    <x v="22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SDSANTO"/>
    <n v="1"/>
    <s v="Sim"/>
  </r>
  <r>
    <n v="102020"/>
    <x v="224"/>
    <s v="Ativo"/>
    <s v="AD"/>
    <n v="30043140"/>
    <s v="Colaborador–M.O.Var"/>
    <s v="Horista"/>
    <s v="1DX"/>
    <s v="Duratex S.A."/>
    <n v="13"/>
    <s v="FÁB LOUÇAS QUEIMADOS"/>
    <n v="13"/>
    <s v="DECA"/>
    <s v="SIM"/>
    <s v="0013 - FÁB LOUÇAS QUEIMADOS"/>
    <s v="ALESSANDRO PEREIRA DE ALMEIDA"/>
    <s v="ALESSANDRO"/>
    <n v="10001259"/>
    <s v="DND-02"/>
    <s v="DND-02 - INSPECAO - LQ"/>
    <s v="DXLQ"/>
    <s v="DXINSPEC68"/>
    <s v="Inspeção"/>
    <n v="10007686"/>
    <s v="DND-01"/>
    <s v="DND-01 - FUNDICAO MEC- LQ"/>
    <s v="LUCIANO DE OLIVEIRA SOUZA"/>
    <n v="10000059"/>
    <s v="SUPERVISOR"/>
    <s v="SUPERVISOR"/>
    <n v="10000017"/>
    <s v="DECA"/>
    <s v="DIR IND DECA (LOUCAS)"/>
    <m/>
    <m/>
    <m/>
    <m/>
    <m/>
    <m/>
    <d v="2020-08-10T00:00:00"/>
    <n v="0"/>
    <m/>
    <s v="14/12/1991"/>
    <x v="11"/>
    <m/>
    <s v="brasileira"/>
    <s v="RIO DE JANEIRO"/>
    <s v="RJ"/>
    <s v="BR"/>
    <s v="Não"/>
    <s v="M"/>
    <s v="Não"/>
    <m/>
    <s v="Solt."/>
    <s v="Parda"/>
    <s v="Analfab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224"/>
    <m/>
    <d v="2007-01-10T00:00:00"/>
    <s v="RJ"/>
    <s v="061.258.547-60"/>
    <n v="4709660"/>
    <n v="30"/>
    <s v="26/10/2010"/>
    <s v="RJ"/>
    <n v="14707119278"/>
    <m/>
    <m/>
    <m/>
    <m/>
    <m/>
    <m/>
    <m/>
    <m/>
    <m/>
    <x v="215"/>
    <n v="84"/>
    <n v="595"/>
    <d v="2010-11-11T00:00:00"/>
    <s v="RJ"/>
    <n v="21312820620"/>
    <m/>
    <m/>
    <m/>
    <s v="RUA RIO DE JANEIRO  JD CABUCU"/>
    <n v="101"/>
    <m/>
    <s v="CAMPO ALEGRE"/>
    <s v="NOVA IGUAÇU"/>
    <s v="RJ"/>
    <s v="26292-210"/>
    <m/>
    <n v="21983579056"/>
    <m/>
    <n v="341"/>
    <n v="6893"/>
    <x v="22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ESALME"/>
    <n v="1"/>
    <s v="Sim"/>
  </r>
  <r>
    <n v="102020"/>
    <x v="225"/>
    <s v="Ativo"/>
    <s v="AD"/>
    <n v="30048365"/>
    <s v="Colaborador–M.O.Var"/>
    <s v="Mensalista"/>
    <s v="1DX"/>
    <s v="Duratex S.A."/>
    <n v="9"/>
    <s v="FÁB LOUÇAS JUNDIAÍ I"/>
    <n v="9"/>
    <s v="DECA"/>
    <s v="SIM"/>
    <s v="0009 - FÁB LOUÇAS JUNDIAÍ I"/>
    <s v="RENAN SILAS DOS SANTOS"/>
    <s v="RENAN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d v="2001-01-11T00:00:00"/>
    <x v="26"/>
    <m/>
    <s v="brasileira"/>
    <s v="CAMPO LIMPO PAULISTA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25"/>
    <m/>
    <d v="2015-07-05T00:00:00"/>
    <s v="SP"/>
    <s v="497.701.578-99"/>
    <n v="9505"/>
    <n v="453"/>
    <s v="26/07/2017"/>
    <s v="SP"/>
    <n v="26813441807"/>
    <m/>
    <m/>
    <m/>
    <m/>
    <m/>
    <m/>
    <m/>
    <m/>
    <m/>
    <x v="88"/>
    <m/>
    <m/>
    <m/>
    <m/>
    <n v="320003100509"/>
    <m/>
    <m/>
    <m/>
    <s v="RUA BRILHANTE"/>
    <n v="364"/>
    <m/>
    <s v="CHACARAS CAMPO LIMPO"/>
    <s v="CAMPO LIMPO PAULISTA"/>
    <s v="SP"/>
    <s v="13233-490"/>
    <m/>
    <n v="11968584968"/>
    <m/>
    <n v="341"/>
    <n v="2523"/>
    <x v="22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RENAN"/>
    <n v="1"/>
    <s v="Sim"/>
  </r>
  <r>
    <n v="102020"/>
    <x v="226"/>
    <s v="Ativo"/>
    <s v="AD"/>
    <n v="30048361"/>
    <s v="Colaborador–M.O.Var"/>
    <s v="Mensalista"/>
    <s v="1DX"/>
    <s v="Duratex S.A."/>
    <n v="9"/>
    <s v="FÁB LOUÇAS JUNDIAÍ I"/>
    <n v="9"/>
    <s v="DECA"/>
    <s v="SIM"/>
    <s v="0009 - FÁB LOUÇAS JUNDIAÍ I"/>
    <s v="HENRIQUE SGARIBOLDI DE OLIVEIRA"/>
    <s v="HENRIQUE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s v="19/10/1998"/>
    <x v="28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s v="Ausência B.H. Empregado"/>
    <s v="N"/>
    <x v="226"/>
    <m/>
    <s v="24/02/2009"/>
    <s v="SP"/>
    <s v="482.225.548-40"/>
    <n v="70510"/>
    <n v="412"/>
    <d v="2019-01-08T00:00:00"/>
    <s v="SP"/>
    <n v="20742454864"/>
    <m/>
    <m/>
    <m/>
    <m/>
    <m/>
    <m/>
    <m/>
    <m/>
    <m/>
    <x v="216"/>
    <n v="281"/>
    <n v="87"/>
    <d v="2016-01-04T00:00:00"/>
    <s v="SP"/>
    <n v="140773236586"/>
    <m/>
    <m/>
    <m/>
    <s v="AVENIDA PIO X"/>
    <n v="276"/>
    <m/>
    <s v="VILA DE VECCHI"/>
    <s v="JUNDIAÍ"/>
    <s v="SP"/>
    <s v="13202-190"/>
    <m/>
    <n v="11942518918"/>
    <m/>
    <n v="341"/>
    <n v="2523"/>
    <x v="22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HENOLIVE"/>
    <n v="1"/>
    <s v="Sim"/>
  </r>
  <r>
    <n v="102020"/>
    <x v="227"/>
    <s v="Ativo"/>
    <s v="AD"/>
    <n v="30048367"/>
    <s v="Colaborador–M.O.Var"/>
    <s v="Mensalista"/>
    <s v="1DX"/>
    <s v="Duratex S.A."/>
    <n v="9"/>
    <s v="FÁB LOUÇAS JUNDIAÍ I"/>
    <n v="9"/>
    <s v="DECA"/>
    <s v="SIM"/>
    <s v="0009 - FÁB LOUÇAS JUNDIAÍ I"/>
    <s v="UILIAM JOSE DE OLIVEIRA"/>
    <s v="UILIAM"/>
    <n v="10001589"/>
    <s v="DCI-02"/>
    <s v="DCI-02 - CLASSIFICACAO - LJ I"/>
    <s v="DXLJ"/>
    <s v="DXCLEMBL23"/>
    <s v="Classificação"/>
    <n v="10001590"/>
    <s v="DCI-02"/>
    <s v="DCI-02 - CLASSIFICACAO - LJ I"/>
    <s v="MAYKON HENRIQUE PADUA PINTO"/>
    <n v="10000080"/>
    <s v="EQUIPE"/>
    <s v="EQUIPE"/>
    <n v="10000017"/>
    <s v="DECA"/>
    <s v="DIR IND DECA (LOUCAS)"/>
    <m/>
    <m/>
    <m/>
    <m/>
    <m/>
    <m/>
    <d v="2020-08-10T00:00:00"/>
    <n v="0"/>
    <m/>
    <s v="20/04/1998"/>
    <x v="28"/>
    <m/>
    <s v="brasileira"/>
    <s v="GAMELEIRAS"/>
    <s v="MG"/>
    <s v="BR"/>
    <s v="Não"/>
    <s v="M"/>
    <s v="Não"/>
    <m/>
    <s v="Solt."/>
    <s v="Branca"/>
    <s v="Colegial completo"/>
    <s v="Mental"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27"/>
    <m/>
    <s v="19/05/2015"/>
    <s v="MG"/>
    <s v="148.488.376-42"/>
    <n v="4348119"/>
    <n v="50"/>
    <s v="29/04/2016"/>
    <s v="MG"/>
    <n v="20398277103"/>
    <m/>
    <m/>
    <m/>
    <m/>
    <m/>
    <m/>
    <m/>
    <m/>
    <m/>
    <x v="217"/>
    <n v="180"/>
    <n v="101"/>
    <d v="2014-01-05T00:00:00"/>
    <s v="MG"/>
    <n v="113242022664"/>
    <m/>
    <m/>
    <m/>
    <s v="AVENIDA ARTUR DA COSTA"/>
    <n v="121"/>
    <m/>
    <s v="JARDIM CELESTE"/>
    <s v="JUNDIAÍ"/>
    <s v="SP"/>
    <s v="13214-810"/>
    <m/>
    <n v="11996843323"/>
    <m/>
    <n v="341"/>
    <n v="4837"/>
    <x v="22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UIOLIVEI"/>
    <n v="1"/>
    <s v="Sim"/>
  </r>
  <r>
    <n v="102020"/>
    <x v="228"/>
    <s v="Desligado"/>
    <s v="AD"/>
    <n v="99999999"/>
    <s v="Colaborador–M.O.Var"/>
    <s v="Mensalista"/>
    <s v="1DX"/>
    <s v="Duratex S.A."/>
    <n v="9"/>
    <s v="FÁB LOUÇAS JUNDIAÍ I"/>
    <n v="9"/>
    <s v="DECA"/>
    <s v="SIM"/>
    <s v="0009 - FÁB LOUÇAS JUNDIAÍ I"/>
    <s v="ERIK TITO AMANCIO"/>
    <s v="ERIK"/>
    <n v="10001590"/>
    <s v="DCI-02"/>
    <s v="DCI-02 - CLASSIFICACAO - LJ I"/>
    <s v="DXLJ"/>
    <s v="DXCLEMBL23"/>
    <s v="Classificação"/>
    <n v="10008652"/>
    <s v="DCI-01"/>
    <s v="DCI-01 - CLASSIFICAÇÃO E MANUT. LJ I"/>
    <s v="MAYKON HENRIQUE PADUA PINTO"/>
    <n v="10000060"/>
    <s v="SUPERIOR"/>
    <s v="SUPERIOR"/>
    <n v="10000017"/>
    <s v="DECA"/>
    <s v="DIR IND DECA (LOUCAS)"/>
    <m/>
    <m/>
    <m/>
    <m/>
    <m/>
    <m/>
    <d v="2020-08-10T00:00:00"/>
    <n v="0"/>
    <m/>
    <s v="15/03/2002"/>
    <x v="26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s v="Faltas justificadas"/>
    <s v="N"/>
    <x v="228"/>
    <m/>
    <d v="2014-04-06T00:00:00"/>
    <s v="SP"/>
    <s v="478.324.118-05"/>
    <n v="28751"/>
    <n v="456"/>
    <s v="16/01/2018"/>
    <s v="SP"/>
    <n v="13926593813"/>
    <m/>
    <m/>
    <m/>
    <m/>
    <m/>
    <m/>
    <m/>
    <m/>
    <m/>
    <x v="88"/>
    <m/>
    <m/>
    <m/>
    <m/>
    <n v="320004079630"/>
    <m/>
    <m/>
    <m/>
    <s v="RUA LAURENTINO JOSE DO PRADO"/>
    <n v="144"/>
    <m/>
    <s v="PARQUE RESIDENCIAL JUNDIAI"/>
    <s v="JUNDIAÍ"/>
    <s v="SP"/>
    <s v="13212-496"/>
    <m/>
    <n v="11943986034"/>
    <m/>
    <n v="341"/>
    <n v="2523"/>
    <x v="228"/>
    <s v="13/10/2020"/>
    <s v="PEDIDO DE DEMISSÃO AP DISPENS"/>
    <s v="INTERESSE DO FUNCIONÁRIO"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RAMANCI"/>
    <n v="1"/>
    <s v="Sim"/>
  </r>
  <r>
    <n v="102020"/>
    <x v="229"/>
    <s v="Ativo"/>
    <s v="AD"/>
    <n v="30041776"/>
    <s v="Colaborador–M.O.Var"/>
    <s v="Mensalista"/>
    <s v="1DX"/>
    <s v="Duratex S.A."/>
    <n v="9"/>
    <s v="FÁB LOUÇAS JUNDIAÍ I"/>
    <n v="9"/>
    <s v="DECA"/>
    <s v="SIM"/>
    <s v="0009 - FÁB LOUÇAS JUNDIAÍ I"/>
    <s v="DANIEL VIEIRA"/>
    <s v="DANIEL"/>
    <n v="10001590"/>
    <s v="DCI-02"/>
    <s v="DCI-02 - CLASSIFICACAO - LJ I"/>
    <s v="DXLJ"/>
    <s v="DXCLEMBL23"/>
    <s v="Classificação"/>
    <n v="10008652"/>
    <s v="DCI-01"/>
    <s v="DCI-01 - CLASSIFICAÇÃO E MANUT. LJ I"/>
    <s v="MAYKON HENRIQUE PADUA PINTO"/>
    <n v="10000060"/>
    <s v="SUPERIOR"/>
    <s v="SUPERIOR"/>
    <n v="10000017"/>
    <s v="DECA"/>
    <s v="DIR IND DECA (LOUCAS)"/>
    <m/>
    <m/>
    <m/>
    <m/>
    <m/>
    <m/>
    <d v="2020-08-10T00:00:00"/>
    <n v="0"/>
    <m/>
    <s v="27/01/1978"/>
    <x v="5"/>
    <m/>
    <s v="brasileira"/>
    <s v="JUNDIAI"/>
    <s v="SP"/>
    <s v="BR"/>
    <s v="Não"/>
    <s v="M"/>
    <s v="Não"/>
    <m/>
    <s v="Solt."/>
    <s v="Parda"/>
    <s v="Ginasial in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29"/>
    <m/>
    <s v="21/09/2017"/>
    <s v="SP"/>
    <s v="276.566.498-67"/>
    <n v="46050"/>
    <n v="176"/>
    <s v="25/06/2008"/>
    <s v="SP"/>
    <n v="12802623895"/>
    <m/>
    <m/>
    <m/>
    <m/>
    <m/>
    <m/>
    <m/>
    <m/>
    <m/>
    <x v="218"/>
    <n v="242"/>
    <n v="193"/>
    <d v="2018-12-11T00:00:00"/>
    <s v="SP"/>
    <n v="140872490390"/>
    <m/>
    <m/>
    <m/>
    <s v="RUA MANOEL DOS REIS MACHADO"/>
    <n v="616"/>
    <m/>
    <s v="JARDIM SAO PAULO"/>
    <s v="VÁRZEA PAULISTA"/>
    <s v="SP"/>
    <s v="13221-653"/>
    <m/>
    <n v="11943836728"/>
    <m/>
    <n v="341"/>
    <n v="9895"/>
    <x v="22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ANVIEIR"/>
    <n v="1"/>
    <s v="Sim"/>
  </r>
  <r>
    <n v="102020"/>
    <x v="230"/>
    <s v="Ativo"/>
    <s v="AD"/>
    <n v="30047243"/>
    <s v="Colaborador–M.O.Var"/>
    <s v="Mensalista"/>
    <s v="1DX"/>
    <s v="Duratex S.A."/>
    <n v="9"/>
    <s v="FÁB LOUÇAS JUNDIAÍ I"/>
    <n v="9"/>
    <s v="DECA"/>
    <s v="SIM"/>
    <s v="0009 - FÁB LOUÇAS JUNDIAÍ I"/>
    <s v="GABRIEL DA SILVA MAIA"/>
    <s v="GABRIEL"/>
    <n v="10001583"/>
    <s v="DMF-05"/>
    <s v="DMF-05 - FORNOS - LJ I"/>
    <s v="DXLJ"/>
    <s v="DXFORNOS23"/>
    <s v="Fornos"/>
    <n v="10001582"/>
    <s v="DMF-05"/>
    <s v="DMF-05 - FORNOS - LJ I"/>
    <s v="ANTONIO EVERSON COSTA"/>
    <n v="10000080"/>
    <s v="EQUIPE"/>
    <s v="EQUIPE"/>
    <n v="10000017"/>
    <s v="DECA"/>
    <s v="DIR IND DECA (LOUCAS)"/>
    <m/>
    <m/>
    <m/>
    <m/>
    <m/>
    <m/>
    <d v="2020-08-10T00:00:00"/>
    <n v="0"/>
    <m/>
    <s v="24/06/2002"/>
    <x v="26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30"/>
    <m/>
    <s v="13/11/2012"/>
    <s v="SP"/>
    <s v="504.837.458-47"/>
    <n v="54053"/>
    <n v="452"/>
    <s v="30/06/2017"/>
    <s v="SP"/>
    <n v="13160690880"/>
    <m/>
    <m/>
    <m/>
    <m/>
    <m/>
    <m/>
    <m/>
    <m/>
    <m/>
    <x v="88"/>
    <m/>
    <m/>
    <m/>
    <m/>
    <n v="320004609178"/>
    <m/>
    <m/>
    <m/>
    <s v="AVENIDA DR GILBERTO L  PEREIRA SILVA"/>
    <n v="1301"/>
    <m/>
    <s v="CIDADE NOVA"/>
    <s v="JUNDIAÍ"/>
    <s v="SP"/>
    <s v="13219-351"/>
    <m/>
    <n v="11971820324"/>
    <m/>
    <n v="341"/>
    <n v="4837"/>
    <x v="23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MAIA"/>
    <n v="1"/>
    <s v="Sim"/>
  </r>
  <r>
    <n v="102020"/>
    <x v="231"/>
    <s v="Ativo"/>
    <s v="AD"/>
    <n v="30131470"/>
    <s v="Colaborador–M.O.Var"/>
    <s v="Mensalista"/>
    <s v="1DX"/>
    <s v="Duratex S.A."/>
    <n v="9"/>
    <s v="FÁB LOUÇAS JUNDIAÍ I"/>
    <n v="9"/>
    <s v="DECA"/>
    <s v="SIM"/>
    <s v="0009 - FÁB LOUÇAS JUNDIAÍ I"/>
    <s v="MATHEUS HENRIQUE VIEIRA"/>
    <s v="MATHEUS"/>
    <n v="10001572"/>
    <s v="DMF-03"/>
    <s v="DMF-03 - ESMALTACAO AUTOMATICA - LJ I"/>
    <s v="DXLJ"/>
    <s v="DXESMAUT23"/>
    <s v="Esmalt. Automática"/>
    <n v="10002728"/>
    <s v="DMF-07"/>
    <s v="DMF-07 - ESMALTACAO - LJ I"/>
    <s v="TIAGO ILLIDIO AMBROSIN"/>
    <n v="10000080"/>
    <s v="EQUIPE"/>
    <s v="EQUIPE"/>
    <n v="10000017"/>
    <s v="DECA"/>
    <s v="DIR IND DECA (LOUCAS)"/>
    <m/>
    <m/>
    <m/>
    <m/>
    <m/>
    <m/>
    <d v="2020-08-10T00:00:00"/>
    <n v="0"/>
    <m/>
    <d v="1995-02-02T00:00:00"/>
    <x v="4"/>
    <m/>
    <s v="brasileira"/>
    <s v="JUNDIAI"/>
    <s v="SP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231"/>
    <m/>
    <d v="2016-03-11T00:00:00"/>
    <s v="SP"/>
    <s v="438.455.388-99"/>
    <n v="70829"/>
    <n v="379"/>
    <s v="27/06/2010"/>
    <s v="SP"/>
    <n v="16442239544"/>
    <m/>
    <m/>
    <m/>
    <m/>
    <m/>
    <m/>
    <m/>
    <m/>
    <m/>
    <x v="219"/>
    <n v="344"/>
    <n v="177"/>
    <s v="23/08/2019"/>
    <s v="SP"/>
    <n v="140342195264"/>
    <m/>
    <m/>
    <m/>
    <s v="RUA EUGENIO DINI"/>
    <n v="150"/>
    <m/>
    <s v="JD VITORIA"/>
    <s v="CAMPO LIMPO PAULISTA"/>
    <s v="SP"/>
    <s v="13236-271"/>
    <m/>
    <n v="11972367422"/>
    <m/>
    <n v="341"/>
    <n v="162"/>
    <x v="23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THEVIE"/>
    <n v="1"/>
    <s v="Sim"/>
  </r>
  <r>
    <n v="102020"/>
    <x v="232"/>
    <s v="Ativo"/>
    <s v="AD"/>
    <n v="30047163"/>
    <s v="Colaborador–M.O.Var"/>
    <s v="Mensalista"/>
    <s v="1DX"/>
    <s v="Duratex S.A."/>
    <n v="9"/>
    <s v="FÁB LOUÇAS JUNDIAÍ I"/>
    <n v="9"/>
    <s v="DECA"/>
    <s v="SIM"/>
    <s v="0009 - FÁB LOUÇAS JUNDIAÍ I"/>
    <s v="GABRIEL JESUS DE SOUZA"/>
    <s v="GABRIEL"/>
    <n v="10001569"/>
    <s v="DMF-02"/>
    <s v="DMF-02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8-10T00:00:00"/>
    <n v="0"/>
    <m/>
    <s v="27/02/1999"/>
    <x v="13"/>
    <m/>
    <s v="brasileira"/>
    <s v="SAO PAULO"/>
    <s v="SP"/>
    <s v="BR"/>
    <s v="Não"/>
    <s v="M"/>
    <s v="Não"/>
    <m/>
    <s v="Solt."/>
    <s v="Parda"/>
    <s v="Colegial completo"/>
    <m/>
    <n v="22002830"/>
    <s v="220/M"/>
    <s v="PREPARADOR PRODUCAO B"/>
    <n v="823120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4"/>
    <s v="GRS014OP"/>
    <d v="2020-10-01T00:00:00"/>
    <s v="Admissão"/>
    <s v="1.644,05"/>
    <s v="164405,00"/>
    <n v="1"/>
    <m/>
    <s v="N"/>
    <x v="232"/>
    <m/>
    <s v="25/06/2019"/>
    <s v="SP"/>
    <s v="477.253.448-29"/>
    <n v="72410"/>
    <n v="416"/>
    <s v="22/02/2014"/>
    <s v="SP"/>
    <n v="20077751544"/>
    <m/>
    <m/>
    <m/>
    <m/>
    <m/>
    <m/>
    <m/>
    <m/>
    <m/>
    <x v="88"/>
    <m/>
    <m/>
    <m/>
    <m/>
    <n v="140342232679"/>
    <m/>
    <m/>
    <m/>
    <s v="RUA NATAL RODRIGUES"/>
    <n v="90"/>
    <m/>
    <s v="JD MARCHETTI"/>
    <s v="CAMPO LIMPO PAULISTA"/>
    <s v="SP"/>
    <s v="13232-450"/>
    <m/>
    <n v="11999621775"/>
    <m/>
    <n v="341"/>
    <n v="162"/>
    <x v="23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ABRISOU"/>
    <n v="1"/>
    <s v="Sim"/>
  </r>
  <r>
    <n v="102020"/>
    <x v="233"/>
    <s v="Ativo"/>
    <s v="AD"/>
    <n v="30047210"/>
    <s v="Colaborador–M.O.Var"/>
    <s v="Mensalista"/>
    <s v="1DX"/>
    <s v="Duratex S.A."/>
    <n v="9"/>
    <s v="FÁB LOUÇAS JUNDIAÍ I"/>
    <n v="9"/>
    <s v="DECA"/>
    <s v="SIM"/>
    <s v="0009 - FÁB LOUÇAS JUNDIAÍ I"/>
    <s v="KEVIN DAVID DA SILVA PINTO"/>
    <s v="KEVIN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d v="2020-08-10T00:00:00"/>
    <n v="0"/>
    <m/>
    <s v="22/10/1996"/>
    <x v="7"/>
    <m/>
    <s v="brasileira"/>
    <s v="JUNDIAI"/>
    <s v="SP"/>
    <s v="BR"/>
    <s v="Não"/>
    <s v="M"/>
    <s v="Não"/>
    <m/>
    <s v="Solt."/>
    <s v="Parda"/>
    <s v="Colegial completo"/>
    <m/>
    <n v="22002830"/>
    <s v="220/M"/>
    <s v="PREPARADOR PRODUCAO B"/>
    <n v="823120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4"/>
    <s v="GRS014OP"/>
    <d v="2020-10-01T00:00:00"/>
    <s v="Admissão"/>
    <s v="1.644,05"/>
    <s v="164405,00"/>
    <n v="1"/>
    <m/>
    <s v="N"/>
    <x v="233"/>
    <m/>
    <s v="26/09/2018"/>
    <s v="SP"/>
    <s v="483.653.178-00"/>
    <n v="59937"/>
    <n v="428"/>
    <d v="2014-12-11T00:00:00"/>
    <s v="SP"/>
    <n v="12984115181"/>
    <m/>
    <m/>
    <m/>
    <m/>
    <m/>
    <m/>
    <m/>
    <m/>
    <m/>
    <x v="88"/>
    <m/>
    <m/>
    <m/>
    <m/>
    <n v="141672335702"/>
    <m/>
    <m/>
    <m/>
    <s v="RUA GUAREI"/>
    <n v="521"/>
    <m/>
    <s v="JARDIM AMERICA I"/>
    <s v="VÁRZEA PAULISTA"/>
    <s v="SP"/>
    <s v="13221-290"/>
    <m/>
    <n v="11933507204"/>
    <m/>
    <n v="341"/>
    <n v="9895"/>
    <x v="23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KPINTO"/>
    <n v="1"/>
    <s v="Sim"/>
  </r>
  <r>
    <n v="102020"/>
    <x v="234"/>
    <s v="Ativo"/>
    <s v="AD"/>
    <n v="30007355"/>
    <s v="Colaborador–M.O.Var"/>
    <s v="Horista"/>
    <s v="1DX"/>
    <s v="Duratex S.A."/>
    <n v="6"/>
    <s v="FÁB METAIS SP"/>
    <n v="6"/>
    <s v="DECA"/>
    <s v="SIM"/>
    <s v="0006 - FÁB METAIS SP INDL"/>
    <s v="ALEXSANDRO OLIVEIRA RODRIGUES"/>
    <s v="ALEXSANDRO"/>
    <n v="10001418"/>
    <s v="DPF-05"/>
    <s v="DPF-05 - FUNDICAO PECAS DE BRONZE - MS"/>
    <s v="DXMS"/>
    <s v="DXPCBRON06"/>
    <s v="Peças de Bronze"/>
    <n v="10001415"/>
    <s v="DPF-01"/>
    <s v="DPF-01 - FABR DE FUNDICAO/USINADOS - MS"/>
    <s v="AGUIMAR MUNHOZ TEIXEIRA"/>
    <n v="10000059"/>
    <s v="SUPERVISOR"/>
    <s v="SUPERVISOR"/>
    <n v="10000002"/>
    <s v="DECA"/>
    <s v="DIR IND DECA (METAIS)"/>
    <m/>
    <m/>
    <m/>
    <m/>
    <m/>
    <m/>
    <s v="14/10/2020"/>
    <n v="0"/>
    <m/>
    <d v="1981-02-11T00:00:00"/>
    <x v="6"/>
    <m/>
    <s v="brasileira"/>
    <s v="FEIRA DE SANTANA"/>
    <s v="BA"/>
    <s v="BR"/>
    <s v="Não"/>
    <s v="M"/>
    <s v="Não"/>
    <m/>
    <s v="Solt."/>
    <s v="Parda"/>
    <s v="Superior completo"/>
    <m/>
    <n v="22000271"/>
    <s v="220/H"/>
    <s v="AUX PRODUCAO"/>
    <n v="784205"/>
    <s v="Admissão"/>
    <d v="2020-10-01T00:00:00"/>
    <s v="220,00"/>
    <m/>
    <s v="DSP-01"/>
    <s v="DDI-01"/>
    <s v="CSS-01"/>
    <s v="DDE-01"/>
    <s v="PRE-01"/>
    <s v="1.834,80"/>
    <s v="8,34"/>
    <s v="1.834,80"/>
    <s v="0,00"/>
    <s v="BG"/>
    <s v="METAIS SP-220/H"/>
    <n v="13"/>
    <s v="GRS013OP"/>
    <d v="2020-10-01T00:00:00"/>
    <s v="Admissão"/>
    <s v="1.833,80"/>
    <s v="183380,00"/>
    <n v="1"/>
    <m/>
    <s v="N"/>
    <x v="234"/>
    <m/>
    <d v="2011-06-01T00:00:00"/>
    <s v="SP"/>
    <s v="300.712.178-78"/>
    <n v="12339"/>
    <n v="233"/>
    <s v="28/12/2011"/>
    <s v="SP"/>
    <n v="13092913891"/>
    <m/>
    <m/>
    <m/>
    <m/>
    <m/>
    <m/>
    <m/>
    <m/>
    <m/>
    <x v="220"/>
    <n v="374"/>
    <n v="36"/>
    <d v="1998-02-05T00:00:00"/>
    <s v="SP"/>
    <m/>
    <m/>
    <m/>
    <m/>
    <s v="RUA MORIOKA CS 2"/>
    <n v="34"/>
    <m/>
    <s v="JARDIM MARIA BEATRIZ"/>
    <s v="CARAPICUÍBA"/>
    <s v="SP"/>
    <s v="06365-210"/>
    <m/>
    <n v="11979882683"/>
    <m/>
    <n v="341"/>
    <n v="1309"/>
    <x v="23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EXSROD"/>
    <n v="1"/>
    <s v="Sim"/>
  </r>
  <r>
    <n v="102020"/>
    <x v="235"/>
    <s v="Ativo"/>
    <s v="AD"/>
    <n v="30047789"/>
    <s v="Colaborador–M.O.Fixa"/>
    <s v="Mensalista"/>
    <s v="1DX"/>
    <s v="Duratex S.A."/>
    <n v="6"/>
    <s v="FÁB METAIS SP"/>
    <n v="6"/>
    <s v="DECA"/>
    <s v="SIM"/>
    <s v="0006 - FÁB METAIS SP CML"/>
    <s v="LUCIANO COSTA MACHADO DOS SANTOS"/>
    <s v="LUCIANO"/>
    <n v="10001152"/>
    <s v="DML-03"/>
    <s v="DML-03 - NOROESTE SP/ NORTE PR/MS - MS"/>
    <s v="DXMS"/>
    <s v="DXVSPSUD15"/>
    <s v="Vendas - SP 15"/>
    <n v="10001150"/>
    <s v="DML-01"/>
    <s v="DML-01 - NOROESTE SP/ NORTE PR/MS - MS"/>
    <s v="ADRIANA MACEDO SOARES"/>
    <n v="10000080"/>
    <s v="EQUIPE"/>
    <s v="EQUIPE"/>
    <n v="10000003"/>
    <s v="DECA"/>
    <s v="DIR CML DECA"/>
    <m/>
    <m/>
    <m/>
    <m/>
    <m/>
    <m/>
    <s v="14/10/2020"/>
    <n v="0"/>
    <m/>
    <s v="30/06/1982"/>
    <x v="6"/>
    <m/>
    <s v="brasileira"/>
    <s v="CURITIBA"/>
    <s v="PR"/>
    <s v="BR"/>
    <s v="Não"/>
    <s v="M"/>
    <s v="Não"/>
    <m/>
    <s v="Casado"/>
    <s v="Branca"/>
    <s v="Superior completo"/>
    <m/>
    <n v="22000903"/>
    <s v="220/M"/>
    <s v="GESTOR CONTAS"/>
    <n v="520110"/>
    <s v="Admissão"/>
    <d v="2020-10-01T00:00:00"/>
    <s v="220,00"/>
    <m/>
    <s v="DES-01"/>
    <s v="DDC-01"/>
    <s v="CSS-01"/>
    <s v="DDE-01"/>
    <s v="PRE-01"/>
    <s v="7.400,00"/>
    <s v="7.400,00"/>
    <s v="7.400,00"/>
    <s v="0,00"/>
    <s v="BD"/>
    <s v="METAIS SP-220/M"/>
    <n v="23"/>
    <s v="GRS023PR"/>
    <d v="2020-10-01T00:00:00"/>
    <s v="Admissão"/>
    <s v="7.399,00"/>
    <s v="739900,00"/>
    <n v="1"/>
    <m/>
    <s v="N"/>
    <x v="235"/>
    <m/>
    <s v="22/08/2014"/>
    <s v="PR"/>
    <s v="034.066.229-84"/>
    <n v="2344902"/>
    <n v="60"/>
    <d v="2018-08-10T00:00:00"/>
    <s v="PR"/>
    <n v="12651231500"/>
    <m/>
    <m/>
    <m/>
    <m/>
    <m/>
    <m/>
    <m/>
    <m/>
    <m/>
    <x v="221"/>
    <n v="176"/>
    <n v="106"/>
    <d v="2011-06-12T00:00:00"/>
    <s v="PR"/>
    <n v="153142856894"/>
    <m/>
    <m/>
    <m/>
    <s v="RUA ROSA DE CARVALHO CHAVES"/>
    <n v="619"/>
    <s v="SB 11 COND"/>
    <s v="NOVO MUNDO"/>
    <s v="CURITIBA"/>
    <s v="PR"/>
    <s v="81030-390"/>
    <m/>
    <n v="41984712841"/>
    <m/>
    <n v="341"/>
    <n v="3766"/>
    <x v="235"/>
    <m/>
    <m/>
    <m/>
    <s v="FORCA DE VENDAS"/>
    <s v="COMERCIAL MKT E ASSIST TECNICA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NLUCIA"/>
    <n v="9"/>
    <s v="Não"/>
  </r>
  <r>
    <n v="102020"/>
    <x v="236"/>
    <s v="Ativo"/>
    <s v="AD"/>
    <n v="30046557"/>
    <s v="Colaborador–M.O.Fixa"/>
    <s v="Horista"/>
    <s v="1DX"/>
    <s v="Duratex S.A."/>
    <n v="6"/>
    <s v="FÁB METAIS SP"/>
    <n v="6"/>
    <s v="DECA"/>
    <s v="SIM"/>
    <s v="0006 - FÁB METAIS SP CML"/>
    <s v="MARCEL APARECIDO DAVID AGOSTINI"/>
    <s v="MARCEL"/>
    <n v="10000979"/>
    <s v="DEF-03"/>
    <s v="DEF-03 - ELETRICA / INSTRUMENTACAO - MS"/>
    <s v="DXMJ"/>
    <s v="DXINATIN41"/>
    <s v="Func. Inativos Fáb."/>
    <n v="10008053"/>
    <s v="DEF-01"/>
    <s v="DEF-01 - MANUT PROCES E TECNOLOGIA"/>
    <s v="LUIZ CARLOS PACIFICO"/>
    <n v="10000059"/>
    <s v="SUPERVISOR"/>
    <s v="SUPERVISOR"/>
    <n v="10000002"/>
    <s v="DECA"/>
    <s v="DIR IND DECA (METAIS)"/>
    <m/>
    <m/>
    <m/>
    <m/>
    <m/>
    <m/>
    <s v="14/10/2020"/>
    <n v="0"/>
    <m/>
    <s v="29/04/1968"/>
    <x v="33"/>
    <m/>
    <s v="brasileira"/>
    <s v="SAO PAULO"/>
    <s v="SP"/>
    <s v="BR"/>
    <s v="Não"/>
    <s v="M"/>
    <s v="Não"/>
    <m/>
    <s v="Solt."/>
    <s v="Branca"/>
    <s v="Colegial completo"/>
    <m/>
    <n v="22000313"/>
    <s v="220/H"/>
    <s v="ELETRICISTA"/>
    <n v="951105"/>
    <s v="Admissão"/>
    <d v="2020-10-01T00:00:00"/>
    <s v="220,00"/>
    <m/>
    <s v="DSP-01"/>
    <s v="DDI-01"/>
    <s v="CSS-01"/>
    <s v="DDE-01"/>
    <s v="PRE-01"/>
    <s v="3.799,40"/>
    <s v="17,27"/>
    <s v="3.799,40"/>
    <s v="0,00"/>
    <s v="BG"/>
    <s v="METAIS SP-220/H"/>
    <n v="19"/>
    <s v="GRS019PR"/>
    <d v="2020-10-01T00:00:00"/>
    <s v="Admissão"/>
    <s v="3.798,40"/>
    <s v="379840,00"/>
    <n v="1"/>
    <m/>
    <s v="N"/>
    <x v="236"/>
    <m/>
    <d v="2017-06-06T00:00:00"/>
    <s v="SP"/>
    <s v="061.407.368-54"/>
    <n v="79150"/>
    <n v="34"/>
    <s v="13/01/2012"/>
    <s v="SP"/>
    <n v="12145963628"/>
    <m/>
    <m/>
    <m/>
    <m/>
    <m/>
    <m/>
    <m/>
    <m/>
    <m/>
    <x v="222"/>
    <n v="394"/>
    <n v="152"/>
    <s v="24/09/2013"/>
    <s v="SP"/>
    <m/>
    <m/>
    <m/>
    <m/>
    <s v="RUA ADALBERTO BELLINI"/>
    <n v="44"/>
    <m/>
    <s v="JARDIM BANANAL"/>
    <s v="GUARULHOS"/>
    <s v="SP"/>
    <s v="07152-440"/>
    <m/>
    <n v="11963414188"/>
    <m/>
    <n v="341"/>
    <n v="6963"/>
    <x v="236"/>
    <m/>
    <m/>
    <m/>
    <s v="OPERACIONAL"/>
    <s v="OPERACOES"/>
    <s v="TEC/ OPERACIONAL"/>
    <s v="TECNIC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GOSTIN"/>
    <n v="1"/>
    <s v="Sim"/>
  </r>
  <r>
    <n v="102020"/>
    <x v="237"/>
    <s v="Ativo"/>
    <s v="AD"/>
    <n v="30047431"/>
    <s v="Colaborador–M.O.Var"/>
    <s v="Mensalista"/>
    <s v="1DX"/>
    <s v="Duratex S.A."/>
    <n v="11"/>
    <s v="FÁB LOUÇAS RECIFE"/>
    <n v="11"/>
    <s v="DECA"/>
    <s v="SIM"/>
    <s v="0011 - FÁB LOUÇAS RECIFE"/>
    <s v="GIRLAN BENEDITO DA SILVA"/>
    <s v="GIRLAN"/>
    <n v="10001334"/>
    <s v="DRR-02"/>
    <s v="DRR-02 - ESMALTACAO CONVENCIONAL - LR"/>
    <s v="DXLR"/>
    <s v="DXESMALT65"/>
    <s v="Esmalt. Convencional"/>
    <n v="10001333"/>
    <s v="DRR-01"/>
    <s v="DRR-01 - INSPEC/ESMAL/FOR/REQ – LR"/>
    <s v="IGOR ERICKSON DE OLIVEIRA RODRIGUES"/>
    <n v="10000059"/>
    <s v="SUPERVISOR"/>
    <s v="SUPERVISOR"/>
    <n v="10000017"/>
    <s v="DECA"/>
    <s v="DIR IND DECA (LOUCAS)"/>
    <m/>
    <m/>
    <m/>
    <m/>
    <m/>
    <m/>
    <s v="14/10/2020"/>
    <n v="0"/>
    <m/>
    <s v="15/04/1991"/>
    <x v="27"/>
    <m/>
    <s v="brasileira"/>
    <s v="ESCADA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37"/>
    <m/>
    <s v="13/02/2015"/>
    <s v="PE"/>
    <s v="107.012.084-73"/>
    <n v="13093"/>
    <n v="100"/>
    <d v="2009-10-06T00:00:00"/>
    <s v="PE"/>
    <n v="20073578368"/>
    <m/>
    <m/>
    <m/>
    <m/>
    <m/>
    <m/>
    <m/>
    <m/>
    <m/>
    <x v="223"/>
    <n v="19"/>
    <n v="70"/>
    <s v="26/03/2013"/>
    <s v="PE"/>
    <n v="210032154481"/>
    <m/>
    <m/>
    <m/>
    <s v="RUA 1"/>
    <n v="225"/>
    <m/>
    <s v="MATADOURO"/>
    <s v="ESCADA"/>
    <s v="PE"/>
    <s v="55500-000"/>
    <m/>
    <n v="81992054665"/>
    <m/>
    <n v="341"/>
    <n v="1737"/>
    <x v="23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IRSILVA"/>
    <n v="1"/>
    <s v="Sim"/>
  </r>
  <r>
    <n v="102020"/>
    <x v="238"/>
    <s v="Ativo"/>
    <s v="AD"/>
    <n v="30048835"/>
    <s v="Colaborador–M.O.Var"/>
    <s v="Mensalista"/>
    <s v="1DX"/>
    <s v="Duratex S.A."/>
    <n v="11"/>
    <s v="FÁB LOUÇAS RECIFE"/>
    <n v="11"/>
    <s v="DECA"/>
    <s v="SIM"/>
    <s v="0011 - FÁB LOUÇAS RECIFE"/>
    <s v="JULIO CESAR LIRA DE ALMEIDA"/>
    <s v="JULIO"/>
    <n v="10001336"/>
    <s v="DAD-02"/>
    <s v="DAD-02 - FUNDICAO MECANIZADA – LR"/>
    <s v="DXLR"/>
    <s v="DXFMECAN65"/>
    <s v="Fundição Mecanizada"/>
    <n v="10007977"/>
    <s v="DAD-01"/>
    <s v="DAD-01 - ADM GERAL DE PROUCAO - LR"/>
    <s v="SALATIEL RODRIGUES SANTANA DE FARIAS"/>
    <n v="10000059"/>
    <s v="SUPERVISOR"/>
    <s v="SUPERVISOR"/>
    <n v="10000017"/>
    <s v="DECA"/>
    <s v="DIR IND DECA (LOUCAS)"/>
    <m/>
    <m/>
    <m/>
    <m/>
    <m/>
    <m/>
    <s v="14/10/2020"/>
    <n v="0"/>
    <m/>
    <s v="20/10/1981"/>
    <x v="20"/>
    <m/>
    <s v="brasileira"/>
    <s v="PALMARES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38"/>
    <m/>
    <d v="2011-01-04T00:00:00"/>
    <s v="PE"/>
    <s v="031.748.304-86"/>
    <n v="58805"/>
    <n v="57"/>
    <d v="2011-05-04T00:00:00"/>
    <s v="PE"/>
    <n v="20681707598"/>
    <m/>
    <m/>
    <m/>
    <m/>
    <m/>
    <m/>
    <m/>
    <m/>
    <m/>
    <x v="224"/>
    <n v="118"/>
    <n v="144"/>
    <s v="22/12/2000"/>
    <s v="PE"/>
    <n v="992101004205"/>
    <m/>
    <m/>
    <m/>
    <s v="RUA NOVE"/>
    <n v="20"/>
    <m/>
    <s v="CURADO"/>
    <s v="JABOATÃO DOS GUARARAPES"/>
    <s v="PE"/>
    <s v="54240-080"/>
    <m/>
    <n v="81988213226"/>
    <m/>
    <n v="341"/>
    <n v="6999"/>
    <x v="23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UALMEID"/>
    <n v="1"/>
    <s v="Sim"/>
  </r>
  <r>
    <n v="102020"/>
    <x v="239"/>
    <s v="Ativo"/>
    <s v="AD"/>
    <n v="30048845"/>
    <s v="Colaborador–M.O.Var"/>
    <s v="Mensalista"/>
    <s v="1DX"/>
    <s v="Duratex S.A."/>
    <n v="11"/>
    <s v="FÁB LOUÇAS RECIFE"/>
    <n v="11"/>
    <s v="DECA"/>
    <s v="SIM"/>
    <s v="0011 - FÁB LOUÇAS RECIFE"/>
    <s v="LUIS ANTONIO LINS CALHEIROS"/>
    <s v="LUIS"/>
    <n v="10004887"/>
    <s v="DAD-07"/>
    <s v="DAD-07 - FUNDICAO MECANIZADA – LR"/>
    <s v="DXLR"/>
    <s v="DXFMECAN65"/>
    <s v="Fundição Mecanizada"/>
    <n v="10007977"/>
    <s v="DAD-01"/>
    <s v="DAD-01 - ADM GERAL DE PROUCAO - LR"/>
    <s v="FLEDSON FERREIRA DA SILVA"/>
    <n v="10000059"/>
    <s v="SUPERVISOR"/>
    <s v="SUPERVISOR"/>
    <n v="10000017"/>
    <s v="DECA"/>
    <s v="DIR IND DECA (LOUCAS)"/>
    <m/>
    <m/>
    <m/>
    <m/>
    <m/>
    <m/>
    <s v="14/10/2020"/>
    <n v="0"/>
    <m/>
    <d v="1990-03-04T00:00:00"/>
    <x v="30"/>
    <m/>
    <s v="brasileira"/>
    <s v="ESCADA"/>
    <s v="PE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39"/>
    <m/>
    <d v="2007-04-12T00:00:00"/>
    <s v="PE"/>
    <s v="095.284.224-62"/>
    <n v="11816"/>
    <n v="100"/>
    <d v="2009-02-04T00:00:00"/>
    <s v="PE"/>
    <n v="16403884523"/>
    <m/>
    <m/>
    <m/>
    <m/>
    <m/>
    <m/>
    <m/>
    <m/>
    <m/>
    <x v="225"/>
    <n v="19"/>
    <n v="104"/>
    <s v="16/10/2013"/>
    <s v="PE"/>
    <n v="210032133196"/>
    <m/>
    <m/>
    <m/>
    <s v="RUA SI TOMAZ"/>
    <n v="69"/>
    <m/>
    <s v="GAIBU"/>
    <s v="CABO DE SANTO AGOSTINHO"/>
    <s v="PE"/>
    <s v="54500-001"/>
    <m/>
    <n v="81992672501"/>
    <m/>
    <n v="341"/>
    <n v="1737"/>
    <x v="23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UCALHEI"/>
    <n v="1"/>
    <s v="Sim"/>
  </r>
  <r>
    <n v="102020"/>
    <x v="240"/>
    <s v="Ativo"/>
    <s v="AD"/>
    <n v="30048842"/>
    <s v="Colaborador–M.O.Var"/>
    <s v="Mensalista"/>
    <s v="1DX"/>
    <s v="Duratex S.A."/>
    <n v="11"/>
    <s v="FÁB LOUÇAS RECIFE"/>
    <n v="11"/>
    <s v="DECA"/>
    <s v="SIM"/>
    <s v="0011 - FÁB LOUÇAS RECIFE"/>
    <s v="MICAEL FERNANDO DE FRANCA SILVA"/>
    <s v="MICAEL"/>
    <n v="10004701"/>
    <s v="DRR-08"/>
    <s v="DRR-08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d v="2000-05-12T00:00:00"/>
    <x v="24"/>
    <m/>
    <s v="brasileira"/>
    <s v="ESCADA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40"/>
    <m/>
    <s v="29/10/2014"/>
    <s v="PE"/>
    <s v="121.380.084-60"/>
    <n v="7124113"/>
    <n v="60"/>
    <s v="17/10/2019"/>
    <s v="PE"/>
    <n v="16458775602"/>
    <m/>
    <m/>
    <m/>
    <m/>
    <m/>
    <m/>
    <m/>
    <m/>
    <m/>
    <x v="226"/>
    <n v="19"/>
    <n v="35"/>
    <d v="2018-02-02T00:00:00"/>
    <s v="PE"/>
    <n v="320002137168"/>
    <m/>
    <m/>
    <m/>
    <s v="RUA SAMUEL CAMPELO"/>
    <n v="74"/>
    <m/>
    <s v="CENTRO"/>
    <s v="ESCADA"/>
    <s v="PE"/>
    <s v="55500-000"/>
    <m/>
    <n v="81994907065"/>
    <m/>
    <n v="341"/>
    <n v="6999"/>
    <x v="24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ICAESIL"/>
    <n v="1"/>
    <s v="Sim"/>
  </r>
  <r>
    <n v="102020"/>
    <x v="241"/>
    <s v="Ativo"/>
    <s v="AD"/>
    <n v="30048830"/>
    <s v="Colaborador–M.O.Var"/>
    <s v="Mensalista"/>
    <s v="1DX"/>
    <s v="Duratex S.A."/>
    <n v="11"/>
    <s v="FÁB LOUÇAS RECIFE"/>
    <n v="11"/>
    <s v="DECA"/>
    <s v="SIM"/>
    <s v="0011 - FÁB LOUÇAS RECIFE"/>
    <s v="ELY MACHADO SERPA"/>
    <s v="ELY"/>
    <n v="10001336"/>
    <s v="DAD-02"/>
    <s v="DAD-02 - FUNDICAO MECANIZADA – LR"/>
    <s v="DXLR"/>
    <s v="DXFMECAN65"/>
    <s v="Fundição Mecanizada"/>
    <n v="10007977"/>
    <s v="DAD-01"/>
    <s v="DAD-01 - ADM GERAL DE PROUCAO - LR"/>
    <s v="SALATIEL RODRIGUES SANTANA DE FARIAS"/>
    <n v="10000059"/>
    <s v="SUPERVISOR"/>
    <s v="SUPERVISOR"/>
    <n v="10000017"/>
    <s v="DECA"/>
    <s v="DIR IND DECA (LOUCAS)"/>
    <m/>
    <m/>
    <m/>
    <m/>
    <m/>
    <m/>
    <s v="14/10/2020"/>
    <n v="0"/>
    <m/>
    <s v="23/09/1999"/>
    <x v="13"/>
    <m/>
    <s v="brasileira"/>
    <s v="ESCADA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41"/>
    <m/>
    <s v="16/12/2010"/>
    <s v="PE"/>
    <s v="109.456.234-37"/>
    <n v="5811949"/>
    <n v="50"/>
    <d v="2016-01-11T00:00:00"/>
    <s v="PE"/>
    <n v="16162849962"/>
    <m/>
    <m/>
    <m/>
    <m/>
    <m/>
    <m/>
    <m/>
    <m/>
    <m/>
    <x v="227"/>
    <n v="19"/>
    <n v="75"/>
    <d v="2016-02-02T00:00:00"/>
    <s v="PE"/>
    <n v="210032268125"/>
    <m/>
    <m/>
    <m/>
    <s v="RUA DO MATADOURO"/>
    <n v="37"/>
    <m/>
    <s v="FREXEIRAS"/>
    <s v="ESCADA"/>
    <s v="PE"/>
    <s v="55500-000"/>
    <m/>
    <n v="81982296780"/>
    <m/>
    <n v="341"/>
    <n v="1737"/>
    <x v="24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SERPA"/>
    <n v="1"/>
    <s v="Sim"/>
  </r>
  <r>
    <n v="102020"/>
    <x v="242"/>
    <s v="Ativo"/>
    <s v="AD"/>
    <n v="30048836"/>
    <s v="Colaborador–M.O.Var"/>
    <s v="Mensalista"/>
    <s v="1DX"/>
    <s v="Duratex S.A."/>
    <n v="11"/>
    <s v="FÁB LOUÇAS RECIFE"/>
    <n v="11"/>
    <s v="DECA"/>
    <s v="SIM"/>
    <s v="0011 - FÁB LOUÇAS RECIFE"/>
    <s v="LUCAS BRITO DE SOUZA"/>
    <s v="LUCAS"/>
    <n v="10001336"/>
    <s v="DAD-02"/>
    <s v="DAD-02 - FUNDICAO MECANIZADA – LR"/>
    <s v="DXLR"/>
    <s v="DXFMECAN65"/>
    <s v="Fundição Mecanizada"/>
    <n v="10007977"/>
    <s v="DAD-01"/>
    <s v="DAD-01 - ADM GERAL DE PROUCAO - LR"/>
    <s v="SALATIEL RODRIGUES SANTANA DE FARIAS"/>
    <n v="10000059"/>
    <s v="SUPERVISOR"/>
    <s v="SUPERVISOR"/>
    <n v="10000017"/>
    <s v="DECA"/>
    <s v="DIR IND DECA (LOUCAS)"/>
    <m/>
    <m/>
    <m/>
    <m/>
    <m/>
    <m/>
    <s v="14/10/2020"/>
    <n v="0"/>
    <m/>
    <s v="27/09/1999"/>
    <x v="13"/>
    <m/>
    <s v="brasileira"/>
    <s v="JABOATAO DOS GUARARAPES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42"/>
    <m/>
    <d v="2013-08-01T00:00:00"/>
    <s v="PE"/>
    <s v="704.177.774-00"/>
    <n v="3170608"/>
    <n v="50"/>
    <s v="14/01/2016"/>
    <s v="PE"/>
    <n v="12582952410"/>
    <m/>
    <m/>
    <m/>
    <m/>
    <m/>
    <m/>
    <m/>
    <m/>
    <m/>
    <x v="228"/>
    <n v="11"/>
    <n v="136"/>
    <s v="26/01/2018"/>
    <s v="PE"/>
    <n v="210413043956"/>
    <m/>
    <m/>
    <m/>
    <s v="TRAVESSA 4 DOM CARLOS COELHO"/>
    <n v="23"/>
    <m/>
    <s v="VILA RICA"/>
    <s v="JABOATÃO DOS GUARARAPES"/>
    <s v="PE"/>
    <s v="54090-264"/>
    <m/>
    <n v="81983007312"/>
    <m/>
    <n v="341"/>
    <n v="7924"/>
    <x v="24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UCBRITO"/>
    <n v="1"/>
    <s v="Sim"/>
  </r>
  <r>
    <n v="102020"/>
    <x v="243"/>
    <s v="Ativo"/>
    <s v="AD"/>
    <n v="30048837"/>
    <s v="Colaborador–M.O.Var"/>
    <s v="Mensalista"/>
    <s v="1DX"/>
    <s v="Duratex S.A."/>
    <n v="11"/>
    <s v="FÁB LOUÇAS RECIFE"/>
    <n v="11"/>
    <s v="DECA"/>
    <s v="SIM"/>
    <s v="0011 - FÁB LOUÇAS RECIFE"/>
    <s v="EDILSON JOSE DE LIRA"/>
    <s v="EDILSON"/>
    <n v="10001342"/>
    <s v="DAD-06"/>
    <s v="DAD-06 - FUNDICAO MECANIZADA – LR"/>
    <s v="DXLR"/>
    <s v="DXFMECAN65"/>
    <s v="Fundição Mecanizada"/>
    <n v="10007977"/>
    <s v="DAD-01"/>
    <s v="DAD-01 - ADM GERAL DE PROUCAO - LR"/>
    <s v="DIEGO TOMAZ GONCALVES DE OLIVEIRA"/>
    <n v="10000059"/>
    <s v="SUPERVISOR"/>
    <s v="SUPERVISOR"/>
    <n v="10000017"/>
    <s v="DECA"/>
    <s v="DIR IND DECA (LOUCAS)"/>
    <m/>
    <m/>
    <m/>
    <m/>
    <m/>
    <m/>
    <s v="14/10/2020"/>
    <n v="0"/>
    <m/>
    <s v="19/12/1983"/>
    <x v="34"/>
    <m/>
    <s v="brasileira"/>
    <s v="CABO DE SANTO AGOSTINHO"/>
    <s v="PE"/>
    <s v="BR"/>
    <s v="Não"/>
    <s v="M"/>
    <s v="Não"/>
    <m/>
    <s v="Divor."/>
    <s v="Parda"/>
    <s v="Colegial in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43"/>
    <m/>
    <s v="26/10/2009"/>
    <s v="PE"/>
    <s v="072.804.364-55"/>
    <n v="82335"/>
    <n v="72"/>
    <s v="18/05/2001"/>
    <s v="PE"/>
    <n v="13346292451"/>
    <m/>
    <m/>
    <m/>
    <m/>
    <m/>
    <m/>
    <m/>
    <m/>
    <m/>
    <x v="229"/>
    <n v="121"/>
    <n v="160"/>
    <s v="19/12/2017"/>
    <s v="PE"/>
    <n v="210022325646"/>
    <m/>
    <m/>
    <m/>
    <s v="RUA VILA EVANGELICA"/>
    <n v="44"/>
    <m/>
    <s v="PIRAPAMA"/>
    <s v="CABO DE SANTO AGOSTINHO"/>
    <s v="PE"/>
    <s v="54500-001"/>
    <m/>
    <n v="81983240829"/>
    <m/>
    <n v="341"/>
    <n v="1737"/>
    <x v="24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s v="Sim"/>
  </r>
  <r>
    <n v="102020"/>
    <x v="244"/>
    <s v="Ativo"/>
    <s v="AD"/>
    <n v="30048841"/>
    <s v="Colaborador–M.O.Var"/>
    <s v="Mensalista"/>
    <s v="1DX"/>
    <s v="Duratex S.A."/>
    <n v="11"/>
    <s v="FÁB LOUÇAS RECIFE"/>
    <n v="11"/>
    <s v="DECA"/>
    <s v="SIM"/>
    <s v="0011 - FÁB LOUÇAS RECIFE"/>
    <s v="MOISES BARBOSA DE MELO SILVA"/>
    <s v="MOISES"/>
    <n v="10004701"/>
    <s v="DRR-08"/>
    <s v="DRR-08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d v="1987-12-06T00:00:00"/>
    <x v="0"/>
    <m/>
    <s v="brasileira"/>
    <s v="RECIFE"/>
    <s v="PE"/>
    <s v="BR"/>
    <s v="Não"/>
    <s v="M"/>
    <s v="Não"/>
    <m/>
    <s v="Solt."/>
    <s v="Negr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44"/>
    <m/>
    <d v="2011-10-08T00:00:00"/>
    <s v="PE"/>
    <s v="084.243.444-56"/>
    <n v="20970"/>
    <n v="65"/>
    <s v="15/03/2005"/>
    <s v="PE"/>
    <n v="13751491456"/>
    <m/>
    <m/>
    <m/>
    <m/>
    <m/>
    <m/>
    <m/>
    <m/>
    <m/>
    <x v="230"/>
    <n v="101"/>
    <n v="170"/>
    <d v="2004-04-05T00:00:00"/>
    <s v="PE"/>
    <n v="210822554080"/>
    <m/>
    <m/>
    <m/>
    <s v="RUA PREF HUMBERTO BARRADAS"/>
    <n v="20"/>
    <m/>
    <s v="PIEDADE"/>
    <s v="JABOATÃO DOS GUARARAPES"/>
    <s v="PE"/>
    <s v="54410-155"/>
    <m/>
    <n v="81984328349"/>
    <m/>
    <n v="341"/>
    <n v="6318"/>
    <x v="24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LVMOIS"/>
    <n v="1"/>
    <s v="Sim"/>
  </r>
  <r>
    <n v="102020"/>
    <x v="245"/>
    <s v="Ativo"/>
    <s v="AD"/>
    <n v="30048827"/>
    <s v="Colaborador–M.O.Var"/>
    <s v="Mensalista"/>
    <s v="1DX"/>
    <s v="Duratex S.A."/>
    <n v="11"/>
    <s v="FÁB LOUÇAS RECIFE"/>
    <n v="11"/>
    <s v="DECA"/>
    <s v="SIM"/>
    <s v="0011 - FÁB LOUÇAS RECIFE"/>
    <s v="RODOLFO RAFAEL DA SILVA"/>
    <s v="RODOLFO"/>
    <n v="10001334"/>
    <s v="DRR-02"/>
    <s v="DRR-02 - ESMALTACAO CONVENCIONAL - LR"/>
    <s v="DXLR"/>
    <s v="DXESMALT65"/>
    <s v="Esmalt. Convencional"/>
    <n v="10001333"/>
    <s v="DRR-01"/>
    <s v="DRR-01 - INSPEC/ESMAL/FOR/REQ – LR"/>
    <s v="IGOR ERICKSON DE OLIVEIRA RODRIGUES"/>
    <n v="10000059"/>
    <s v="SUPERVISOR"/>
    <s v="SUPERVISOR"/>
    <n v="10000017"/>
    <s v="DECA"/>
    <s v="DIR IND DECA (LOUCAS)"/>
    <m/>
    <m/>
    <m/>
    <m/>
    <m/>
    <m/>
    <s v="14/10/2020"/>
    <n v="0"/>
    <m/>
    <d v="1987-11-08T00:00:00"/>
    <x v="0"/>
    <m/>
    <s v="brasileira"/>
    <s v="CABO DE SANTO AGOSTINHO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45"/>
    <m/>
    <s v="28/11/2011"/>
    <s v="PE"/>
    <s v="075.980.954-26"/>
    <n v="70577"/>
    <n v="83"/>
    <d v="2005-09-07T00:00:00"/>
    <s v="PE"/>
    <n v="20905102007"/>
    <m/>
    <m/>
    <m/>
    <m/>
    <m/>
    <m/>
    <m/>
    <m/>
    <m/>
    <x v="231"/>
    <n v="149"/>
    <n v="398"/>
    <d v="2005-03-03T00:00:00"/>
    <s v="PE"/>
    <n v="210752814884"/>
    <m/>
    <m/>
    <m/>
    <s v="RUA DR JOSE MARIA A BELLO"/>
    <n v="102"/>
    <m/>
    <s v="IBURA"/>
    <s v="RECIFE"/>
    <s v="PE"/>
    <s v="51220-080"/>
    <m/>
    <n v="81973230054"/>
    <m/>
    <n v="341"/>
    <n v="8322"/>
    <x v="24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ODOSILV"/>
    <n v="1"/>
    <s v="Sim"/>
  </r>
  <r>
    <n v="102020"/>
    <x v="246"/>
    <s v="Ativo"/>
    <s v="AD"/>
    <n v="30048838"/>
    <s v="Colaborador–M.O.Var"/>
    <s v="Mensalista"/>
    <s v="1DX"/>
    <s v="Duratex S.A."/>
    <n v="11"/>
    <s v="FÁB LOUÇAS RECIFE"/>
    <n v="11"/>
    <s v="DECA"/>
    <s v="SIM"/>
    <s v="0011 - FÁB LOUÇAS RECIFE"/>
    <s v="ANDERSON FRANCISCO DA SILVA"/>
    <s v="ANDERSON"/>
    <n v="10001342"/>
    <s v="DAD-06"/>
    <s v="DAD-06 - FUNDICAO MECANIZADA – LR"/>
    <s v="DXLR"/>
    <s v="DXFMECAN65"/>
    <s v="Fundição Mecanizada"/>
    <n v="10007977"/>
    <s v="DAD-01"/>
    <s v="DAD-01 - ADM GERAL DE PROUCAO - LR"/>
    <s v="DIEGO TOMAZ GONCALVES DE OLIVEIRA"/>
    <n v="10000059"/>
    <s v="SUPERVISOR"/>
    <s v="SUPERVISOR"/>
    <n v="10000017"/>
    <s v="DECA"/>
    <s v="DIR IND DECA (LOUCAS)"/>
    <m/>
    <m/>
    <m/>
    <m/>
    <m/>
    <m/>
    <s v="14/10/2020"/>
    <n v="0"/>
    <m/>
    <d v="1996-11-04T00:00:00"/>
    <x v="7"/>
    <m/>
    <s v="brasileira"/>
    <s v="AMARAJI"/>
    <s v="PE"/>
    <s v="BR"/>
    <s v="Não"/>
    <s v="M"/>
    <s v="Não"/>
    <m/>
    <s v="Solt."/>
    <s v="Não Informado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46"/>
    <m/>
    <s v="29/04/2009"/>
    <s v="PE"/>
    <s v="118.722.654-80"/>
    <n v="33427"/>
    <n v="109"/>
    <s v="16/07/2014"/>
    <s v="PE"/>
    <n v="16162484816"/>
    <m/>
    <m/>
    <m/>
    <m/>
    <m/>
    <m/>
    <m/>
    <m/>
    <m/>
    <x v="232"/>
    <n v="31"/>
    <n v="19"/>
    <s v="26/02/2016"/>
    <s v="PE"/>
    <n v="210082067369"/>
    <m/>
    <m/>
    <m/>
    <s v="RUA DO COQUEIRAL"/>
    <n v="25"/>
    <m/>
    <s v="GAIBU"/>
    <s v="CABO DE SANTO AGOSTINHO"/>
    <s v="PE"/>
    <s v="54500-001"/>
    <m/>
    <n v="81994388154"/>
    <m/>
    <n v="341"/>
    <n v="1737"/>
    <x v="24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NDERFRA"/>
    <n v="1"/>
    <s v="Sim"/>
  </r>
  <r>
    <n v="102020"/>
    <x v="247"/>
    <s v="Ativo"/>
    <s v="AD"/>
    <n v="30047182"/>
    <s v="Colaborador–M.O.Var"/>
    <s v="Mensalista"/>
    <s v="1DX"/>
    <s v="Duratex S.A."/>
    <n v="11"/>
    <s v="FÁB LOUÇAS RECIFE"/>
    <n v="11"/>
    <s v="DECA"/>
    <s v="SIM"/>
    <s v="0011 - FÁB LOUÇAS RECIFE"/>
    <s v="ARTHUR ROBERTO SANTOS BATISTA DE MELO"/>
    <s v="ARTHUR"/>
    <n v="10001355"/>
    <s v="DCQ-05"/>
    <s v="DCQ-05 - FABRICA DE MOLDES DE GESSO - LR"/>
    <s v="DXLR"/>
    <s v="DXMOLGES65"/>
    <s v="Fáb. Moldes Gesso"/>
    <n v="10001351"/>
    <s v="DCQ-01"/>
    <s v="DCQ-01- FAB AUXILIARES/ CLASSIF/LAB - LR"/>
    <s v="ALEXSANDRO JOSE DOS SANTOS"/>
    <n v="10000080"/>
    <s v="EQUIPE"/>
    <s v="EQUIPE"/>
    <n v="10000017"/>
    <s v="DECA"/>
    <s v="DIR IND DECA (LOUCAS)"/>
    <m/>
    <m/>
    <m/>
    <m/>
    <m/>
    <m/>
    <s v="14/10/2020"/>
    <n v="0"/>
    <m/>
    <d v="2000-12-05T00:00:00"/>
    <x v="32"/>
    <m/>
    <s v="brasileira"/>
    <s v="JABOATAO DOS GUARARAPES"/>
    <s v="PE"/>
    <s v="BR"/>
    <s v="Não"/>
    <s v="M"/>
    <s v="Não"/>
    <m/>
    <s v="Solt."/>
    <s v="Amarel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47"/>
    <m/>
    <d v="2012-10-07T00:00:00"/>
    <s v="PE"/>
    <s v="702.865.394-38"/>
    <n v="8445623"/>
    <n v="50"/>
    <s v="21/07/2017"/>
    <s v="PE"/>
    <n v="20996365499"/>
    <m/>
    <m/>
    <m/>
    <m/>
    <m/>
    <m/>
    <m/>
    <m/>
    <m/>
    <x v="233"/>
    <n v="11"/>
    <n v="66"/>
    <s v="24/01/2018"/>
    <s v="PE"/>
    <n v="320000929904"/>
    <m/>
    <m/>
    <m/>
    <s v="RUA MARIO MELO"/>
    <n v="13"/>
    <m/>
    <s v="VILA RICA"/>
    <s v="JABOATÃO DOS GUARARAPES"/>
    <s v="PE"/>
    <s v="54090-080"/>
    <m/>
    <n v="81997254636"/>
    <m/>
    <n v="341"/>
    <n v="7924"/>
    <x v="24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RTMELO"/>
    <n v="1"/>
    <s v="Sim"/>
  </r>
  <r>
    <n v="102020"/>
    <x v="248"/>
    <s v="Ativo"/>
    <s v="AD"/>
    <n v="30048844"/>
    <s v="Colaborador–M.O.Var"/>
    <s v="Mensalista"/>
    <s v="1DX"/>
    <s v="Duratex S.A."/>
    <n v="11"/>
    <s v="FÁB LOUÇAS RECIFE"/>
    <n v="11"/>
    <s v="DECA"/>
    <s v="SIM"/>
    <s v="0011 - FÁB LOUÇAS RECIFE"/>
    <s v="ARTHUR MARQUES DA SILVA"/>
    <s v="ARTHUR"/>
    <n v="10004887"/>
    <s v="DAD-07"/>
    <s v="DAD-07 - FUNDICAO MECANIZADA – LR"/>
    <s v="DXLR"/>
    <s v="DXFMECAN65"/>
    <s v="Fundição Mecanizada"/>
    <n v="10007977"/>
    <s v="DAD-01"/>
    <s v="DAD-01 - ADM GERAL DE PROUCAO - LR"/>
    <s v="FLEDSON FERREIRA DA SILVA"/>
    <n v="10000059"/>
    <s v="SUPERVISOR"/>
    <s v="SUPERVISOR"/>
    <n v="10000017"/>
    <s v="DECA"/>
    <s v="DIR IND DECA (LOUCAS)"/>
    <m/>
    <m/>
    <m/>
    <m/>
    <m/>
    <m/>
    <s v="14/10/2020"/>
    <n v="0"/>
    <m/>
    <s v="28/12/2001"/>
    <x v="26"/>
    <m/>
    <s v="brasileira"/>
    <s v="JABOATAO DOS GUARARAPES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48"/>
    <m/>
    <s v="27/01/2016"/>
    <s v="PE"/>
    <s v="136.149.584-77"/>
    <n v="8701"/>
    <n v="113"/>
    <s v="27/01/2016"/>
    <s v="PE"/>
    <n v="20204543937"/>
    <m/>
    <m/>
    <m/>
    <m/>
    <m/>
    <m/>
    <m/>
    <m/>
    <m/>
    <x v="234"/>
    <n v="16"/>
    <n v="196"/>
    <d v="2018-12-01T00:00:00"/>
    <s v="PE"/>
    <n v="320003848735"/>
    <m/>
    <m/>
    <m/>
    <s v="RUA EG MARANHAO A"/>
    <n v="1"/>
    <m/>
    <s v="ZONA RURAL"/>
    <s v="IPOJUCA"/>
    <s v="PE"/>
    <s v="55590-000"/>
    <m/>
    <n v="81994128908"/>
    <m/>
    <n v="341"/>
    <n v="7731"/>
    <x v="24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ARTHUR"/>
    <n v="1"/>
    <s v="Sim"/>
  </r>
  <r>
    <n v="102020"/>
    <x v="249"/>
    <s v="Ativo"/>
    <s v="AD"/>
    <n v="30047186"/>
    <s v="Colaborador–M.O.Var"/>
    <s v="Mensalista"/>
    <s v="1DX"/>
    <s v="Duratex S.A."/>
    <n v="11"/>
    <s v="FÁB LOUÇAS RECIFE"/>
    <n v="11"/>
    <s v="DECA"/>
    <s v="SIM"/>
    <s v="0011 - FÁB LOUÇAS RECIFE"/>
    <s v="DJALMA JOSE NASCIMENTO"/>
    <s v="DJALMA"/>
    <n v="10001355"/>
    <s v="DCQ-05"/>
    <s v="DCQ-05 - FABRICA DE MOLDES DE GESSO - LR"/>
    <s v="DXLR"/>
    <s v="DXMOLGES65"/>
    <s v="Fáb. Moldes Gesso"/>
    <n v="10001351"/>
    <s v="DCQ-01"/>
    <s v="DCQ-01- FAB AUXILIARES/ CLASSIF/LAB - LR"/>
    <s v="ALEXSANDRO JOSE DOS SANTOS"/>
    <n v="10000080"/>
    <s v="EQUIPE"/>
    <s v="EQUIPE"/>
    <n v="10000017"/>
    <s v="DECA"/>
    <s v="DIR IND DECA (LOUCAS)"/>
    <m/>
    <m/>
    <m/>
    <m/>
    <m/>
    <m/>
    <s v="14/10/2020"/>
    <n v="0"/>
    <m/>
    <s v="23/05/1975"/>
    <x v="10"/>
    <m/>
    <s v="brasileira"/>
    <s v="ESCADA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49"/>
    <m/>
    <d v="2010-03-12T00:00:00"/>
    <s v="PE"/>
    <s v="832.555.594-72"/>
    <n v="73487"/>
    <n v="24"/>
    <d v="2012-05-09T00:00:00"/>
    <s v="PE"/>
    <n v="12393868226"/>
    <m/>
    <m/>
    <m/>
    <m/>
    <m/>
    <m/>
    <m/>
    <m/>
    <m/>
    <x v="235"/>
    <n v="19"/>
    <n v="34"/>
    <d v="2013-02-08T00:00:00"/>
    <s v="PE"/>
    <m/>
    <m/>
    <m/>
    <m/>
    <s v="RUA  DA AMIZADE"/>
    <n v="4"/>
    <m/>
    <s v="ESCADA"/>
    <s v="ESCADA"/>
    <s v="PE"/>
    <s v="55500-000"/>
    <m/>
    <n v="81991127663"/>
    <m/>
    <n v="341"/>
    <n v="6999"/>
    <x v="24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JNASCIM"/>
    <n v="1"/>
    <s v="Sim"/>
  </r>
  <r>
    <n v="102020"/>
    <x v="250"/>
    <s v="Ativo"/>
    <s v="AD"/>
    <n v="30047184"/>
    <s v="Colaborador–M.O.Var"/>
    <s v="Mensalista"/>
    <s v="1DX"/>
    <s v="Duratex S.A."/>
    <n v="11"/>
    <s v="FÁB LOUÇAS RECIFE"/>
    <n v="11"/>
    <s v="DECA"/>
    <s v="SIM"/>
    <s v="0011 - FÁB LOUÇAS RECIFE"/>
    <s v="JOSE GERALDO DA SILVA FILHO"/>
    <s v="JOSE"/>
    <n v="10004701"/>
    <s v="DRR-08"/>
    <s v="DRR-08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s v="22/04/1984"/>
    <x v="34"/>
    <m/>
    <s v="brasileira"/>
    <s v="CABO DE SANTO AGOSTINHO"/>
    <s v="PE"/>
    <s v="BR"/>
    <s v="Não"/>
    <s v="M"/>
    <s v="Não"/>
    <m/>
    <s v="Casado"/>
    <s v="Negr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50"/>
    <m/>
    <s v="18/09/2001"/>
    <s v="PE"/>
    <s v="050.657.444-08"/>
    <n v="1480"/>
    <n v="89"/>
    <s v="15/02/2007"/>
    <s v="PE"/>
    <n v="13695673450"/>
    <m/>
    <m/>
    <m/>
    <m/>
    <m/>
    <m/>
    <m/>
    <m/>
    <m/>
    <x v="236"/>
    <n v="121"/>
    <n v="102"/>
    <s v="30/01/2019"/>
    <s v="PE"/>
    <m/>
    <m/>
    <m/>
    <m/>
    <s v="LOTEAMENTO ENSEADA DOS CORAIS"/>
    <n v="53"/>
    <m/>
    <s v="ENSEADA DOS CORAIS"/>
    <s v="CABO DE SANTO AGOSTINHO"/>
    <s v="PE"/>
    <s v="54500-990"/>
    <m/>
    <n v="81984855340"/>
    <m/>
    <n v="341"/>
    <n v="6318"/>
    <x v="25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GERALD"/>
    <n v="1"/>
    <s v="Sim"/>
  </r>
  <r>
    <n v="102020"/>
    <x v="251"/>
    <s v="Ativo"/>
    <s v="AD"/>
    <n v="30045711"/>
    <s v="Colaborador–M.O.Var"/>
    <s v="Mensalista"/>
    <s v="1DX"/>
    <s v="Duratex S.A."/>
    <n v="11"/>
    <s v="FÁB LOUÇAS RECIFE"/>
    <n v="11"/>
    <s v="DECA"/>
    <s v="SIM"/>
    <s v="0011 - FÁB LOUÇAS RECIFE"/>
    <s v="MELQUISEDEQUE BARROS DE FARIAS"/>
    <s v="MELQUISEDEQUE"/>
    <n v="10001345"/>
    <s v="DAD-09"/>
    <s v="DAD-09 - INSPECAO - LR"/>
    <s v="DXLR"/>
    <s v="DXINSPEC65"/>
    <s v="Inspeção"/>
    <n v="10007977"/>
    <s v="DAD-01"/>
    <s v="DAD-01 - ADM GERAL DE PROUCAO - LR"/>
    <s v="EDUARDA LARISSA DE CASTRO MARCELINO"/>
    <n v="10000059"/>
    <s v="SUPERVISOR"/>
    <s v="SUPERVISOR"/>
    <n v="10000017"/>
    <s v="DECA"/>
    <s v="DIR IND DECA (LOUCAS)"/>
    <m/>
    <m/>
    <m/>
    <m/>
    <m/>
    <m/>
    <s v="14/10/2020"/>
    <n v="0"/>
    <m/>
    <s v="15/06/2000"/>
    <x v="32"/>
    <m/>
    <s v="brasileira"/>
    <s v="ESCADA"/>
    <s v="PE"/>
    <s v="BR"/>
    <s v="Não"/>
    <s v="M"/>
    <s v="Não"/>
    <m/>
    <s v="Solt."/>
    <s v="Não Informado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51"/>
    <m/>
    <d v="2012-04-06T00:00:00"/>
    <s v="SP"/>
    <s v="135.388.014-10"/>
    <n v="7585532"/>
    <n v="50"/>
    <s v="14/06/2017"/>
    <s v="PE"/>
    <n v="20199254375"/>
    <m/>
    <m/>
    <m/>
    <m/>
    <m/>
    <m/>
    <m/>
    <m/>
    <m/>
    <x v="237"/>
    <n v="19"/>
    <n v="72"/>
    <s v="23/08/2019"/>
    <s v="PE"/>
    <n v="320001676690"/>
    <m/>
    <m/>
    <m/>
    <s v="RUA DO MATADOURO"/>
    <n v="361"/>
    <m/>
    <s v="FREXEIRAS"/>
    <s v="ESCADA"/>
    <s v="PE"/>
    <s v="55500-000"/>
    <m/>
    <n v="81994550433"/>
    <m/>
    <n v="341"/>
    <n v="1737"/>
    <x v="25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ELFARIA"/>
    <n v="1"/>
    <s v="Sim"/>
  </r>
  <r>
    <n v="102020"/>
    <x v="252"/>
    <s v="Ativo"/>
    <s v="AD"/>
    <n v="30030528"/>
    <s v="Colaborador–M.O.Var"/>
    <s v="Mensalista"/>
    <s v="1DX"/>
    <s v="Duratex S.A."/>
    <n v="11"/>
    <s v="FÁB LOUÇAS RECIFE"/>
    <n v="11"/>
    <s v="DECA"/>
    <s v="SIM"/>
    <s v="0011 - FÁB LOUÇAS RECIFE"/>
    <s v="ALEXSANDRO LAURINDO BARBOSA DE ARAUJO"/>
    <s v="ALEXSANDRO"/>
    <n v="10001334"/>
    <s v="DRR-02"/>
    <s v="DRR-02 - ESMALTACAO CONVENCIONAL - LR"/>
    <s v="DXLR"/>
    <s v="DXESMALT65"/>
    <s v="Esmalt. Convencional"/>
    <n v="10001333"/>
    <s v="DRR-01"/>
    <s v="DRR-01 - INSPEC/ESMAL/FOR/REQ – LR"/>
    <s v="IGOR ERICKSON DE OLIVEIRA RODRIGUES"/>
    <n v="10000059"/>
    <s v="SUPERVISOR"/>
    <s v="SUPERVISOR"/>
    <n v="10000017"/>
    <s v="DECA"/>
    <s v="DIR IND DECA (LOUCAS)"/>
    <m/>
    <m/>
    <m/>
    <m/>
    <m/>
    <m/>
    <s v="14/10/2020"/>
    <n v="0"/>
    <m/>
    <s v="23/03/1985"/>
    <x v="21"/>
    <m/>
    <s v="brasileira"/>
    <s v="JABOATAO DOS GUARARAPES"/>
    <s v="PE"/>
    <s v="BR"/>
    <s v="Não"/>
    <s v="M"/>
    <s v="Não"/>
    <m/>
    <s v="Casado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52"/>
    <m/>
    <s v="20/09/2010"/>
    <s v="PE"/>
    <s v="065.796.014-42"/>
    <n v="63522"/>
    <n v="72"/>
    <s v="13/02/2001"/>
    <s v="PE"/>
    <n v="20681698610"/>
    <m/>
    <m/>
    <m/>
    <m/>
    <m/>
    <m/>
    <m/>
    <m/>
    <m/>
    <x v="238"/>
    <n v="118"/>
    <n v="226"/>
    <d v="2003-04-11T00:00:00"/>
    <s v="PE"/>
    <n v="6865243"/>
    <m/>
    <m/>
    <m/>
    <s v="RUA TRES"/>
    <n v="10"/>
    <m/>
    <s v="CURADO"/>
    <s v="JABOATÃO DOS GUARARAPES"/>
    <s v="PE"/>
    <s v="54270-020"/>
    <m/>
    <n v="81983333697"/>
    <m/>
    <n v="341"/>
    <n v="9324"/>
    <x v="25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EXSARA"/>
    <n v="1"/>
    <s v="Sim"/>
  </r>
  <r>
    <n v="102020"/>
    <x v="253"/>
    <s v="Ativo"/>
    <s v="AD"/>
    <n v="30048831"/>
    <s v="Colaborador–M.O.Var"/>
    <s v="Mensalista"/>
    <s v="1DX"/>
    <s v="Duratex S.A."/>
    <n v="11"/>
    <s v="FÁB LOUÇAS RECIFE"/>
    <n v="11"/>
    <s v="DECA"/>
    <s v="SIM"/>
    <s v="0011 - FÁB LOUÇAS RECIFE"/>
    <s v="FABIO GOMES DA SILVA"/>
    <s v="FABIO"/>
    <n v="10001342"/>
    <s v="DAD-06"/>
    <s v="DAD-06 - FUNDICAO MECANIZADA – LR"/>
    <s v="DXLR"/>
    <s v="DXFMECAN65"/>
    <s v="Fundição Mecanizada"/>
    <n v="10007977"/>
    <s v="DAD-01"/>
    <s v="DAD-01 - ADM GERAL DE PROUCAO - LR"/>
    <s v="DIEGO TOMAZ GONCALVES DE OLIVEIRA"/>
    <n v="10000059"/>
    <s v="SUPERVISOR"/>
    <s v="SUPERVISOR"/>
    <n v="10000017"/>
    <s v="DECA"/>
    <s v="DIR IND DECA (LOUCAS)"/>
    <m/>
    <m/>
    <m/>
    <m/>
    <m/>
    <m/>
    <s v="14/10/2020"/>
    <n v="0"/>
    <m/>
    <s v="17/02/1986"/>
    <x v="3"/>
    <m/>
    <s v="brasileira"/>
    <s v="JABOATAO DOS GUARARAPES"/>
    <s v="PE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53"/>
    <m/>
    <d v="2014-05-08T00:00:00"/>
    <s v="PE"/>
    <s v="064.522.914-83"/>
    <n v="66140"/>
    <n v="79"/>
    <s v="13/04/2004"/>
    <s v="PE"/>
    <n v="13753221456"/>
    <m/>
    <m/>
    <m/>
    <m/>
    <m/>
    <m/>
    <m/>
    <m/>
    <m/>
    <x v="239"/>
    <n v="11"/>
    <n v="319"/>
    <s v="17/03/2020"/>
    <s v="PE"/>
    <n v="210822495110"/>
    <m/>
    <m/>
    <m/>
    <s v="RUA VERA CRUZ"/>
    <n v="185"/>
    <m/>
    <s v="MURIBECA"/>
    <s v="JABOATÃO DOS GUARARAPES"/>
    <s v="PE"/>
    <s v="54350-690"/>
    <m/>
    <n v="81988224397"/>
    <m/>
    <n v="341"/>
    <n v="6318"/>
    <x v="25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ABGOMES"/>
    <n v="1"/>
    <s v="Sim"/>
  </r>
  <r>
    <n v="102020"/>
    <x v="254"/>
    <s v="Ativo"/>
    <s v="AD"/>
    <n v="30048839"/>
    <s v="Colaborador–M.O.Var"/>
    <s v="Mensalista"/>
    <s v="1DX"/>
    <s v="Duratex S.A."/>
    <n v="11"/>
    <s v="FÁB LOUÇAS RECIFE"/>
    <n v="11"/>
    <s v="DECA"/>
    <s v="SIM"/>
    <s v="0011 - FÁB LOUÇAS RECIFE"/>
    <s v="GENILSON JOSE DOS SANTOS"/>
    <s v="GENILSON"/>
    <n v="10001342"/>
    <s v="DAD-06"/>
    <s v="DAD-06 - FUNDICAO MECANIZADA – LR"/>
    <s v="DXLR"/>
    <s v="DXFMECAN65"/>
    <s v="Fundição Mecanizada"/>
    <n v="10007977"/>
    <s v="DAD-01"/>
    <s v="DAD-01 - ADM GERAL DE PROUCAO - LR"/>
    <s v="DIEGO TOMAZ GONCALVES DE OLIVEIRA"/>
    <n v="10000059"/>
    <s v="SUPERVISOR"/>
    <s v="SUPERVISOR"/>
    <n v="10000017"/>
    <s v="DECA"/>
    <s v="DIR IND DECA (LOUCAS)"/>
    <m/>
    <m/>
    <m/>
    <m/>
    <m/>
    <m/>
    <s v="14/10/2020"/>
    <n v="0"/>
    <m/>
    <s v="21/02/1996"/>
    <x v="7"/>
    <m/>
    <s v="brasileira"/>
    <s v="SIRINHAEM"/>
    <s v="PE"/>
    <s v="BR"/>
    <s v="Não"/>
    <s v="M"/>
    <s v="Não"/>
    <m/>
    <s v="Solt."/>
    <s v="Amarel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54"/>
    <m/>
    <s v="18/06/2012"/>
    <s v="PE"/>
    <s v="117.670.204-14"/>
    <n v="62975"/>
    <n v="53"/>
    <d v="2012-09-05T00:00:00"/>
    <s v="PE"/>
    <n v="16275140101"/>
    <m/>
    <m/>
    <m/>
    <m/>
    <m/>
    <m/>
    <m/>
    <m/>
    <m/>
    <x v="240"/>
    <n v="26"/>
    <n v="182"/>
    <d v="2012-09-05T00:00:00"/>
    <s v="PE"/>
    <n v="210072116424"/>
    <m/>
    <m/>
    <m/>
    <s v="RUA TAVARI"/>
    <n v="88"/>
    <m/>
    <s v="RUA TAVARI"/>
    <s v="CABO DE SANTO AGOSTINHO"/>
    <s v="PE"/>
    <s v="54500-001"/>
    <m/>
    <n v="81991441758"/>
    <m/>
    <n v="341"/>
    <n v="1737"/>
    <x v="25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ENILSOS"/>
    <n v="1"/>
    <s v="Sim"/>
  </r>
  <r>
    <n v="102020"/>
    <x v="255"/>
    <s v="Ativo"/>
    <s v="AD"/>
    <n v="30045673"/>
    <s v="Colaborador–M.O.Var"/>
    <s v="Mensalista"/>
    <s v="1DX"/>
    <s v="Duratex S.A."/>
    <n v="11"/>
    <s v="FÁB LOUÇAS RECIFE"/>
    <n v="11"/>
    <s v="DECA"/>
    <s v="SIM"/>
    <s v="0011 - FÁB LOUÇAS RECIFE"/>
    <s v="RODRIGO CAMILO DOS SANTOS"/>
    <s v="RODRIGO"/>
    <n v="10001345"/>
    <s v="DAD-09"/>
    <s v="DAD-09 - INSPECAO - LR"/>
    <s v="DXLR"/>
    <s v="DXINSPEC65"/>
    <s v="Inspeção"/>
    <n v="10007977"/>
    <s v="DAD-01"/>
    <s v="DAD-01 - ADM GERAL DE PROUCAO - LR"/>
    <s v="EDUARDA LARISSA DE CASTRO MARCELINO"/>
    <n v="10000059"/>
    <s v="SUPERVISOR"/>
    <s v="SUPERVISOR"/>
    <n v="10000017"/>
    <s v="DECA"/>
    <s v="DIR IND DECA (LOUCAS)"/>
    <m/>
    <m/>
    <m/>
    <m/>
    <m/>
    <m/>
    <s v="14/10/2020"/>
    <n v="0"/>
    <m/>
    <s v="15/07/1986"/>
    <x v="3"/>
    <m/>
    <s v="brasileira"/>
    <s v="RECIFE"/>
    <s v="PE"/>
    <s v="BR"/>
    <s v="Não"/>
    <s v="M"/>
    <s v="Não"/>
    <m/>
    <s v="Casado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55"/>
    <m/>
    <d v="2010-09-04T00:00:00"/>
    <s v="PE"/>
    <s v="068.183.544-32"/>
    <n v="71764"/>
    <n v="97"/>
    <s v="26/12/2007"/>
    <s v="PE"/>
    <n v="13572481774"/>
    <m/>
    <m/>
    <m/>
    <m/>
    <m/>
    <m/>
    <m/>
    <m/>
    <m/>
    <x v="241"/>
    <n v="149"/>
    <n v="201"/>
    <s v="21/01/2014"/>
    <s v="PE"/>
    <n v="210832332899"/>
    <m/>
    <m/>
    <m/>
    <s v="RUA PROFESSOR PEDRO AUGUSTO CARNEIRO LEAO"/>
    <n v="585"/>
    <m/>
    <s v="IMBIRIBEIRA"/>
    <s v="RECIFE"/>
    <s v="PE"/>
    <s v="51160-210"/>
    <m/>
    <n v="81984535726"/>
    <m/>
    <n v="341"/>
    <n v="8322"/>
    <x v="25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ODRIGDO"/>
    <n v="1"/>
    <s v="Sim"/>
  </r>
  <r>
    <n v="102020"/>
    <x v="256"/>
    <s v="Ativo"/>
    <s v="AD"/>
    <n v="30048846"/>
    <s v="Colaborador–M.O.Var"/>
    <s v="Mensalista"/>
    <s v="1DX"/>
    <s v="Duratex S.A."/>
    <n v="11"/>
    <s v="FÁB LOUÇAS RECIFE"/>
    <n v="11"/>
    <s v="DECA"/>
    <s v="SIM"/>
    <s v="0011 - FÁB LOUÇAS RECIFE"/>
    <s v="JOSE JOVENCIO DA SILVA FILHO"/>
    <s v="JOSE"/>
    <n v="10004887"/>
    <s v="DAD-07"/>
    <s v="DAD-07 - FUNDICAO MECANIZADA – LR"/>
    <s v="DXLR"/>
    <s v="DXFMECAN65"/>
    <s v="Fundição Mecanizada"/>
    <n v="10007977"/>
    <s v="DAD-01"/>
    <s v="DAD-01 - ADM GERAL DE PROUCAO - LR"/>
    <s v="FLEDSON FERREIRA DA SILVA"/>
    <n v="10000059"/>
    <s v="SUPERVISOR"/>
    <s v="SUPERVISOR"/>
    <n v="10000017"/>
    <s v="DECA"/>
    <s v="DIR IND DECA (LOUCAS)"/>
    <m/>
    <m/>
    <m/>
    <m/>
    <m/>
    <m/>
    <s v="14/10/2020"/>
    <n v="0"/>
    <m/>
    <s v="30/03/1982"/>
    <x v="6"/>
    <m/>
    <s v="brasileira"/>
    <s v="GAMELEIRA"/>
    <s v="PE"/>
    <s v="BR"/>
    <s v="Não"/>
    <s v="M"/>
    <s v="Não"/>
    <m/>
    <s v="Casado"/>
    <s v="Parda"/>
    <s v="Ginasial in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56"/>
    <m/>
    <d v="2003-01-10T00:00:00"/>
    <s v="PE"/>
    <s v="050.116.064-73"/>
    <n v="82964"/>
    <n v="72"/>
    <s v="22/10/2009"/>
    <s v="PE"/>
    <n v="13107938458"/>
    <m/>
    <m/>
    <m/>
    <m/>
    <m/>
    <m/>
    <m/>
    <m/>
    <m/>
    <x v="242"/>
    <n v="26"/>
    <n v="40"/>
    <d v="2010-05-03T00:00:00"/>
    <s v="PE"/>
    <n v="210102054280"/>
    <m/>
    <m/>
    <m/>
    <s v="RUA VINTE E NOVE"/>
    <n v="61"/>
    <m/>
    <s v="PONTE DOS CARVALHOS"/>
    <s v="CABO DE SANTO AGOSTINHO"/>
    <s v="PE"/>
    <s v="54580-134"/>
    <m/>
    <n v="81991482079"/>
    <m/>
    <n v="341"/>
    <n v="1737"/>
    <x v="25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JOVENC"/>
    <n v="1"/>
    <s v="Sim"/>
  </r>
  <r>
    <n v="102020"/>
    <x v="257"/>
    <s v="Ativo"/>
    <s v="AD"/>
    <n v="30048828"/>
    <s v="Colaborador–M.O.Var"/>
    <s v="Mensalista"/>
    <s v="1DX"/>
    <s v="Duratex S.A."/>
    <n v="11"/>
    <s v="FÁB LOUÇAS RECIFE"/>
    <n v="11"/>
    <s v="DECA"/>
    <s v="SIM"/>
    <s v="0011 - FÁB LOUÇAS RECIFE"/>
    <s v="JURANDIR ALVES DE MOURA JUNIOR"/>
    <s v="JURANDIR"/>
    <n v="10001336"/>
    <s v="DAD-02"/>
    <s v="DAD-02 - FUNDICAO MECANIZADA – LR"/>
    <s v="DXLR"/>
    <s v="DXFMECAN65"/>
    <s v="Fundição Mecanizada"/>
    <n v="10007977"/>
    <s v="DAD-01"/>
    <s v="DAD-01 - ADM GERAL DE PROUCAO - LR"/>
    <s v="SALATIEL RODRIGUES SANTANA DE FARIAS"/>
    <n v="10000059"/>
    <s v="SUPERVISOR"/>
    <s v="SUPERVISOR"/>
    <n v="10000017"/>
    <s v="DECA"/>
    <s v="DIR IND DECA (LOUCAS)"/>
    <m/>
    <m/>
    <m/>
    <m/>
    <m/>
    <m/>
    <s v="14/10/2020"/>
    <n v="0"/>
    <m/>
    <s v="14/02/1980"/>
    <x v="8"/>
    <m/>
    <s v="brasileira"/>
    <s v="AMARAJI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57"/>
    <m/>
    <d v="1999-10-03T00:00:00"/>
    <s v="PE"/>
    <s v="029.738.604-23"/>
    <n v="33313"/>
    <n v="40"/>
    <d v="2002-02-07T00:00:00"/>
    <s v="PE"/>
    <n v="13060948452"/>
    <m/>
    <m/>
    <m/>
    <m/>
    <m/>
    <m/>
    <m/>
    <m/>
    <m/>
    <x v="243"/>
    <n v="31"/>
    <n v="46"/>
    <s v="28/01/2016"/>
    <s v="PE"/>
    <m/>
    <m/>
    <m/>
    <m/>
    <s v="RUA JOAO ROSENDO MARQUES"/>
    <n v="10"/>
    <m/>
    <s v="COHAB"/>
    <s v="CABO DE SANTO AGOSTINHO"/>
    <s v="PE"/>
    <s v="54520-310"/>
    <m/>
    <n v="81996373378"/>
    <m/>
    <n v="341"/>
    <n v="6999"/>
    <x v="25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URJUNIO"/>
    <n v="1"/>
    <s v="Sim"/>
  </r>
  <r>
    <n v="102020"/>
    <x v="258"/>
    <s v="Ativo"/>
    <s v="AD"/>
    <n v="30046607"/>
    <s v="Colaborador–M.O.Fixa"/>
    <s v="Mensalista"/>
    <s v="1DX"/>
    <s v="Duratex S.A."/>
    <n v="18"/>
    <s v="FÁB ITAPETININGA"/>
    <n v="18"/>
    <s v="MADEIRA"/>
    <s v="SIM"/>
    <s v="0018 - FÁB ITAPETININGA"/>
    <s v="ROBSON RODRIGUES DE MEIRA"/>
    <s v="ROBSON"/>
    <n v="10008879"/>
    <s v="MII-07"/>
    <s v="MII-07- MDF-TURNO D"/>
    <s v="DXIT"/>
    <s v="DXMOVCH261"/>
    <s v="Movimentação - MDF"/>
    <n v="10000561"/>
    <s v="MII-01"/>
    <s v="MII-01 - MDF/MDP - IT"/>
    <s v="LUCAS MACHADO RODRIGUES"/>
    <n v="10000080"/>
    <s v="EQUIPE"/>
    <s v="EQUIPE"/>
    <n v="10000005"/>
    <s v="MADEIRA"/>
    <s v="DIR OPER PAINEIS"/>
    <m/>
    <m/>
    <m/>
    <m/>
    <m/>
    <m/>
    <s v="14/10/2020"/>
    <n v="0"/>
    <m/>
    <s v="15/03/1988"/>
    <x v="9"/>
    <m/>
    <s v="brasileira"/>
    <s v="ANGATUBA"/>
    <s v="SP"/>
    <s v="BR"/>
    <s v="Não"/>
    <s v="M"/>
    <s v="Não"/>
    <m/>
    <s v="Casado"/>
    <s v="Branca"/>
    <s v="Colegial completo"/>
    <m/>
    <n v="22001157"/>
    <s v="220/M"/>
    <s v="OPER EMPILHADEIRA PROD"/>
    <n v="782220"/>
    <s v="Admissão"/>
    <d v="2020-10-01T00:00:00"/>
    <s v="220,00"/>
    <s v="MFI-01"/>
    <s v="MOI-01"/>
    <s v="MFL-01"/>
    <s v="CSS-01"/>
    <s v="MDP-01"/>
    <s v="PRE-01"/>
    <s v="2.000,00"/>
    <s v="2.000,00"/>
    <s v="2.000,00"/>
    <s v="0,00"/>
    <s v="CE"/>
    <s v="FB ITAPET.-220/M"/>
    <n v="16"/>
    <s v="GRS016OP"/>
    <d v="2020-10-01T00:00:00"/>
    <s v="Admissão"/>
    <s v="1.999,00"/>
    <s v="199900,00"/>
    <n v="1"/>
    <m/>
    <s v="N"/>
    <x v="258"/>
    <m/>
    <s v="24/01/2019"/>
    <s v="SP"/>
    <s v="373.304.758-31"/>
    <n v="4799"/>
    <n v="338"/>
    <s v="20/10/2006"/>
    <s v="SP"/>
    <n v="20649152241"/>
    <m/>
    <n v="4042489256"/>
    <s v="AD"/>
    <s v="24/04/2019"/>
    <s v="14/10/2020"/>
    <s v="30/03/2024"/>
    <m/>
    <m/>
    <m/>
    <x v="244"/>
    <n v="52"/>
    <n v="299"/>
    <s v="16/02/2016"/>
    <s v="SP"/>
    <n v="140082029319"/>
    <m/>
    <m/>
    <m/>
    <s v="RUA JUDITH CARPINELLI VILLACA"/>
    <n v="179"/>
    <m/>
    <s v="PARQUE ATENAS DO SUL"/>
    <s v="ITAPETININGA"/>
    <s v="SP"/>
    <s v="18208-450"/>
    <m/>
    <n v="15998241302"/>
    <m/>
    <n v="341"/>
    <n v="2281"/>
    <x v="258"/>
    <m/>
    <m/>
    <m/>
    <s v="OPERACIONAL"/>
    <s v="OPERACOES"/>
    <s v="ADMINISTRATIVO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OBMEIRA"/>
    <n v="1"/>
    <s v="Sim"/>
  </r>
  <r>
    <n v="102020"/>
    <x v="259"/>
    <s v="Ativo"/>
    <s v="AD"/>
    <n v="30046608"/>
    <s v="Colaborador–M.O.Fixa"/>
    <s v="Mensalista"/>
    <s v="1DX"/>
    <s v="Duratex S.A."/>
    <n v="18"/>
    <s v="FÁB ITAPETININGA"/>
    <n v="18"/>
    <s v="MADEIRA"/>
    <s v="SIM"/>
    <s v="0018 - FÁB ITAPETININGA"/>
    <s v="ADILSON MARCELINO SILVA DE ALMEIDA"/>
    <s v="ADILSON"/>
    <n v="10008507"/>
    <s v="MII-02"/>
    <s v="MII-02 - MDF - EMP- IT"/>
    <s v="DXIT"/>
    <s v="DXMOVCH261"/>
    <s v="Movimentação - MDF"/>
    <n v="10007549"/>
    <s v="MII-02"/>
    <s v="MII-02 - MDF - TURNO A - IT"/>
    <s v="SERGIO AUGUSTO DI NARDO"/>
    <n v="10000080"/>
    <s v="EQUIPE"/>
    <s v="EQUIPE"/>
    <n v="10000005"/>
    <s v="MADEIRA"/>
    <s v="DIR OPER PAINEIS"/>
    <m/>
    <m/>
    <m/>
    <m/>
    <m/>
    <m/>
    <s v="14/10/2020"/>
    <n v="0"/>
    <m/>
    <d v="1988-12-08T00:00:00"/>
    <x v="9"/>
    <m/>
    <s v="brasileira"/>
    <s v="ITAPETININGA"/>
    <s v="SP"/>
    <s v="BR"/>
    <s v="Não"/>
    <s v="M"/>
    <s v="Não"/>
    <m/>
    <s v="Casado"/>
    <s v="Parda"/>
    <s v="Ginasial completo"/>
    <m/>
    <n v="22001157"/>
    <s v="220/M"/>
    <s v="OPER EMPILHADEIRA PROD"/>
    <n v="782220"/>
    <s v="Admissão"/>
    <d v="2020-10-01T00:00:00"/>
    <s v="220,00"/>
    <s v="MFI-01"/>
    <s v="MOI-01"/>
    <s v="MFL-01"/>
    <s v="CSS-01"/>
    <s v="MDP-01"/>
    <s v="PRE-01"/>
    <s v="2.000,00"/>
    <s v="2.000,00"/>
    <s v="2.000,00"/>
    <s v="0,00"/>
    <s v="CE"/>
    <s v="FB ITAPET.-220/M"/>
    <n v="16"/>
    <s v="GRS016OP"/>
    <d v="2020-10-01T00:00:00"/>
    <s v="Admissão"/>
    <s v="1.999,00"/>
    <s v="199900,00"/>
    <n v="1"/>
    <m/>
    <s v="N"/>
    <x v="259"/>
    <m/>
    <s v="23/08/2004"/>
    <s v="SP"/>
    <s v="360.260.448-92"/>
    <n v="41923"/>
    <n v="340"/>
    <s v="13/08/2019"/>
    <s v="SP"/>
    <n v="20172134395"/>
    <m/>
    <n v="4075295896"/>
    <s v="AB"/>
    <d v="2016-06-09T00:00:00"/>
    <s v="14/10/2020"/>
    <d v="2021-05-09T00:00:00"/>
    <m/>
    <m/>
    <m/>
    <x v="245"/>
    <n v="52"/>
    <n v="281"/>
    <d v="2019-04-10T00:00:00"/>
    <s v="SP"/>
    <n v="140702289525"/>
    <m/>
    <m/>
    <m/>
    <s v="RUA ISSA BITTAR"/>
    <n v="23"/>
    <m/>
    <s v="VILA BELO HORIZONTE"/>
    <s v="ITAPETININGA"/>
    <s v="SP"/>
    <s v="18000-000"/>
    <m/>
    <n v="15998572780"/>
    <m/>
    <n v="341"/>
    <n v="242"/>
    <x v="259"/>
    <m/>
    <m/>
    <m/>
    <s v="OPERACIONAL"/>
    <s v="OPERACOES"/>
    <s v="ADMINISTRATIVO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DALMEID"/>
    <n v="1"/>
    <s v="Sim"/>
  </r>
  <r>
    <n v="102020"/>
    <x v="260"/>
    <s v="Ativo"/>
    <s v="AD"/>
    <n v="30048754"/>
    <s v="Colaborador–M.O.Fixa"/>
    <s v="Mensalista"/>
    <s v="1DX"/>
    <s v="Duratex S.A."/>
    <n v="6"/>
    <s v="FÁB METAIS SP"/>
    <n v="6"/>
    <s v="DECA"/>
    <s v="SIM"/>
    <s v="0006 - FÁB METAIS SP INDL"/>
    <s v="NAYARA FERREIRA ANTUNES"/>
    <s v="NAYARA"/>
    <n v="10001695"/>
    <s v="DPV-04"/>
    <s v="DPV-04 - ATEND A REDE AUTORIZ - MS"/>
    <s v="DXMS"/>
    <s v="DXATDECA06"/>
    <s v="Assist. Téc. Deca"/>
    <n v="10001702"/>
    <s v="DPV-01"/>
    <s v="DPV-01 - ADM E CML DO POS-VENDA - MS"/>
    <s v="EDSON GOMES DA SILVA"/>
    <n v="10000059"/>
    <s v="SUPERVISOR"/>
    <s v="SUPERVISOR"/>
    <n v="10000008"/>
    <s v="DECA"/>
    <s v="DIR DESENV E MKT"/>
    <m/>
    <m/>
    <m/>
    <m/>
    <m/>
    <m/>
    <s v="13/10/2020"/>
    <n v="0"/>
    <m/>
    <s v="31/07/1994"/>
    <x v="2"/>
    <m/>
    <s v="brasileira"/>
    <s v="SUZANO"/>
    <s v="SP"/>
    <s v="BR"/>
    <s v="Não"/>
    <s v="F"/>
    <s v="Não"/>
    <m/>
    <s v="Casado"/>
    <s v="Branca"/>
    <s v="Colegial completo"/>
    <m/>
    <n v="22001210"/>
    <s v="220/M"/>
    <s v="AN ASSISTENCIA TECNICA JR"/>
    <n v="354140"/>
    <s v="Admissão"/>
    <d v="2020-10-01T00:00:00"/>
    <s v="220,00"/>
    <m/>
    <s v="DGV-01"/>
    <s v="DDC-01"/>
    <s v="CSS-01"/>
    <s v="DDE-01"/>
    <s v="PRE-01"/>
    <s v="2.613,00"/>
    <s v="2.613,00"/>
    <s v="2.613,00"/>
    <s v="0,00"/>
    <s v="BD"/>
    <s v="METAIS SP-220/M"/>
    <n v="19"/>
    <s v="GRS019PR"/>
    <d v="2020-10-01T00:00:00"/>
    <s v="Admissão"/>
    <s v="2.612,00"/>
    <s v="261200,00"/>
    <n v="1"/>
    <m/>
    <s v="N"/>
    <x v="260"/>
    <m/>
    <s v="15/02/2017"/>
    <s v="SP"/>
    <s v="409.713.358-69"/>
    <n v="5572037"/>
    <n v="30"/>
    <s v="15/10/2010"/>
    <s v="GO"/>
    <n v="16384185009"/>
    <m/>
    <m/>
    <m/>
    <m/>
    <m/>
    <m/>
    <m/>
    <m/>
    <m/>
    <x v="246"/>
    <n v="192"/>
    <n v="514"/>
    <d v="2017-09-02T00:00:00"/>
    <s v="SP"/>
    <m/>
    <m/>
    <m/>
    <m/>
    <s v="RUA DEDALION"/>
    <n v="474"/>
    <m/>
    <s v="JD ADELFIORE"/>
    <s v="SÃO PAULO"/>
    <s v="SP"/>
    <s v="05223-120"/>
    <m/>
    <n v="11989259980"/>
    <m/>
    <n v="341"/>
    <n v="7588"/>
    <x v="260"/>
    <m/>
    <m/>
    <m/>
    <s v="SUPERIOR"/>
    <s v="COMERCIAL MKT E ASSIST TECNICA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NAYARA.ANTUNES@DECA.COM.BR"/>
    <m/>
    <s v="NANTUNES"/>
    <n v="1"/>
    <s v="Sim"/>
  </r>
  <r>
    <n v="102020"/>
    <x v="261"/>
    <s v="Ativo"/>
    <s v="AD"/>
    <n v="30048755"/>
    <s v="Colaborador–M.O.Fixa"/>
    <s v="Mensalista"/>
    <s v="1DX"/>
    <s v="Duratex S.A."/>
    <n v="6"/>
    <s v="FÁB METAIS SP"/>
    <n v="6"/>
    <s v="DECA"/>
    <s v="SIM"/>
    <s v="0006 - FÁB METAIS SP INDL"/>
    <s v="PEDRO HENRIQUE JEZIERSKI PAVEZZI"/>
    <s v="PEDRO"/>
    <n v="10001695"/>
    <s v="DPV-04"/>
    <s v="DPV-04 - ATEND A REDE AUTORIZ - MS"/>
    <s v="DXMS"/>
    <s v="DXATDECA06"/>
    <s v="Assist. Téc. Deca"/>
    <n v="10001702"/>
    <s v="DPV-01"/>
    <s v="DPV-01 - ADM E CML DO POS-VENDA - MS"/>
    <s v="EDSON GOMES DA SILVA"/>
    <n v="10000059"/>
    <s v="SUPERVISOR"/>
    <s v="SUPERVISOR"/>
    <n v="10000008"/>
    <s v="DECA"/>
    <s v="DIR DESENV E MKT"/>
    <m/>
    <m/>
    <m/>
    <m/>
    <m/>
    <m/>
    <s v="13/10/2020"/>
    <n v="0"/>
    <m/>
    <s v="18/04/1993"/>
    <x v="16"/>
    <m/>
    <s v="brasileira"/>
    <s v="SAO PAULO"/>
    <s v="SP"/>
    <s v="BR"/>
    <s v="Não"/>
    <s v="M"/>
    <s v="Não"/>
    <m/>
    <s v="Solt."/>
    <s v="Branca"/>
    <s v="Colegial completo"/>
    <m/>
    <n v="22001210"/>
    <s v="220/M"/>
    <s v="AN ASSISTENCIA TECNICA JR"/>
    <n v="354140"/>
    <s v="Admissão"/>
    <d v="2020-10-01T00:00:00"/>
    <s v="220,00"/>
    <m/>
    <s v="DGV-01"/>
    <s v="DDC-01"/>
    <s v="CSS-01"/>
    <s v="DDE-01"/>
    <s v="PRE-01"/>
    <s v="2.613,00"/>
    <s v="2.613,00"/>
    <s v="2.613,00"/>
    <s v="0,00"/>
    <s v="BD"/>
    <s v="METAIS SP-220/M"/>
    <n v="19"/>
    <s v="GRS019PR"/>
    <d v="2020-10-01T00:00:00"/>
    <s v="Admissão"/>
    <s v="2.612,00"/>
    <s v="261200,00"/>
    <n v="1"/>
    <m/>
    <s v="N"/>
    <x v="261"/>
    <m/>
    <d v="2015-10-12T00:00:00"/>
    <s v="SP"/>
    <s v="413.398.448-00"/>
    <n v="42225"/>
    <n v="351"/>
    <s v="26/06/2009"/>
    <s v="SP"/>
    <n v="13054212229"/>
    <m/>
    <m/>
    <m/>
    <m/>
    <m/>
    <m/>
    <m/>
    <m/>
    <m/>
    <x v="247"/>
    <n v="92"/>
    <n v="80"/>
    <s v="27/06/2011"/>
    <s v="SP"/>
    <n v="423458"/>
    <m/>
    <m/>
    <m/>
    <s v="RUA MANUEL DE SOVERAL"/>
    <n v="179"/>
    <m/>
    <s v="JARDIM SAO PAULO"/>
    <s v="SÃO PAULO"/>
    <s v="SP"/>
    <s v="02040-120"/>
    <m/>
    <n v="11993304438"/>
    <m/>
    <n v="341"/>
    <n v="2937"/>
    <x v="261"/>
    <m/>
    <m/>
    <m/>
    <s v="SUPERIOR"/>
    <s v="COMERCIAL MKT E ASSIST TECNICA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PEDRO.PAVEZZI@DECA.COM.BR"/>
    <m/>
    <s v="PPAVEZZI"/>
    <n v="1"/>
    <s v="Sim"/>
  </r>
  <r>
    <n v="102020"/>
    <x v="262"/>
    <s v="Ativo"/>
    <s v="AD"/>
    <n v="30048756"/>
    <s v="Colaborador–M.O.Fixa"/>
    <s v="Mensalista"/>
    <s v="1DX"/>
    <s v="Duratex S.A."/>
    <n v="6"/>
    <s v="FÁB METAIS SP"/>
    <n v="6"/>
    <s v="DECA"/>
    <s v="SIM"/>
    <s v="0006 - FÁB METAIS SP INDL"/>
    <s v="ALEXANDER JOSE BARBOSA RAMALHO"/>
    <s v="ALEXANDER"/>
    <n v="10001695"/>
    <s v="DPV-04"/>
    <s v="DPV-04 - ATEND A REDE AUTORIZ - MS"/>
    <s v="DXMS"/>
    <s v="DXATDECA06"/>
    <s v="Assist. Téc. Deca"/>
    <n v="10001702"/>
    <s v="DPV-01"/>
    <s v="DPV-01 - ADM E CML DO POS-VENDA - MS"/>
    <s v="EDSON GOMES DA SILVA"/>
    <n v="10000059"/>
    <s v="SUPERVISOR"/>
    <s v="SUPERVISOR"/>
    <n v="10000008"/>
    <s v="DECA"/>
    <s v="DIR DESENV E MKT"/>
    <m/>
    <m/>
    <m/>
    <m/>
    <m/>
    <m/>
    <s v="13/10/2020"/>
    <n v="0"/>
    <m/>
    <s v="28/01/1974"/>
    <x v="14"/>
    <m/>
    <s v="brasileira"/>
    <s v="SAO PAULO"/>
    <s v="SP"/>
    <s v="BR"/>
    <s v="Não"/>
    <s v="M"/>
    <s v="Não"/>
    <m/>
    <s v="Marita"/>
    <s v="Branca"/>
    <s v="Superior completo"/>
    <m/>
    <n v="22001210"/>
    <s v="220/M"/>
    <s v="AN ASSISTENCIA TECNICA JR"/>
    <n v="354140"/>
    <s v="Admissão"/>
    <d v="2020-10-01T00:00:00"/>
    <s v="220,00"/>
    <m/>
    <s v="DGV-01"/>
    <s v="DDC-01"/>
    <s v="CSS-01"/>
    <s v="DDE-01"/>
    <s v="PRE-01"/>
    <s v="2.613,00"/>
    <s v="2.613,00"/>
    <s v="2.613,00"/>
    <s v="0,00"/>
    <s v="BD"/>
    <s v="METAIS SP-220/M"/>
    <n v="19"/>
    <s v="GRS019PR"/>
    <d v="2020-10-01T00:00:00"/>
    <s v="Admissão"/>
    <s v="2.612,00"/>
    <s v="261200,00"/>
    <n v="1"/>
    <m/>
    <s v="N"/>
    <x v="262"/>
    <m/>
    <s v="28/07/2011"/>
    <s v="SP"/>
    <s v="130.008.628-97"/>
    <n v="10815"/>
    <n v="197"/>
    <s v="30/09/2017"/>
    <s v="SP"/>
    <n v="12335994818"/>
    <m/>
    <m/>
    <m/>
    <m/>
    <m/>
    <m/>
    <m/>
    <m/>
    <m/>
    <x v="248"/>
    <n v="404"/>
    <n v="414"/>
    <s v="29/09/2017"/>
    <s v="SP"/>
    <m/>
    <m/>
    <m/>
    <m/>
    <s v="RUA ARROIO SARANDI"/>
    <n v="703"/>
    <m/>
    <s v="CONJUNTO HABITACIONAL SANTA ETELVINA III"/>
    <s v="SÃO PAULO"/>
    <s v="SP"/>
    <s v="08485-460"/>
    <m/>
    <n v="11967489161"/>
    <m/>
    <n v="341"/>
    <n v="2575"/>
    <x v="262"/>
    <m/>
    <m/>
    <m/>
    <s v="SUPERIOR"/>
    <s v="COMERCIAL MKT E ASSIST TECNICA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ALEXANDER.RAMALHO@DECA.COM.BR"/>
    <m/>
    <s v="ARAMALHO"/>
    <n v="1"/>
    <s v="Sim"/>
  </r>
  <r>
    <n v="102020"/>
    <x v="263"/>
    <s v="Ativo"/>
    <s v="AD"/>
    <n v="30048760"/>
    <s v="Colaborador–M.O.Fixa"/>
    <s v="Mensalista"/>
    <s v="1HY"/>
    <s v="HYDRA CORONA SIST.AQ.LTD."/>
    <n v="32"/>
    <s v="HYDRA ARACAJU"/>
    <n v="32"/>
    <s v="CORONA"/>
    <s v="SIM"/>
    <s v="0032 – FÁB. HYDRA ARACAJU"/>
    <s v="ROSIANE CAMPOS DE VASCONCELOS"/>
    <s v="ROSIANE"/>
    <n v="10008746"/>
    <s v="DCH-02"/>
    <s v="DCH-02- MERCHANDISING-HYDRA-MT-AJ"/>
    <s v="HYAR"/>
    <s v="HYPROMT104"/>
    <s v="Promotor Hydra-MT 01"/>
    <n v="10007906"/>
    <s v="DCH-02"/>
    <s v="DCH-02- MERCHANDISING - MS"/>
    <s v="CINTIA CRISTINA FERRO"/>
    <n v="10000080"/>
    <s v="EQUIPE"/>
    <s v="EQUIPE"/>
    <n v="10000020"/>
    <s v="HYDRA"/>
    <s v="DIR CML HYDRA"/>
    <m/>
    <m/>
    <m/>
    <m/>
    <m/>
    <m/>
    <s v="14/10/2020"/>
    <n v="0"/>
    <m/>
    <d v="1991-06-06T00:00:00"/>
    <x v="27"/>
    <m/>
    <s v="brasileira"/>
    <s v="OBIDOS"/>
    <s v="PA"/>
    <s v="BR"/>
    <s v="Não"/>
    <s v="F"/>
    <s v="Não"/>
    <m/>
    <s v="Solt."/>
    <s v="Parda"/>
    <s v="Colegial completo"/>
    <m/>
    <n v="22001212"/>
    <s v="220/M"/>
    <s v="PROMOTOR VENDAS"/>
    <n v="521115"/>
    <s v="Admissão"/>
    <d v="2020-10-01T00:00:00"/>
    <s v="220,00"/>
    <m/>
    <s v="DTM-01"/>
    <s v="DDC-01"/>
    <s v="CSS-01"/>
    <s v="DDE-01"/>
    <s v="PRE-01"/>
    <s v="1.401,00"/>
    <s v="1.401,00"/>
    <s v="1.401,00"/>
    <s v="0,00"/>
    <s v="HU"/>
    <s v="HYDRA ARACAJU-220/M"/>
    <n v="15"/>
    <s v="GRS015OP"/>
    <d v="2020-10-01T00:00:00"/>
    <s v="Admissão"/>
    <s v="1.400,00"/>
    <s v="140000,00"/>
    <n v="1"/>
    <m/>
    <s v="N"/>
    <x v="263"/>
    <m/>
    <s v="15/02/2006"/>
    <s v="MT"/>
    <s v="028.745.941-13"/>
    <n v="96166"/>
    <n v="19"/>
    <d v="2006-03-01T00:00:00"/>
    <s v="MT"/>
    <n v="16569031164"/>
    <m/>
    <m/>
    <m/>
    <m/>
    <m/>
    <m/>
    <m/>
    <m/>
    <m/>
    <x v="249"/>
    <n v="22"/>
    <n v="242"/>
    <d v="2017-01-02T00:00:00"/>
    <s v="MT"/>
    <m/>
    <m/>
    <m/>
    <m/>
    <s v="RUA DA MOCCA"/>
    <n v="635"/>
    <m/>
    <s v="JARDIM PAULISTA"/>
    <s v="SINOP"/>
    <s v="MT"/>
    <s v="78550-000"/>
    <m/>
    <n v="66996227829"/>
    <m/>
    <n v="341"/>
    <n v="1364"/>
    <x v="263"/>
    <m/>
    <m/>
    <m/>
    <s v="FORCA DE VENDAS"/>
    <s v="COMERCIAL MKT E ASSIST TECNICA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VASCONC"/>
    <n v="9"/>
    <s v="Não"/>
  </r>
  <r>
    <n v="102020"/>
    <x v="264"/>
    <s v="Ativo"/>
    <s v="AD"/>
    <n v="30035439"/>
    <s v="Colaborador–M.O.Fixa"/>
    <s v="Mensalista"/>
    <s v="1DX"/>
    <s v="Duratex S.A."/>
    <n v="6"/>
    <s v="FÁB METAIS SP"/>
    <n v="6"/>
    <s v="DECA"/>
    <s v="NAO"/>
    <s v="0006 - FÁB METAIS SP CML"/>
    <s v="MATHEUS EDUARDO PEIXER DA SILVA"/>
    <s v="MATHEUS"/>
    <n v="10007953"/>
    <s v="DCH-02"/>
    <s v="DCH-02- MERCHANDISING - PR"/>
    <s v="DXMS"/>
    <s v="DXPROMPR01"/>
    <s v="Promotor Líder-PR 01"/>
    <n v="10007905"/>
    <s v="DCH-02"/>
    <s v="DCH-02- MERCHANDISING - MS"/>
    <s v="ANA LUCIA GANDINI"/>
    <n v="10000080"/>
    <s v="EQUIPE"/>
    <s v="EQUIPE"/>
    <n v="10000003"/>
    <s v="DECA"/>
    <s v="DIR CML DECA"/>
    <m/>
    <m/>
    <m/>
    <m/>
    <m/>
    <m/>
    <s v="14/10/2020"/>
    <n v="0"/>
    <m/>
    <d v="1998-04-06T00:00:00"/>
    <x v="28"/>
    <m/>
    <s v="brasileira"/>
    <s v="CURITIBA"/>
    <s v="PR"/>
    <s v="BR"/>
    <s v="Não"/>
    <s v="M"/>
    <s v="Não"/>
    <m/>
    <s v="Solt."/>
    <s v="Branca"/>
    <s v="Colegial completo"/>
    <m/>
    <n v="22001215"/>
    <s v="220/M"/>
    <s v="REPOSITOR"/>
    <n v="521125"/>
    <s v="Admissão"/>
    <d v="2020-10-01T00:00:00"/>
    <s v="220,00"/>
    <m/>
    <s v="DTM-01"/>
    <s v="DDC-01"/>
    <s v="CSS-01"/>
    <s v="DDE-01"/>
    <s v="PRE-01"/>
    <s v="1.834,00"/>
    <s v="1.834,00"/>
    <s v="1.834,00"/>
    <s v="0,00"/>
    <s v="BD"/>
    <s v="METAIS SP-220/M"/>
    <n v="13"/>
    <s v="GRS013OP"/>
    <d v="2020-10-01T00:00:00"/>
    <s v="Admissão"/>
    <s v="1.833,00"/>
    <s v="183300,00"/>
    <n v="1"/>
    <m/>
    <s v="N"/>
    <x v="264"/>
    <m/>
    <s v="29/04/2013"/>
    <s v="PR"/>
    <s v="108.462.179-70"/>
    <n v="5729027"/>
    <n v="40"/>
    <s v="30/01/2014"/>
    <s v="PR"/>
    <n v="21281617360"/>
    <m/>
    <m/>
    <m/>
    <m/>
    <m/>
    <m/>
    <m/>
    <m/>
    <m/>
    <x v="250"/>
    <n v="199"/>
    <n v="201"/>
    <d v="2015-03-08T00:00:00"/>
    <s v="PR"/>
    <n v="150412643762"/>
    <m/>
    <m/>
    <m/>
    <s v="RUA ADRIANOPOLIS"/>
    <n v="152"/>
    <m/>
    <s v="GUARAITUBA"/>
    <s v="COLOMBO"/>
    <s v="PR"/>
    <s v="83410-680"/>
    <m/>
    <n v="41987233512"/>
    <m/>
    <n v="341"/>
    <n v="4011"/>
    <x v="264"/>
    <m/>
    <m/>
    <m/>
    <s v="OPERACIONAL"/>
    <s v="COMERCIAL MKT E ASSIST TECNICA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PEIXER"/>
    <n v="9"/>
    <s v="Não"/>
  </r>
  <r>
    <n v="102020"/>
    <x v="265"/>
    <s v="Ativo"/>
    <s v="AD"/>
    <n v="30022458"/>
    <s v="Colaborador–M.O.Fixa"/>
    <s v="Mensalista"/>
    <s v="1DX"/>
    <s v="Duratex S.A."/>
    <n v="19"/>
    <s v="FÁB AGUDOS"/>
    <n v="19"/>
    <s v="MADEIRA"/>
    <s v="SIM"/>
    <s v="0019 - FÁB AGUDOS"/>
    <s v="LUAN RAFAEL MOREIRA"/>
    <s v="LUAN"/>
    <n v="10007308"/>
    <s v="MNA-02"/>
    <s v="MNA-02 - MDF - AG"/>
    <s v="DXAG"/>
    <s v="DXLINHA262"/>
    <s v="Press Line 2 - AG"/>
    <n v="10000238"/>
    <s v="MNA-04"/>
    <s v="MNA-04 - MDF - AG"/>
    <s v="WILSON PIVA JUNIOR"/>
    <n v="10000080"/>
    <s v="EQUIPE"/>
    <s v="EQUIPE"/>
    <n v="10000005"/>
    <s v="MADEIRA"/>
    <s v="DIR OPER PAINEIS"/>
    <m/>
    <m/>
    <m/>
    <m/>
    <m/>
    <m/>
    <s v="14/10/2020"/>
    <n v="0"/>
    <m/>
    <s v="15/12/1993"/>
    <x v="2"/>
    <m/>
    <s v="brasileira"/>
    <s v="LENCOIS PAULISTA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s v="MMF-01"/>
    <s v="MOI-01"/>
    <s v="MFL-01"/>
    <s v="CSS-01"/>
    <s v="MDP-01"/>
    <s v="PRE-01"/>
    <s v="1.438,06"/>
    <s v="1.438,06"/>
    <s v="1.438,06"/>
    <s v="0,00"/>
    <s v="CJ"/>
    <s v="FB AGUDOS-220/M"/>
    <n v="13"/>
    <s v="GRS013OP"/>
    <d v="2020-10-01T00:00:00"/>
    <s v="Admissão"/>
    <s v="1.437,06"/>
    <s v="143706,00"/>
    <n v="1"/>
    <m/>
    <s v="N"/>
    <x v="265"/>
    <m/>
    <d v="2009-08-07T00:00:00"/>
    <s v="SP"/>
    <s v="434.857.518-55"/>
    <n v="511243"/>
    <n v="358"/>
    <d v="2015-11-03T00:00:00"/>
    <s v="SP"/>
    <n v="20644261301"/>
    <m/>
    <m/>
    <m/>
    <m/>
    <m/>
    <m/>
    <m/>
    <m/>
    <m/>
    <x v="251"/>
    <n v="161"/>
    <n v="44"/>
    <s v="27/02/2018"/>
    <s v="SP"/>
    <n v="141712012949"/>
    <m/>
    <m/>
    <m/>
    <s v="RUA GUALTERLUIZ FERNANDES"/>
    <n v="50"/>
    <m/>
    <s v="CENTRO"/>
    <s v="BOREBI"/>
    <s v="SP"/>
    <s v="18675-000"/>
    <m/>
    <n v="14998824060"/>
    <m/>
    <n v="341"/>
    <n v="1851"/>
    <x v="26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LUAN"/>
    <n v="1"/>
    <s v="Sim"/>
  </r>
  <r>
    <n v="102020"/>
    <x v="266"/>
    <s v="Ativo"/>
    <s v="AD"/>
    <n v="30048564"/>
    <s v="Colaborador–M.O.Fixa"/>
    <s v="Mensalista"/>
    <s v="1DX"/>
    <s v="Duratex S.A."/>
    <n v="19"/>
    <s v="FÁB AGUDOS"/>
    <n v="19"/>
    <s v="MADEIRA"/>
    <s v="SIM"/>
    <s v="0019 - FÁB AGUDOS"/>
    <s v="JOAO PAULO CORREA DA SILVA"/>
    <s v="JOAO"/>
    <n v="10000233"/>
    <s v="MNA-05"/>
    <s v="MNA-05 - MDF - AG"/>
    <s v="DXAG"/>
    <s v="DXGERACB62"/>
    <s v="Gerais Chapa Base"/>
    <n v="10000200"/>
    <s v="MNA-01"/>
    <s v="MNA-01 - FORMOL/ RESINAS - AG"/>
    <s v="MACIEL ABILIO"/>
    <n v="10000059"/>
    <s v="SUPERVISOR"/>
    <s v="SUPERVISOR"/>
    <n v="10000005"/>
    <s v="MADEIRA"/>
    <s v="DIR OPER PAINEIS"/>
    <n v="10000108"/>
    <s v="FABRICA"/>
    <n v="10000127"/>
    <s v="PRODUCAO DE PAINEL BASE"/>
    <m/>
    <m/>
    <s v="14/10/2020"/>
    <n v="0"/>
    <m/>
    <s v="31/07/1980"/>
    <x v="8"/>
    <m/>
    <s v="brasileira"/>
    <s v="SAO MANUEL"/>
    <s v="SP"/>
    <s v="BR"/>
    <s v="Não"/>
    <s v="M"/>
    <s v="Não"/>
    <m/>
    <s v="Casado"/>
    <s v="Branca"/>
    <s v="Colegial completo"/>
    <m/>
    <n v="22001507"/>
    <s v="220/M"/>
    <s v="INSPETOR PRODUCAO"/>
    <n v="391205"/>
    <s v="Admissão"/>
    <d v="2020-10-01T00:00:00"/>
    <s v="220,00"/>
    <s v="MMF-01"/>
    <s v="MOI-01"/>
    <s v="MFL-01"/>
    <s v="CSS-01"/>
    <s v="MDP-01"/>
    <s v="PRE-01"/>
    <s v="2.200,00"/>
    <s v="2.200,00"/>
    <s v="2.200,00"/>
    <s v="0,00"/>
    <s v="CJ"/>
    <s v="FB AGUDOS-220/M"/>
    <n v="17"/>
    <s v="GRS017OP"/>
    <d v="2020-10-01T00:00:00"/>
    <s v="Admissão"/>
    <s v="2.199,00"/>
    <s v="219900,00"/>
    <n v="1"/>
    <s v="Abono S/Absenteísmo"/>
    <s v="N"/>
    <x v="266"/>
    <m/>
    <s v="17/01/2014"/>
    <s v="SP"/>
    <s v="299.546.218-81"/>
    <n v="91015"/>
    <n v="221"/>
    <s v="15/01/1999"/>
    <s v="SP"/>
    <n v="12683812169"/>
    <m/>
    <m/>
    <m/>
    <m/>
    <m/>
    <m/>
    <m/>
    <m/>
    <m/>
    <x v="252"/>
    <n v="7"/>
    <n v="97"/>
    <s v="24/09/2019"/>
    <s v="SP"/>
    <n v="60022061562"/>
    <m/>
    <m/>
    <m/>
    <s v="RUA VALMIR SARACINI"/>
    <n v="67"/>
    <m/>
    <s v="PARQUE ESMERALDA"/>
    <s v="AGUDOS"/>
    <s v="SP"/>
    <s v="17120-000"/>
    <m/>
    <n v="14998085962"/>
    <m/>
    <n v="341"/>
    <n v="1851"/>
    <x v="26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OJOAO"/>
    <n v="1"/>
    <s v="Sim"/>
  </r>
  <r>
    <n v="102020"/>
    <x v="267"/>
    <s v="Ativo"/>
    <s v="AD"/>
    <n v="30124777"/>
    <s v="Estagiário"/>
    <s v="Horista"/>
    <s v="1DX"/>
    <s v="Duratex S.A."/>
    <n v="19"/>
    <s v="FÁB AGUDOS"/>
    <n v="19"/>
    <s v="MADEIRA"/>
    <m/>
    <s v="0019 - FÁB AGUDOS"/>
    <s v="ANA LAURA CASALECCHI PRADO"/>
    <s v="ANA"/>
    <n v="10000312"/>
    <s v="MMR-01"/>
    <s v="MMR-01 - REVESTIDOS - AG"/>
    <s v="DXAG"/>
    <s v="DXGERARE62"/>
    <s v="Gerais Revestimento"/>
    <n v="10000210"/>
    <s v="MMF-01"/>
    <s v="MMF-01 - GER FABRICA PAINEIS AGUDOS"/>
    <s v="MARCELO LUIS MAILHO"/>
    <n v="10000050"/>
    <s v="COORDENADOR"/>
    <s v="COORDENADOR"/>
    <n v="10000005"/>
    <s v="MADEIRA"/>
    <s v="DIR OPER PAINEIS"/>
    <n v="10000108"/>
    <s v="FABRICA"/>
    <n v="10000129"/>
    <s v="REVESTIDOS"/>
    <m/>
    <m/>
    <s v="14/10/2020"/>
    <n v="0"/>
    <m/>
    <d v="1998-07-10T00:00:00"/>
    <x v="28"/>
    <m/>
    <s v="brasileira"/>
    <s v="BAURU"/>
    <s v="SP"/>
    <s v="BR"/>
    <s v="Não"/>
    <s v="F"/>
    <s v="Não"/>
    <m/>
    <s v="Solt."/>
    <s v="Branca"/>
    <s v="Superior incompleto"/>
    <m/>
    <n v="22000003"/>
    <s v="120/H"/>
    <s v="ESTAGIARIO SUP"/>
    <n v="999999"/>
    <s v="Admissão"/>
    <d v="2020-10-01T00:00:00"/>
    <s v="120,00"/>
    <s v="MMF-01"/>
    <s v="MOI-01"/>
    <s v="MFL-01"/>
    <s v="CSS-01"/>
    <s v="MDP-01"/>
    <s v="PRE-01"/>
    <s v="1.550,40"/>
    <s v="12,92"/>
    <s v="1.550,40"/>
    <s v="0,00"/>
    <s v="QL"/>
    <s v="FÁB AGUDOS"/>
    <n v="2"/>
    <s v="GRS02DE"/>
    <d v="2020-10-01T00:00:00"/>
    <s v="Admissão"/>
    <s v="1.549,40"/>
    <s v="154940,00"/>
    <n v="1"/>
    <m/>
    <s v="N"/>
    <x v="267"/>
    <m/>
    <d v="2017-09-02T00:00:00"/>
    <s v="SP"/>
    <s v="479.372.658-50"/>
    <n v="83941"/>
    <n v="358"/>
    <d v="2014-07-01T00:00:00"/>
    <s v="SP"/>
    <m/>
    <m/>
    <m/>
    <m/>
    <m/>
    <m/>
    <m/>
    <m/>
    <m/>
    <m/>
    <x v="253"/>
    <n v="7"/>
    <n v="88"/>
    <s v="21/01/2016"/>
    <s v="SP"/>
    <m/>
    <m/>
    <m/>
    <m/>
    <s v="AVENIDA MANOEL HAGGI FILHO"/>
    <n v="571"/>
    <m/>
    <s v="RESIDENCIAL PARQUE SMERALDA"/>
    <s v="AGUDOS"/>
    <s v="SP"/>
    <s v="17128-072"/>
    <m/>
    <n v="14998280041"/>
    <m/>
    <n v="341"/>
    <n v="1851"/>
    <x v="267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PRANA"/>
    <n v="1"/>
    <s v="Sim"/>
  </r>
  <r>
    <n v="102020"/>
    <x v="268"/>
    <s v="Ativo"/>
    <s v="AD"/>
    <n v="30039470"/>
    <s v="Colaborador–M.O.Fixa"/>
    <s v="Mensalista"/>
    <s v="1DX"/>
    <s v="Duratex S.A."/>
    <n v="1"/>
    <s v="ADM CENTRAL"/>
    <n v="1"/>
    <s v="CORPORATIVO"/>
    <s v="NAO"/>
    <s v="EC 0001 - 9º ANDAR"/>
    <s v="LUARA LORENA DE JESUS SILVA"/>
    <s v="LAURA"/>
    <n v="10007928"/>
    <s v="CNA-01"/>
    <s v="CNA-01 - CML MADEIRA E ATENDIMENTO RH EC"/>
    <s v="DXEC"/>
    <s v="DXRHNGMD01"/>
    <s v="RH Negócios Madeira"/>
    <n v="10001856"/>
    <s v="CNM-01"/>
    <s v="CNM-01 - GER RH NEGOCIOS MADEIRA - EC"/>
    <s v="DENISE APARECIDA FORTES"/>
    <n v="10000050"/>
    <s v="COORDENADOR"/>
    <s v="COORDENADOR"/>
    <n v="10000010"/>
    <s v="CORPORATIVO"/>
    <s v="DIR RECURSOS HUMANOS"/>
    <m/>
    <m/>
    <m/>
    <m/>
    <m/>
    <m/>
    <s v="14/10/2020"/>
    <n v="0"/>
    <m/>
    <s v="30/05/1996"/>
    <x v="7"/>
    <m/>
    <s v="brasileira"/>
    <s v="SAO PAULO"/>
    <s v="SP"/>
    <s v="BR"/>
    <s v="Não"/>
    <s v="F"/>
    <s v="Não"/>
    <m/>
    <s v="Solt."/>
    <s v="Parda"/>
    <s v="Superior completo"/>
    <m/>
    <n v="22001396"/>
    <s v="220/M"/>
    <s v="AN RECURSOS HUMANOS JR"/>
    <n v="252405"/>
    <s v="Admissão"/>
    <d v="2020-10-01T00:00:00"/>
    <s v="220,00"/>
    <m/>
    <s v="CNM-01"/>
    <s v="CRH-01"/>
    <s v="CSS-01"/>
    <m/>
    <s v="PRE-01"/>
    <s v="3.200,00"/>
    <s v="3.200,00"/>
    <s v="3.200,00"/>
    <s v="0,00"/>
    <s v="AV"/>
    <s v="ADM CENTRAL-220/M"/>
    <n v="19"/>
    <s v="GRS019PR"/>
    <d v="2020-10-01T00:00:00"/>
    <s v="Admissão"/>
    <s v="3.199,00"/>
    <s v="319900,00"/>
    <n v="1"/>
    <m/>
    <s v="N"/>
    <x v="268"/>
    <m/>
    <d v="2017-08-02T00:00:00"/>
    <s v="SP"/>
    <s v="412.923.008-50"/>
    <n v="19430"/>
    <n v="376"/>
    <d v="2010-07-07T00:00:00"/>
    <s v="SP"/>
    <n v="14708657346"/>
    <m/>
    <m/>
    <m/>
    <m/>
    <m/>
    <m/>
    <m/>
    <m/>
    <m/>
    <x v="254"/>
    <n v="391"/>
    <n v="184"/>
    <s v="27/01/2014"/>
    <s v="SP"/>
    <m/>
    <m/>
    <m/>
    <m/>
    <s v="RUA SAO DOMINGOS"/>
    <n v="594"/>
    <m/>
    <s v="JARDIM SAO MARCOS"/>
    <s v="EMBU DAS ARTES"/>
    <s v="SP"/>
    <s v="06814-125"/>
    <m/>
    <m/>
    <m/>
    <n v="341"/>
    <n v="6513"/>
    <x v="268"/>
    <m/>
    <m/>
    <m/>
    <s v="SUPERIOR"/>
    <s v="RECURSOS HUMANO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LUARA.SILVA@DURATEX.COM.BR"/>
    <m/>
    <s v="LUARSILV"/>
    <n v="1"/>
    <s v="Sim"/>
  </r>
  <r>
    <n v="102020"/>
    <x v="269"/>
    <s v="Ativo"/>
    <s v="AD"/>
    <n v="30047426"/>
    <s v="Colaborador–M.O.Fixa"/>
    <s v="Mensalista"/>
    <s v="1DX"/>
    <s v="Duratex S.A."/>
    <n v="1"/>
    <s v="ADM CENTRAL"/>
    <n v="1"/>
    <s v="CORPORATIVO"/>
    <s v="SIM"/>
    <s v="EC 0001 - 7º ANDAR"/>
    <s v="HUGO NUNES CAMILO DA SILVA"/>
    <s v="HUGO"/>
    <n v="10008275"/>
    <s v="CLI-01"/>
    <s v="CLI-01 - LOGISTICA E IMPORTACAO - EC"/>
    <s v="DXEC"/>
    <s v="DXSUPIND01"/>
    <s v="Suprimentos Indireto"/>
    <n v="10005978"/>
    <s v="CTS-01"/>
    <s v="CTS-01 - GER SUPRIMENTOS INDIRETOS - EC"/>
    <s v="MARCUS VINICIUS SARKIS BRAZ"/>
    <n v="10000050"/>
    <s v="COORDENADOR"/>
    <s v="COORDENADOR"/>
    <n v="10000009"/>
    <s v="CORPORATIVO"/>
    <s v="DIR FINANC, RI E SERV CORP"/>
    <m/>
    <m/>
    <m/>
    <m/>
    <m/>
    <m/>
    <s v="14/10/2020"/>
    <n v="0"/>
    <m/>
    <s v="23/04/1992"/>
    <x v="11"/>
    <m/>
    <s v="brasileira"/>
    <s v="SAO PAULO"/>
    <s v="SP"/>
    <s v="BR"/>
    <s v="Não"/>
    <s v="M"/>
    <s v="Não"/>
    <m/>
    <s v="Solt."/>
    <s v="Branca"/>
    <s v="Superior completo"/>
    <m/>
    <n v="22002529"/>
    <s v="220/M"/>
    <s v="COMPRADOR JR"/>
    <n v="354205"/>
    <s v="Admissão"/>
    <d v="2020-10-01T00:00:00"/>
    <s v="220,00"/>
    <s v="CTS-01"/>
    <s v="CMA-01"/>
    <m/>
    <s v="CSS-01"/>
    <s v="CFR-01"/>
    <s v="PRE-01"/>
    <s v="4.240,00"/>
    <s v="4.240,00"/>
    <s v="4.240,00"/>
    <s v="0,00"/>
    <s v="AV"/>
    <s v="ADM CENTRAL-220/M"/>
    <n v="20"/>
    <s v="GRS020PR"/>
    <d v="2020-10-01T00:00:00"/>
    <s v="Admissão"/>
    <s v="4.239,00"/>
    <s v="423900,00"/>
    <n v="1"/>
    <m/>
    <s v="N"/>
    <x v="269"/>
    <m/>
    <s v="16/05/2019"/>
    <s v="SP"/>
    <s v="399.392.808-31"/>
    <n v="67048"/>
    <n v="343"/>
    <d v="2007-08-10T00:00:00"/>
    <s v="SP"/>
    <n v="13712954815"/>
    <m/>
    <m/>
    <m/>
    <m/>
    <m/>
    <m/>
    <m/>
    <m/>
    <m/>
    <x v="255"/>
    <n v="397"/>
    <n v="356"/>
    <s v="22/03/2010"/>
    <s v="SP"/>
    <n v="40074516440"/>
    <m/>
    <m/>
    <m/>
    <s v="RUA TABAIARES"/>
    <n v="42"/>
    <m/>
    <s v="VILA ASSUNCAO"/>
    <s v="SANTO ANDRÉ"/>
    <s v="SP"/>
    <s v="09030-360"/>
    <m/>
    <n v="11947427773"/>
    <m/>
    <n v="341"/>
    <n v="7307"/>
    <x v="269"/>
    <m/>
    <m/>
    <m/>
    <s v="SUPERIOR"/>
    <s v="SUPRIMENTO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HUGO.CAMILO@DURATEX.COM.BR"/>
    <m/>
    <s v="SIHUGO"/>
    <n v="1"/>
    <s v="Sim"/>
  </r>
  <r>
    <n v="102020"/>
    <x v="270"/>
    <s v="Ativo"/>
    <s v="AD"/>
    <n v="30048336"/>
    <s v="Colaborador–M.O.Var"/>
    <s v="Mensalista"/>
    <s v="1DX"/>
    <s v="Duratex S.A."/>
    <n v="14"/>
    <s v="FÁB LOUÇAS PARAÍBA"/>
    <n v="14"/>
    <s v="DECA"/>
    <s v="SIM"/>
    <s v="0014 - FÁB LOUÇAS PARAÍBA"/>
    <s v="DOUGLAS DE OLIVEIRA GERMANO"/>
    <s v="DOUGLAS"/>
    <n v="10001385"/>
    <s v="DFR-03"/>
    <s v="DFR-03 - PRODUCAO DE MASSA - LP"/>
    <s v="DXLP"/>
    <s v="DXPRMASS69"/>
    <s v="Produção de Massa"/>
    <n v="10007548"/>
    <s v="DFR-07"/>
    <s v="DFR-07 - PMAS/FESM/FMOL/FMATR - LP"/>
    <s v="ANA BEATRIZ DA SILVA VIEIRA"/>
    <n v="10000080"/>
    <s v="EQUIPE"/>
    <s v="EQUIPE"/>
    <n v="10000017"/>
    <s v="DECA"/>
    <s v="DIR IND DECA (LOUCAS)"/>
    <m/>
    <m/>
    <m/>
    <m/>
    <m/>
    <m/>
    <s v="14/10/2020"/>
    <n v="0"/>
    <m/>
    <s v="28/01/1999"/>
    <x v="13"/>
    <m/>
    <s v="brasileira"/>
    <s v="MAMANGUAPE"/>
    <s v="PB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JP-01"/>
    <s v="DDI-01"/>
    <s v="CSS-01"/>
    <s v="DDE-01"/>
    <s v="PRE-01"/>
    <s v="1.045,00"/>
    <s v="1.045,00"/>
    <s v="1.045,00"/>
    <s v="0,00"/>
    <s v="DF"/>
    <s v="LO PARAÍBA-220/M"/>
    <n v="13"/>
    <s v="GRS013OP"/>
    <d v="2020-10-01T00:00:00"/>
    <s v="Admissão"/>
    <s v="1.044,00"/>
    <s v="104400,00"/>
    <n v="1"/>
    <m/>
    <s v="N"/>
    <x v="270"/>
    <m/>
    <s v="13/10/2015"/>
    <s v="PB"/>
    <s v="708.240.974-59"/>
    <n v="2274226"/>
    <n v="50"/>
    <d v="2015-12-11T00:00:00"/>
    <s v="PB"/>
    <n v="16130266163"/>
    <m/>
    <m/>
    <m/>
    <m/>
    <m/>
    <m/>
    <m/>
    <m/>
    <m/>
    <x v="256"/>
    <n v="64"/>
    <n v="184"/>
    <d v="2018-08-11T00:00:00"/>
    <s v="PB"/>
    <n v="230754607870"/>
    <m/>
    <m/>
    <m/>
    <s v="RUA LEOPOLDO MESQUITA"/>
    <n v="31"/>
    <m/>
    <s v="CRUZ DAS ARMAS"/>
    <s v="JOÃO PESSOA"/>
    <s v="PB"/>
    <s v="58085-570"/>
    <m/>
    <n v="83988798670"/>
    <m/>
    <n v="341"/>
    <n v="7981"/>
    <x v="27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OGERMAN"/>
    <n v="1"/>
    <s v="Sim"/>
  </r>
  <r>
    <n v="102020"/>
    <x v="271"/>
    <s v="Ativo"/>
    <s v="AD"/>
    <n v="30048758"/>
    <s v="Colaborador–M.O.Fixa"/>
    <s v="Mensalista"/>
    <s v="1DX"/>
    <s v="Duratex S.A."/>
    <n v="1"/>
    <s v="ADM CENTRAL"/>
    <n v="1"/>
    <s v="CORPORATIVO"/>
    <s v="SIM"/>
    <s v="EC 0001 - FÁB LOUÇAS JUNDIAÍ"/>
    <s v="REBECA GANDINI GONZAGA DE JESUS"/>
    <s v="REBECA"/>
    <n v="10008855"/>
    <s v="DAT-06"/>
    <s v="DAT-06 - SERIVO DE ASSIS AO CLIENTE"/>
    <s v="DXEC"/>
    <s v="DXASSCLI01"/>
    <s v="Assistência Cliente"/>
    <n v="10001697"/>
    <s v="DAT-01"/>
    <s v="DAT-01 - ATEND CONS E CLIENTE DECA HYDRA"/>
    <s v="VITOR CAMACHO STERCI"/>
    <n v="10000059"/>
    <s v="SUPERVISOR"/>
    <s v="SUPERVISOR"/>
    <n v="10000016"/>
    <s v="DECA"/>
    <s v="SUPORTE NEG DECA"/>
    <m/>
    <m/>
    <m/>
    <m/>
    <m/>
    <m/>
    <s v="14/10/2020"/>
    <n v="0"/>
    <m/>
    <d v="1992-02-06T00:00:00"/>
    <x v="11"/>
    <m/>
    <s v="brasileira"/>
    <s v="SALVADOR"/>
    <s v="BA"/>
    <s v="BR"/>
    <s v="Não"/>
    <s v="F"/>
    <s v="Não"/>
    <m/>
    <s v="Casado"/>
    <s v="Branca"/>
    <s v="Superior incompleto"/>
    <m/>
    <n v="22003455"/>
    <s v="220/M"/>
    <s v="AUX ATENDIMENTO CLIENTES"/>
    <n v="354125"/>
    <s v="Admissão"/>
    <d v="2020-10-01T00:00:00"/>
    <s v="220,00"/>
    <m/>
    <s v="DAC-01"/>
    <m/>
    <s v="CSS-01"/>
    <s v="DDE-01"/>
    <s v="PRE-01"/>
    <s v="1.570,00"/>
    <s v="1.570,00"/>
    <s v="1.570,00"/>
    <s v="0,00"/>
    <s v="AV"/>
    <s v="ADM CENTRAL-220/M"/>
    <n v="14"/>
    <s v="GRS014OP"/>
    <d v="2020-10-01T00:00:00"/>
    <s v="Admissão"/>
    <s v="1.569,00"/>
    <s v="156900,00"/>
    <n v="1"/>
    <m/>
    <s v="N"/>
    <x v="271"/>
    <m/>
    <s v="16/07/2020"/>
    <s v="SP"/>
    <s v="052.185.255-29"/>
    <n v="1254874"/>
    <n v="30"/>
    <d v="2014-10-06T00:00:00"/>
    <s v="BA"/>
    <n v="20928259050"/>
    <m/>
    <m/>
    <m/>
    <m/>
    <m/>
    <m/>
    <m/>
    <m/>
    <m/>
    <x v="257"/>
    <n v="65"/>
    <n v="378"/>
    <s v="19/10/2011"/>
    <s v="SP"/>
    <m/>
    <m/>
    <m/>
    <m/>
    <s v="AVENIDA ROSICLAIR TORRES BATISTA"/>
    <n v="861"/>
    <m/>
    <s v="TULIPAS"/>
    <s v="JUNDIAÍ"/>
    <s v="SP"/>
    <s v="13212-610"/>
    <m/>
    <n v="11937513590"/>
    <m/>
    <n v="341"/>
    <n v="2523"/>
    <x v="271"/>
    <m/>
    <m/>
    <m/>
    <s v="ADMINISTRATIVO"/>
    <s v="COMERCIAL MKT E ASSIST TECNICA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REBECA.JESUS@DURATEX.COM.BR"/>
    <m/>
    <s v="REJESUS"/>
    <n v="1"/>
    <s v="Sim"/>
  </r>
  <r>
    <n v="102020"/>
    <x v="272"/>
    <s v="Ativo"/>
    <s v="AD"/>
    <n v="30048759"/>
    <s v="Colaborador–M.O.Fixa"/>
    <s v="Mensalista"/>
    <s v="1DX"/>
    <s v="Duratex S.A."/>
    <n v="1"/>
    <s v="ADM CENTRAL"/>
    <n v="1"/>
    <s v="CORPORATIVO"/>
    <s v="SIM"/>
    <s v="EC 0001 - FÁB LOUÇAS JUNDIAÍ"/>
    <s v="ISABELA NASCIMENTO SANTOS"/>
    <s v="ISABELA"/>
    <n v="10008855"/>
    <s v="DAT-06"/>
    <s v="DAT-06 - SERIVO DE ASSIS AO CLIENTE"/>
    <s v="DXEC"/>
    <s v="DXASSCLI01"/>
    <s v="Assistência Cliente"/>
    <n v="10001697"/>
    <s v="DAT-01"/>
    <s v="DAT-01 - ATEND CONS E CLIENTE DECA HYDRA"/>
    <s v="VITOR CAMACHO STERCI"/>
    <n v="10000059"/>
    <s v="SUPERVISOR"/>
    <s v="SUPERVISOR"/>
    <n v="10000016"/>
    <s v="DECA"/>
    <s v="SUPORTE NEG DECA"/>
    <m/>
    <m/>
    <m/>
    <m/>
    <m/>
    <m/>
    <s v="14/10/2020"/>
    <n v="0"/>
    <m/>
    <s v="27/11/1998"/>
    <x v="13"/>
    <m/>
    <s v="brasileira"/>
    <s v="SAO PAULO"/>
    <s v="SP"/>
    <s v="BR"/>
    <s v="Não"/>
    <s v="F"/>
    <s v="Não"/>
    <m/>
    <s v="Solt."/>
    <s v="Branca"/>
    <s v="Superior incompleto"/>
    <m/>
    <n v="22003455"/>
    <s v="220/M"/>
    <s v="AUX ATENDIMENTO CLIENTES"/>
    <n v="354125"/>
    <s v="Admissão"/>
    <d v="2020-10-01T00:00:00"/>
    <s v="220,00"/>
    <m/>
    <s v="DAC-01"/>
    <m/>
    <s v="CSS-01"/>
    <s v="DDE-01"/>
    <s v="PRE-01"/>
    <s v="1.570,00"/>
    <s v="1.570,00"/>
    <s v="1.570,00"/>
    <s v="0,00"/>
    <s v="AV"/>
    <s v="ADM CENTRAL-220/M"/>
    <n v="14"/>
    <s v="GRS014OP"/>
    <d v="2020-10-01T00:00:00"/>
    <s v="Admissão"/>
    <s v="1.569,00"/>
    <s v="156900,00"/>
    <n v="1"/>
    <m/>
    <s v="N"/>
    <x v="272"/>
    <m/>
    <s v="22/08/2013"/>
    <s v="SP"/>
    <s v="458.864.508-07"/>
    <n v="13480"/>
    <n v="435"/>
    <d v="2015-09-03T00:00:00"/>
    <s v="SP"/>
    <n v="20778022077"/>
    <m/>
    <m/>
    <m/>
    <m/>
    <m/>
    <m/>
    <m/>
    <m/>
    <m/>
    <x v="258"/>
    <n v="65"/>
    <n v="550"/>
    <s v="30/11/2016"/>
    <s v="SP"/>
    <m/>
    <m/>
    <m/>
    <m/>
    <s v="RUA DOUTOR IVALDO TOLOSA"/>
    <n v="161"/>
    <m/>
    <s v="JARDIM SARAPIRANGA"/>
    <s v="JUNDIAÍ"/>
    <s v="SP"/>
    <s v="13212-878"/>
    <m/>
    <n v="11956566879"/>
    <m/>
    <n v="341"/>
    <n v="2523"/>
    <x v="272"/>
    <m/>
    <m/>
    <m/>
    <s v="ADMINISTRATIVO"/>
    <s v="COMERCIAL MKT E ASSIST TECNICA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ISABELA.SANTOS@DURATEX.COM.BR"/>
    <m/>
    <s v="ISABESAN"/>
    <n v="1"/>
    <s v="Sim"/>
  </r>
  <r>
    <n v="102020"/>
    <x v="273"/>
    <s v="Ativo"/>
    <s v="AD"/>
    <n v="30048757"/>
    <s v="Colaborador–M.O.Fixa"/>
    <s v="Mensalista"/>
    <s v="1DX"/>
    <s v="Duratex S.A."/>
    <n v="1"/>
    <s v="ADM CENTRAL"/>
    <n v="1"/>
    <s v="CORPORATIVO"/>
    <s v="SIM"/>
    <s v="EC 0001 - FÁB LOUÇAS JUNDIAÍ"/>
    <s v="MARCIO CESARIO DA SILVA"/>
    <s v="MARCIO"/>
    <n v="10008855"/>
    <s v="DAT-06"/>
    <s v="DAT-06 - SERIVO DE ASSIS AO CLIENTE"/>
    <s v="DXEC"/>
    <s v="DXASSCLI01"/>
    <s v="Assistência Cliente"/>
    <n v="10001697"/>
    <s v="DAT-01"/>
    <s v="DAT-01 - ATEND CONS E CLIENTE DECA HYDRA"/>
    <s v="VITOR CAMACHO STERCI"/>
    <n v="10000059"/>
    <s v="SUPERVISOR"/>
    <s v="SUPERVISOR"/>
    <n v="10000016"/>
    <s v="DECA"/>
    <s v="SUPORTE NEG DECA"/>
    <m/>
    <m/>
    <m/>
    <m/>
    <m/>
    <m/>
    <s v="14/10/2020"/>
    <n v="0"/>
    <m/>
    <d v="1988-01-10T00:00:00"/>
    <x v="9"/>
    <m/>
    <s v="brasileira"/>
    <s v="ARACAJU"/>
    <s v="SE"/>
    <s v="BR"/>
    <s v="Não"/>
    <s v="M"/>
    <s v="Não"/>
    <m/>
    <s v="Solt."/>
    <s v="Parda"/>
    <s v="Superior completo"/>
    <m/>
    <n v="22003455"/>
    <s v="220/M"/>
    <s v="AUX ATENDIMENTO CLIENTES"/>
    <n v="354125"/>
    <s v="Admissão"/>
    <d v="2020-10-01T00:00:00"/>
    <s v="220,00"/>
    <m/>
    <s v="DAC-01"/>
    <m/>
    <s v="CSS-01"/>
    <s v="DDE-01"/>
    <s v="PRE-01"/>
    <s v="1.570,00"/>
    <s v="1.570,00"/>
    <s v="1.570,00"/>
    <s v="0,00"/>
    <s v="AV"/>
    <s v="ADM CENTRAL-220/M"/>
    <n v="14"/>
    <s v="GRS014OP"/>
    <d v="2020-10-01T00:00:00"/>
    <s v="Admissão"/>
    <s v="1.569,00"/>
    <s v="156900,00"/>
    <n v="1"/>
    <m/>
    <s v="N"/>
    <x v="273"/>
    <m/>
    <d v="2002-10-07T00:00:00"/>
    <s v="SP"/>
    <s v="358.347.338-83"/>
    <n v="90385"/>
    <n v="290"/>
    <d v="2004-08-07T00:00:00"/>
    <s v="SP"/>
    <n v="21031137507"/>
    <m/>
    <m/>
    <m/>
    <m/>
    <m/>
    <m/>
    <m/>
    <m/>
    <m/>
    <x v="259"/>
    <n v="281"/>
    <n v="334"/>
    <s v="15/11/2011"/>
    <s v="SP"/>
    <n v="140872840032"/>
    <m/>
    <m/>
    <m/>
    <s v="AVENIDA DR ADONIRO LADEIRA"/>
    <n v="830"/>
    <m/>
    <s v="VL NOVA JUNDIAI"/>
    <s v="JUNDIAÍ"/>
    <s v="SP"/>
    <s v="13210-800"/>
    <m/>
    <n v="11998210607"/>
    <m/>
    <n v="341"/>
    <n v="2523"/>
    <x v="273"/>
    <m/>
    <m/>
    <m/>
    <s v="ADMINISTRATIVO"/>
    <s v="COMERCIAL MKT E ASSIST TECNICA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MARCIO.CESARIO@DURATEX.COM.BR"/>
    <m/>
    <s v="MACESARI"/>
    <n v="1"/>
    <s v="Sim"/>
  </r>
  <r>
    <n v="102020"/>
    <x v="274"/>
    <s v="Ativo"/>
    <s v="AD"/>
    <n v="30038668"/>
    <s v="Colaborador–M.O.Fixa"/>
    <s v="Mensalista"/>
    <s v="1DX"/>
    <s v="Duratex S.A."/>
    <n v="20"/>
    <s v="FÁB UBERABA"/>
    <n v="20"/>
    <s v="MADEIRA"/>
    <s v="SIM"/>
    <s v="0020 - FÁB UBERABA"/>
    <s v="JOSE LINO FERREIRA"/>
    <s v="JOSE"/>
    <n v="10000634"/>
    <s v="MNU-02"/>
    <s v="MNU-02 - MANUTENCAO - UB"/>
    <s v="DXUB"/>
    <s v="DXMATUR263"/>
    <s v="Manutenção de Turno"/>
    <n v="10000635"/>
    <s v="MNU-02"/>
    <s v="MNU-02 - MANUTENCAO - UB"/>
    <s v="MARCO AUGUSTO BOSCO"/>
    <n v="10000080"/>
    <s v="EQUIPE"/>
    <s v="EQUIPE"/>
    <n v="10000005"/>
    <s v="MADEIRA"/>
    <s v="DIR OPER PAINEIS"/>
    <n v="10000108"/>
    <s v="FABRICA"/>
    <n v="10000120"/>
    <s v="INSTALACOES"/>
    <m/>
    <m/>
    <s v="14/10/2020"/>
    <n v="0"/>
    <m/>
    <s v="13/03/1989"/>
    <x v="12"/>
    <m/>
    <s v="brasileira"/>
    <s v="PIO XII"/>
    <s v="MA"/>
    <s v="BR"/>
    <s v="Não"/>
    <s v="M"/>
    <s v="Não"/>
    <m/>
    <s v="Casado"/>
    <s v="Negra"/>
    <s v="Colegial completo"/>
    <m/>
    <n v="22001040"/>
    <s v="220/M"/>
    <s v="ELETRICISTA TURNO"/>
    <n v="951105"/>
    <s v="Admissão"/>
    <d v="2020-10-01T00:00:00"/>
    <s v="220,00"/>
    <s v="MUB-01"/>
    <s v="MOI-01"/>
    <s v="MFL-01"/>
    <s v="CSS-01"/>
    <s v="MDP-01"/>
    <s v="PRE-01"/>
    <s v="2.534,95"/>
    <s v="2.534,95"/>
    <s v="2.534,95"/>
    <s v="0,00"/>
    <s v="CM"/>
    <s v="FB UBERABA-220/M"/>
    <n v="19"/>
    <s v="GRS019PR"/>
    <d v="2020-10-01T00:00:00"/>
    <s v="Admissão"/>
    <s v="2.533,95"/>
    <s v="253395,00"/>
    <n v="1"/>
    <m/>
    <s v="N"/>
    <x v="274"/>
    <m/>
    <s v="20/12/2018"/>
    <s v="MG"/>
    <s v="105.846.796-45"/>
    <n v="43699"/>
    <n v="32"/>
    <d v="2007-12-03T00:00:00"/>
    <s v="MA"/>
    <n v="16177874054"/>
    <m/>
    <m/>
    <m/>
    <m/>
    <m/>
    <m/>
    <m/>
    <m/>
    <m/>
    <x v="260"/>
    <n v="326"/>
    <n v="282"/>
    <d v="2018-11-01T00:00:00"/>
    <s v="MG"/>
    <n v="270842019928"/>
    <m/>
    <m/>
    <m/>
    <s v="RUA EURIPEDES CORDEIRO DA PAIXAO"/>
    <n v="21"/>
    <m/>
    <s v="JARDIM MARAJO"/>
    <s v="UBERABA"/>
    <s v="MG"/>
    <s v="38052-056"/>
    <m/>
    <n v="34997931558"/>
    <m/>
    <n v="341"/>
    <n v="6387"/>
    <x v="274"/>
    <m/>
    <m/>
    <m/>
    <s v="OPERACIONAL"/>
    <s v="OPERACOES"/>
    <s v="TEC/ OPERACIONAL"/>
    <s v="TECNIC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LINO"/>
    <n v="1"/>
    <s v="Sim"/>
  </r>
  <r>
    <n v="102020"/>
    <x v="275"/>
    <s v="Ativo"/>
    <s v="AD"/>
    <n v="30046404"/>
    <s v="Colaborador–M.O.Fixa"/>
    <s v="Mensalista"/>
    <s v="1DX"/>
    <s v="Duratex S.A."/>
    <n v="1"/>
    <s v="ADM CENTRAL"/>
    <n v="1"/>
    <s v="CORPORATIVO"/>
    <s v="NAO"/>
    <s v="EC 0001 - TERRAÇO"/>
    <s v="CASSIA ALESSANDRA MENDES FERREIRA"/>
    <s v="CASSIA"/>
    <n v="10007379"/>
    <s v="CGA-02"/>
    <s v="CGA-02 - GOVERNANCA E ARQUITETURA"/>
    <s v="DXEC"/>
    <s v="DXGOVPER01"/>
    <s v="Coord Governança"/>
    <n v="10008841"/>
    <s v="CGA-01"/>
    <s v="CGA-01 - GER GOVERNANÇA E ARQUITETURA"/>
    <s v="ANDERSON SAU CARRIO"/>
    <n v="10000080"/>
    <s v="EQUIPE"/>
    <s v="EQUIPE"/>
    <n v="10000025"/>
    <s v="CORPORATIVO"/>
    <s v="DIR TI E NEGOCIOS DIGITAIS"/>
    <m/>
    <m/>
    <m/>
    <m/>
    <m/>
    <m/>
    <s v="14/10/2020"/>
    <n v="0"/>
    <m/>
    <s v="28/10/1975"/>
    <x v="10"/>
    <m/>
    <s v="brasileira"/>
    <s v="MARILIA"/>
    <s v="SP"/>
    <s v="BR"/>
    <s v="Não"/>
    <s v="F"/>
    <s v="Não"/>
    <m/>
    <s v="Solt."/>
    <s v="Parda"/>
    <s v="Superior completo"/>
    <m/>
    <n v="22000672"/>
    <s v="220/M"/>
    <s v="AN CONTROLE E CUSTO PL"/>
    <n v="252210"/>
    <s v="Admissão"/>
    <d v="2020-10-01T00:00:00"/>
    <s v="220,00"/>
    <m/>
    <s v="CGA-01"/>
    <s v="CTN-01"/>
    <s v="CSS-01"/>
    <m/>
    <s v="PRE-01"/>
    <s v="4.600,00"/>
    <s v="4.600,00"/>
    <s v="4.600,00"/>
    <s v="0,00"/>
    <s v="AV"/>
    <s v="ADM CENTRAL-220/M"/>
    <n v="20"/>
    <s v="GRS020PR"/>
    <d v="2020-10-01T00:00:00"/>
    <s v="Admissão"/>
    <s v="4.599,00"/>
    <s v="459900,00"/>
    <n v="1"/>
    <m/>
    <s v="N"/>
    <x v="275"/>
    <m/>
    <s v="23/09/1998"/>
    <s v="SP"/>
    <s v="198.873.598-07"/>
    <n v="40456"/>
    <n v="117"/>
    <s v="23/09/1998"/>
    <s v="SP"/>
    <n v="12539547445"/>
    <m/>
    <m/>
    <m/>
    <m/>
    <m/>
    <m/>
    <m/>
    <m/>
    <m/>
    <x v="261"/>
    <n v="320"/>
    <n v="145"/>
    <d v="1993-04-08T00:00:00"/>
    <s v="SP"/>
    <m/>
    <m/>
    <m/>
    <m/>
    <s v="RUA LAGOA DOS SALGUEIROS"/>
    <n v="229"/>
    <m/>
    <s v="VILA DO ENCONTRO"/>
    <s v="SAO PAULO"/>
    <s v="SP"/>
    <s v="04325-150"/>
    <m/>
    <n v="11984861542"/>
    <m/>
    <n v="341"/>
    <n v="885"/>
    <x v="275"/>
    <m/>
    <m/>
    <m/>
    <s v="SUPERIOR"/>
    <s v="FINANCA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CASSIA.MENDES@DURATEX.COM.BR"/>
    <m/>
    <s v="CASFERRE"/>
    <n v="1"/>
    <s v="Sim"/>
  </r>
  <r>
    <n v="102020"/>
    <x v="276"/>
    <s v="Ativo"/>
    <s v="AD"/>
    <n v="30048556"/>
    <s v="Colaborador–M.O.Fixa"/>
    <s v="Mensalista"/>
    <s v="1DX"/>
    <s v="Duratex S.A."/>
    <n v="20"/>
    <s v="FÁB UBERABA"/>
    <n v="20"/>
    <s v="MADEIRA"/>
    <s v="NAO"/>
    <s v="0020 - FÁB UBERABA"/>
    <s v="CAROLINA MIRANDA MORAIS"/>
    <s v="CAROLINA"/>
    <n v="10000638"/>
    <s v="MNU-01"/>
    <s v="MNU-01 - MANUTENCAO - UB"/>
    <s v="DXUB"/>
    <s v="DXGERAMA63"/>
    <s v="Gerais de Manutenção"/>
    <n v="10006759"/>
    <s v="MUB-01"/>
    <s v="MUB-01 - GER FABRICA PAINEIS UBERABA"/>
    <s v="MARIO CELSO MARTINS"/>
    <n v="10000050"/>
    <s v="COORDENADOR"/>
    <s v="COORDENADOR"/>
    <n v="10000005"/>
    <s v="MADEIRA"/>
    <s v="DIR OPER PAINEIS"/>
    <n v="10000108"/>
    <s v="FABRICA"/>
    <n v="10000120"/>
    <s v="INSTALACOES"/>
    <m/>
    <m/>
    <s v="14/10/2020"/>
    <n v="0"/>
    <m/>
    <s v="24/12/1998"/>
    <x v="13"/>
    <m/>
    <s v="brasileira"/>
    <s v="UBERABA"/>
    <s v="MG"/>
    <s v="BR"/>
    <s v="Não"/>
    <s v="F"/>
    <s v="Não"/>
    <m/>
    <s v="Solt."/>
    <s v="Branca"/>
    <s v="Superior incompleto"/>
    <m/>
    <n v="22001191"/>
    <s v="220/M"/>
    <s v="PROGRAMADOR PCM PL"/>
    <n v="391130"/>
    <s v="Admissão"/>
    <d v="2020-10-01T00:00:00"/>
    <s v="220,00"/>
    <s v="MUB-01"/>
    <s v="MOI-01"/>
    <s v="MFL-01"/>
    <s v="CSS-01"/>
    <s v="MDP-01"/>
    <s v="PRE-01"/>
    <s v="3.000,00"/>
    <s v="3.000,00"/>
    <s v="3.000,00"/>
    <s v="0,00"/>
    <s v="CM"/>
    <s v="FB UBERABA-220/M"/>
    <n v="19"/>
    <s v="GRS019PR"/>
    <d v="2020-10-01T00:00:00"/>
    <s v="Admissão"/>
    <s v="2.999,00"/>
    <s v="299900,00"/>
    <n v="1"/>
    <m/>
    <s v="N"/>
    <x v="276"/>
    <m/>
    <s v="21/11/2013"/>
    <s v="MG"/>
    <s v="130.295.556-07"/>
    <n v="6241672"/>
    <n v="40"/>
    <s v="17/06/2014"/>
    <s v="MG"/>
    <n v="21285412291"/>
    <m/>
    <m/>
    <m/>
    <m/>
    <m/>
    <m/>
    <m/>
    <m/>
    <m/>
    <x v="262"/>
    <n v="347"/>
    <n v="200"/>
    <d v="2016-04-05T00:00:00"/>
    <s v="MG"/>
    <m/>
    <m/>
    <m/>
    <m/>
    <s v="RUA ALICE MIZIARA PRATA"/>
    <n v="88"/>
    <m/>
    <s v="EBASTIAO R BRAGA"/>
    <s v="UBERABA"/>
    <s v="MG"/>
    <s v="38040-000"/>
    <m/>
    <n v="34991477448"/>
    <m/>
    <n v="341"/>
    <n v="6387"/>
    <x v="276"/>
    <m/>
    <m/>
    <m/>
    <s v="SUPERIOR"/>
    <s v="OPERACOES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AROLMOR"/>
    <n v="1"/>
    <s v="Sim"/>
  </r>
  <r>
    <n v="102020"/>
    <x v="277"/>
    <s v="Ativo"/>
    <s v="AD"/>
    <n v="30048847"/>
    <s v="Colaborador–M.O.Var"/>
    <s v="Mensalista"/>
    <s v="1DX"/>
    <s v="Duratex S.A."/>
    <n v="11"/>
    <s v="FÁB LOUÇAS RECIFE"/>
    <n v="11"/>
    <s v="DECA"/>
    <s v="SIM"/>
    <s v="0011 - FÁB LOUÇAS RECIFE"/>
    <s v="VITOR FERNANDO DA SILVA"/>
    <s v="VITOR"/>
    <n v="10004887"/>
    <s v="DAD-07"/>
    <s v="DAD-07 - FUNDICAO MECANIZADA – LR"/>
    <s v="DXLR"/>
    <s v="DXFMECAN65"/>
    <s v="Fundição Mecanizada"/>
    <n v="10007977"/>
    <s v="DAD-01"/>
    <s v="DAD-01 - ADM GERAL DE PROUCAO - LR"/>
    <s v="FLEDSON FERREIRA DA SILVA"/>
    <n v="10000059"/>
    <s v="SUPERVISOR"/>
    <s v="SUPERVISOR"/>
    <n v="10000017"/>
    <s v="DECA"/>
    <s v="DIR IND DECA (LOUCAS)"/>
    <m/>
    <m/>
    <m/>
    <m/>
    <m/>
    <m/>
    <s v="14/10/2020"/>
    <n v="0"/>
    <m/>
    <d v="1998-08-04T00:00:00"/>
    <x v="28"/>
    <m/>
    <s v="brasileira"/>
    <s v="RECIFE"/>
    <s v="PE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77"/>
    <m/>
    <s v="24/07/2013"/>
    <s v="PE"/>
    <s v="128.602.834-55"/>
    <n v="5229"/>
    <n v="113"/>
    <d v="2014-03-09T00:00:00"/>
    <s v="PE"/>
    <n v="16580683024"/>
    <m/>
    <m/>
    <m/>
    <m/>
    <m/>
    <m/>
    <m/>
    <m/>
    <m/>
    <x v="263"/>
    <n v="16"/>
    <n v="133"/>
    <d v="2015-11-06T00:00:00"/>
    <s v="PE"/>
    <n v="210042228820"/>
    <m/>
    <m/>
    <m/>
    <s v="RUA DO SOL"/>
    <n v="17"/>
    <m/>
    <s v="CENTRO"/>
    <s v="IPOJUCA"/>
    <s v="PE"/>
    <s v="55590-000"/>
    <m/>
    <n v="81992863703"/>
    <m/>
    <n v="341"/>
    <n v="7731"/>
    <x v="27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LVVITO"/>
    <n v="1"/>
    <s v="Sim"/>
  </r>
  <r>
    <n v="102020"/>
    <x v="278"/>
    <s v="Ativo"/>
    <s v="AD"/>
    <n v="30033058"/>
    <s v="Colaborador–M.O.Var"/>
    <s v="Mensalista"/>
    <s v="1DX"/>
    <s v="Duratex S.A."/>
    <n v="11"/>
    <s v="FÁB LOUÇAS RECIFE"/>
    <n v="11"/>
    <s v="DECA"/>
    <s v="SIM"/>
    <s v="0011 - FÁB LOUÇAS RECIFE"/>
    <s v="GILVAN ALVES DE BARROS"/>
    <s v="GILVAN"/>
    <n v="10007199"/>
    <s v="DAP-09"/>
    <s v="DAP-09 - FUNDICAO ALTA PRESSÃO - LR"/>
    <s v="DXLR"/>
    <s v="DXALTPRE65"/>
    <s v="Fund. Alta Pressão"/>
    <n v="10008185"/>
    <s v="DAP-01"/>
    <s v="DAP-01 - FUND ALT PRESS/MANUTENCAO – LR"/>
    <s v="VANDERSON GONCALVES NEVES"/>
    <n v="10000059"/>
    <s v="SUPERVISOR"/>
    <s v="SUPERVISOR"/>
    <n v="10000002"/>
    <s v="DECA"/>
    <s v="DIR IND DECA (METAIS)"/>
    <m/>
    <m/>
    <m/>
    <m/>
    <m/>
    <m/>
    <s v="14/10/2020"/>
    <n v="0"/>
    <m/>
    <s v="14/02/1996"/>
    <x v="7"/>
    <m/>
    <s v="brasileira"/>
    <s v="JABOATAO DOS GUARARAPES"/>
    <s v="PE"/>
    <s v="BR"/>
    <s v="Não"/>
    <s v="M"/>
    <s v="Não"/>
    <m/>
    <s v="Solt."/>
    <s v="Negr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78"/>
    <m/>
    <s v="25/04/2013"/>
    <s v="PE"/>
    <s v="139.569.504-02"/>
    <n v="7479507"/>
    <n v="50"/>
    <s v="25/04/2017"/>
    <s v="PE"/>
    <n v="20706208557"/>
    <m/>
    <m/>
    <m/>
    <m/>
    <m/>
    <m/>
    <m/>
    <m/>
    <m/>
    <x v="264"/>
    <n v="11"/>
    <n v="254"/>
    <d v="2016-05-04T00:00:00"/>
    <s v="PE"/>
    <n v="210412947835"/>
    <m/>
    <m/>
    <m/>
    <s v="RUA DA MATANCA"/>
    <n v="251"/>
    <m/>
    <s v="VILA RICA"/>
    <s v="JABOATÃO DOS GUARARAPES"/>
    <s v="PE"/>
    <s v="54090-081"/>
    <m/>
    <n v="81985795723"/>
    <m/>
    <n v="341"/>
    <n v="7924"/>
    <x v="27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ILBARRO"/>
    <n v="1"/>
    <s v="Sim"/>
  </r>
  <r>
    <n v="102020"/>
    <x v="279"/>
    <s v="Ativo"/>
    <s v="AD"/>
    <n v="30048843"/>
    <s v="Colaborador–M.O.Var"/>
    <s v="Mensalista"/>
    <s v="1DX"/>
    <s v="Duratex S.A."/>
    <n v="11"/>
    <s v="FÁB LOUÇAS RECIFE"/>
    <n v="11"/>
    <s v="DECA"/>
    <s v="SIM"/>
    <s v="0011 - FÁB LOUÇAS RECIFE"/>
    <s v="MARCIO FRANCISCO DE PAULA"/>
    <s v="MARCIO"/>
    <n v="10004701"/>
    <s v="DRR-08"/>
    <s v="DRR-08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s v="15/05/1992"/>
    <x v="11"/>
    <m/>
    <s v="brasileira"/>
    <s v="RECIFE"/>
    <s v="PE"/>
    <s v="BR"/>
    <s v="Não"/>
    <s v="M"/>
    <s v="Não"/>
    <m/>
    <s v="Solt."/>
    <s v="Não Informado"/>
    <s v="Ginasial in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79"/>
    <m/>
    <d v="2004-06-11T00:00:00"/>
    <s v="PE"/>
    <s v="095.591.484-19"/>
    <n v="91603"/>
    <n v="101"/>
    <d v="2009-01-10T00:00:00"/>
    <s v="PE"/>
    <n v="16386187165"/>
    <m/>
    <m/>
    <m/>
    <m/>
    <m/>
    <m/>
    <m/>
    <m/>
    <m/>
    <x v="265"/>
    <n v="1"/>
    <n v="309"/>
    <d v="2013-12-09T00:00:00"/>
    <s v="PE"/>
    <n v="210753253033"/>
    <m/>
    <m/>
    <m/>
    <s v="RUA ALAMEDA DAS HORTENSIAS"/>
    <n v="101"/>
    <m/>
    <s v="IMBIRIBEIRA"/>
    <s v="RECIFE"/>
    <s v="PE"/>
    <s v="51160-400"/>
    <m/>
    <n v="81984076776"/>
    <m/>
    <n v="341"/>
    <n v="7227"/>
    <x v="27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CPAUL"/>
    <n v="1"/>
    <s v="Sim"/>
  </r>
  <r>
    <n v="102020"/>
    <x v="280"/>
    <s v="Ativo"/>
    <s v="AD"/>
    <n v="30033233"/>
    <s v="Colaborador–M.O.Fixa"/>
    <s v="Mensalista"/>
    <s v="1DX"/>
    <s v="Duratex S.A."/>
    <n v="13"/>
    <s v="FÁB LOUÇAS QUEIMADOS"/>
    <n v="13"/>
    <s v="DECA"/>
    <s v="NAO"/>
    <s v="0013 - FÁB LOUÇAS QUEIMADOS"/>
    <s v="KLEBER DONIZETTI TEIXEIRA"/>
    <s v="KLEBER"/>
    <n v="10007686"/>
    <s v="DND-01"/>
    <s v="DND-01 - FUNDICAO MEC- LQ"/>
    <s v="DXLQ"/>
    <s v="DXGERAFU68"/>
    <s v="Adm. Fundição"/>
    <n v="10008302"/>
    <s v="DJT-01"/>
    <s v="DJT-01 - GER LOUCAS QUEIMADOS"/>
    <s v="ARMANDO MACHADO DA SILVA DE MATOS"/>
    <n v="10000050"/>
    <s v="COORDENADOR"/>
    <s v="COORDENADOR"/>
    <n v="10000002"/>
    <s v="DECA"/>
    <s v="DIR IND DECA (METAIS)"/>
    <m/>
    <m/>
    <m/>
    <m/>
    <m/>
    <m/>
    <s v="13/10/2020"/>
    <n v="0"/>
    <m/>
    <d v="1981-08-10T00:00:00"/>
    <x v="20"/>
    <m/>
    <s v="brasileira"/>
    <s v="SERTAOZINHO"/>
    <s v="SP"/>
    <s v="BR"/>
    <s v="Não"/>
    <s v="M"/>
    <s v="Não"/>
    <m/>
    <s v="Marita"/>
    <s v="Branca"/>
    <s v="Pós grad.completo"/>
    <m/>
    <n v="22000982"/>
    <s v="220/M"/>
    <s v="COORD PRODUCAO"/>
    <n v="141205"/>
    <s v="Admissão"/>
    <d v="2020-10-01T00:00:00"/>
    <s v="220,00"/>
    <m/>
    <s v="DJT-01"/>
    <s v="DDI-01"/>
    <s v="CSS-01"/>
    <s v="DDE-01"/>
    <s v="PRE-01"/>
    <s v="17.000,00"/>
    <s v="17.000,00"/>
    <s v="17.000,00"/>
    <s v="0,00"/>
    <s v="DB"/>
    <s v="LO QUEIMADOS-220/M"/>
    <n v="25"/>
    <s v="GRS025GE"/>
    <d v="2020-10-01T00:00:00"/>
    <s v="Admissão"/>
    <s v="16.999,00"/>
    <s v="1699900,00"/>
    <n v="1"/>
    <m/>
    <s v="N"/>
    <x v="280"/>
    <m/>
    <s v="16/01/2019"/>
    <s v="SP"/>
    <s v="299.095.448-14"/>
    <n v="50928"/>
    <n v="314"/>
    <d v="2005-02-08T00:00:00"/>
    <s v="SP"/>
    <n v="13380724342"/>
    <m/>
    <m/>
    <m/>
    <m/>
    <m/>
    <m/>
    <m/>
    <m/>
    <m/>
    <x v="266"/>
    <n v="90"/>
    <n v="79"/>
    <s v="18/12/2019"/>
    <s v="SP"/>
    <n v="915804"/>
    <m/>
    <m/>
    <m/>
    <s v="RUA SAO BENTO DO SAPUCAI  ALTO DO CARDOSO"/>
    <n v="594"/>
    <m/>
    <s v="LOTEAMENTO ALFREDO ABILIO FLORES"/>
    <s v="PINDAMONHANGABA"/>
    <s v="SP"/>
    <s v="12420-190"/>
    <m/>
    <n v="12982341050"/>
    <m/>
    <n v="341"/>
    <n v="7296"/>
    <x v="280"/>
    <m/>
    <m/>
    <m/>
    <s v="COORDENACAO"/>
    <s v="OPERACOES"/>
    <s v="TEC/ OPERACIONAL"/>
    <s v="COORDENACAO"/>
    <s v="COORDENADOR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KLEBER.TEIXEIRA@DECA.COM.BR"/>
    <m/>
    <s v="KTEIXEIR"/>
    <n v="9"/>
    <s v="Não"/>
  </r>
  <r>
    <n v="102020"/>
    <x v="281"/>
    <s v="Ativo"/>
    <s v="AD"/>
    <n v="30044767"/>
    <s v="Colaborador–M.O.Var"/>
    <s v="Mensalista"/>
    <s v="1DX"/>
    <s v="Duratex S.A."/>
    <n v="11"/>
    <s v="FÁB LOUÇAS RECIFE"/>
    <n v="11"/>
    <s v="DECA"/>
    <s v="SIM"/>
    <s v="0011 - FÁB LOUÇAS RECIFE"/>
    <s v="FLAVIO BATISTA DA SILVA JUNIOR"/>
    <s v="FLAVIO"/>
    <n v="10001355"/>
    <s v="DCQ-05"/>
    <s v="DCQ-05 - FABRICA DE MOLDES DE GESSO - LR"/>
    <s v="DXLR"/>
    <s v="DXMOLGES65"/>
    <s v="Fáb. Moldes Gesso"/>
    <n v="10001351"/>
    <s v="DCQ-01"/>
    <s v="DCQ-01- FAB AUXILIARES/ CLASSIF/LAB - LR"/>
    <s v="ALEXSANDRO JOSE DOS SANTOS"/>
    <n v="10000080"/>
    <s v="EQUIPE"/>
    <s v="EQUIPE"/>
    <n v="10000017"/>
    <s v="DECA"/>
    <s v="DIR IND DECA (LOUCAS)"/>
    <m/>
    <m/>
    <m/>
    <m/>
    <m/>
    <m/>
    <s v="14/10/2020"/>
    <n v="0"/>
    <m/>
    <s v="18/07/1999"/>
    <x v="13"/>
    <m/>
    <s v="brasileira"/>
    <s v="JABOATAO DOS GUARARAPES"/>
    <s v="PE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81"/>
    <m/>
    <s v="16/01/2013"/>
    <s v="PE"/>
    <s v="704.243.764-07"/>
    <n v="3079761"/>
    <n v="60"/>
    <s v="30/10/2018"/>
    <s v="PE"/>
    <n v="20068748137"/>
    <m/>
    <m/>
    <m/>
    <m/>
    <m/>
    <m/>
    <m/>
    <m/>
    <m/>
    <x v="267"/>
    <n v="147"/>
    <n v="164"/>
    <d v="2018-01-02T00:00:00"/>
    <s v="PE"/>
    <n v="210413039657"/>
    <m/>
    <m/>
    <m/>
    <s v="RUA PL 3 GONCALVES DIAS"/>
    <n v="169"/>
    <m/>
    <s v="JARDIM JORDAO"/>
    <s v="JABOATAO DOS GUARARAPES"/>
    <s v="PE"/>
    <s v="54000-000"/>
    <m/>
    <n v="81987012859"/>
    <m/>
    <n v="341"/>
    <n v="6999"/>
    <x v="28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LAJUNIO"/>
    <n v="1"/>
    <s v="Sim"/>
  </r>
  <r>
    <n v="102020"/>
    <x v="282"/>
    <s v="Ativo"/>
    <s v="AD"/>
    <n v="30048833"/>
    <s v="Colaborador–M.O.Var"/>
    <s v="Mensalista"/>
    <s v="1DX"/>
    <s v="Duratex S.A."/>
    <n v="11"/>
    <s v="FÁB LOUÇAS RECIFE"/>
    <n v="11"/>
    <s v="DECA"/>
    <s v="SIM"/>
    <s v="0011 - FÁB LOUÇAS RECIFE"/>
    <s v="ALEXANDRE MANOEL DOS SANTOS"/>
    <s v="ALEXANDRE"/>
    <n v="10001334"/>
    <s v="DRR-02"/>
    <s v="DRR-02 - ESMALTACAO CONVENCIONAL - LR"/>
    <s v="DXLR"/>
    <s v="DXESMALT65"/>
    <s v="Esmalt. Convencional"/>
    <n v="10001333"/>
    <s v="DRR-01"/>
    <s v="DRR-01 - INSPEC/ESMAL/FOR/REQ – LR"/>
    <s v="IGOR ERICKSON DE OLIVEIRA RODRIGUES"/>
    <n v="10000059"/>
    <s v="SUPERVISOR"/>
    <s v="SUPERVISOR"/>
    <n v="10000017"/>
    <s v="DECA"/>
    <s v="DIR IND DECA (LOUCAS)"/>
    <m/>
    <m/>
    <m/>
    <m/>
    <m/>
    <m/>
    <s v="14/10/2020"/>
    <n v="0"/>
    <m/>
    <d v="1990-07-09T00:00:00"/>
    <x v="30"/>
    <m/>
    <s v="brasileira"/>
    <s v="ESCADA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82"/>
    <m/>
    <d v="2008-02-04T00:00:00"/>
    <s v="PE"/>
    <s v="095.421.844-25"/>
    <n v="1775"/>
    <n v="100"/>
    <s v="28/03/2008"/>
    <s v="PE"/>
    <n v="16156543326"/>
    <m/>
    <m/>
    <m/>
    <m/>
    <m/>
    <m/>
    <m/>
    <m/>
    <m/>
    <x v="268"/>
    <n v="19"/>
    <n v="144"/>
    <s v="27/08/2013"/>
    <s v="PE"/>
    <n v="210032145067"/>
    <m/>
    <m/>
    <m/>
    <s v="RUA DA MANGA"/>
    <n v="77"/>
    <m/>
    <s v="FREXEIRAS"/>
    <s v="ESCADA"/>
    <s v="PE"/>
    <s v="55500-000"/>
    <m/>
    <n v="81973030740"/>
    <m/>
    <n v="341"/>
    <n v="6999"/>
    <x v="28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EXDOS"/>
    <n v="1"/>
    <s v="Sim"/>
  </r>
  <r>
    <n v="102020"/>
    <x v="283"/>
    <s v="Ativo"/>
    <s v="AD"/>
    <n v="30048834"/>
    <s v="Colaborador–M.O.Var"/>
    <s v="Mensalista"/>
    <s v="1DX"/>
    <s v="Duratex S.A."/>
    <n v="11"/>
    <s v="FÁB LOUÇAS RECIFE"/>
    <n v="11"/>
    <s v="DECA"/>
    <s v="SIM"/>
    <s v="0011 - FÁB LOUÇAS RECIFE"/>
    <s v="ANDERSON JOSE DE OLIVEIRA"/>
    <s v="ANDERSON"/>
    <n v="10001342"/>
    <s v="DAD-06"/>
    <s v="DAD-06 - FUNDICAO MECANIZADA – LR"/>
    <s v="DXLR"/>
    <s v="DXFMECAN65"/>
    <s v="Fundição Mecanizada"/>
    <n v="10007977"/>
    <s v="DAD-01"/>
    <s v="DAD-01 - ADM GERAL DE PROUCAO - LR"/>
    <s v="DIEGO TOMAZ GONCALVES DE OLIVEIRA"/>
    <n v="10000059"/>
    <s v="SUPERVISOR"/>
    <s v="SUPERVISOR"/>
    <n v="10000017"/>
    <s v="DECA"/>
    <s v="DIR IND DECA (LOUCAS)"/>
    <m/>
    <m/>
    <m/>
    <m/>
    <m/>
    <m/>
    <s v="14/10/2020"/>
    <n v="0"/>
    <m/>
    <d v="1991-10-04T00:00:00"/>
    <x v="27"/>
    <m/>
    <s v="brasileira"/>
    <s v="CABO DE SANTO AGOSTINHO"/>
    <s v="PE"/>
    <s v="BR"/>
    <s v="Não"/>
    <s v="M"/>
    <s v="Não"/>
    <m/>
    <s v="Casado"/>
    <s v="Parda"/>
    <s v="Primário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83"/>
    <m/>
    <s v="19/02/2009"/>
    <s v="PE"/>
    <s v="099.774.074-44"/>
    <n v="11494"/>
    <n v="89"/>
    <s v="17/03/2009"/>
    <s v="PE"/>
    <n v="16104132732"/>
    <m/>
    <m/>
    <m/>
    <m/>
    <m/>
    <m/>
    <m/>
    <m/>
    <m/>
    <x v="269"/>
    <n v="121"/>
    <n v="189"/>
    <s v="30/10/2017"/>
    <s v="PE"/>
    <n v="210022452960"/>
    <m/>
    <m/>
    <m/>
    <s v="RUA VINTE E UM"/>
    <n v="90"/>
    <m/>
    <s v="PONTE DOS CARVALHOS"/>
    <s v="CABO DE SANTO AGOSTINHO"/>
    <s v="PE"/>
    <s v="54580-775"/>
    <m/>
    <n v="81983540050"/>
    <m/>
    <n v="341"/>
    <n v="1737"/>
    <x v="28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NDERJOS"/>
    <n v="1"/>
    <s v="Sim"/>
  </r>
  <r>
    <n v="102020"/>
    <x v="284"/>
    <s v="Ativo"/>
    <s v="AD"/>
    <n v="30048829"/>
    <s v="Colaborador–M.O.Var"/>
    <s v="Mensalista"/>
    <s v="1DX"/>
    <s v="Duratex S.A."/>
    <n v="11"/>
    <s v="FÁB LOUÇAS RECIFE"/>
    <n v="11"/>
    <s v="DECA"/>
    <s v="SIM"/>
    <s v="0011 - FÁB LOUÇAS RECIFE"/>
    <s v="ANDRE RICARDO CIEBA"/>
    <s v="ANDRE"/>
    <n v="10001336"/>
    <s v="DAD-02"/>
    <s v="DAD-02 - FUNDICAO MECANIZADA – LR"/>
    <s v="DXLR"/>
    <s v="DXFMECAN65"/>
    <s v="Fundição Mecanizada"/>
    <n v="10007977"/>
    <s v="DAD-01"/>
    <s v="DAD-01 - ADM GERAL DE PROUCAO - LR"/>
    <s v="SALATIEL RODRIGUES SANTANA DE FARIAS"/>
    <n v="10000059"/>
    <s v="SUPERVISOR"/>
    <s v="SUPERVISOR"/>
    <n v="10000017"/>
    <s v="DECA"/>
    <s v="DIR IND DECA (LOUCAS)"/>
    <m/>
    <m/>
    <m/>
    <m/>
    <m/>
    <m/>
    <s v="14/10/2020"/>
    <n v="0"/>
    <m/>
    <s v="17/01/1971"/>
    <x v="25"/>
    <m/>
    <s v="brasileira"/>
    <s v="RECIFE"/>
    <s v="PE"/>
    <s v="BR"/>
    <s v="Não"/>
    <s v="M"/>
    <s v="Não"/>
    <m/>
    <s v="Casado"/>
    <s v="Parda"/>
    <s v="Colegial in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284"/>
    <m/>
    <s v="26/06/2001"/>
    <s v="PE"/>
    <s v="573.398.484-87"/>
    <n v="7760"/>
    <n v="23"/>
    <s v="26/06/2012"/>
    <s v="PE"/>
    <n v="12449278062"/>
    <m/>
    <m/>
    <m/>
    <m/>
    <m/>
    <m/>
    <m/>
    <m/>
    <m/>
    <x v="270"/>
    <n v="121"/>
    <n v="250"/>
    <d v="2017-02-08T00:00:00"/>
    <s v="PE"/>
    <m/>
    <m/>
    <m/>
    <m/>
    <s v="RUA TRES"/>
    <n v="42"/>
    <m/>
    <s v="PIRAPAMA"/>
    <s v="CABO DE SANTO AGOSTINHO"/>
    <s v="PE"/>
    <s v="54515-558"/>
    <m/>
    <n v="81984835370"/>
    <m/>
    <n v="341"/>
    <n v="1737"/>
    <x v="28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CIEBA"/>
    <n v="1"/>
    <s v="Sim"/>
  </r>
  <r>
    <n v="102020"/>
    <x v="285"/>
    <s v="Ativo"/>
    <s v="AD"/>
    <n v="30037936"/>
    <s v="Colaborador–M.O.Var"/>
    <s v="Mensalista"/>
    <s v="1DX"/>
    <s v="Duratex S.A."/>
    <n v="11"/>
    <s v="FÁB LOUÇAS RECIFE"/>
    <n v="11"/>
    <s v="DECA"/>
    <s v="SIM"/>
    <s v="0011 - FÁB LOUÇAS RECIFE"/>
    <s v="HALLAN DIEGO ALVES DA CUNHA"/>
    <s v="HALLAN"/>
    <n v="10007199"/>
    <s v="DAP-09"/>
    <s v="DAP-09 - FUNDICAO ALTA PRESSÃO - LR"/>
    <s v="DXLR"/>
    <s v="DXALTPRE65"/>
    <s v="Fund. Alta Pressão"/>
    <n v="10008185"/>
    <s v="DAP-01"/>
    <s v="DAP-01 - FUND ALT PRESS/MANUTENCAO – LR"/>
    <s v="VANDERSON GONCALVES NEVES"/>
    <n v="10000059"/>
    <s v="SUPERVISOR"/>
    <s v="SUPERVISOR"/>
    <n v="10000002"/>
    <s v="DECA"/>
    <s v="DIR IND DECA (METAIS)"/>
    <m/>
    <m/>
    <m/>
    <m/>
    <m/>
    <m/>
    <s v="14/10/2020"/>
    <n v="0"/>
    <m/>
    <s v="17/01/1993"/>
    <x v="16"/>
    <m/>
    <s v="brasileira"/>
    <s v="CABO DE SANTO AGOSTINHO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85"/>
    <m/>
    <s v="26/07/2007"/>
    <s v="PE"/>
    <s v="107.268.974-00"/>
    <n v="35711"/>
    <n v="114"/>
    <s v="21/10/2011"/>
    <s v="PE"/>
    <n v="16037829277"/>
    <m/>
    <m/>
    <m/>
    <m/>
    <m/>
    <m/>
    <m/>
    <m/>
    <m/>
    <x v="271"/>
    <n v="121"/>
    <n v="130"/>
    <d v="2018-04-04T00:00:00"/>
    <s v="PE"/>
    <n v="210022522127"/>
    <m/>
    <m/>
    <m/>
    <s v="RUA SANTA RITA"/>
    <n v="26"/>
    <m/>
    <s v="PONTE DOS CARVALHOS"/>
    <s v="CABO DE SANTO AGOSTINHO"/>
    <s v="PE"/>
    <s v="54580-680"/>
    <m/>
    <n v="81988654286"/>
    <m/>
    <n v="341"/>
    <n v="6999"/>
    <x v="28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HCUNHA"/>
    <n v="1"/>
    <s v="Sim"/>
  </r>
  <r>
    <n v="102020"/>
    <x v="286"/>
    <s v="Ativo"/>
    <s v="AD"/>
    <n v="30047189"/>
    <s v="Colaborador–M.O.Var"/>
    <s v="Mensalista"/>
    <s v="1DX"/>
    <s v="Duratex S.A."/>
    <n v="11"/>
    <s v="FÁB LOUÇAS RECIFE"/>
    <n v="11"/>
    <s v="DECA"/>
    <s v="SIM"/>
    <s v="0011 - FÁB LOUÇAS RECIFE"/>
    <s v="GABRIEL DE CASTRO SILVA"/>
    <s v="GABRIEL"/>
    <n v="10004701"/>
    <s v="DRR-08"/>
    <s v="DRR-08 - CLASSIFICACAO - LR"/>
    <s v="DXLR"/>
    <s v="DXFMECAN65"/>
    <s v="Fundição Mecanizada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s v="27/05/1998"/>
    <x v="28"/>
    <m/>
    <s v="brasileira"/>
    <s v="CAMARAGIBE"/>
    <s v="PE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86"/>
    <m/>
    <d v="2013-12-07T00:00:00"/>
    <s v="PE"/>
    <s v="705.548.564-92"/>
    <n v="5814654"/>
    <n v="50"/>
    <d v="2016-11-11T00:00:00"/>
    <s v="PE"/>
    <n v="16301893159"/>
    <m/>
    <m/>
    <m/>
    <m/>
    <m/>
    <m/>
    <m/>
    <m/>
    <m/>
    <x v="272"/>
    <n v="127"/>
    <n v="281"/>
    <d v="2017-09-06T00:00:00"/>
    <s v="PE"/>
    <n v="210852497184"/>
    <m/>
    <m/>
    <m/>
    <s v="FAZENDA SUASSUNA"/>
    <n v="1"/>
    <m/>
    <s v="MURIBEQUINHA"/>
    <s v="JABOATAO DOS GUARARAPES"/>
    <s v="PE"/>
    <s v="54000-000"/>
    <m/>
    <n v="81984391182"/>
    <m/>
    <n v="341"/>
    <n v="7924"/>
    <x v="28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ACASTRO"/>
    <n v="1"/>
    <s v="Sim"/>
  </r>
  <r>
    <n v="102020"/>
    <x v="287"/>
    <s v="Ativo"/>
    <s v="AD"/>
    <n v="30047188"/>
    <s v="Colaborador–M.O.Var"/>
    <s v="Mensalista"/>
    <s v="1DX"/>
    <s v="Duratex S.A."/>
    <n v="11"/>
    <s v="FÁB LOUÇAS RECIFE"/>
    <n v="11"/>
    <s v="DECA"/>
    <s v="SIM"/>
    <s v="0011 - FÁB LOUÇAS RECIFE"/>
    <s v="JOSE MACIEL DE SANTANA"/>
    <s v="JOSE"/>
    <n v="10004701"/>
    <s v="DRR-08"/>
    <s v="DRR-08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s v="13/01/1968"/>
    <x v="33"/>
    <m/>
    <s v="brasileira"/>
    <s v="CATENDE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87"/>
    <m/>
    <s v="26/03/2004"/>
    <s v="PE"/>
    <s v="583.397.604-91"/>
    <n v="70117"/>
    <n v="26"/>
    <d v="1987-02-02T00:00:00"/>
    <s v="PE"/>
    <n v="12327017795"/>
    <m/>
    <m/>
    <m/>
    <m/>
    <m/>
    <m/>
    <m/>
    <m/>
    <m/>
    <x v="273"/>
    <n v="147"/>
    <n v="456"/>
    <s v="23/05/2019"/>
    <s v="PE"/>
    <m/>
    <m/>
    <m/>
    <m/>
    <s v="RUA JOSE BONIFACIO"/>
    <n v="83"/>
    <m/>
    <s v="GUARARAPES"/>
    <s v="JABOATÃO DOS GUARARAPES"/>
    <s v="PE"/>
    <s v="54325-061"/>
    <m/>
    <n v="81985942858"/>
    <m/>
    <n v="341"/>
    <n v="6999"/>
    <x v="28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MACIEL"/>
    <n v="1"/>
    <s v="Sim"/>
  </r>
  <r>
    <n v="102020"/>
    <x v="288"/>
    <s v="Ativo"/>
    <s v="AD"/>
    <n v="30048329"/>
    <s v="Colaborador–M.O.Var"/>
    <s v="Horista"/>
    <s v="1DX"/>
    <s v="Duratex S.A."/>
    <n v="13"/>
    <s v="FÁB LOUÇAS QUEIMADOS"/>
    <n v="13"/>
    <s v="DECA"/>
    <s v="SIM"/>
    <s v="0013 - FÁB LOUÇAS QUEIMADOS"/>
    <s v="MAERCIO FERNANDES BARROS"/>
    <s v="MAÉRCIO"/>
    <n v="10001261"/>
    <s v="DJA-04"/>
    <s v="DJA-04 - FABRICA DE MOLDES - LQ"/>
    <s v="DXLQ"/>
    <s v="DXMOLGES68"/>
    <s v="Fáb. Moldes Gesso"/>
    <n v="10008236"/>
    <s v="DJA-02"/>
    <s v="DJA-02 - PROD DE MASSA - LQ"/>
    <s v="ALEXANDRE DE OLIVEIRA FERRERO"/>
    <n v="10000080"/>
    <s v="EQUIPE"/>
    <s v="EQUIPE"/>
    <n v="10000017"/>
    <s v="DECA"/>
    <s v="DIR IND DECA (LOUCAS)"/>
    <m/>
    <m/>
    <m/>
    <m/>
    <m/>
    <m/>
    <s v="14/10/2020"/>
    <n v="0"/>
    <m/>
    <s v="27/10/1989"/>
    <x v="12"/>
    <m/>
    <s v="brasileira"/>
    <s v="CAMPINA GRANDE"/>
    <s v="PB"/>
    <s v="BR"/>
    <s v="Não"/>
    <s v="M"/>
    <s v="Não"/>
    <m/>
    <s v="Marita"/>
    <s v="Branc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288"/>
    <m/>
    <s v="18/06/2007"/>
    <s v="PB"/>
    <s v="089.400.144-21"/>
    <n v="7018463"/>
    <n v="50"/>
    <d v="2017-02-05T00:00:00"/>
    <s v="RJ"/>
    <n v="16350933770"/>
    <m/>
    <m/>
    <m/>
    <m/>
    <m/>
    <m/>
    <m/>
    <m/>
    <m/>
    <x v="274"/>
    <n v="16"/>
    <n v="126"/>
    <s v="21/02/2020"/>
    <s v="PB"/>
    <n v="230922026185"/>
    <m/>
    <m/>
    <m/>
    <s v="RUA PARAGUAI"/>
    <n v="6"/>
    <m/>
    <s v="CIDADE JARDIM MARAJO"/>
    <s v="JAPERI"/>
    <s v="RJ"/>
    <s v="26413-010"/>
    <m/>
    <n v="21998496323"/>
    <m/>
    <n v="341"/>
    <n v="7795"/>
    <x v="28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CIBAR"/>
    <n v="1"/>
    <s v="Sim"/>
  </r>
  <r>
    <n v="102020"/>
    <x v="289"/>
    <s v="Ativo"/>
    <s v="AD"/>
    <n v="30048335"/>
    <s v="Colaborador–M.O.Var"/>
    <s v="Mensalista"/>
    <s v="1DX"/>
    <s v="Duratex S.A."/>
    <n v="14"/>
    <s v="FÁB LOUÇAS PARAÍBA"/>
    <n v="14"/>
    <s v="DECA"/>
    <s v="SIM"/>
    <s v="0014 - FÁB LOUÇAS PARAÍBA"/>
    <s v="JORIVAN BEZERRA BRAZ"/>
    <s v="JORIVAN"/>
    <n v="10001373"/>
    <s v="DJX-04"/>
    <s v="DJX-04 - CLASSIFICACAO/ REQUEIMA - LP"/>
    <s v="DXLP"/>
    <s v="DXCLEMBL69"/>
    <s v="Classificação"/>
    <n v="10007535"/>
    <s v="DJX-07"/>
    <s v="DJX-07 - CLASSIFICACAO/ REQUEIMA - LP"/>
    <s v="FABIO JOSE PEREIRA"/>
    <n v="10000080"/>
    <s v="EQUIPE"/>
    <s v="EQUIPE"/>
    <n v="10000017"/>
    <s v="DECA"/>
    <s v="DIR IND DECA (LOUCAS)"/>
    <m/>
    <m/>
    <m/>
    <m/>
    <m/>
    <m/>
    <s v="14/10/2020"/>
    <n v="0"/>
    <m/>
    <s v="29/07/1999"/>
    <x v="13"/>
    <m/>
    <s v="brasileira"/>
    <s v="JOAO PESSOA"/>
    <s v="PB"/>
    <s v="BR"/>
    <s v="Não"/>
    <s v="M"/>
    <s v="Não"/>
    <m/>
    <s v="Solt."/>
    <s v="Negra"/>
    <s v="Colegial completo"/>
    <m/>
    <n v="22000878"/>
    <s v="220/M"/>
    <s v="AUX PRODUCAO"/>
    <n v="784205"/>
    <s v="Admissão"/>
    <d v="2020-10-01T00:00:00"/>
    <s v="220,00"/>
    <m/>
    <s v="DJP-01"/>
    <s v="DDI-01"/>
    <s v="CSS-01"/>
    <s v="DDE-01"/>
    <s v="PRE-01"/>
    <s v="1.045,00"/>
    <s v="1.045,00"/>
    <s v="1.045,00"/>
    <s v="0,00"/>
    <s v="DF"/>
    <s v="LO PARAÍBA-220/M"/>
    <n v="13"/>
    <s v="GRS013OP"/>
    <d v="2020-10-01T00:00:00"/>
    <s v="Admissão"/>
    <s v="1.044,00"/>
    <s v="104400,00"/>
    <n v="1"/>
    <m/>
    <s v="N"/>
    <x v="289"/>
    <m/>
    <s v="27/08/2015"/>
    <s v="PB"/>
    <s v="704.888.084-80"/>
    <n v="1405654"/>
    <n v="50"/>
    <s v="30/09/2015"/>
    <s v="PB"/>
    <n v="20040039514"/>
    <m/>
    <m/>
    <m/>
    <m/>
    <m/>
    <m/>
    <m/>
    <m/>
    <m/>
    <x v="275"/>
    <n v="77"/>
    <n v="204"/>
    <s v="26/10/2015"/>
    <s v="PB"/>
    <n v="230754603614"/>
    <m/>
    <m/>
    <m/>
    <s v="RUA MAURICIO CARNEIRO DE OLIVEIRA"/>
    <n v="81"/>
    <m/>
    <s v="INDUSTRIAS"/>
    <s v="JOÃO PESSOA"/>
    <s v="PB"/>
    <s v="58083-002"/>
    <m/>
    <n v="83988798670"/>
    <m/>
    <n v="341"/>
    <n v="7981"/>
    <x v="28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BRAZ"/>
    <n v="1"/>
    <s v="Sim"/>
  </r>
  <r>
    <n v="102020"/>
    <x v="290"/>
    <s v="Ativo"/>
    <s v="AD"/>
    <n v="30007695"/>
    <s v="Colaborador–M.O.Fixa"/>
    <s v="Mensalista"/>
    <s v="1DX"/>
    <s v="Duratex S.A."/>
    <n v="14"/>
    <s v="FÁB LOUÇAS PARAÍBA"/>
    <n v="14"/>
    <s v="DECA"/>
    <s v="SIM"/>
    <s v="0014 - FÁB LOUÇAS PARAÍBA"/>
    <s v="LEANDRO DE OLIVEIRA PONTES"/>
    <s v="LEANDRO"/>
    <n v="10001373"/>
    <s v="DJX-04"/>
    <s v="DJX-04 - CLASSIFICACAO/ REQUEIMA - LP"/>
    <s v="DXLP"/>
    <s v="DXCLEMBL69"/>
    <s v="Classificação"/>
    <n v="10007535"/>
    <s v="DJX-07"/>
    <s v="DJX-07 - CLASSIFICACAO/ REQUEIMA - LP"/>
    <s v="FABIO JOSE PEREIRA"/>
    <n v="10000080"/>
    <s v="EQUIPE"/>
    <s v="EQUIPE"/>
    <n v="10000017"/>
    <s v="DECA"/>
    <s v="DIR IND DECA (LOUCAS)"/>
    <m/>
    <m/>
    <m/>
    <m/>
    <m/>
    <m/>
    <s v="14/10/2020"/>
    <n v="0"/>
    <m/>
    <s v="23/06/1985"/>
    <x v="21"/>
    <m/>
    <s v="brasileira"/>
    <s v="JOAO PESSOA"/>
    <s v="PB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JP-01"/>
    <s v="DDI-01"/>
    <s v="CSS-01"/>
    <s v="DDE-01"/>
    <s v="PRE-01"/>
    <s v="1.045,00"/>
    <s v="1.045,00"/>
    <s v="1.045,00"/>
    <s v="0,00"/>
    <s v="DF"/>
    <s v="LO PARAÍBA-220/M"/>
    <n v="13"/>
    <s v="GRS013OP"/>
    <d v="2020-10-01T00:00:00"/>
    <s v="Admissão"/>
    <s v="1.044,00"/>
    <s v="104400,00"/>
    <n v="1"/>
    <m/>
    <s v="N"/>
    <x v="290"/>
    <m/>
    <d v="2002-09-01T00:00:00"/>
    <s v="PB"/>
    <s v="065.146.674-14"/>
    <n v="22024"/>
    <n v="26"/>
    <d v="2001-08-01T00:00:00"/>
    <s v="PB"/>
    <n v="16424921304"/>
    <m/>
    <m/>
    <m/>
    <m/>
    <m/>
    <m/>
    <m/>
    <m/>
    <m/>
    <x v="276"/>
    <n v="77"/>
    <n v="134"/>
    <s v="17/01/2014"/>
    <s v="PB"/>
    <n v="230753139097"/>
    <m/>
    <m/>
    <m/>
    <s v="RUA CLENIO BATISTA DOS ANJOS"/>
    <n v="172"/>
    <m/>
    <s v="ERNANI SATIRO"/>
    <s v="JOÃO PESSOA"/>
    <s v="PB"/>
    <s v="58080-700"/>
    <m/>
    <n v="83988798670"/>
    <m/>
    <n v="341"/>
    <n v="9179"/>
    <x v="29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PONTES"/>
    <n v="1"/>
    <s v="Sim"/>
  </r>
  <r>
    <n v="102020"/>
    <x v="291"/>
    <s v="Ativo"/>
    <s v="AD"/>
    <n v="30048334"/>
    <s v="Colaborador–M.O.Var"/>
    <s v="Mensalista"/>
    <s v="1DX"/>
    <s v="Duratex S.A."/>
    <n v="14"/>
    <s v="FÁB LOUÇAS PARAÍBA"/>
    <n v="14"/>
    <s v="DECA"/>
    <s v="SIM"/>
    <s v="0014 - FÁB LOUÇAS PARAÍBA"/>
    <s v="SUZANERI DE LIMA DIAS"/>
    <s v="SUZANERI"/>
    <n v="10001373"/>
    <s v="DJX-04"/>
    <s v="DJX-04 - CLASSIFICACAO/ REQUEIMA - LP"/>
    <s v="DXLP"/>
    <s v="DXCLEMBL69"/>
    <s v="Classificação"/>
    <n v="10007535"/>
    <s v="DJX-07"/>
    <s v="DJX-07 - CLASSIFICACAO/ REQUEIMA - LP"/>
    <s v="FABIO JOSE PEREIRA"/>
    <n v="10000080"/>
    <s v="EQUIPE"/>
    <s v="EQUIPE"/>
    <n v="10000017"/>
    <s v="DECA"/>
    <s v="DIR IND DECA (LOUCAS)"/>
    <m/>
    <m/>
    <m/>
    <m/>
    <m/>
    <m/>
    <s v="14/10/2020"/>
    <n v="0"/>
    <m/>
    <d v="1985-06-02T00:00:00"/>
    <x v="21"/>
    <m/>
    <s v="brasileira"/>
    <s v="CAMPINA GRANDE"/>
    <s v="PB"/>
    <s v="BR"/>
    <s v="Não"/>
    <s v="F"/>
    <s v="Não"/>
    <m/>
    <s v="Casado"/>
    <s v="Branca"/>
    <s v="Colegial completo"/>
    <m/>
    <n v="22000878"/>
    <s v="220/M"/>
    <s v="AUX PRODUCAO"/>
    <n v="784205"/>
    <s v="Admissão"/>
    <d v="2020-10-01T00:00:00"/>
    <s v="220,00"/>
    <m/>
    <s v="DJP-01"/>
    <s v="DDI-01"/>
    <s v="CSS-01"/>
    <s v="DDE-01"/>
    <s v="PRE-01"/>
    <s v="1.045,00"/>
    <s v="1.045,00"/>
    <s v="1.045,00"/>
    <s v="0,00"/>
    <s v="DF"/>
    <s v="LO PARAÍBA-220/M"/>
    <n v="13"/>
    <s v="GRS013OP"/>
    <d v="2020-10-01T00:00:00"/>
    <s v="Admissão"/>
    <s v="1.044,00"/>
    <s v="104400,00"/>
    <n v="1"/>
    <m/>
    <s v="N"/>
    <x v="291"/>
    <m/>
    <d v="2010-08-06T00:00:00"/>
    <s v="PB"/>
    <s v="058.372.454-05"/>
    <n v="14206"/>
    <n v="28"/>
    <s v="20/02/2003"/>
    <s v="PB"/>
    <n v="12815350442"/>
    <m/>
    <m/>
    <m/>
    <m/>
    <m/>
    <m/>
    <m/>
    <m/>
    <m/>
    <x v="277"/>
    <n v="2"/>
    <n v="263"/>
    <d v="2016-08-01T00:00:00"/>
    <s v="PB"/>
    <m/>
    <m/>
    <m/>
    <m/>
    <s v="RUA MONSENHOR S  PIRES FERREIRA"/>
    <n v="181"/>
    <m/>
    <s v="MUNICIPIOS"/>
    <s v="SANTA RITA"/>
    <s v="PB"/>
    <s v="58303-360"/>
    <m/>
    <n v="83988798670"/>
    <m/>
    <n v="341"/>
    <n v="7981"/>
    <x v="29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UDIAS"/>
    <n v="1"/>
    <m/>
  </r>
  <r>
    <n v="102020"/>
    <x v="292"/>
    <s v="Ativo"/>
    <s v="AD"/>
    <n v="30131117"/>
    <s v="Estagiário"/>
    <s v="Horista"/>
    <s v="1DX"/>
    <s v="Duratex S.A."/>
    <n v="14"/>
    <s v="FÁB LOUÇAS PARAÍBA"/>
    <n v="14"/>
    <s v="DECA"/>
    <m/>
    <s v="0014 - FÁB LOUÇAS PARAÍBA"/>
    <s v="ROSANGELA MARIE BORGES SILVA"/>
    <s v="ROSANGELA"/>
    <n v="10005437"/>
    <s v="CLP-02"/>
    <s v="CLP-02 - RH - DECA - LP"/>
    <s v="DXLP"/>
    <s v="DXNUCRHD69"/>
    <s v="RH Negócio Deca - LP"/>
    <n v="10006728"/>
    <s v="CLP-01"/>
    <s v="CLP-01 - RH - DECA - LP"/>
    <s v="DHIEGO DE SA SERRAO"/>
    <n v="10000080"/>
    <s v="EQUIPE"/>
    <s v="EQUIPE"/>
    <n v="10000010"/>
    <s v="CORPORATIVO"/>
    <s v="DIR RECURSOS HUMANOS"/>
    <m/>
    <m/>
    <m/>
    <m/>
    <m/>
    <m/>
    <s v="14/10/2020"/>
    <n v="0"/>
    <m/>
    <s v="16/10/1999"/>
    <x v="13"/>
    <m/>
    <s v="brasileira"/>
    <s v="JOAO PESSOA"/>
    <s v="PB"/>
    <s v="BR"/>
    <s v="Não"/>
    <s v="F"/>
    <s v="Não"/>
    <m/>
    <s v="Solt."/>
    <s v="Branca"/>
    <s v="Superior incompleto"/>
    <m/>
    <n v="22000003"/>
    <s v="120/H"/>
    <s v="ESTAGIARIO SUP"/>
    <n v="999999"/>
    <s v="Admissão"/>
    <d v="2020-10-01T00:00:00"/>
    <s v="120,00"/>
    <m/>
    <s v="CRN-01"/>
    <s v="CRH-01"/>
    <s v="CSS-01"/>
    <m/>
    <s v="PRE-01"/>
    <s v="999,60"/>
    <s v="8,33"/>
    <s v="999,60"/>
    <s v="0,00"/>
    <s v="QS"/>
    <s v="FÁB LOUÇAS PARAÍBA"/>
    <n v="2"/>
    <s v="GRS02DE"/>
    <d v="2020-10-01T00:00:00"/>
    <s v="Admissão"/>
    <s v="998,60"/>
    <s v="99.860,00"/>
    <n v="1"/>
    <m/>
    <s v="N"/>
    <x v="292"/>
    <m/>
    <s v="15/09/2015"/>
    <s v="PB"/>
    <s v="098.317.824-02"/>
    <n v="9456848"/>
    <n v="50"/>
    <d v="2018-08-01T00:00:00"/>
    <s v="PB"/>
    <m/>
    <m/>
    <m/>
    <m/>
    <m/>
    <m/>
    <m/>
    <m/>
    <m/>
    <m/>
    <x v="278"/>
    <n v="76"/>
    <n v="48"/>
    <d v="2018-02-01T00:00:00"/>
    <s v="PB"/>
    <m/>
    <m/>
    <m/>
    <m/>
    <s v="AVENIDA SAPE"/>
    <n v="359"/>
    <m/>
    <s v="MANAIRA"/>
    <s v="JOÃO PESSOA"/>
    <s v="PB"/>
    <s v="58038-380"/>
    <m/>
    <n v="83998403899"/>
    <m/>
    <n v="341"/>
    <n v="5579"/>
    <x v="292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ROSANGELA.BORGES@DECA.COM.BR"/>
    <m/>
    <s v="ROSANSIL"/>
    <n v="9"/>
    <m/>
  </r>
  <r>
    <n v="102020"/>
    <x v="293"/>
    <s v="Ativo"/>
    <s v="AD"/>
    <n v="30131120"/>
    <s v="Estagiário"/>
    <s v="Horista"/>
    <s v="1DX"/>
    <s v="Duratex S.A."/>
    <n v="14"/>
    <s v="FÁB LOUÇAS PARAÍBA"/>
    <n v="14"/>
    <s v="DECA"/>
    <m/>
    <s v="0014 - FÁB LOUÇAS PARAÍBA"/>
    <s v="SARA DE FREITAS LIMA"/>
    <s v="SARA"/>
    <n v="10001389"/>
    <s v="DLP-02"/>
    <s v="DLP-02 - ELETRICA E INSTRUMENTACAO - LP"/>
    <s v="DXLP"/>
    <s v="DXELETRI69"/>
    <s v="Elétrica e Instrum."/>
    <n v="10001396"/>
    <s v="DLP-03"/>
    <s v="DLP-03 - MECANICA - LP"/>
    <s v="MARCOS VINICIUS DE CARVALHO QUEIROZ FILHO"/>
    <n v="10000080"/>
    <s v="EQUIPE"/>
    <s v="EQUIPE"/>
    <n v="10000017"/>
    <s v="DECA"/>
    <s v="DIR IND DECA (LOUCAS)"/>
    <m/>
    <m/>
    <m/>
    <m/>
    <m/>
    <m/>
    <s v="14/10/2020"/>
    <n v="0"/>
    <m/>
    <s v="14/12/1992"/>
    <x v="16"/>
    <m/>
    <s v="brasileira"/>
    <s v="JOAO PESSOA"/>
    <s v="PB"/>
    <s v="BR"/>
    <s v="Não"/>
    <s v="F"/>
    <s v="Não"/>
    <m/>
    <s v="Solt."/>
    <s v="Branca"/>
    <s v="Superior incompleto"/>
    <m/>
    <n v="22000003"/>
    <s v="120/H"/>
    <s v="ESTAGIARIO SUP"/>
    <n v="999999"/>
    <s v="Admissão"/>
    <d v="2020-10-01T00:00:00"/>
    <s v="120,00"/>
    <m/>
    <s v="DJP-01"/>
    <s v="DDI-01"/>
    <s v="CSS-01"/>
    <s v="DDE-01"/>
    <s v="PRE-01"/>
    <s v="999,60"/>
    <s v="8,33"/>
    <s v="999,60"/>
    <s v="0,00"/>
    <s v="QS"/>
    <s v="FÁB LOUÇAS PARAÍBA"/>
    <n v="2"/>
    <s v="GRS02DE"/>
    <d v="2020-10-01T00:00:00"/>
    <s v="Admissão"/>
    <s v="998,60"/>
    <s v="99.860,00"/>
    <n v="1"/>
    <m/>
    <s v="N"/>
    <x v="293"/>
    <m/>
    <d v="2006-06-07T00:00:00"/>
    <s v="PB"/>
    <s v="087.772.194-73"/>
    <n v="2271427"/>
    <n v="50"/>
    <d v="2015-03-11T00:00:00"/>
    <s v="PB"/>
    <m/>
    <m/>
    <m/>
    <m/>
    <m/>
    <m/>
    <m/>
    <m/>
    <m/>
    <m/>
    <x v="279"/>
    <n v="76"/>
    <n v="271"/>
    <d v="2013-10-09T00:00:00"/>
    <s v="PB"/>
    <m/>
    <m/>
    <m/>
    <m/>
    <s v="RUA ALAN L DE ANDRADE"/>
    <n v="389"/>
    <m/>
    <s v="AGUA FRIA"/>
    <s v="JOÃO PESSOA"/>
    <s v="PB"/>
    <s v="58052-117"/>
    <m/>
    <n v="83993025445"/>
    <m/>
    <n v="341"/>
    <n v="7981"/>
    <x v="293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LIMA"/>
    <n v="9"/>
    <m/>
  </r>
  <r>
    <n v="102020"/>
    <x v="294"/>
    <s v="Ativo"/>
    <s v="AD"/>
    <n v="30131119"/>
    <s v="Estagiário"/>
    <s v="Horista"/>
    <s v="1DX"/>
    <s v="Duratex S.A."/>
    <n v="14"/>
    <s v="FÁB LOUÇAS PARAÍBA"/>
    <n v="14"/>
    <s v="DECA"/>
    <m/>
    <s v="0014 - FÁB LOUÇAS PARAÍBA"/>
    <s v="RAUL BERNARDO DE PONTES PIRES"/>
    <s v="RAUL"/>
    <n v="10001396"/>
    <s v="DLP-03"/>
    <s v="DLP-03 - MECANICA - LP"/>
    <s v="DXLP"/>
    <s v="DXMECANI69"/>
    <s v="Mecânica"/>
    <n v="10008659"/>
    <s v="DLP-01"/>
    <s v="DLP-01 - ESMAL/FORNOS/MECAN/ELET - LP"/>
    <s v="MARCOS VINICIUS DE CARVALHO QUEIROZ FILHO"/>
    <n v="10000059"/>
    <s v="SUPERVISOR"/>
    <s v="SUPERVISOR"/>
    <n v="10000017"/>
    <s v="DECA"/>
    <s v="DIR IND DECA (LOUCAS)"/>
    <m/>
    <m/>
    <m/>
    <m/>
    <m/>
    <m/>
    <s v="14/10/2020"/>
    <n v="0"/>
    <m/>
    <d v="1995-02-02T00:00:00"/>
    <x v="4"/>
    <m/>
    <s v="brasileira"/>
    <s v="JOAO PESSOA"/>
    <s v="PB"/>
    <s v="BR"/>
    <s v="Não"/>
    <s v="M"/>
    <s v="Não"/>
    <m/>
    <s v="Solt."/>
    <s v="Parda"/>
    <s v="Superior incompleto"/>
    <m/>
    <n v="22000003"/>
    <s v="120/H"/>
    <s v="ESTAGIARIO SUP"/>
    <n v="999999"/>
    <s v="Admissão"/>
    <d v="2020-10-01T00:00:00"/>
    <s v="120,00"/>
    <m/>
    <s v="DJP-01"/>
    <s v="DDI-01"/>
    <s v="CSS-01"/>
    <s v="DDE-01"/>
    <s v="PRE-01"/>
    <s v="999,60"/>
    <s v="8,33"/>
    <s v="999,60"/>
    <s v="0,00"/>
    <s v="QS"/>
    <s v="FÁB LOUÇAS PARAÍBA"/>
    <n v="2"/>
    <s v="GRS02DE"/>
    <d v="2020-10-01T00:00:00"/>
    <s v="Admissão"/>
    <s v="998,60"/>
    <s v="99.860,00"/>
    <n v="1"/>
    <m/>
    <s v="N"/>
    <x v="294"/>
    <m/>
    <d v="2012-08-05T00:00:00"/>
    <s v="PB"/>
    <s v="102.358.984-22"/>
    <n v="7700488"/>
    <n v="40"/>
    <s v="30/06/2014"/>
    <s v="PB"/>
    <m/>
    <m/>
    <m/>
    <m/>
    <m/>
    <m/>
    <m/>
    <m/>
    <m/>
    <m/>
    <x v="280"/>
    <n v="64"/>
    <n v="345"/>
    <s v="31/01/2014"/>
    <s v="PB"/>
    <n v="230754252909"/>
    <m/>
    <m/>
    <m/>
    <s v="RUA CICERO MOREIRA NETO"/>
    <n v="179"/>
    <m/>
    <s v="JOAO PAULO II"/>
    <s v="JOÃO PESSOA"/>
    <s v="PB"/>
    <s v="58076-249"/>
    <m/>
    <n v="83996989325"/>
    <m/>
    <n v="341"/>
    <n v="1449"/>
    <x v="294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PIRES"/>
    <n v="9"/>
    <m/>
  </r>
  <r>
    <n v="102020"/>
    <x v="295"/>
    <s v="Ativo"/>
    <s v="AD"/>
    <n v="30048341"/>
    <s v="Colaborador–M.O.Var"/>
    <s v="Mensalista"/>
    <s v="1DX"/>
    <s v="Duratex S.A."/>
    <n v="14"/>
    <s v="FÁB LOUÇAS PARAÍBA"/>
    <n v="14"/>
    <s v="DECA"/>
    <s v="SIM"/>
    <s v="0014 - FÁB LOUÇAS PARAÍBA"/>
    <s v="ERISSON PALMEIRA DE OLIVEIRA"/>
    <s v="ERISSON"/>
    <n v="10007529"/>
    <s v="DIA-05"/>
    <s v="DIA-05 - FUNDICAO MECANIZADA - LP"/>
    <s v="DXLP"/>
    <s v="DXFMECAN69"/>
    <s v="Fundição Mecanizada"/>
    <n v="10008661"/>
    <s v="DIA-01"/>
    <s v="DIA-01- FUND/APR/INSP - LP"/>
    <s v="RAPHAEL ALBUQUERQUE DE SOUZA"/>
    <n v="10000059"/>
    <s v="SUPERVISOR"/>
    <s v="SUPERVISOR"/>
    <n v="10000002"/>
    <s v="DECA"/>
    <s v="DIR IND DECA (METAIS)"/>
    <m/>
    <m/>
    <m/>
    <m/>
    <m/>
    <m/>
    <s v="14/10/2020"/>
    <n v="0"/>
    <m/>
    <s v="27/03/1998"/>
    <x v="28"/>
    <m/>
    <s v="brasileira"/>
    <s v="JOAO PESSOA"/>
    <s v="PB"/>
    <s v="BR"/>
    <s v="Não"/>
    <s v="M"/>
    <s v="Não"/>
    <m/>
    <s v="Solt."/>
    <s v="Negra"/>
    <s v="Analfabeto"/>
    <m/>
    <n v="22000878"/>
    <s v="220/M"/>
    <s v="AUX PRODUCAO"/>
    <n v="784205"/>
    <s v="Admissão"/>
    <d v="2020-10-01T00:00:00"/>
    <s v="220,00"/>
    <m/>
    <s v="DJP-01"/>
    <s v="DDI-01"/>
    <s v="CSS-01"/>
    <s v="DDE-01"/>
    <s v="PRE-01"/>
    <s v="1.045,00"/>
    <s v="1.045,00"/>
    <s v="1.045,00"/>
    <s v="0,00"/>
    <s v="DF"/>
    <s v="LO PARAÍBA-220/M"/>
    <n v="13"/>
    <s v="GRS013OP"/>
    <d v="2020-10-01T00:00:00"/>
    <s v="Admissão"/>
    <s v="1.044,00"/>
    <s v="104400,00"/>
    <n v="1"/>
    <m/>
    <s v="N"/>
    <x v="295"/>
    <m/>
    <s v="21/05/2013"/>
    <s v="PB"/>
    <s v="705.160.464-38"/>
    <n v="3028185"/>
    <n v="50"/>
    <d v="2016-11-01T00:00:00"/>
    <s v="PB"/>
    <n v="20610909481"/>
    <m/>
    <m/>
    <m/>
    <m/>
    <m/>
    <m/>
    <m/>
    <m/>
    <m/>
    <x v="281"/>
    <n v="77"/>
    <n v="189"/>
    <d v="2016-04-05T00:00:00"/>
    <s v="PB"/>
    <n v="230754503517"/>
    <m/>
    <m/>
    <m/>
    <s v="RUA SERINGUEIRO CHICO MENDES"/>
    <n v="485"/>
    <m/>
    <s v="INDUSTRIAS"/>
    <s v="JOÃO PESSOA"/>
    <s v="PB"/>
    <s v="58083-160"/>
    <m/>
    <n v="83988798670"/>
    <m/>
    <n v="341"/>
    <n v="7981"/>
    <x v="29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ERISSOLI"/>
    <n v="1"/>
    <m/>
  </r>
  <r>
    <n v="102020"/>
    <x v="296"/>
    <s v="Ativo"/>
    <s v="AD"/>
    <n v="30047187"/>
    <s v="Colaborador–M.O.Var"/>
    <s v="Mensalista"/>
    <s v="1DX"/>
    <s v="Duratex S.A."/>
    <n v="11"/>
    <s v="FÁB LOUÇAS RECIFE"/>
    <n v="11"/>
    <s v="DECA"/>
    <s v="SIM"/>
    <s v="0011 - FÁB LOUÇAS RECIFE"/>
    <s v="RONES FRANCISCO DE QUEIROZ"/>
    <s v="RONES"/>
    <n v="10004701"/>
    <s v="DRR-08"/>
    <s v="DRR-08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s v="22/03/1991"/>
    <x v="27"/>
    <m/>
    <s v="brasileira"/>
    <s v="JABOATAO DOS GUARARAPES"/>
    <s v="PE"/>
    <s v="BR"/>
    <s v="Não"/>
    <s v="M"/>
    <s v="Não"/>
    <m/>
    <s v="Solt."/>
    <s v="Parda"/>
    <s v="Colegial in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96"/>
    <m/>
    <d v="2017-10-05T00:00:00"/>
    <s v="PE"/>
    <s v="107.559.794-35"/>
    <n v="10157"/>
    <n v="91"/>
    <d v="2009-10-06T00:00:00"/>
    <s v="PE"/>
    <n v="16558405696"/>
    <m/>
    <m/>
    <m/>
    <m/>
    <m/>
    <m/>
    <m/>
    <m/>
    <m/>
    <x v="282"/>
    <n v="11"/>
    <n v="151"/>
    <s v="28/04/2008"/>
    <s v="PE"/>
    <n v="210412867280"/>
    <m/>
    <m/>
    <m/>
    <s v="RUA EPITACIO PESSOA"/>
    <n v="94"/>
    <m/>
    <s v="VILA RICA"/>
    <s v="JABOATAO DOS GUARARAPES"/>
    <s v="PE"/>
    <s v="54110-450"/>
    <m/>
    <n v="11980651156"/>
    <m/>
    <n v="341"/>
    <n v="7924"/>
    <x v="29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QUEIROZ"/>
    <n v="1"/>
    <m/>
  </r>
  <r>
    <n v="102020"/>
    <x v="297"/>
    <s v="Ativo"/>
    <s v="AD"/>
    <n v="30048840"/>
    <s v="Colaborador–M.O.Var"/>
    <s v="Mensalista"/>
    <s v="1DX"/>
    <s v="Duratex S.A."/>
    <n v="11"/>
    <s v="FÁB LOUÇAS RECIFE"/>
    <n v="11"/>
    <s v="DECA"/>
    <s v="SIM"/>
    <s v="0011 - FÁB LOUÇAS RECIFE"/>
    <s v="ADONIAS FLOR DA SILVA"/>
    <s v="ADONIAS"/>
    <n v="10004701"/>
    <s v="DRR-08"/>
    <s v="DRR-08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d v="1992-10-02T00:00:00"/>
    <x v="11"/>
    <m/>
    <s v="brasileira"/>
    <s v="SAO PAULO"/>
    <s v="SP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97"/>
    <m/>
    <s v="16/06/2015"/>
    <s v="PE"/>
    <s v="094.663.564-10"/>
    <n v="60305"/>
    <n v="97"/>
    <s v="31/03/2008"/>
    <s v="PE"/>
    <n v="16089791092"/>
    <m/>
    <m/>
    <m/>
    <m/>
    <m/>
    <m/>
    <m/>
    <m/>
    <m/>
    <x v="283"/>
    <n v="16"/>
    <n v="145"/>
    <d v="2014-03-02T00:00:00"/>
    <s v="PE"/>
    <n v="210042160734"/>
    <m/>
    <m/>
    <m/>
    <s v="LOTEAMENTO CANOAS"/>
    <n v="3"/>
    <m/>
    <s v="NOSSA SENHORA DO O"/>
    <s v="IPOJUCA"/>
    <s v="PE"/>
    <s v="55590-000"/>
    <m/>
    <n v="81973140885"/>
    <m/>
    <n v="341"/>
    <n v="7731"/>
    <x v="29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DONSILV"/>
    <n v="1"/>
    <m/>
  </r>
  <r>
    <n v="102020"/>
    <x v="298"/>
    <s v="Ativo"/>
    <s v="AD"/>
    <n v="30047602"/>
    <s v="Colaborador–M.O.Var"/>
    <s v="Mensalista"/>
    <s v="1DX"/>
    <s v="Duratex S.A."/>
    <n v="11"/>
    <s v="FÁB LOUÇAS RECIFE"/>
    <n v="11"/>
    <s v="DECA"/>
    <s v="NAO"/>
    <s v="0011 - FÁB LOUÇAS RECIFE"/>
    <s v="ROBSON DE FRANCA SILVA"/>
    <s v="ROBSON"/>
    <n v="10001347"/>
    <s v="DCQ-02"/>
    <s v="DCQ-02 - FABRICA DE ESMALTE – LR"/>
    <s v="DXLR"/>
    <s v="DXFAESMA65"/>
    <s v="Fábrica de Esmalte"/>
    <n v="10001349"/>
    <s v="DCQ-06"/>
    <s v="DCQ-06 - PRODUCAO DE MASSA - LR"/>
    <s v="HELIO ASSIS DE OLIVEIRA"/>
    <n v="10000080"/>
    <s v="EQUIPE"/>
    <s v="EQUIPE"/>
    <n v="10000017"/>
    <s v="DECA"/>
    <s v="DIR IND DECA (LOUCAS)"/>
    <m/>
    <m/>
    <m/>
    <m/>
    <m/>
    <m/>
    <s v="14/10/2020"/>
    <n v="0"/>
    <m/>
    <d v="1995-01-09T00:00:00"/>
    <x v="4"/>
    <m/>
    <s v="brasileira"/>
    <s v="CABO DE SANTO AGOSTINHO"/>
    <s v="PE"/>
    <s v="BR"/>
    <s v="Não"/>
    <s v="M"/>
    <s v="Não"/>
    <m/>
    <s v="Solt."/>
    <s v="Negra"/>
    <s v="Superior incompleto"/>
    <m/>
    <n v="22000738"/>
    <s v="220/M"/>
    <s v="AN PRODUCAO JR"/>
    <n v="391105"/>
    <s v="Admissão"/>
    <d v="2020-10-01T00:00:00"/>
    <s v="220,00"/>
    <m/>
    <s v="DLR-01"/>
    <s v="DDI-01"/>
    <s v="CSS-01"/>
    <s v="DDE-01"/>
    <s v="PRE-01"/>
    <s v="2.200,00"/>
    <s v="2.200,00"/>
    <s v="2.200,00"/>
    <s v="0,00"/>
    <s v="CS"/>
    <s v="LO RECIFE-220/M"/>
    <n v="19"/>
    <s v="GRS019PR"/>
    <d v="2020-10-01T00:00:00"/>
    <s v="Admissão"/>
    <s v="2.199,00"/>
    <s v="219900,00"/>
    <n v="1"/>
    <m/>
    <s v="N"/>
    <x v="298"/>
    <m/>
    <d v="2016-11-01T00:00:00"/>
    <s v="PE"/>
    <s v="105.590.584-70"/>
    <n v="5617059"/>
    <n v="50"/>
    <s v="16/09/2016"/>
    <s v="PE"/>
    <n v="16588339373"/>
    <m/>
    <m/>
    <m/>
    <m/>
    <m/>
    <m/>
    <m/>
    <m/>
    <m/>
    <x v="284"/>
    <n v="15"/>
    <n v="182"/>
    <s v="17/03/2017"/>
    <s v="PE"/>
    <n v="210022563774"/>
    <m/>
    <m/>
    <m/>
    <s v="RUA MARIA MENDES DE LUCENA"/>
    <n v="25"/>
    <m/>
    <s v="SAO FRANCISCO"/>
    <s v="CABO DE SANTO AGOSTINHO"/>
    <s v="PE"/>
    <s v="54530-170"/>
    <m/>
    <n v="81986459833"/>
    <m/>
    <n v="341"/>
    <n v="6999"/>
    <x v="298"/>
    <m/>
    <m/>
    <m/>
    <s v="SUPERIOR"/>
    <s v="OPERACOES"/>
    <s v="TEC/ OPERACIONAL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ROBSON.F.SILVA@DECA.COM.BR"/>
    <m/>
    <s v="SILROBSO"/>
    <n v="1"/>
    <m/>
  </r>
  <r>
    <n v="102020"/>
    <x v="299"/>
    <s v="Ativo"/>
    <s v="AD"/>
    <n v="30048832"/>
    <s v="Colaborador–M.O.Var"/>
    <s v="Mensalista"/>
    <s v="1DX"/>
    <s v="Duratex S.A."/>
    <n v="11"/>
    <s v="FÁB LOUÇAS RECIFE"/>
    <n v="11"/>
    <s v="DECA"/>
    <s v="SIM"/>
    <s v="0011 - FÁB LOUÇAS RECIFE"/>
    <s v="WENDEL SANTANA TEIXEIRA"/>
    <s v="WENDEL"/>
    <n v="10001334"/>
    <s v="DRR-02"/>
    <s v="DRR-02 - ESMALTACAO CONVENCIONAL - LR"/>
    <s v="DXLR"/>
    <s v="DXESMALT65"/>
    <s v="Esmalt. Convencional"/>
    <n v="10001333"/>
    <s v="DRR-01"/>
    <s v="DRR-01 - INSPEC/ESMAL/FOR/REQ – LR"/>
    <s v="IGOR ERICKSON DE OLIVEIRA RODRIGUES"/>
    <n v="10000059"/>
    <s v="SUPERVISOR"/>
    <s v="SUPERVISOR"/>
    <n v="10000017"/>
    <s v="DECA"/>
    <s v="DIR IND DECA (LOUCAS)"/>
    <m/>
    <m/>
    <m/>
    <m/>
    <m/>
    <m/>
    <s v="14/10/2020"/>
    <n v="0"/>
    <m/>
    <d v="1995-07-12T00:00:00"/>
    <x v="7"/>
    <m/>
    <s v="brasileira"/>
    <s v="CABO DE SANTO AGOSTINHO"/>
    <s v="PE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299"/>
    <m/>
    <s v="15/09/2010"/>
    <s v="PE"/>
    <s v="108.251.884-07"/>
    <n v="91496"/>
    <n v="117"/>
    <s v="16/12/2013"/>
    <s v="PE"/>
    <n v="16670662069"/>
    <m/>
    <m/>
    <m/>
    <m/>
    <m/>
    <m/>
    <m/>
    <m/>
    <m/>
    <x v="285"/>
    <n v="121"/>
    <n v="76"/>
    <s v="29/09/2017"/>
    <s v="PE"/>
    <n v="210022575588"/>
    <m/>
    <m/>
    <m/>
    <s v="RUA DOZE"/>
    <n v="19"/>
    <m/>
    <s v="S FRANCISCO"/>
    <s v="CABO DE SANTO AGOSTINHO"/>
    <s v="PE"/>
    <s v="54530-180"/>
    <m/>
    <n v="81983393468"/>
    <m/>
    <n v="341"/>
    <n v="7731"/>
    <x v="29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WENTEIXE"/>
    <n v="1"/>
    <m/>
  </r>
  <r>
    <n v="102020"/>
    <x v="300"/>
    <s v="Ativo"/>
    <s v="AD"/>
    <n v="30048340"/>
    <s v="Colaborador–M.O.Var"/>
    <s v="Mensalista"/>
    <s v="1DX"/>
    <s v="Duratex S.A."/>
    <n v="14"/>
    <s v="FÁB LOUÇAS PARAÍBA"/>
    <n v="14"/>
    <s v="DECA"/>
    <s v="SIM"/>
    <s v="0014 - FÁB LOUÇAS PARAÍBA"/>
    <s v="JOELISSON BARBOSA ELIAS"/>
    <s v="JOELISSON"/>
    <n v="10007529"/>
    <s v="DIA-05"/>
    <s v="DIA-05 - FUNDICAO MECANIZADA - LP"/>
    <s v="DXLP"/>
    <s v="DXFMECAN69"/>
    <s v="Fundição Mecanizada"/>
    <n v="10008661"/>
    <s v="DIA-01"/>
    <s v="DIA-01- FUND/APR/INSP - LP"/>
    <s v="RAPHAEL ALBUQUERQUE DE SOUZA"/>
    <n v="10000059"/>
    <s v="SUPERVISOR"/>
    <s v="SUPERVISOR"/>
    <n v="10000002"/>
    <s v="DECA"/>
    <s v="DIR IND DECA (METAIS)"/>
    <m/>
    <m/>
    <m/>
    <m/>
    <m/>
    <m/>
    <s v="14/10/2020"/>
    <n v="0"/>
    <m/>
    <s v="25/11/1992"/>
    <x v="16"/>
    <m/>
    <s v="brasileira"/>
    <s v="JOAO PESSOA"/>
    <s v="PB"/>
    <s v="BR"/>
    <s v="Não"/>
    <s v="M"/>
    <s v="Não"/>
    <m/>
    <s v="Casado"/>
    <s v="Parda"/>
    <s v="Analfabeto"/>
    <m/>
    <n v="22000878"/>
    <s v="220/M"/>
    <s v="AUX PRODUCAO"/>
    <n v="784205"/>
    <s v="Admissão"/>
    <d v="2020-10-01T00:00:00"/>
    <s v="220,00"/>
    <m/>
    <s v="DJP-01"/>
    <s v="DDI-01"/>
    <s v="CSS-01"/>
    <s v="DDE-01"/>
    <s v="PRE-01"/>
    <s v="1.045,00"/>
    <s v="1.045,00"/>
    <s v="1.045,00"/>
    <s v="0,00"/>
    <s v="DF"/>
    <s v="LO PARAÍBA-220/M"/>
    <n v="13"/>
    <s v="GRS013OP"/>
    <d v="2020-10-01T00:00:00"/>
    <s v="Admissão"/>
    <s v="1.044,00"/>
    <s v="104400,00"/>
    <n v="1"/>
    <m/>
    <s v="N"/>
    <x v="300"/>
    <m/>
    <s v="14/04/2010"/>
    <s v="PB"/>
    <s v="117.023.644-88"/>
    <n v="1285759"/>
    <n v="40"/>
    <d v="2012-11-05T00:00:00"/>
    <s v="PB"/>
    <n v="16184844955"/>
    <m/>
    <m/>
    <m/>
    <m/>
    <m/>
    <m/>
    <m/>
    <m/>
    <m/>
    <x v="286"/>
    <n v="61"/>
    <n v="215"/>
    <d v="2016-04-01T00:00:00"/>
    <s v="PB"/>
    <n v="230182404320"/>
    <m/>
    <m/>
    <m/>
    <s v="RUA JOSE DANTAS DE ALMEIDA"/>
    <n v="213"/>
    <m/>
    <s v="JARDIM VENEZA"/>
    <s v="JOÃO PESSOA"/>
    <s v="PB"/>
    <s v="58084-145"/>
    <m/>
    <n v="83988798670"/>
    <m/>
    <n v="341"/>
    <n v="5579"/>
    <x v="30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ELIAS"/>
    <n v="1"/>
    <m/>
  </r>
  <r>
    <n v="102020"/>
    <x v="301"/>
    <s v="Ativo"/>
    <s v="AD"/>
    <n v="30042087"/>
    <s v="Estagiário"/>
    <s v="Horista"/>
    <s v="1DX"/>
    <s v="Duratex S.A."/>
    <n v="7"/>
    <s v="FÁB METAIS JUNDIAÍ"/>
    <n v="7"/>
    <s v="DECA"/>
    <m/>
    <s v="0007 - FÁB METAIS JUNDIAÍ"/>
    <s v="GIOVANNI RODRIGUES DE CASTRO"/>
    <s v="GIOVANNI"/>
    <n v="10006533"/>
    <s v="DPL-06"/>
    <s v="DPL-06 - PROGRAMACAO DE MATERIAIS - MP"/>
    <s v="DXMP"/>
    <s v="DXMATERI33"/>
    <s v="Adm. Material Geral"/>
    <n v="10002937"/>
    <s v="DPL-06"/>
    <s v="DPL-06 - PROG/RECEBIM DE MATERIAIS"/>
    <s v="JOSE RAFAEL PAFFARO"/>
    <n v="10000080"/>
    <s v="EQUIPE"/>
    <s v="EQUIPE"/>
    <n v="10000016"/>
    <s v="DECA"/>
    <s v="SUPORTE NEG DECA"/>
    <m/>
    <m/>
    <m/>
    <m/>
    <m/>
    <m/>
    <s v="14/10/2020"/>
    <n v="0"/>
    <m/>
    <d v="1997-08-02T00:00:00"/>
    <x v="18"/>
    <m/>
    <s v="brasileira"/>
    <s v="JUNDIAI"/>
    <s v="SP"/>
    <s v="BR"/>
    <s v="Não"/>
    <s v="M"/>
    <s v="Não"/>
    <m/>
    <s v="Solt."/>
    <s v="Branca"/>
    <s v="Superior incompleto"/>
    <m/>
    <n v="22000002"/>
    <s v="120/H"/>
    <s v="ESTAGIARIO ENG"/>
    <n v="999999"/>
    <s v="Admissão"/>
    <d v="2020-10-01T00:00:00"/>
    <s v="120,00"/>
    <m/>
    <s v="DPL-01"/>
    <s v="DDI-01"/>
    <s v="CSS-01"/>
    <s v="DDE-01"/>
    <s v="PRE-01"/>
    <s v="1.550,40"/>
    <s v="12,92"/>
    <s v="1.550,40"/>
    <s v="0,00"/>
    <s v="QA"/>
    <s v="FÁB METAIS JUNDIAÍ"/>
    <n v="2"/>
    <s v="GRS02DE"/>
    <d v="2020-10-01T00:00:00"/>
    <s v="Admissão"/>
    <s v="1.549,40"/>
    <s v="154940,00"/>
    <n v="1"/>
    <m/>
    <s v="N"/>
    <x v="301"/>
    <m/>
    <s v="18/12/2017"/>
    <s v="SP"/>
    <s v="405.679.338-73"/>
    <n v="39054"/>
    <n v="405"/>
    <s v="24/07/2012"/>
    <s v="SP"/>
    <m/>
    <m/>
    <m/>
    <m/>
    <m/>
    <m/>
    <m/>
    <m/>
    <m/>
    <m/>
    <x v="287"/>
    <n v="65"/>
    <n v="539"/>
    <s v="24/02/2015"/>
    <s v="SP"/>
    <n v="140873158913"/>
    <m/>
    <m/>
    <m/>
    <s v="RUA DO CENTENARIO"/>
    <n v="94"/>
    <m/>
    <s v="VILA NOVA JUNDIAI"/>
    <s v="JUNDIAÍ"/>
    <s v="SP"/>
    <s v="13210-660"/>
    <m/>
    <n v="11998978412"/>
    <m/>
    <n v="341"/>
    <n v="4837"/>
    <x v="301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GIOVANNI.CASTRO@DECA.COM.BR"/>
    <m/>
    <s v="GIOCASTR"/>
    <n v="9"/>
    <m/>
  </r>
  <r>
    <n v="102020"/>
    <x v="302"/>
    <s v="Ativo"/>
    <s v="AD"/>
    <n v="30031388"/>
    <s v="Colaborador–M.O.Fixa"/>
    <s v="Mensalista"/>
    <s v="1DX"/>
    <s v="Duratex S.A."/>
    <n v="6"/>
    <s v="FÁB METAIS SP"/>
    <n v="6"/>
    <s v="DECA"/>
    <s v="NAO"/>
    <s v="0006 - FÁB METAIS SP CML"/>
    <s v="LETICIA DE ARAUJO FRANCO"/>
    <s v="LETICIA"/>
    <n v="10001944"/>
    <s v="DFE-02"/>
    <s v="DFE-02 - ESPACO DESIGN - MS"/>
    <s v="DXMS"/>
    <s v="DXSRDECA03"/>
    <s v="Show Room Deca"/>
    <n v="10001677"/>
    <s v="DFE-01"/>
    <s v="DFE-01 - GER REL FEIRAS E EVENTOS - EC"/>
    <s v="CAROLINA LOPES SERATO GRANDJEAN"/>
    <n v="10000059"/>
    <s v="SUPERVISOR"/>
    <s v="SUPERVISOR"/>
    <n v="10000008"/>
    <s v="DECA"/>
    <s v="DIR DESENV E MKT"/>
    <m/>
    <m/>
    <m/>
    <m/>
    <m/>
    <m/>
    <s v="14/10/2020"/>
    <n v="0"/>
    <m/>
    <s v="28/07/1996"/>
    <x v="7"/>
    <m/>
    <s v="brasileira"/>
    <s v="SAO PAULO"/>
    <s v="SP"/>
    <s v="BR"/>
    <s v="Não"/>
    <s v="F"/>
    <s v="Não"/>
    <m/>
    <s v="Solt."/>
    <s v="Branca"/>
    <s v="Superior completo"/>
    <m/>
    <n v="22002474"/>
    <s v="220/M"/>
    <s v="AN MARKETING JR"/>
    <n v="142335"/>
    <s v="Admissão"/>
    <d v="2020-10-01T00:00:00"/>
    <s v="220,00"/>
    <m/>
    <s v="DFE-01"/>
    <m/>
    <s v="CSS-01"/>
    <s v="DDE-01"/>
    <s v="PRE-01"/>
    <s v="3.000,00"/>
    <s v="3.000,00"/>
    <s v="3.000,00"/>
    <s v="0,00"/>
    <s v="BD"/>
    <s v="METAIS SP-220/M"/>
    <n v="19"/>
    <s v="GRS019PR"/>
    <d v="2020-10-01T00:00:00"/>
    <s v="Admissão"/>
    <s v="2.999,00"/>
    <s v="299900,00"/>
    <n v="1"/>
    <m/>
    <s v="N"/>
    <x v="302"/>
    <m/>
    <d v="2018-05-09T00:00:00"/>
    <s v="SP"/>
    <s v="456.127.878-80"/>
    <n v="40623"/>
    <n v="412"/>
    <s v="16/07/2013"/>
    <s v="SP"/>
    <n v="12581022843"/>
    <m/>
    <m/>
    <m/>
    <m/>
    <m/>
    <m/>
    <m/>
    <m/>
    <m/>
    <x v="288"/>
    <n v="176"/>
    <n v="421"/>
    <s v="28/03/2016"/>
    <s v="SP"/>
    <m/>
    <m/>
    <m/>
    <m/>
    <s v="AVENIDA LEONOR"/>
    <n v="33"/>
    <m/>
    <s v="VILA AUGUSTA"/>
    <s v="GUARULHOS"/>
    <s v="SP"/>
    <s v="07025-200"/>
    <m/>
    <n v="11977965770"/>
    <m/>
    <n v="341"/>
    <n v="7646"/>
    <x v="302"/>
    <m/>
    <m/>
    <m/>
    <s v="SUPERIOR"/>
    <s v="COMERCIAL MKT E ASSIST TECNICA"/>
    <s v="ADMINISTRATIVO"/>
    <s v="SUPERIOR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EFRANCO"/>
    <n v="1"/>
    <m/>
  </r>
  <r>
    <n v="102020"/>
    <x v="303"/>
    <s v="Ativo"/>
    <s v="AD"/>
    <n v="30048565"/>
    <s v="Colaborador–M.O.Var"/>
    <s v="Mensalista"/>
    <s v="1HY"/>
    <s v="HYDRA CORONA SIST.AQ.LTD."/>
    <n v="32"/>
    <s v="HYDRA ARACAJU"/>
    <n v="32"/>
    <s v="CORONA"/>
    <s v="SIM"/>
    <s v="0032 – FÁB. HYDRA ARACAJU"/>
    <s v="LUIZ FELIPE BARBOSA DE MENEZES"/>
    <s v="LUIZ"/>
    <n v="10004927"/>
    <s v="HPA-04"/>
    <s v="HPA-04 - LINHAS MONTADORAS - HA"/>
    <s v="HYAR"/>
    <s v="HYMONTAD04"/>
    <s v="Linhas Montadoras"/>
    <n v="10008087"/>
    <s v="HPA-01"/>
    <s v="HPA-01 - PRODUCAO - HA"/>
    <s v="BRUNO OLIVEIRA FUGANTI"/>
    <n v="10000059"/>
    <s v="SUPERVISOR"/>
    <s v="SUPERVISOR"/>
    <n v="10000019"/>
    <s v="HYDRA"/>
    <s v="DIR IND HYDRA"/>
    <m/>
    <m/>
    <m/>
    <m/>
    <m/>
    <m/>
    <s v="14/10/2020"/>
    <n v="0"/>
    <m/>
    <d v="1999-10-09T00:00:00"/>
    <x v="13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03"/>
    <m/>
    <d v="2014-04-04T00:00:00"/>
    <s v="SE"/>
    <s v="862.361.575-10"/>
    <n v="6513217"/>
    <n v="40"/>
    <s v="20/03/2014"/>
    <s v="SE"/>
    <n v="16429115314"/>
    <m/>
    <m/>
    <m/>
    <m/>
    <m/>
    <m/>
    <m/>
    <m/>
    <m/>
    <x v="289"/>
    <n v="34"/>
    <n v="228"/>
    <s v="19/04/2016"/>
    <s v="SE"/>
    <n v="190034329853"/>
    <m/>
    <m/>
    <m/>
    <s v="RUA UM"/>
    <n v="125"/>
    <m/>
    <s v="FERNANDO COLLOR"/>
    <s v="NOSSA SENHORA DO SOCORRO"/>
    <s v="SE"/>
    <s v="49160-000"/>
    <m/>
    <n v="79988723971"/>
    <m/>
    <n v="341"/>
    <n v="297"/>
    <x v="30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UIMENEZ"/>
    <n v="1"/>
    <m/>
  </r>
  <r>
    <n v="102020"/>
    <x v="304"/>
    <s v="Ativo"/>
    <s v="AD"/>
    <n v="30035631"/>
    <s v="Colaborador–M.O.Var"/>
    <s v="Mensalista"/>
    <s v="1HY"/>
    <s v="HYDRA CORONA SIST.AQ.LTD."/>
    <n v="32"/>
    <s v="HYDRA ARACAJU"/>
    <n v="32"/>
    <s v="CORONA"/>
    <s v="SIM"/>
    <s v="0032 – FÁB. HYDRA ARACAJU"/>
    <s v="ALAN DOS SANTOS NUNES"/>
    <s v="ALAN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s v="14/10/2020"/>
    <n v="0"/>
    <m/>
    <d v="1987-03-05T00:00:00"/>
    <x v="0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04"/>
    <m/>
    <d v="2020-10-03T00:00:00"/>
    <s v="SE"/>
    <s v="019.498.555-54"/>
    <n v="6877132"/>
    <n v="40"/>
    <d v="2014-02-05T00:00:00"/>
    <s v="RS"/>
    <n v="20003491980"/>
    <m/>
    <m/>
    <m/>
    <m/>
    <m/>
    <m/>
    <m/>
    <m/>
    <m/>
    <x v="290"/>
    <n v="1"/>
    <n v="268"/>
    <d v="2011-10-12T00:00:00"/>
    <s v="SE"/>
    <n v="190033372441"/>
    <m/>
    <m/>
    <m/>
    <s v="RUA ABDIAS BEZERRA"/>
    <n v="59"/>
    <m/>
    <s v="18 DO FORTE"/>
    <s v="ARACAJU"/>
    <s v="SE"/>
    <s v="49060-010"/>
    <m/>
    <n v="79988724496"/>
    <m/>
    <n v="341"/>
    <n v="9295"/>
    <x v="30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ANUNES"/>
    <n v="1"/>
    <m/>
  </r>
  <r>
    <n v="102020"/>
    <x v="305"/>
    <s v="Ativo"/>
    <s v="AD"/>
    <n v="30048569"/>
    <s v="Colaborador–M.O.Var"/>
    <s v="Mensalista"/>
    <s v="1HY"/>
    <s v="HYDRA CORONA SIST.AQ.LTD."/>
    <n v="32"/>
    <s v="HYDRA ARACAJU"/>
    <n v="32"/>
    <s v="CORONA"/>
    <s v="SIM"/>
    <s v="0032 – FÁB. HYDRA ARACAJU"/>
    <s v="ALEXANDRE PAULO DE JESUS"/>
    <s v="ALEXANDRE"/>
    <n v="10004927"/>
    <s v="HPA-04"/>
    <s v="HPA-04 - LINHAS MONTADORAS - HA"/>
    <s v="HYAR"/>
    <s v="HYMONTAD04"/>
    <s v="Linhas Montadoras"/>
    <n v="10008087"/>
    <s v="HPA-01"/>
    <s v="HPA-01 - PRODUCAO - HA"/>
    <s v="BRUNO OLIVEIRA FUGANTI"/>
    <n v="10000059"/>
    <s v="SUPERVISOR"/>
    <s v="SUPERVISOR"/>
    <n v="10000019"/>
    <s v="HYDRA"/>
    <s v="DIR IND HYDRA"/>
    <m/>
    <m/>
    <m/>
    <m/>
    <m/>
    <m/>
    <s v="14/10/2020"/>
    <n v="0"/>
    <m/>
    <d v="1998-10-01T00:00:00"/>
    <x v="28"/>
    <m/>
    <s v="brasileira"/>
    <s v="ARACAJU"/>
    <s v="SE"/>
    <s v="BR"/>
    <s v="Não"/>
    <s v="M"/>
    <s v="Não"/>
    <m/>
    <s v="Solt."/>
    <s v="Branc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05"/>
    <m/>
    <s v="19/06/2019"/>
    <s v="SE"/>
    <s v="088.744.675-24"/>
    <n v="3818746"/>
    <n v="50"/>
    <s v="29/04/2016"/>
    <s v="SE"/>
    <n v="21219125263"/>
    <m/>
    <m/>
    <m/>
    <m/>
    <m/>
    <m/>
    <m/>
    <m/>
    <m/>
    <x v="291"/>
    <n v="36"/>
    <n v="218"/>
    <s v="27/02/2014"/>
    <s v="SE"/>
    <n v="320000185448"/>
    <m/>
    <m/>
    <m/>
    <s v="RUA DR MILTON MAGALHAES"/>
    <n v="42"/>
    <m/>
    <s v="PONTO NOVO"/>
    <s v="ARACAJU"/>
    <s v="SE"/>
    <s v="49000-000"/>
    <m/>
    <n v="79996521892"/>
    <m/>
    <n v="341"/>
    <n v="1170"/>
    <x v="30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EXAJES"/>
    <n v="1"/>
    <m/>
  </r>
  <r>
    <n v="102020"/>
    <x v="306"/>
    <s v="Ativo"/>
    <s v="AD"/>
    <n v="30048568"/>
    <s v="Colaborador–M.O.Var"/>
    <s v="Mensalista"/>
    <s v="1HY"/>
    <s v="HYDRA CORONA SIST.AQ.LTD."/>
    <n v="32"/>
    <s v="HYDRA ARACAJU"/>
    <n v="32"/>
    <s v="CORONA"/>
    <s v="SIM"/>
    <s v="0032 – FÁB. HYDRA ARACAJU"/>
    <s v="RAFAELA DE OLIVEIRA ALCANTARA"/>
    <s v="RAFAELA"/>
    <n v="10007470"/>
    <s v="HPA-04"/>
    <s v="HPA-04 - METALIZACAO 2T - HA"/>
    <s v="HYAR"/>
    <s v="HYMETALZ04"/>
    <s v="Metalização"/>
    <n v="10005731"/>
    <s v="HPA-04"/>
    <s v="HPA-04 - INJECAO - HA"/>
    <s v="NAYRA GUTEMBERG GOMES DA SILVA"/>
    <n v="10000080"/>
    <s v="EQUIPE"/>
    <s v="EQUIPE"/>
    <n v="10000019"/>
    <s v="HYDRA"/>
    <s v="DIR IND HYDRA"/>
    <m/>
    <m/>
    <m/>
    <m/>
    <m/>
    <m/>
    <s v="14/10/2020"/>
    <n v="0"/>
    <m/>
    <s v="22/05/1993"/>
    <x v="16"/>
    <m/>
    <s v="brasileira"/>
    <s v="ARACAJU"/>
    <s v="SE"/>
    <s v="BR"/>
    <s v="Não"/>
    <s v="F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06"/>
    <m/>
    <s v="31/08/2009"/>
    <s v="SE"/>
    <s v="075.533.715-80"/>
    <n v="6509765"/>
    <n v="40"/>
    <s v="26/02/2014"/>
    <s v="SE"/>
    <n v="16546005159"/>
    <m/>
    <m/>
    <m/>
    <m/>
    <m/>
    <m/>
    <m/>
    <m/>
    <m/>
    <x v="292"/>
    <n v="34"/>
    <n v="82"/>
    <s v="15/06/2011"/>
    <s v="SE"/>
    <m/>
    <m/>
    <m/>
    <m/>
    <s v="RUA B"/>
    <n v="204"/>
    <m/>
    <s v="FERNANDO COLLOR"/>
    <s v="NOSSA SENHORA DO SOCORRO"/>
    <s v="SE"/>
    <s v="49160-000"/>
    <m/>
    <n v="79988480175"/>
    <m/>
    <n v="341"/>
    <n v="7811"/>
    <x v="30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ALCANTA"/>
    <n v="1"/>
    <m/>
  </r>
  <r>
    <n v="102020"/>
    <x v="307"/>
    <s v="Ativo"/>
    <s v="AD"/>
    <n v="30048566"/>
    <s v="Colaborador–M.O.Var"/>
    <s v="Mensalista"/>
    <s v="1HY"/>
    <s v="HYDRA CORONA SIST.AQ.LTD."/>
    <n v="32"/>
    <s v="HYDRA ARACAJU"/>
    <n v="32"/>
    <s v="CORONA"/>
    <s v="SIM"/>
    <s v="0032 – FÁB. HYDRA ARACAJU"/>
    <s v="DANIEL FRANCISCO DOS SANTOS"/>
    <s v="DANIEL"/>
    <n v="10004927"/>
    <s v="HPA-04"/>
    <s v="HPA-04 - LINHAS MONTADORAS - HA"/>
    <s v="HYAR"/>
    <s v="HYMONTAD04"/>
    <s v="Linhas Montadoras"/>
    <n v="10008087"/>
    <s v="HPA-01"/>
    <s v="HPA-01 - PRODUCAO - HA"/>
    <s v="BRUNO OLIVEIRA FUGANTI"/>
    <n v="10000059"/>
    <s v="SUPERVISOR"/>
    <s v="SUPERVISOR"/>
    <n v="10000019"/>
    <s v="HYDRA"/>
    <s v="DIR IND HYDRA"/>
    <m/>
    <m/>
    <m/>
    <m/>
    <m/>
    <m/>
    <s v="14/10/2020"/>
    <n v="0"/>
    <m/>
    <s v="24/04/1996"/>
    <x v="7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07"/>
    <m/>
    <d v="2016-04-07T00:00:00"/>
    <s v="SE"/>
    <s v="057.097.945-54"/>
    <n v="6509776"/>
    <n v="40"/>
    <s v="26/02/2014"/>
    <s v="SE"/>
    <n v="21282683642"/>
    <m/>
    <m/>
    <m/>
    <m/>
    <m/>
    <m/>
    <m/>
    <m/>
    <m/>
    <x v="293"/>
    <n v="2"/>
    <n v="109"/>
    <s v="17/02/2016"/>
    <s v="SE"/>
    <n v="190272058578"/>
    <m/>
    <m/>
    <m/>
    <s v="AVENIDA JOSE ZUCKMAN CASA 7"/>
    <n v="142"/>
    <m/>
    <s v="AMERICA"/>
    <s v="ARACAJU"/>
    <s v="SE"/>
    <s v="49000-000"/>
    <m/>
    <n v="79988273324"/>
    <m/>
    <n v="341"/>
    <n v="5634"/>
    <x v="30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OSDANIE"/>
    <n v="1"/>
    <m/>
  </r>
  <r>
    <n v="102020"/>
    <x v="308"/>
    <s v="Ativo"/>
    <s v="AD"/>
    <n v="30047168"/>
    <s v="Colaborador–M.O.Var"/>
    <s v="Mensalista"/>
    <s v="1HY"/>
    <s v="HYDRA CORONA SIST.AQ.LTD."/>
    <n v="32"/>
    <s v="HYDRA ARACAJU"/>
    <n v="32"/>
    <s v="CORONA"/>
    <s v="SIM"/>
    <s v="0032 – FÁB. HYDRA ARACAJU"/>
    <s v="AMANDA BEATRIZ VIEIRA DOS SANTOS ALMEIDA"/>
    <s v="AMANDA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s v="14/10/2020"/>
    <n v="0"/>
    <m/>
    <s v="25/06/2001"/>
    <x v="24"/>
    <m/>
    <s v="brasileira"/>
    <s v="MACEIO"/>
    <s v="AL"/>
    <s v="BR"/>
    <s v="Não"/>
    <s v="F"/>
    <s v="Não"/>
    <m/>
    <s v="Casado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08"/>
    <m/>
    <d v="2013-06-02T00:00:00"/>
    <s v="AL"/>
    <s v="133.320.564-33"/>
    <n v="4517566"/>
    <n v="50"/>
    <s v="21/02/2017"/>
    <s v="AL"/>
    <n v="21251314793"/>
    <m/>
    <m/>
    <m/>
    <m/>
    <m/>
    <m/>
    <m/>
    <m/>
    <m/>
    <x v="294"/>
    <n v="54"/>
    <n v="394"/>
    <s v="23/01/2020"/>
    <s v="AL"/>
    <m/>
    <m/>
    <m/>
    <m/>
    <s v="TRAVESSA FLORA PRADO MAIA"/>
    <n v="11"/>
    <m/>
    <s v="PONTO NOVO"/>
    <s v="ARACAJU"/>
    <s v="SE"/>
    <s v="49097-250"/>
    <m/>
    <n v="79999839744"/>
    <m/>
    <n v="341"/>
    <n v="5634"/>
    <x v="30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MALMEID"/>
    <n v="1"/>
    <m/>
  </r>
  <r>
    <n v="102020"/>
    <x v="309"/>
    <s v="Ativo"/>
    <s v="AD"/>
    <n v="30047172"/>
    <s v="Colaborador–M.O.Var"/>
    <s v="Mensalista"/>
    <s v="1HY"/>
    <s v="HYDRA CORONA SIST.AQ.LTD."/>
    <n v="32"/>
    <s v="HYDRA ARACAJU"/>
    <n v="32"/>
    <s v="CORONA"/>
    <s v="SIM"/>
    <s v="0032 – FÁB. HYDRA ARACAJU"/>
    <s v="TARCYS REGINA SANTOS MENEZES"/>
    <s v="TARCYS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s v="14/10/2020"/>
    <n v="0"/>
    <m/>
    <s v="13/06/1996"/>
    <x v="7"/>
    <m/>
    <s v="brasileira"/>
    <s v="ARACAJU"/>
    <s v="SE"/>
    <s v="BR"/>
    <s v="Não"/>
    <s v="F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09"/>
    <m/>
    <d v="2011-10-11T00:00:00"/>
    <s v="SE"/>
    <s v="068.006.915-18"/>
    <n v="3993399"/>
    <n v="40"/>
    <s v="18/06/2013"/>
    <s v="SE"/>
    <n v="16618183155"/>
    <m/>
    <m/>
    <m/>
    <m/>
    <m/>
    <m/>
    <m/>
    <m/>
    <m/>
    <x v="295"/>
    <n v="21"/>
    <n v="101"/>
    <d v="2014-06-02T00:00:00"/>
    <s v="SE"/>
    <m/>
    <m/>
    <m/>
    <m/>
    <s v="RUA TRINTA E CINCO"/>
    <n v="80"/>
    <m/>
    <s v="SANTA MARIA"/>
    <s v="ARACAJU"/>
    <s v="SE"/>
    <s v="49000-000"/>
    <m/>
    <n v="79996760374"/>
    <m/>
    <n v="341"/>
    <n v="5634"/>
    <x v="30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TARMENEZ"/>
    <n v="1"/>
    <m/>
  </r>
  <r>
    <n v="102020"/>
    <x v="310"/>
    <s v="Ativo"/>
    <s v="AD"/>
    <n v="30047174"/>
    <s v="Colaborador–M.O.Var"/>
    <s v="Mensalista"/>
    <s v="1HY"/>
    <s v="HYDRA CORONA SIST.AQ.LTD."/>
    <n v="32"/>
    <s v="HYDRA ARACAJU"/>
    <n v="32"/>
    <s v="CORONA"/>
    <s v="SIM"/>
    <s v="0032 – FÁB. HYDRA ARACAJU"/>
    <s v="JOICE CAROLINE DOS SANTOS SILVA"/>
    <s v="JOICE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s v="14/10/2020"/>
    <n v="0"/>
    <m/>
    <s v="26/06/1993"/>
    <x v="16"/>
    <m/>
    <s v="brasileira"/>
    <s v="ARACAJU"/>
    <s v="SE"/>
    <s v="BR"/>
    <s v="Não"/>
    <s v="F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10"/>
    <m/>
    <d v="2017-07-08T00:00:00"/>
    <s v="SE"/>
    <s v="064.259.295-02"/>
    <n v="8150919"/>
    <n v="30"/>
    <s v="24/08/2011"/>
    <s v="SE"/>
    <n v="16187042752"/>
    <m/>
    <m/>
    <m/>
    <m/>
    <m/>
    <m/>
    <m/>
    <m/>
    <m/>
    <x v="296"/>
    <n v="21"/>
    <n v="223"/>
    <d v="2011-09-08T00:00:00"/>
    <s v="SE"/>
    <m/>
    <m/>
    <m/>
    <m/>
    <s v="RUA ERONDINA LOPES"/>
    <n v="72"/>
    <m/>
    <s v="SANTOS DUMONT"/>
    <s v="ARACAJU"/>
    <s v="SE"/>
    <s v="49087-200"/>
    <m/>
    <n v="79998729786"/>
    <m/>
    <n v="341"/>
    <n v="5634"/>
    <x v="31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ICSILV"/>
    <n v="1"/>
    <m/>
  </r>
  <r>
    <n v="102020"/>
    <x v="311"/>
    <s v="Ativo"/>
    <s v="AD"/>
    <n v="30043274"/>
    <s v="Colaborador–M.O.Var"/>
    <s v="Mensalista"/>
    <s v="1HY"/>
    <s v="HYDRA CORONA SIST.AQ.LTD."/>
    <n v="32"/>
    <s v="HYDRA ARACAJU"/>
    <n v="32"/>
    <s v="CORONA"/>
    <s v="SIM"/>
    <s v="0032 – FÁB. HYDRA ARACAJU"/>
    <s v="JULIA GABRIELLE SANTANA SILVA"/>
    <s v="JULIA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s v="14/10/2020"/>
    <n v="0"/>
    <m/>
    <s v="22/06/1999"/>
    <x v="13"/>
    <m/>
    <s v="brasileira"/>
    <s v="ARACAJU"/>
    <s v="SE"/>
    <s v="BR"/>
    <s v="Não"/>
    <s v="F"/>
    <s v="Não"/>
    <m/>
    <s v="Solt."/>
    <s v="Parda"/>
    <s v="Colegial completo"/>
    <m/>
    <n v="22001165"/>
    <s v="220/M"/>
    <s v="OPER MAQUINA C"/>
    <n v="64201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5"/>
    <s v="GRS015OP"/>
    <d v="2020-10-01T00:00:00"/>
    <s v="Admissão"/>
    <s v="1.059,00"/>
    <s v="105900,00"/>
    <n v="1"/>
    <m/>
    <s v="N"/>
    <x v="311"/>
    <m/>
    <s v="13/07/2017"/>
    <s v="SE"/>
    <s v="064.135.655-27"/>
    <n v="1257829"/>
    <n v="50"/>
    <d v="2015-03-07T00:00:00"/>
    <s v="SE"/>
    <n v="20665551228"/>
    <m/>
    <m/>
    <m/>
    <m/>
    <m/>
    <m/>
    <m/>
    <m/>
    <m/>
    <x v="297"/>
    <n v="1"/>
    <n v="53"/>
    <s v="26/06/2015"/>
    <s v="SE"/>
    <m/>
    <m/>
    <m/>
    <m/>
    <s v="RUA 1 DE MAIO"/>
    <n v="427"/>
    <m/>
    <s v="DEZOITO DO FORTE"/>
    <s v="ARACAJU"/>
    <s v="SE"/>
    <s v="49072-570"/>
    <m/>
    <n v="79996358785"/>
    <m/>
    <n v="341"/>
    <n v="5634"/>
    <x v="31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IJULIA"/>
    <n v="1"/>
    <m/>
  </r>
  <r>
    <n v="102020"/>
    <x v="312"/>
    <s v="Ativo"/>
    <s v="AD"/>
    <n v="30036687"/>
    <s v="Colaborador–M.O.Fixa"/>
    <s v="Mensalista"/>
    <s v="1HY"/>
    <s v="HYDRA CORONA SIST.AQ.LTD."/>
    <n v="32"/>
    <s v="HYDRA ARACAJU"/>
    <n v="32"/>
    <s v="CORONA"/>
    <s v="SIM"/>
    <s v="0032 – FÁB. HYDRA ARACAJU"/>
    <s v="THAIS MATOS DOS SANTOS"/>
    <s v="THAIS"/>
    <n v="10006526"/>
    <s v="HPA-03"/>
    <s v="HPA-03 - ESTOQUE DE INJETADOS - HA"/>
    <s v="HYAR"/>
    <s v="HYALMOXA04"/>
    <s v="Almoxarifado"/>
    <n v="10006635"/>
    <s v="HPA-07"/>
    <s v="HPA-07 - INVENTARIO - HA"/>
    <s v="JOSE MARTINS DA SILVA NETO"/>
    <n v="10000080"/>
    <s v="EQUIPE"/>
    <s v="EQUIPE"/>
    <n v="10000019"/>
    <s v="HYDRA"/>
    <s v="DIR IND HYDRA"/>
    <m/>
    <m/>
    <m/>
    <m/>
    <m/>
    <m/>
    <s v="14/10/2020"/>
    <n v="0"/>
    <m/>
    <s v="22/05/1988"/>
    <x v="9"/>
    <m/>
    <s v="brasileira"/>
    <s v="ARACAJU"/>
    <s v="SE"/>
    <s v="BR"/>
    <s v="Não"/>
    <s v="F"/>
    <s v="Não"/>
    <m/>
    <s v="Solt."/>
    <s v="Parda"/>
    <s v="Superior completo"/>
    <m/>
    <n v="22002440"/>
    <s v="220/M"/>
    <s v="AUX ALMOXARIFADO"/>
    <n v="414105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4"/>
    <s v="GRS014OP"/>
    <d v="2020-10-01T00:00:00"/>
    <s v="Admissão"/>
    <s v="1.059,00"/>
    <s v="105900,00"/>
    <n v="1"/>
    <m/>
    <s v="N"/>
    <x v="312"/>
    <m/>
    <s v="29/09/2014"/>
    <s v="SE"/>
    <s v="041.383.945-16"/>
    <n v="8201133"/>
    <n v="40"/>
    <d v="2014-05-08T00:00:00"/>
    <s v="SE"/>
    <n v="20959387352"/>
    <m/>
    <m/>
    <m/>
    <m/>
    <m/>
    <m/>
    <m/>
    <m/>
    <m/>
    <x v="298"/>
    <n v="82"/>
    <n v="186"/>
    <d v="2016-01-05T00:00:00"/>
    <s v="BA"/>
    <m/>
    <m/>
    <m/>
    <m/>
    <s v="RUA VALDICE BRAZ DE JESUS"/>
    <n v="308"/>
    <m/>
    <s v="SAO CONRADO"/>
    <s v="ARACAJU"/>
    <s v="SE"/>
    <s v="49042-370"/>
    <m/>
    <n v="79988387725"/>
    <m/>
    <n v="341"/>
    <n v="297"/>
    <x v="312"/>
    <m/>
    <m/>
    <m/>
    <s v="ADMINISTRATIVO"/>
    <s v="PLANEJAMENTO LOGISTICA E PCP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NTHAIS"/>
    <n v="1"/>
    <m/>
  </r>
  <r>
    <n v="102020"/>
    <x v="313"/>
    <s v="Ativo"/>
    <s v="AD"/>
    <n v="30043206"/>
    <s v="Colaborador–M.O.Var"/>
    <s v="Mensalista"/>
    <s v="1HY"/>
    <s v="HYDRA CORONA SIST.AQ.LTD."/>
    <n v="32"/>
    <s v="HYDRA ARACAJU"/>
    <n v="32"/>
    <s v="CORONA"/>
    <s v="SIM"/>
    <s v="0032 – FÁB. HYDRA ARACAJU"/>
    <s v="LUCIENE DOS SANTOS VIEIRA"/>
    <s v="LUCIENE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s v="14/10/2020"/>
    <n v="0"/>
    <m/>
    <d v="1984-04-08T00:00:00"/>
    <x v="34"/>
    <m/>
    <s v="brasileira"/>
    <s v="RIACHUELO"/>
    <s v="SE"/>
    <s v="BR"/>
    <s v="Não"/>
    <s v="F"/>
    <s v="Não"/>
    <m/>
    <s v="Divor."/>
    <s v="Parda"/>
    <s v="Colegial completo"/>
    <s v="Física"/>
    <n v="22001165"/>
    <s v="220/M"/>
    <s v="OPER MAQUINA C"/>
    <n v="64201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5"/>
    <s v="GRS015OP"/>
    <d v="2020-10-01T00:00:00"/>
    <s v="Admissão"/>
    <s v="1.059,00"/>
    <s v="105900,00"/>
    <n v="1"/>
    <m/>
    <s v="N"/>
    <x v="313"/>
    <m/>
    <s v="18/04/2013"/>
    <s v="SE"/>
    <s v="023.901.285-21"/>
    <n v="953830"/>
    <n v="10"/>
    <s v="26/09/2000"/>
    <s v="SE"/>
    <n v="12697800761"/>
    <m/>
    <m/>
    <m/>
    <m/>
    <m/>
    <m/>
    <m/>
    <m/>
    <m/>
    <x v="299"/>
    <n v="20"/>
    <n v="67"/>
    <d v="2011-06-12T00:00:00"/>
    <s v="SE"/>
    <m/>
    <m/>
    <m/>
    <m/>
    <s v="RUA ISABEL SAMARA"/>
    <n v="94"/>
    <m/>
    <s v="SANTOS DUMONT"/>
    <s v="ARACAJU"/>
    <s v="SE"/>
    <s v="49000-000"/>
    <m/>
    <n v="79998036374"/>
    <m/>
    <n v="341"/>
    <n v="5634"/>
    <x v="31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LUCIEVIE"/>
    <n v="1"/>
    <m/>
  </r>
  <r>
    <n v="102020"/>
    <x v="314"/>
    <s v="Ativo"/>
    <s v="AD"/>
    <n v="30035901"/>
    <s v="Colaborador–M.O.Var"/>
    <s v="Mensalista"/>
    <s v="1HY"/>
    <s v="HYDRA CORONA SIST.AQ.LTD."/>
    <n v="32"/>
    <s v="HYDRA ARACAJU"/>
    <n v="32"/>
    <s v="CORONA"/>
    <s v="SIM"/>
    <s v="0032 – FÁB. HYDRA ARACAJU"/>
    <s v="THALES FERNANDO CARDOSO SANTOS"/>
    <s v="THALES"/>
    <n v="10004927"/>
    <s v="HPA-04"/>
    <s v="HPA-04 - LINHAS MONTADORAS - HA"/>
    <s v="HYAR"/>
    <s v="HYMONTAD04"/>
    <s v="Linhas Montadoras"/>
    <n v="10008087"/>
    <s v="HPA-01"/>
    <s v="HPA-01 - PRODUCAO - HA"/>
    <s v="BRUNO OLIVEIRA FUGANTI"/>
    <n v="10000059"/>
    <s v="SUPERVISOR"/>
    <s v="SUPERVISOR"/>
    <n v="10000019"/>
    <s v="HYDRA"/>
    <s v="DIR IND HYDRA"/>
    <m/>
    <m/>
    <m/>
    <m/>
    <m/>
    <m/>
    <s v="14/10/2020"/>
    <n v="0"/>
    <m/>
    <s v="19/10/1998"/>
    <x v="28"/>
    <m/>
    <s v="brasileira"/>
    <s v="ARACAJU"/>
    <s v="SE"/>
    <s v="BR"/>
    <s v="Não"/>
    <s v="M"/>
    <s v="Não"/>
    <m/>
    <s v="Solt."/>
    <s v="Negr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14"/>
    <m/>
    <s v="14/04/2011"/>
    <s v="SE"/>
    <s v="072.345.165-65"/>
    <n v="5398121"/>
    <n v="40"/>
    <s v="27/11/2013"/>
    <s v="SE"/>
    <n v="20665556998"/>
    <m/>
    <m/>
    <m/>
    <m/>
    <m/>
    <m/>
    <m/>
    <m/>
    <m/>
    <x v="300"/>
    <n v="1"/>
    <n v="494"/>
    <s v="17/01/2018"/>
    <s v="SE"/>
    <n v="190034256411"/>
    <m/>
    <m/>
    <m/>
    <s v="RUA A"/>
    <n v="147"/>
    <m/>
    <s v="CENTRO"/>
    <s v="NOSSA SENHORA DO SOCORRO"/>
    <s v="SE"/>
    <s v="49160-000"/>
    <m/>
    <n v="79981154918"/>
    <m/>
    <n v="341"/>
    <n v="9295"/>
    <x v="31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THALES"/>
    <n v="1"/>
    <m/>
  </r>
  <r>
    <n v="102020"/>
    <x v="315"/>
    <s v="Ativo"/>
    <s v="AD"/>
    <n v="30035952"/>
    <s v="Colaborador–M.O.Var"/>
    <s v="Mensalista"/>
    <s v="1HY"/>
    <s v="HYDRA CORONA SIST.AQ.LTD."/>
    <n v="32"/>
    <s v="HYDRA ARACAJU"/>
    <n v="32"/>
    <s v="CORONA"/>
    <s v="SIM"/>
    <s v="0032 – FÁB. HYDRA ARACAJU"/>
    <s v="RUBENS EMANUEL BACELAR DE FREITAS"/>
    <s v="RUBENS"/>
    <n v="10008680"/>
    <s v="HPA-08"/>
    <s v="HPA-08 - INJECAO - HÁ"/>
    <s v="HYAR"/>
    <s v="HYINJECA04"/>
    <s v="Injeção"/>
    <n v="10006827"/>
    <s v="HPA-06"/>
    <s v="HPA-06 - MONTADORAS - HA"/>
    <s v="RENAN SILVEIRA ABREU"/>
    <n v="10000080"/>
    <s v="EQUIPE"/>
    <s v="EQUIPE"/>
    <n v="10000019"/>
    <s v="HYDRA"/>
    <s v="DIR IND HYDRA"/>
    <m/>
    <m/>
    <m/>
    <m/>
    <m/>
    <m/>
    <s v="14/10/2020"/>
    <n v="0"/>
    <m/>
    <s v="23/03/2000"/>
    <x v="32"/>
    <m/>
    <s v="brasileira"/>
    <s v="ARACAJU"/>
    <s v="SE"/>
    <s v="BR"/>
    <s v="Não"/>
    <s v="M"/>
    <s v="Não"/>
    <m/>
    <s v="Solt."/>
    <s v="Branca"/>
    <s v="Colegial completo"/>
    <s v="Auditiva"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15"/>
    <m/>
    <s v="16/04/2018"/>
    <s v="SE"/>
    <s v="087.850.515-60"/>
    <n v="471532"/>
    <n v="60"/>
    <s v="24/04/2018"/>
    <s v="SE"/>
    <n v="15730881022"/>
    <m/>
    <m/>
    <m/>
    <m/>
    <m/>
    <m/>
    <m/>
    <m/>
    <m/>
    <x v="301"/>
    <n v="36"/>
    <n v="310"/>
    <s v="15/03/2017"/>
    <s v="SE"/>
    <n v="320000963072"/>
    <m/>
    <m/>
    <m/>
    <s v="RUA JOSE RAMOS FIGUEIREDO"/>
    <n v="162"/>
    <m/>
    <s v="LUZIA"/>
    <s v="ARACAJU"/>
    <s v="SE"/>
    <s v="49000-000"/>
    <m/>
    <n v="11943592851"/>
    <m/>
    <n v="341"/>
    <n v="1170"/>
    <x v="31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UFREITA"/>
    <n v="1"/>
    <m/>
  </r>
  <r>
    <n v="102020"/>
    <x v="316"/>
    <s v="Ativo"/>
    <s v="AD"/>
    <n v="30036150"/>
    <s v="Colaborador–M.O.Var"/>
    <s v="Mensalista"/>
    <s v="1HY"/>
    <s v="HYDRA CORONA SIST.AQ.LTD."/>
    <n v="32"/>
    <s v="HYDRA ARACAJU"/>
    <n v="32"/>
    <s v="CORONA"/>
    <s v="SIM"/>
    <s v="0032 – FÁB. HYDRA ARACAJU"/>
    <s v="ROBERT ALLAN DA SILVA SANTOS"/>
    <s v="ROBERT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s v="14/10/2020"/>
    <n v="0"/>
    <m/>
    <s v="20/06/2000"/>
    <x v="32"/>
    <m/>
    <s v="brasileira"/>
    <s v="PENEDO"/>
    <s v="AL"/>
    <s v="BR"/>
    <s v="Não"/>
    <s v="M"/>
    <s v="Não"/>
    <m/>
    <s v="Solt."/>
    <s v="Negr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16"/>
    <m/>
    <d v="2019-03-06T00:00:00"/>
    <s v="SE"/>
    <s v="084.443.445-08"/>
    <n v="1256205"/>
    <n v="50"/>
    <s v="19/06/2015"/>
    <s v="SE"/>
    <n v="14301177430"/>
    <m/>
    <m/>
    <m/>
    <m/>
    <m/>
    <m/>
    <m/>
    <m/>
    <m/>
    <x v="302"/>
    <n v="2"/>
    <n v="55"/>
    <d v="2018-09-05T00:00:00"/>
    <s v="SE"/>
    <n v="320000584075"/>
    <m/>
    <m/>
    <m/>
    <s v="RUA POCO VERDE"/>
    <n v="485"/>
    <m/>
    <s v="SUISSA"/>
    <s v="ARACAJU"/>
    <s v="SE"/>
    <s v="49050-600"/>
    <m/>
    <n v="79996499600"/>
    <m/>
    <n v="341"/>
    <n v="1170"/>
    <x v="31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ROBERT"/>
    <n v="1"/>
    <m/>
  </r>
  <r>
    <n v="102020"/>
    <x v="317"/>
    <s v="Ativo"/>
    <s v="AD"/>
    <n v="30046615"/>
    <s v="Estagiário"/>
    <s v="Horista"/>
    <s v="1HY"/>
    <s v="HYDRA CORONA SIST.AQ.LTD."/>
    <n v="32"/>
    <s v="HYDRA ARACAJU"/>
    <n v="32"/>
    <s v="CORONA"/>
    <m/>
    <s v="0032 – FÁB. HYDRA ARACAJU"/>
    <s v="VICENTE DE TARSO LOBO DE MACEDO SILVA"/>
    <s v="VICENTE"/>
    <n v="10004072"/>
    <s v="HJI-04"/>
    <s v="HJI-04 - MANUTENCAO INDUSTRIAL - HA"/>
    <s v="HYAR"/>
    <s v="HYGERAMA04"/>
    <s v="Gerais de Manutenção"/>
    <n v="10007336"/>
    <s v="HJI-01"/>
    <s v="HJI-01 - INJECAO - HA"/>
    <s v="ANDRE BARBOSA SANTANA SANTOS"/>
    <n v="10000059"/>
    <s v="SUPERVISOR"/>
    <s v="SUPERVISOR"/>
    <n v="10000019"/>
    <s v="HYDRA"/>
    <s v="DIR IND HYDRA"/>
    <m/>
    <m/>
    <m/>
    <m/>
    <m/>
    <m/>
    <s v="14/10/2020"/>
    <n v="0"/>
    <m/>
    <s v="25/01/1998"/>
    <x v="28"/>
    <m/>
    <s v="brasileira"/>
    <s v="JUAZEIRO"/>
    <s v="BA"/>
    <s v="BR"/>
    <s v="Não"/>
    <s v="M"/>
    <s v="Não"/>
    <m/>
    <s v="Solt."/>
    <s v="Parda"/>
    <s v="Superior incompleto"/>
    <m/>
    <n v="22000003"/>
    <s v="120/H"/>
    <s v="ESTAGIARIO SUP"/>
    <n v="999999"/>
    <s v="Admissão"/>
    <d v="2020-10-01T00:00:00"/>
    <s v="120,00"/>
    <m/>
    <s v="HDD-01"/>
    <s v="DDI-01"/>
    <s v="CSS-01"/>
    <s v="DDE-01"/>
    <s v="PRE-01"/>
    <s v="999,60"/>
    <s v="8,33"/>
    <s v="999,60"/>
    <s v="0,00"/>
    <s v="RV"/>
    <s v="HYDRA ARACAJU"/>
    <n v="2"/>
    <s v="GRS02DE"/>
    <d v="2020-10-01T00:00:00"/>
    <s v="Admissão"/>
    <s v="998,60"/>
    <s v="99.860,00"/>
    <n v="1"/>
    <m/>
    <s v="N"/>
    <x v="317"/>
    <m/>
    <d v="2016-09-06T00:00:00"/>
    <s v="BA"/>
    <s v="048.062.375-90"/>
    <n v="3946809"/>
    <n v="50"/>
    <s v="16/06/2016"/>
    <s v="BA"/>
    <m/>
    <m/>
    <m/>
    <m/>
    <m/>
    <m/>
    <m/>
    <m/>
    <m/>
    <m/>
    <x v="303"/>
    <n v="83"/>
    <n v="74"/>
    <d v="2019-03-07T00:00:00"/>
    <s v="BA"/>
    <n v="171722065694"/>
    <m/>
    <m/>
    <m/>
    <s v="AVENIDA DOUTOR JOSE THOMAS D AVILA NABUCO"/>
    <n v="395"/>
    <m/>
    <s v="FAROLANDIA"/>
    <s v="ARACAJU"/>
    <s v="SE"/>
    <s v="49030-270"/>
    <m/>
    <n v="74999227090"/>
    <m/>
    <n v="341"/>
    <n v="1170"/>
    <x v="317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VICESILV"/>
    <n v="9"/>
    <m/>
  </r>
  <r>
    <n v="102020"/>
    <x v="318"/>
    <s v="Ativo"/>
    <s v="AD"/>
    <n v="30045677"/>
    <s v="Colaborador–M.O.Var"/>
    <s v="Mensalista"/>
    <s v="1DX"/>
    <s v="Duratex S.A."/>
    <n v="11"/>
    <s v="FÁB LOUÇAS RECIFE"/>
    <n v="11"/>
    <s v="DECA"/>
    <s v="SIM"/>
    <s v="0011 - FÁB LOUÇAS RECIFE"/>
    <s v="SAMUEL LIBANIO DE MELO"/>
    <s v="SAMUEL"/>
    <n v="10001345"/>
    <s v="DAD-09"/>
    <s v="DAD-09 - INSPECAO - LR"/>
    <s v="DXLR"/>
    <s v="DXINSPEC65"/>
    <s v="Inspeção"/>
    <n v="10007977"/>
    <s v="DAD-01"/>
    <s v="DAD-01 - ADM GERAL DE PROUCAO - LR"/>
    <s v="EDUARDA LARISSA DE CASTRO MARCELINO"/>
    <n v="10000059"/>
    <s v="SUPERVISOR"/>
    <s v="SUPERVISOR"/>
    <n v="10000017"/>
    <s v="DECA"/>
    <s v="DIR IND DECA (LOUCAS)"/>
    <m/>
    <m/>
    <m/>
    <m/>
    <m/>
    <m/>
    <s v="14/10/2020"/>
    <n v="0"/>
    <m/>
    <s v="28/05/1991"/>
    <x v="27"/>
    <m/>
    <s v="brasileira"/>
    <s v="PRIMAVERA"/>
    <s v="PE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318"/>
    <m/>
    <s v="30/01/2007"/>
    <s v="PE"/>
    <s v="086.942.964-70"/>
    <n v="89643"/>
    <n v="69"/>
    <s v="29/01/2007"/>
    <s v="PE"/>
    <n v="16580070294"/>
    <m/>
    <m/>
    <m/>
    <m/>
    <m/>
    <m/>
    <m/>
    <m/>
    <m/>
    <x v="304"/>
    <n v="31"/>
    <n v="21"/>
    <s v="25/07/2019"/>
    <s v="PE"/>
    <n v="210052032096"/>
    <m/>
    <m/>
    <m/>
    <s v="RUA RUA QUARENTA E NOVE"/>
    <n v="1"/>
    <m/>
    <s v="COHAB"/>
    <s v="CABO DE SANTO AGOSTINHO"/>
    <s v="PE"/>
    <s v="54510-390"/>
    <m/>
    <n v="81999760943"/>
    <m/>
    <n v="341"/>
    <n v="1737"/>
    <x v="31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AMELO"/>
    <n v="1"/>
    <m/>
  </r>
  <r>
    <n v="102020"/>
    <x v="319"/>
    <s v="Ativo"/>
    <s v="AD"/>
    <n v="30047183"/>
    <s v="Colaborador–M.O.Var"/>
    <s v="Mensalista"/>
    <s v="1DX"/>
    <s v="Duratex S.A."/>
    <n v="11"/>
    <s v="FÁB LOUÇAS RECIFE"/>
    <n v="11"/>
    <s v="DECA"/>
    <s v="SIM"/>
    <s v="0011 - FÁB LOUÇAS RECIFE"/>
    <s v="JOSEILDO MELO DA SILVA"/>
    <s v="JOSEILDO"/>
    <n v="10004701"/>
    <s v="DRR-08"/>
    <s v="DRR-08 - CLASSIFICACAO - LR"/>
    <s v="DXLR"/>
    <s v="DXCLEMBL65"/>
    <s v="Classificação"/>
    <n v="10001333"/>
    <s v="DRR-01"/>
    <s v="DRR-01 - INSPEC/ESMAL/FOR/REQ – LR"/>
    <s v="FABIO ANTONIO CANELLA"/>
    <n v="10000080"/>
    <s v="EQUIPE"/>
    <s v="EQUIPE"/>
    <n v="10000017"/>
    <s v="DECA"/>
    <s v="DIR IND DECA (LOUCAS)"/>
    <m/>
    <m/>
    <m/>
    <m/>
    <m/>
    <m/>
    <s v="14/10/2020"/>
    <n v="0"/>
    <m/>
    <d v="1982-11-06T00:00:00"/>
    <x v="6"/>
    <m/>
    <s v="brasileira"/>
    <s v="CABO DE SANTO AGOSTINHO"/>
    <s v="PE"/>
    <s v="BR"/>
    <s v="Não"/>
    <s v="M"/>
    <s v="Não"/>
    <m/>
    <s v="Casado"/>
    <s v="Negra"/>
    <s v="Analfab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7,00"/>
    <s v="1.067,00"/>
    <s v="1.067,00"/>
    <s v="0,00"/>
    <s v="CS"/>
    <s v="LO RECIFE-220/M"/>
    <n v="13"/>
    <s v="GRS013OP"/>
    <d v="2020-10-01T00:00:00"/>
    <s v="Admissão"/>
    <s v="1.066,00"/>
    <s v="106600,00"/>
    <n v="1"/>
    <m/>
    <s v="N"/>
    <x v="319"/>
    <m/>
    <s v="23/12/2013"/>
    <s v="PE"/>
    <s v="053.148.664-80"/>
    <n v="44694"/>
    <n v="68"/>
    <d v="1999-02-06T00:00:00"/>
    <s v="PE"/>
    <n v="20002317804"/>
    <m/>
    <m/>
    <m/>
    <m/>
    <m/>
    <m/>
    <m/>
    <m/>
    <m/>
    <x v="305"/>
    <n v="15"/>
    <n v="104"/>
    <d v="2017-03-07T00:00:00"/>
    <s v="PE"/>
    <n v="21"/>
    <m/>
    <m/>
    <m/>
    <s v="RUA VINTE"/>
    <n v="63"/>
    <m/>
    <s v="SAO FRANCISCO"/>
    <s v="CABO DE SANTO AGOSTINHO"/>
    <s v="PE"/>
    <s v="54530-300"/>
    <m/>
    <n v="81988339016"/>
    <m/>
    <n v="341"/>
    <n v="478"/>
    <x v="31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SJOSEILD"/>
    <n v="1"/>
    <m/>
  </r>
  <r>
    <n v="102020"/>
    <x v="320"/>
    <s v="Ativo"/>
    <s v="AD"/>
    <n v="30045713"/>
    <s v="Colaborador–M.O.Var"/>
    <s v="Mensalista"/>
    <s v="1DX"/>
    <s v="Duratex S.A."/>
    <n v="11"/>
    <s v="FÁB LOUÇAS RECIFE"/>
    <n v="11"/>
    <s v="DECA"/>
    <s v="SIM"/>
    <s v="0011 - FÁB LOUÇAS RECIFE"/>
    <s v="JOSE CARLOS ALVES DA SILVA"/>
    <s v="JOSE"/>
    <n v="10001345"/>
    <s v="DAD-09"/>
    <s v="DAD-09 - INSPECAO - LR"/>
    <s v="DXLR"/>
    <s v="DXINSPEC65"/>
    <s v="Inspeção"/>
    <n v="10007977"/>
    <s v="DAD-01"/>
    <s v="DAD-01 - ADM GERAL DE PROUCAO - LR"/>
    <s v="EDUARDA LARISSA DE CASTRO MARCELINO"/>
    <n v="10000059"/>
    <s v="SUPERVISOR"/>
    <s v="SUPERVISOR"/>
    <n v="10000017"/>
    <s v="DECA"/>
    <s v="DIR IND DECA (LOUCAS)"/>
    <m/>
    <m/>
    <m/>
    <m/>
    <m/>
    <m/>
    <s v="14/10/2020"/>
    <n v="0"/>
    <m/>
    <s v="21/12/1982"/>
    <x v="31"/>
    <m/>
    <s v="brasileira"/>
    <s v="ESCADA"/>
    <s v="PE"/>
    <s v="BR"/>
    <s v="Não"/>
    <s v="M"/>
    <s v="Não"/>
    <m/>
    <s v="Solt."/>
    <s v="Parda"/>
    <s v="Ginasial completo"/>
    <m/>
    <n v="22000878"/>
    <s v="220/M"/>
    <s v="AUX PRODUCAO"/>
    <n v="784205"/>
    <s v="Admissão"/>
    <d v="2020-10-01T00:00:00"/>
    <s v="220,00"/>
    <m/>
    <s v="DLR-01"/>
    <s v="DDI-01"/>
    <s v="CSS-01"/>
    <s v="DDE-01"/>
    <s v="PRE-01"/>
    <s v="1.066,52"/>
    <s v="1.066,52"/>
    <s v="1.066,52"/>
    <s v="0,00"/>
    <s v="CS"/>
    <s v="LO RECIFE-220/M"/>
    <n v="13"/>
    <s v="GRS013OP"/>
    <d v="2020-10-01T00:00:00"/>
    <s v="Admissão"/>
    <s v="1.065,52"/>
    <s v="106552,00"/>
    <n v="1"/>
    <m/>
    <s v="N"/>
    <x v="320"/>
    <m/>
    <s v="25/12/2003"/>
    <s v="PE"/>
    <s v="059.015.424-95"/>
    <n v="19350"/>
    <n v="69"/>
    <d v="2009-02-09T00:00:00"/>
    <s v="PE"/>
    <n v="13027187456"/>
    <m/>
    <m/>
    <m/>
    <m/>
    <m/>
    <m/>
    <m/>
    <m/>
    <m/>
    <x v="306"/>
    <n v="19"/>
    <n v="117"/>
    <s v="23/10/2013"/>
    <s v="PE"/>
    <n v="210032094919"/>
    <m/>
    <m/>
    <m/>
    <s v="TRAVESSA TV 1 JOSE LINS TELES"/>
    <n v="110"/>
    <m/>
    <s v="VILA FELIZ"/>
    <s v="CABO DE SANTO AGOSTINHO"/>
    <s v="PE"/>
    <s v="54590-000"/>
    <m/>
    <n v="81982329115"/>
    <m/>
    <n v="341"/>
    <n v="6999"/>
    <x v="32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VESJOS"/>
    <n v="1"/>
    <m/>
  </r>
  <r>
    <n v="102020"/>
    <x v="321"/>
    <s v="Ativo"/>
    <s v="AD"/>
    <n v="30037892"/>
    <s v="Colaborador–M.O.Var"/>
    <s v="Horista"/>
    <s v="1DX"/>
    <s v="Duratex S.A."/>
    <n v="13"/>
    <s v="FÁB LOUÇAS QUEIMADOS"/>
    <n v="13"/>
    <s v="DECA"/>
    <s v="SIM"/>
    <s v="0013 - FÁB LOUÇAS QUEIMADOS"/>
    <s v="HELIO SOUZA ALVES"/>
    <s v="HELIO"/>
    <n v="10001246"/>
    <s v="DJA-03"/>
    <s v="DJA-03 - CLASSIFICACAO - LQ"/>
    <s v="DXLQ"/>
    <s v="DXCLEMBL68"/>
    <s v="Classificação"/>
    <n v="10007687"/>
    <s v="DJA-01"/>
    <s v="DJA-01 - ESM/INSP/FUND/ALTPR - LQ"/>
    <s v="PERES SERGIO DE SOUZA"/>
    <n v="10000059"/>
    <s v="SUPERVISOR"/>
    <s v="SUPERVISOR"/>
    <n v="10000017"/>
    <s v="DECA"/>
    <s v="DIR IND DECA (LOUCAS)"/>
    <m/>
    <m/>
    <m/>
    <m/>
    <m/>
    <m/>
    <s v="14/10/2020"/>
    <n v="0"/>
    <m/>
    <d v="1979-03-02T00:00:00"/>
    <x v="17"/>
    <m/>
    <s v="brasileira"/>
    <s v="RIO DE JANEIRO"/>
    <s v="RJ"/>
    <s v="BR"/>
    <s v="Não"/>
    <s v="M"/>
    <s v="Não"/>
    <m/>
    <s v="Casado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321"/>
    <m/>
    <d v="1979-03-02T00:00:00"/>
    <s v="RJ"/>
    <s v="087.072.247-61"/>
    <n v="60857"/>
    <n v="108"/>
    <s v="31/08/1993"/>
    <s v="RJ"/>
    <n v="12713508608"/>
    <m/>
    <m/>
    <m/>
    <m/>
    <m/>
    <m/>
    <m/>
    <m/>
    <m/>
    <x v="307"/>
    <n v="158"/>
    <n v="77"/>
    <s v="19/05/1997"/>
    <s v="RJ"/>
    <n v="10312982373"/>
    <m/>
    <m/>
    <m/>
    <s v="RUA MARIA DE JESUS PEREIRA DA SILVA"/>
    <n v="51"/>
    <m/>
    <s v="LAGOINHA"/>
    <s v="NOVA IGUAÇU"/>
    <s v="RJ"/>
    <s v="26296-246"/>
    <m/>
    <n v="21991151946"/>
    <m/>
    <n v="341"/>
    <n v="7450"/>
    <x v="32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HELIALVE"/>
    <n v="1"/>
    <m/>
  </r>
  <r>
    <n v="102020"/>
    <x v="322"/>
    <s v="Ativo"/>
    <s v="AD"/>
    <n v="30131223"/>
    <s v="Colaborador–M.O.Fixa"/>
    <s v="Mensalista"/>
    <s v="1DX"/>
    <s v="Duratex S.A."/>
    <n v="9"/>
    <s v="FÁB LOUÇAS JUNDIAÍ I"/>
    <n v="9"/>
    <s v="DECA"/>
    <s v="SIM"/>
    <s v="0009 - FÁB LOUÇAS JUNDIAÍ I"/>
    <s v="NATHALIA LACERDA DIAS"/>
    <s v="NATHALIA"/>
    <n v="10005434"/>
    <s v="CRJ-01"/>
    <s v="CRJ-01 - RH DECA - LJ I / MP"/>
    <s v="DXLJ"/>
    <s v="DXNUCRHD23"/>
    <s v="RH Negócio Deca - LJ"/>
    <n v="10001822"/>
    <s v="CRN-01"/>
    <s v="CRN-01 - GER RH NEGOCIOS DECA - EC"/>
    <s v="LEANDRO TEIXEIRA DORIA"/>
    <n v="10000050"/>
    <s v="COORDENADOR"/>
    <s v="COORDENADOR"/>
    <n v="10000010"/>
    <s v="CORPORATIVO"/>
    <s v="DIR RECURSOS HUMANOS"/>
    <m/>
    <m/>
    <m/>
    <m/>
    <m/>
    <m/>
    <s v="15/10/2020"/>
    <n v="0"/>
    <m/>
    <s v="23/04/1996"/>
    <x v="7"/>
    <m/>
    <s v="brasileira"/>
    <s v="JUNDIAI"/>
    <s v="SP"/>
    <s v="BR"/>
    <s v="Não"/>
    <s v="F"/>
    <s v="Não"/>
    <m/>
    <s v="Solt."/>
    <s v="Branca"/>
    <s v="Colegial completo"/>
    <s v="Visual"/>
    <n v="22003091"/>
    <s v="220/M"/>
    <s v="ASSIST ADMINISTRATIVO"/>
    <n v="411010"/>
    <s v="Admissão"/>
    <d v="2020-10-01T00:00:00"/>
    <s v="220,00"/>
    <m/>
    <s v="CRN-01"/>
    <s v="CRH-01"/>
    <s v="CSS-01"/>
    <m/>
    <s v="PRE-01"/>
    <s v="1.858,00"/>
    <s v="1.858,00"/>
    <s v="1.858,00"/>
    <s v="0,00"/>
    <s v="BH"/>
    <s v="LO JUNDIAÍ-220/M"/>
    <n v="16"/>
    <s v="GRS016OP"/>
    <d v="2020-10-01T00:00:00"/>
    <s v="Admissão"/>
    <s v="1.857,00"/>
    <s v="185700,00"/>
    <n v="1"/>
    <m/>
    <s v="N"/>
    <x v="322"/>
    <m/>
    <s v="25/11/2015"/>
    <s v="SP"/>
    <s v="435.473.528-86"/>
    <n v="16252"/>
    <n v="382"/>
    <s v="27/11/2010"/>
    <s v="SP"/>
    <n v="16424895141"/>
    <m/>
    <m/>
    <m/>
    <m/>
    <m/>
    <m/>
    <m/>
    <m/>
    <m/>
    <x v="308"/>
    <n v="281"/>
    <n v="198"/>
    <d v="2015-02-03T00:00:00"/>
    <s v="SP"/>
    <m/>
    <m/>
    <m/>
    <m/>
    <s v="RUA VERONA"/>
    <n v="170"/>
    <m/>
    <s v="CONDOMINIO PIEMONTE"/>
    <s v="JUNDIAÍ"/>
    <s v="SP"/>
    <s v="13215-856"/>
    <m/>
    <n v="11957801597"/>
    <m/>
    <n v="341"/>
    <n v="2523"/>
    <x v="322"/>
    <m/>
    <m/>
    <m/>
    <s v="ADMINISTRATIVO"/>
    <s v="ADMINISTRATIVO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NATHDIAS"/>
    <n v="1"/>
    <m/>
  </r>
  <r>
    <n v="102020"/>
    <x v="323"/>
    <s v="Ativo"/>
    <s v="AD"/>
    <n v="30029263"/>
    <s v="Colaborador–M.O.Fixa"/>
    <s v="Mensalista"/>
    <s v="1DX"/>
    <s v="Duratex S.A."/>
    <n v="1"/>
    <s v="ADM CENTRAL"/>
    <n v="1"/>
    <s v="CORPORATIVO"/>
    <s v="SIM"/>
    <s v="EC 0001 - BELO HORIZONTE"/>
    <s v="ANA PAULA MOREIRA BRITO"/>
    <s v="ANA"/>
    <n v="10007075"/>
    <s v="MVF-03"/>
    <s v="MVF-03 - REG VD VAR DURAFL - SP/PR - EC"/>
    <s v="DXEC"/>
    <s v="DXVVADUF06"/>
    <s v="Ger. Vendas DUF"/>
    <n v="10000054"/>
    <s v="MVF-01"/>
    <s v="MVF-01 - GER VENDAS MADEIRA VAREJO"/>
    <s v="SUELI ALMEIDA DOS REIS GOMES"/>
    <n v="10000059"/>
    <s v="SUPERVISOR"/>
    <s v="SUPERVISOR"/>
    <n v="10000006"/>
    <s v="MADEIRA"/>
    <s v="DIR CML MADEIRA"/>
    <n v="10000100"/>
    <s v="COMERCIAL"/>
    <n v="10000136"/>
    <s v="VENDAS VAREJO"/>
    <n v="10000201"/>
    <s v="VENDAS VAREJO"/>
    <s v="15/10/2020"/>
    <n v="0"/>
    <m/>
    <d v="1992-08-02T00:00:00"/>
    <x v="11"/>
    <m/>
    <s v="brasileira"/>
    <s v="BELO HORIZONTE"/>
    <s v="MG"/>
    <s v="BR"/>
    <s v="Não"/>
    <s v="F"/>
    <s v="Não"/>
    <m/>
    <s v="Casado"/>
    <s v="Amarela"/>
    <s v="Colegial completo"/>
    <m/>
    <n v="22001212"/>
    <s v="220/M"/>
    <s v="PROMOTOR VENDAS"/>
    <n v="521115"/>
    <s v="Admissão"/>
    <d v="2020-10-01T00:00:00"/>
    <s v="220,00"/>
    <m/>
    <s v="MVF-01"/>
    <m/>
    <s v="CSS-01"/>
    <s v="MDP-01"/>
    <s v="PRE-01"/>
    <s v="1.338,64"/>
    <s v="1.338,64"/>
    <s v="1.338,64"/>
    <s v="0,00"/>
    <s v="AV"/>
    <s v="ADM CENTRAL-220/M"/>
    <n v="15"/>
    <s v="GRS015OP"/>
    <d v="2020-10-01T00:00:00"/>
    <s v="Admissão"/>
    <s v="1.337,64"/>
    <s v="133764,00"/>
    <n v="1"/>
    <m/>
    <s v="N"/>
    <x v="323"/>
    <m/>
    <s v="17/08/2016"/>
    <s v="MG"/>
    <s v="110.688.276-88"/>
    <n v="78188"/>
    <n v="170"/>
    <s v="13/09/2011"/>
    <s v="MG"/>
    <n v="21018226933"/>
    <m/>
    <m/>
    <m/>
    <m/>
    <m/>
    <m/>
    <m/>
    <m/>
    <m/>
    <x v="309"/>
    <n v="331"/>
    <n v="4"/>
    <s v="28/01/2010"/>
    <s v="MG"/>
    <m/>
    <m/>
    <m/>
    <m/>
    <s v="RUA MANAIRA"/>
    <n v="171"/>
    <m/>
    <s v="SAO GABRIEL"/>
    <s v="BELO HORIZONTE"/>
    <s v="MG"/>
    <s v="31980-490"/>
    <m/>
    <n v="31993737986"/>
    <m/>
    <n v="341"/>
    <n v="7364"/>
    <x v="323"/>
    <m/>
    <m/>
    <m/>
    <s v="FORCA DE VENDAS"/>
    <s v="COMERCIAL MKT E ASSIST TECNICA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ANA.BRITO@DURATEX.COM.BR"/>
    <m/>
    <s v="ANBRITO"/>
    <n v="9"/>
    <m/>
  </r>
  <r>
    <n v="102020"/>
    <x v="324"/>
    <s v="Ativo"/>
    <s v="AD"/>
    <n v="30049024"/>
    <s v="Colaborador–M.O.Var"/>
    <s v="Mensalista"/>
    <s v="1HY"/>
    <s v="HYDRA CORONA SIST.AQ.LTD."/>
    <n v="32"/>
    <s v="HYDRA ARACAJU"/>
    <n v="32"/>
    <s v="CORONA"/>
    <s v="SIM"/>
    <s v="0032 – FÁB. HYDRA ARACAJU"/>
    <s v="DEBORA SOARES FIGUEREDO"/>
    <s v="DEBORA"/>
    <n v="10004032"/>
    <s v="HPA-10"/>
    <s v="HPA-10 - LINHAS MONTADORAS - HA"/>
    <s v="HYAR"/>
    <s v="HYMONTAD04"/>
    <s v="Linhas Montadoras"/>
    <n v="10006826"/>
    <s v="HPA-05"/>
    <s v="HPA-05 - MONTADORAS - HA"/>
    <s v="ALEXANDRE ALIPIO DE SOUZA"/>
    <n v="10000080"/>
    <s v="EQUIPE"/>
    <s v="EQUIPE"/>
    <n v="10000019"/>
    <s v="HYDRA"/>
    <s v="DIR IND HYDRA"/>
    <m/>
    <m/>
    <m/>
    <m/>
    <m/>
    <m/>
    <s v="15/10/2020"/>
    <n v="0"/>
    <m/>
    <s v="17/01/1997"/>
    <x v="18"/>
    <m/>
    <s v="brasileira"/>
    <s v="ARACAJU"/>
    <s v="SE"/>
    <s v="BR"/>
    <s v="Não"/>
    <s v="F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24"/>
    <m/>
    <s v="27/03/2018"/>
    <s v="SE"/>
    <s v="065.385.305-08"/>
    <n v="6940279"/>
    <n v="40"/>
    <s v="28/04/2014"/>
    <s v="SE"/>
    <n v="16095414076"/>
    <m/>
    <m/>
    <m/>
    <m/>
    <m/>
    <m/>
    <m/>
    <m/>
    <m/>
    <x v="310"/>
    <n v="31"/>
    <n v="139"/>
    <d v="2019-03-07T00:00:00"/>
    <s v="SE"/>
    <m/>
    <m/>
    <m/>
    <m/>
    <s v="RUA VINTE E TRES"/>
    <n v="656"/>
    <m/>
    <s v="PARQUE DOS FAROIS"/>
    <s v="NOSSA SENHORA DO SOCORRO"/>
    <s v="SE"/>
    <s v="49160-000"/>
    <m/>
    <n v="79998593446"/>
    <m/>
    <n v="341"/>
    <n v="5634"/>
    <x v="32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DFIGUERE"/>
    <n v="1"/>
    <m/>
  </r>
  <r>
    <n v="102020"/>
    <x v="325"/>
    <s v="Ativo"/>
    <s v="AD"/>
    <n v="30049020"/>
    <s v="Colaborador–M.O.Var"/>
    <s v="Mensalista"/>
    <s v="1HY"/>
    <s v="HYDRA CORONA SIST.AQ.LTD."/>
    <n v="32"/>
    <s v="HYDRA ARACAJU"/>
    <n v="32"/>
    <s v="CORONA"/>
    <s v="SIM"/>
    <s v="0032 – FÁB. HYDRA ARACAJU"/>
    <s v="LUCAS VINICIUS OLIVEIRA SANTOS"/>
    <s v="LUCAS"/>
    <n v="10004074"/>
    <s v="HPA-14"/>
    <s v="HPA-14 - LINHAS MONTADORAS - HA"/>
    <s v="HYAR"/>
    <s v="HYMONTAD04"/>
    <s v="Linhas Montadoras"/>
    <n v="10008087"/>
    <s v="HPA-01"/>
    <s v="HPA-01 - PRODUCAO - HA"/>
    <s v="JENILTON MATIAS DOS SANTOS"/>
    <n v="10000080"/>
    <s v="EQUIPE"/>
    <s v="EQUIPE"/>
    <n v="10000019"/>
    <s v="HYDRA"/>
    <s v="DIR IND HYDRA"/>
    <m/>
    <m/>
    <m/>
    <m/>
    <m/>
    <m/>
    <s v="15/10/2020"/>
    <n v="0"/>
    <m/>
    <s v="20/01/1998"/>
    <x v="28"/>
    <m/>
    <s v="brasileira"/>
    <s v="ARACAJU"/>
    <s v="SE"/>
    <s v="BR"/>
    <s v="Não"/>
    <s v="M"/>
    <s v="Não"/>
    <m/>
    <s v="Solt."/>
    <s v="Negr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25"/>
    <m/>
    <d v="2013-05-04T00:00:00"/>
    <s v="SE"/>
    <s v="068.940.295-39"/>
    <n v="2087698"/>
    <n v="60"/>
    <s v="17/12/2018"/>
    <s v="SE"/>
    <n v="16517009273"/>
    <m/>
    <m/>
    <m/>
    <m/>
    <m/>
    <m/>
    <m/>
    <m/>
    <m/>
    <x v="311"/>
    <n v="1"/>
    <n v="52"/>
    <s v="21/02/2019"/>
    <s v="SE"/>
    <n v="190034332717"/>
    <m/>
    <m/>
    <m/>
    <s v="RUA B RES PORTO RICO"/>
    <n v="90"/>
    <m/>
    <s v="DEZOITO DO FORTE"/>
    <s v="ARACAJU"/>
    <s v="SE"/>
    <s v="49072-576"/>
    <m/>
    <n v="79996561042"/>
    <m/>
    <n v="341"/>
    <n v="5634"/>
    <x v="32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OLIVLUCA"/>
    <n v="1"/>
    <m/>
  </r>
  <r>
    <n v="102020"/>
    <x v="326"/>
    <s v="Ativo"/>
    <s v="AD"/>
    <n v="30046508"/>
    <s v="Estagiário"/>
    <s v="Horista"/>
    <s v="1DX"/>
    <s v="Duratex S.A."/>
    <n v="6"/>
    <s v="FÁB METAIS SP"/>
    <n v="6"/>
    <s v="DECA"/>
    <m/>
    <s v="0007 - FÁB METAIS JUNDIAÍ"/>
    <s v="GABRIEL HANSEM COLASANTA"/>
    <s v="GABRIEL"/>
    <n v="10002938"/>
    <s v="DPL-06"/>
    <s v="DPL-06 - PROGRAMACAO DE MATERIAIS - MS"/>
    <s v="DXMS"/>
    <s v="DXMATERI06"/>
    <s v="Adm. Material Geral"/>
    <n v="10002937"/>
    <s v="DPL-06"/>
    <s v="DPL-06 - PROG/RECEBIM DE MATERIAIS"/>
    <s v="JOSE RAFAEL PAFFARO"/>
    <n v="10000080"/>
    <s v="EQUIPE"/>
    <s v="EQUIPE"/>
    <n v="10000016"/>
    <s v="DECA"/>
    <s v="SUPORTE NEG DECA"/>
    <m/>
    <m/>
    <m/>
    <m/>
    <m/>
    <m/>
    <s v="19/10/2020"/>
    <n v="0"/>
    <m/>
    <s v="23/07/1999"/>
    <x v="13"/>
    <m/>
    <s v="brasileira"/>
    <s v="JUNDIAI"/>
    <s v="SP"/>
    <s v="BR"/>
    <s v="Não"/>
    <s v="M"/>
    <s v="Não"/>
    <m/>
    <s v="Solt."/>
    <s v="Parda"/>
    <s v="Superior incompleto"/>
    <m/>
    <n v="22000002"/>
    <s v="120/H"/>
    <s v="ESTAGIARIO ENG"/>
    <n v="999999"/>
    <s v="Admissão"/>
    <d v="2020-10-01T00:00:00"/>
    <s v="120,00"/>
    <m/>
    <s v="DPL-01"/>
    <s v="DDI-01"/>
    <s v="CSS-01"/>
    <s v="DDE-01"/>
    <s v="PRE-01"/>
    <s v="1.550,40"/>
    <s v="12,92"/>
    <s v="1.550,40"/>
    <s v="0,00"/>
    <s v="QB"/>
    <s v="FÁB METAIS SP"/>
    <n v="2"/>
    <s v="GRS02DE"/>
    <d v="2020-10-01T00:00:00"/>
    <s v="Admissão"/>
    <s v="1.549,40"/>
    <s v="154940,00"/>
    <n v="1"/>
    <m/>
    <s v="N"/>
    <x v="326"/>
    <m/>
    <s v="15/02/2018"/>
    <s v="SP"/>
    <s v="510.833.218-11"/>
    <n v="50902"/>
    <n v="448"/>
    <d v="2017-10-01T00:00:00"/>
    <s v="SP"/>
    <m/>
    <m/>
    <m/>
    <m/>
    <m/>
    <m/>
    <m/>
    <m/>
    <m/>
    <m/>
    <x v="312"/>
    <n v="65"/>
    <n v="570"/>
    <d v="2018-12-01T00:00:00"/>
    <s v="SP"/>
    <n v="140812142879"/>
    <m/>
    <m/>
    <m/>
    <s v="RUA PEDRO CELESTINO LEITE PENTEADO CASA"/>
    <n v="115"/>
    <m/>
    <s v="JARDIM BUFALO"/>
    <s v="JUNDIAÍ"/>
    <s v="SP"/>
    <s v="13214-215"/>
    <m/>
    <n v="11971552331"/>
    <m/>
    <n v="341"/>
    <n v="7431"/>
    <x v="326"/>
    <m/>
    <m/>
    <m/>
    <s v="ESTAGIARIO"/>
    <s v="ADMINISTRATIVO"/>
    <s v="ESTAGIARIO"/>
    <s v="ESTAGIARIO"/>
    <s v="ESTAGIARIO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27"/>
    <s v="Ativo"/>
    <s v="AD"/>
    <n v="30042965"/>
    <s v="Colaborador–M.O.Var"/>
    <s v="Horista"/>
    <s v="1DX"/>
    <s v="Duratex S.A."/>
    <n v="7"/>
    <s v="FÁB METAIS JUNDIAÍ"/>
    <n v="7"/>
    <s v="DECA"/>
    <s v="SIM"/>
    <s v="0007 - FÁB METAIS JUNDIAÍ"/>
    <s v="CRISTIANO PAULO DA SILVA"/>
    <s v="CRISTIANO"/>
    <n v="10001457"/>
    <s v="DVM-02"/>
    <s v="DVM-02– ESTAMPARIA - MP"/>
    <s v="DXMP"/>
    <s v="DXESTAMP33"/>
    <s v="Estamparia MP"/>
    <n v="10001047"/>
    <s v="DVM-02"/>
    <s v="DVM-02 - ACABAMENTO - MP"/>
    <s v="SILVIO APARECIDO BARROS"/>
    <n v="10000080"/>
    <s v="EQUIPE"/>
    <s v="EQUIPE"/>
    <n v="10000002"/>
    <s v="DECA"/>
    <s v="DIR IND DECA (METAIS)"/>
    <m/>
    <m/>
    <m/>
    <m/>
    <m/>
    <m/>
    <s v="15/10/2020"/>
    <n v="0"/>
    <m/>
    <s v="16/11/1973"/>
    <x v="14"/>
    <m/>
    <s v="brasileira"/>
    <s v="JUNDIAI"/>
    <s v="SP"/>
    <s v="BR"/>
    <s v="Não"/>
    <s v="M"/>
    <s v="Não"/>
    <m/>
    <s v="Marita"/>
    <s v="Branca"/>
    <s v="Colegial completo"/>
    <m/>
    <n v="22000417"/>
    <s v="220/H"/>
    <s v="OPER PRODUCAO C"/>
    <n v="862150"/>
    <s v="Admissão"/>
    <d v="2020-10-01T00:00:00"/>
    <s v="220,00"/>
    <m/>
    <s v="DJD-01"/>
    <s v="DDI-01"/>
    <s v="CSS-01"/>
    <s v="DDE-01"/>
    <s v="PRE-01"/>
    <s v="1.859,00"/>
    <s v="8,45"/>
    <s v="1.859,00"/>
    <s v="0,00"/>
    <s v="BV"/>
    <s v="METAIS JUNDIAÍ-220/H"/>
    <n v="16"/>
    <s v="GRS016OP"/>
    <d v="2020-10-01T00:00:00"/>
    <s v="Admissão"/>
    <s v="1.858,00"/>
    <s v="185800,00"/>
    <n v="1"/>
    <s v="Ausência B.H. Empregado"/>
    <s v="N"/>
    <x v="327"/>
    <m/>
    <d v="2010-10-08T00:00:00"/>
    <s v="SP"/>
    <s v="119.076.588-82"/>
    <n v="5462"/>
    <n v="87"/>
    <d v="2019-12-06T00:00:00"/>
    <s v="SP"/>
    <n v="12328928503"/>
    <m/>
    <m/>
    <m/>
    <m/>
    <m/>
    <m/>
    <m/>
    <m/>
    <m/>
    <x v="313"/>
    <n v="281"/>
    <n v="261"/>
    <s v="22/09/2011"/>
    <s v="SP"/>
    <m/>
    <m/>
    <m/>
    <m/>
    <s v="RUA 8"/>
    <n v="230"/>
    <m/>
    <s v="RECANTO QUARTO CENTENARIO"/>
    <s v="JUNDIAI"/>
    <s v="SP"/>
    <s v="13200-000"/>
    <m/>
    <n v="11998928750"/>
    <m/>
    <n v="341"/>
    <n v="19"/>
    <x v="32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CRPAULO"/>
    <n v="1"/>
    <m/>
  </r>
  <r>
    <n v="102020"/>
    <x v="328"/>
    <s v="Ativo"/>
    <s v="AD"/>
    <n v="30046286"/>
    <s v="Colaborador–M.O.Fixa"/>
    <s v="Horista"/>
    <s v="1DX"/>
    <s v="Duratex S.A."/>
    <n v="7"/>
    <s v="FÁB METAIS JUNDIAÍ"/>
    <n v="7"/>
    <s v="DECA"/>
    <s v="SIM"/>
    <s v="0007 - FÁB METAIS JUNDIAÍ"/>
    <s v="OSVALDO APARECIDO FROES"/>
    <s v="OSVALDO"/>
    <n v="10001036"/>
    <s v="DPM-02"/>
    <s v="DPM-02 - ALMOXARIFADOS - MP"/>
    <s v="DXMP"/>
    <s v="DXALMOXA33"/>
    <s v="Almoxarifado"/>
    <n v="10001038"/>
    <s v="DPM-03"/>
    <s v="DPM-03 - ALMOXARIFADOS - MP"/>
    <s v="ESTELA MARIA DE CASTRO BONOMI"/>
    <n v="10000080"/>
    <s v="EQUIPE"/>
    <s v="EQUIPE"/>
    <n v="10000002"/>
    <s v="DECA"/>
    <s v="DIR IND DECA (METAIS)"/>
    <m/>
    <m/>
    <m/>
    <m/>
    <m/>
    <m/>
    <s v="15/10/2020"/>
    <n v="0"/>
    <m/>
    <s v="29/01/1973"/>
    <x v="15"/>
    <m/>
    <s v="brasileira"/>
    <s v="CAMBUI"/>
    <s v="MG"/>
    <s v="BR"/>
    <s v="Não"/>
    <s v="M"/>
    <s v="Não"/>
    <m/>
    <s v="Casado"/>
    <s v="Branca"/>
    <s v="Superior completo"/>
    <m/>
    <n v="22000223"/>
    <s v="220/H"/>
    <s v="AUX ALMOXARIFADO"/>
    <n v="4141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4"/>
    <s v="GRS014OP"/>
    <d v="2020-10-01T00:00:00"/>
    <s v="Admissão"/>
    <s v="1.796,40"/>
    <s v="179640,00"/>
    <n v="1"/>
    <m/>
    <s v="N"/>
    <x v="328"/>
    <m/>
    <s v="28/09/2018"/>
    <s v="SP"/>
    <s v="032.320.646-80"/>
    <n v="20864"/>
    <n v="265"/>
    <s v="17/09/1999"/>
    <s v="SP"/>
    <n v="12915152936"/>
    <m/>
    <m/>
    <m/>
    <m/>
    <m/>
    <m/>
    <m/>
    <m/>
    <m/>
    <x v="314"/>
    <n v="192"/>
    <n v="332"/>
    <s v="21/10/2019"/>
    <s v="SP"/>
    <m/>
    <m/>
    <m/>
    <m/>
    <s v="RUA LUIZ AGUIAR"/>
    <n v="96"/>
    <m/>
    <s v="VERA TEREZA"/>
    <s v="CAIEIRAS"/>
    <s v="SP"/>
    <s v="07717-505"/>
    <m/>
    <n v="11974683471"/>
    <m/>
    <n v="341"/>
    <n v="2696"/>
    <x v="328"/>
    <m/>
    <m/>
    <m/>
    <s v="ADMINISTRATIVO"/>
    <s v="PLANEJAMENTO LOGISTICA E PCP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OFROES"/>
    <n v="1"/>
    <m/>
  </r>
  <r>
    <n v="102020"/>
    <x v="329"/>
    <s v="Ativo"/>
    <s v="AD"/>
    <n v="30046285"/>
    <s v="Colaborador–M.O.Fixa"/>
    <s v="Horista"/>
    <s v="1DX"/>
    <s v="Duratex S.A."/>
    <n v="7"/>
    <s v="FÁB METAIS JUNDIAÍ"/>
    <n v="7"/>
    <s v="DECA"/>
    <s v="SIM"/>
    <s v="0007 - FÁB METAIS JUNDIAÍ"/>
    <s v="ARLINDO ANTUNES DE SOUSA"/>
    <s v="ARLINDO"/>
    <n v="10001036"/>
    <s v="DPM-02"/>
    <s v="DPM-02 - ALMOXARIFADOS - MP"/>
    <s v="DXMP"/>
    <s v="DXALMOXA33"/>
    <s v="Almoxarifado"/>
    <n v="10001038"/>
    <s v="DPM-03"/>
    <s v="DPM-03 - ALMOXARIFADOS - MP"/>
    <s v="ESTELA MARIA DE CASTRO BONOMI"/>
    <n v="10000080"/>
    <s v="EQUIPE"/>
    <s v="EQUIPE"/>
    <n v="10000002"/>
    <s v="DECA"/>
    <s v="DIR IND DECA (METAIS)"/>
    <m/>
    <m/>
    <m/>
    <m/>
    <m/>
    <m/>
    <s v="15/10/2020"/>
    <n v="0"/>
    <m/>
    <d v="1984-10-03T00:00:00"/>
    <x v="34"/>
    <m/>
    <s v="brasileira"/>
    <s v="GAMELEIRAS"/>
    <s v="MG"/>
    <s v="BR"/>
    <s v="Não"/>
    <s v="M"/>
    <s v="Não"/>
    <m/>
    <s v="Casado"/>
    <s v="Parda"/>
    <s v="Colegial completo"/>
    <m/>
    <n v="22000223"/>
    <s v="220/H"/>
    <s v="AUX ALMOXARIFADO"/>
    <n v="414105"/>
    <s v="Admissão"/>
    <d v="2020-10-01T00:00:00"/>
    <s v="220,00"/>
    <m/>
    <s v="DJD-01"/>
    <s v="DDI-01"/>
    <s v="CSS-01"/>
    <s v="DDE-01"/>
    <s v="PRE-01"/>
    <s v="1.797,40"/>
    <s v="8,17"/>
    <s v="1.797,40"/>
    <s v="0,00"/>
    <s v="BV"/>
    <s v="METAIS JUNDIAÍ-220/H"/>
    <n v="14"/>
    <s v="GRS014OP"/>
    <d v="2020-10-01T00:00:00"/>
    <s v="Admissão"/>
    <s v="1.796,40"/>
    <s v="179640,00"/>
    <n v="1"/>
    <m/>
    <s v="N"/>
    <x v="329"/>
    <m/>
    <s v="26/04/2002"/>
    <s v="SP"/>
    <s v="329.895.348-22"/>
    <n v="72015"/>
    <n v="130"/>
    <d v="2001-05-12T00:00:00"/>
    <s v="MG"/>
    <n v="12835697243"/>
    <m/>
    <m/>
    <m/>
    <m/>
    <m/>
    <m/>
    <m/>
    <m/>
    <m/>
    <x v="315"/>
    <n v="278"/>
    <n v="455"/>
    <s v="16/04/2010"/>
    <s v="MG"/>
    <n v="113242000405"/>
    <m/>
    <m/>
    <m/>
    <s v="RUA FRANCISCO STUCCHI"/>
    <n v="126"/>
    <m/>
    <s v="JD TULIPAS"/>
    <s v="JUNDIAÍ"/>
    <s v="SP"/>
    <s v="13212-700"/>
    <m/>
    <n v="11971295870"/>
    <m/>
    <n v="341"/>
    <n v="2523"/>
    <x v="329"/>
    <m/>
    <m/>
    <m/>
    <s v="ADMINISTRATIVO"/>
    <s v="PLANEJAMENTO LOGISTICA E PCP"/>
    <s v="ADMINISTRATIVO"/>
    <s v="ADMINISTRATIVO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RLSOUSA"/>
    <n v="1"/>
    <m/>
  </r>
  <r>
    <n v="102020"/>
    <x v="330"/>
    <s v="Ativo"/>
    <s v="AD"/>
    <n v="30047227"/>
    <s v="Colaborador–M.O.Var"/>
    <s v="Mensalista"/>
    <s v="1DX"/>
    <s v="Duratex S.A."/>
    <n v="9"/>
    <s v="FÁB LOUÇAS JUNDIAÍ I"/>
    <n v="9"/>
    <s v="DECA"/>
    <s v="SIM"/>
    <s v="0009 - FÁB LOUÇAS JUNDIAÍ I"/>
    <s v="SULIVAN OLIVEIRA DA CRUZ SANTOS"/>
    <s v="SULIVAN"/>
    <n v="10001582"/>
    <s v="DMF-05"/>
    <s v="DMF-05 - FORNOS - LJ I"/>
    <s v="DXLJ"/>
    <s v="DXFORNOS23"/>
    <s v="Fornos"/>
    <n v="10005655"/>
    <s v="DMF-01"/>
    <s v="DMF-01 - FAB AUXILIARES/ALTPRESS/FORNOS"/>
    <s v="ANTONIO EVERSON COSTA"/>
    <n v="10000059"/>
    <s v="SUPERVISOR"/>
    <s v="SUPERVISOR"/>
    <n v="10000017"/>
    <s v="DECA"/>
    <s v="DIR IND DECA (LOUCAS)"/>
    <m/>
    <m/>
    <m/>
    <m/>
    <m/>
    <m/>
    <s v="16/10/2020"/>
    <n v="0"/>
    <m/>
    <d v="1988-11-08T00:00:00"/>
    <x v="9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30"/>
    <m/>
    <s v="31/05/2012"/>
    <s v="SP"/>
    <s v="367.954.078-70"/>
    <n v="77192"/>
    <n v="290"/>
    <d v="2004-03-05T00:00:00"/>
    <s v="SP"/>
    <n v="20734139025"/>
    <m/>
    <m/>
    <m/>
    <m/>
    <m/>
    <m/>
    <m/>
    <m/>
    <m/>
    <x v="316"/>
    <n v="281"/>
    <n v="296"/>
    <s v="16/03/2012"/>
    <s v="SP"/>
    <n v="140872842293"/>
    <m/>
    <m/>
    <m/>
    <s v="RUA ADELINO STRASI"/>
    <n v="182"/>
    <m/>
    <s v="JARDIM BRASIL"/>
    <s v="VARZEA PAULISTA"/>
    <s v="SP"/>
    <s v="13227-000"/>
    <m/>
    <n v="11995474553"/>
    <m/>
    <n v="341"/>
    <n v="658"/>
    <x v="33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31"/>
    <s v="Ativo"/>
    <s v="AD"/>
    <n v="30047248"/>
    <s v="Colaborador–M.O.Var"/>
    <s v="Mensalista"/>
    <s v="1DX"/>
    <s v="Duratex S.A."/>
    <n v="9"/>
    <s v="FÁB LOUÇAS JUNDIAÍ I"/>
    <n v="9"/>
    <s v="DECA"/>
    <s v="SIM"/>
    <s v="0009 - FÁB LOUÇAS JUNDIAÍ I"/>
    <s v="RONILDO DE DEUS OLIVEIRA LEMOS"/>
    <s v="RONILDO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s v="16/10/2020"/>
    <n v="0"/>
    <m/>
    <s v="28/05/1985"/>
    <x v="21"/>
    <m/>
    <s v="brasileira"/>
    <s v="VITORIA DA CONQUISTA"/>
    <s v="BA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31"/>
    <m/>
    <d v="2014-09-12T00:00:00"/>
    <s v="SP"/>
    <s v="052.622.315-43"/>
    <n v="4492"/>
    <n v="80"/>
    <s v="18/07/2011"/>
    <s v="BA"/>
    <n v="12788791080"/>
    <m/>
    <m/>
    <m/>
    <m/>
    <m/>
    <m/>
    <m/>
    <m/>
    <m/>
    <x v="317"/>
    <n v="242"/>
    <n v="210"/>
    <d v="2016-03-05T00:00:00"/>
    <s v="SP"/>
    <n v="181272471176"/>
    <m/>
    <m/>
    <m/>
    <s v="RUA ITAIM"/>
    <n v="27"/>
    <m/>
    <s v="VILA POPULAR"/>
    <s v="VÁRZEA PAULISTA"/>
    <s v="SP"/>
    <s v="13225-180"/>
    <m/>
    <n v="11946417419"/>
    <m/>
    <n v="341"/>
    <n v="7649"/>
    <x v="33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32"/>
    <s v="Ativo"/>
    <s v="AD"/>
    <n v="30041383"/>
    <s v="Colaborador–M.O.Var"/>
    <s v="Mensalista"/>
    <s v="1DX"/>
    <s v="Duratex S.A."/>
    <n v="9"/>
    <s v="FÁB LOUÇAS JUNDIAÍ I"/>
    <n v="9"/>
    <s v="DECA"/>
    <s v="SIM"/>
    <s v="0009 - FÁB LOUÇAS JUNDIAÍ I"/>
    <s v="WASHINGTON MAGELA LOURENCO"/>
    <s v="WASHINGTON"/>
    <n v="10001527"/>
    <s v="DCF-06"/>
    <s v="DCF-06 - FUNDICAO FIRECLAY - LJ I"/>
    <s v="DXLJ"/>
    <s v="DXFIRECL23"/>
    <s v="Fundição Fireclay"/>
    <n v="10002440"/>
    <s v="DCF-06"/>
    <s v="DCF-06 - FUNDICAO E ACABAMENTO - LJ I"/>
    <s v="DENILSON CARLOS ADRIANO"/>
    <n v="10000080"/>
    <s v="EQUIPE"/>
    <s v="EQUIPE"/>
    <n v="10000017"/>
    <s v="DECA"/>
    <s v="DIR IND DECA (LOUCAS)"/>
    <m/>
    <m/>
    <m/>
    <m/>
    <m/>
    <m/>
    <s v="16/10/2020"/>
    <n v="0"/>
    <m/>
    <s v="22/07/1992"/>
    <x v="11"/>
    <m/>
    <s v="brasileira"/>
    <s v="ALVINOPOLIS"/>
    <s v="MG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32"/>
    <m/>
    <s v="13/08/2010"/>
    <s v="MG"/>
    <s v="112.987.416-88"/>
    <n v="6125585"/>
    <n v="30"/>
    <s v="18/04/2011"/>
    <s v="MG"/>
    <n v="16560677614"/>
    <m/>
    <m/>
    <m/>
    <m/>
    <m/>
    <m/>
    <m/>
    <m/>
    <m/>
    <x v="318"/>
    <n v="12"/>
    <n v="62"/>
    <d v="2011-11-05T00:00:00"/>
    <s v="MG"/>
    <n v="110062036808"/>
    <m/>
    <m/>
    <m/>
    <s v="AVENIDA ANTONIO FREDERICO OZANAN"/>
    <n v="9300"/>
    <m/>
    <s v="JARDIM SHANGAI"/>
    <s v="JUNDIAÍ"/>
    <s v="SP"/>
    <s v="13214-206"/>
    <m/>
    <n v="11975965773"/>
    <m/>
    <n v="341"/>
    <n v="5323"/>
    <x v="33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33"/>
    <s v="Ativo"/>
    <s v="AD"/>
    <n v="30049022"/>
    <s v="Colaborador–M.O.Var"/>
    <s v="Mensalista"/>
    <s v="1HY"/>
    <s v="HYDRA CORONA SIST.AQ.LTD."/>
    <n v="32"/>
    <s v="HYDRA ARACAJU"/>
    <n v="32"/>
    <s v="CORONA"/>
    <s v="SIM"/>
    <s v="0032 – FÁB. HYDRA ARACAJU"/>
    <s v="RAFAEL DOS SANTOS"/>
    <s v="RAFAEL"/>
    <n v="10008680"/>
    <s v="HPA-08"/>
    <s v="HPA-08 - INJECAO - HÁ"/>
    <s v="HYAR"/>
    <s v="HYINJECA04"/>
    <s v="Injeção"/>
    <n v="10006827"/>
    <s v="HPA-06"/>
    <s v="HPA-06 - MONTADORAS - HA"/>
    <s v="RENAN SILVEIRA ABREU"/>
    <n v="10000080"/>
    <s v="EQUIPE"/>
    <s v="EQUIPE"/>
    <n v="10000019"/>
    <s v="HYDRA"/>
    <s v="DIR IND HYDRA"/>
    <m/>
    <m/>
    <m/>
    <m/>
    <m/>
    <m/>
    <s v="15/10/2020"/>
    <n v="0"/>
    <m/>
    <s v="22/05/2000"/>
    <x v="32"/>
    <m/>
    <s v="brasileira"/>
    <s v="ARACAJU"/>
    <s v="SE"/>
    <s v="BR"/>
    <s v="Não"/>
    <s v="M"/>
    <s v="Não"/>
    <m/>
    <s v="Solt."/>
    <s v="Negra"/>
    <s v="Colegial completo"/>
    <m/>
    <n v="22001165"/>
    <s v="220/M"/>
    <s v="OPER MAQUINA C"/>
    <n v="64201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5"/>
    <s v="GRS015OP"/>
    <d v="2020-10-01T00:00:00"/>
    <s v="Admissão"/>
    <s v="1.059,00"/>
    <s v="105900,00"/>
    <n v="1"/>
    <m/>
    <s v="N"/>
    <x v="333"/>
    <m/>
    <s v="27/05/2019"/>
    <s v="SE"/>
    <s v="072.474.325-19"/>
    <n v="9967263"/>
    <n v="40"/>
    <d v="2015-02-06T00:00:00"/>
    <s v="SE"/>
    <n v="20906995536"/>
    <m/>
    <m/>
    <m/>
    <m/>
    <m/>
    <m/>
    <m/>
    <m/>
    <m/>
    <x v="319"/>
    <n v="1"/>
    <n v="7"/>
    <d v="2017-07-08T00:00:00"/>
    <s v="SE"/>
    <n v="320000374971"/>
    <m/>
    <m/>
    <m/>
    <s v="RUA PROFESSOR GILENO DE FREITAS"/>
    <n v="153"/>
    <m/>
    <s v="BUGIO"/>
    <s v="ARACAJU"/>
    <s v="SE"/>
    <s v="49090-240"/>
    <m/>
    <n v="79999339391"/>
    <m/>
    <n v="341"/>
    <n v="5634"/>
    <x v="33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RAFAEDOS"/>
    <n v="1"/>
    <m/>
  </r>
  <r>
    <n v="102020"/>
    <x v="334"/>
    <s v="Ativo"/>
    <s v="AD"/>
    <n v="30047232"/>
    <s v="Colaborador–M.O.Var"/>
    <s v="Mensalista"/>
    <s v="1DX"/>
    <s v="Duratex S.A."/>
    <n v="9"/>
    <s v="FÁB LOUÇAS JUNDIAÍ I"/>
    <n v="9"/>
    <s v="DECA"/>
    <s v="SIM"/>
    <s v="0009 - FÁB LOUÇAS JUNDIAÍ I"/>
    <s v="DANIEL MARCELINO"/>
    <s v="DANIEL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s v="16/10/2020"/>
    <n v="0"/>
    <m/>
    <s v="27/04/1975"/>
    <x v="10"/>
    <m/>
    <s v="brasileira"/>
    <s v="LOUVEIRA"/>
    <s v="SP"/>
    <s v="BR"/>
    <s v="Não"/>
    <s v="M"/>
    <s v="Não"/>
    <m/>
    <s v="Divor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34"/>
    <m/>
    <s v="25/09/2019"/>
    <s v="SP"/>
    <s v="260.564.208-92"/>
    <n v="41768"/>
    <n v="126"/>
    <s v="23/04/2014"/>
    <s v="SP"/>
    <n v="12546913443"/>
    <m/>
    <m/>
    <m/>
    <m/>
    <m/>
    <m/>
    <m/>
    <m/>
    <m/>
    <x v="320"/>
    <n v="344"/>
    <n v="59"/>
    <s v="24/09/1993"/>
    <s v="SP"/>
    <m/>
    <m/>
    <m/>
    <m/>
    <s v="RUA DOS MIOSOTIS"/>
    <n v="30"/>
    <m/>
    <s v="PARQUE INTERNACIONA"/>
    <s v="CAMPO LIMPO PAULISTA"/>
    <s v="SP"/>
    <s v="13232-513"/>
    <m/>
    <n v="11982452851"/>
    <m/>
    <n v="341"/>
    <n v="2523"/>
    <x v="33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35"/>
    <s v="Ativo"/>
    <s v="AD"/>
    <n v="30047244"/>
    <s v="Colaborador–M.O.Var"/>
    <s v="Mensalista"/>
    <s v="1DX"/>
    <s v="Duratex S.A."/>
    <n v="9"/>
    <s v="FÁB LOUÇAS JUNDIAÍ I"/>
    <n v="9"/>
    <s v="DECA"/>
    <s v="SIM"/>
    <s v="0009 - FÁB LOUÇAS JUNDIAÍ I"/>
    <s v="ANDRE MIRANDOLA"/>
    <s v="ANDRE"/>
    <n v="10001552"/>
    <s v="DMF-06"/>
    <s v="DMF-06 - FABRICA DE ESMALTES - LJ I"/>
    <s v="DXLJ"/>
    <s v="DXFAESMA23"/>
    <s v="Fábrica de Esmalte"/>
    <n v="10004432"/>
    <s v="DMF-05"/>
    <s v="DMF-05 - PRODUCAO DE MASSAS - LJ I"/>
    <s v="DENYS PETERSON VIVIANI"/>
    <n v="10000080"/>
    <s v="EQUIPE"/>
    <s v="EQUIPE"/>
    <n v="10000017"/>
    <s v="DECA"/>
    <s v="DIR IND DECA (LOUCAS)"/>
    <m/>
    <m/>
    <m/>
    <m/>
    <m/>
    <m/>
    <s v="16/10/2020"/>
    <n v="0"/>
    <m/>
    <s v="22/01/1997"/>
    <x v="18"/>
    <m/>
    <s v="brasileira"/>
    <s v="VINHEDO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35"/>
    <m/>
    <s v="28/11/2014"/>
    <s v="SP"/>
    <s v="428.587.108-48"/>
    <n v="6691"/>
    <n v="431"/>
    <s v="24/11/2014"/>
    <s v="SP"/>
    <n v="14707280168"/>
    <m/>
    <m/>
    <m/>
    <m/>
    <m/>
    <m/>
    <m/>
    <m/>
    <m/>
    <x v="321"/>
    <n v="424"/>
    <n v="65"/>
    <d v="2015-03-03T00:00:00"/>
    <s v="SP"/>
    <n v="140873172880"/>
    <m/>
    <m/>
    <m/>
    <s v="RUA FRANCISCO CARILLO"/>
    <n v="137"/>
    <m/>
    <s v="JARDIM FLORESTAL"/>
    <s v="JUNDIAÍ"/>
    <s v="SP"/>
    <s v="13215-670"/>
    <m/>
    <n v="11999010105"/>
    <m/>
    <n v="341"/>
    <n v="7431"/>
    <x v="33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36"/>
    <s v="Ativo"/>
    <s v="AD"/>
    <n v="30049023"/>
    <s v="Colaborador–M.O.Var"/>
    <s v="Mensalista"/>
    <s v="1HY"/>
    <s v="HYDRA CORONA SIST.AQ.LTD."/>
    <n v="32"/>
    <s v="HYDRA ARACAJU"/>
    <n v="32"/>
    <s v="CORONA"/>
    <s v="SIM"/>
    <s v="0032 – FÁB. HYDRA ARACAJU"/>
    <s v="GEISIELLY VITORIA NASCIMENTO DOS SANTOS"/>
    <s v="GEISIELLY"/>
    <n v="10008680"/>
    <s v="HPA-08"/>
    <s v="HPA-08 - INJECAO - HÁ"/>
    <s v="HYAR"/>
    <s v="HYINJECA04"/>
    <s v="Injeção"/>
    <n v="10006827"/>
    <s v="HPA-06"/>
    <s v="HPA-06 - MONTADORAS - HA"/>
    <s v="RENAN SILVEIRA ABREU"/>
    <n v="10000080"/>
    <s v="EQUIPE"/>
    <s v="EQUIPE"/>
    <n v="10000019"/>
    <s v="HYDRA"/>
    <s v="DIR IND HYDRA"/>
    <m/>
    <m/>
    <m/>
    <m/>
    <m/>
    <m/>
    <s v="15/10/2020"/>
    <n v="0"/>
    <m/>
    <d v="2002-03-02T00:00:00"/>
    <x v="26"/>
    <m/>
    <s v="brasileira"/>
    <s v="ARACAJU"/>
    <s v="SE"/>
    <s v="BR"/>
    <s v="Não"/>
    <s v="F"/>
    <s v="Não"/>
    <m/>
    <s v="Solt."/>
    <s v="Negra"/>
    <s v="Colegial completo"/>
    <m/>
    <n v="22001165"/>
    <s v="220/M"/>
    <s v="OPER MAQUINA C"/>
    <n v="64201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5"/>
    <s v="GRS015OP"/>
    <d v="2020-10-01T00:00:00"/>
    <s v="Admissão"/>
    <s v="1.059,00"/>
    <s v="105900,00"/>
    <n v="1"/>
    <m/>
    <s v="N"/>
    <x v="336"/>
    <m/>
    <d v="2018-10-07T00:00:00"/>
    <s v="SE"/>
    <s v="104.230.665-60"/>
    <n v="1262041"/>
    <n v="60"/>
    <d v="2018-10-07T00:00:00"/>
    <s v="SE"/>
    <n v="20369891362"/>
    <m/>
    <m/>
    <m/>
    <m/>
    <m/>
    <m/>
    <m/>
    <m/>
    <m/>
    <x v="322"/>
    <n v="13"/>
    <n v="179"/>
    <s v="23/09/2020"/>
    <s v="SE"/>
    <m/>
    <m/>
    <m/>
    <m/>
    <s v="RUA ALDEMAR ANDRADE BOTO"/>
    <n v="237"/>
    <m/>
    <s v="DOM LUCIANO"/>
    <s v="ARACAJU"/>
    <s v="SE"/>
    <s v="49070-010"/>
    <m/>
    <n v="79981164733"/>
    <m/>
    <n v="341"/>
    <n v="5634"/>
    <x v="33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GEISISAN"/>
    <n v="1"/>
    <m/>
  </r>
  <r>
    <n v="102020"/>
    <x v="337"/>
    <s v="Ativo"/>
    <s v="AD"/>
    <n v="30035651"/>
    <s v="Colaborador–M.O.Var"/>
    <s v="Mensalista"/>
    <s v="1HY"/>
    <s v="HYDRA CORONA SIST.AQ.LTD."/>
    <n v="32"/>
    <s v="HYDRA ARACAJU"/>
    <n v="32"/>
    <s v="CORONA"/>
    <s v="SIM"/>
    <s v="0032 – FÁB. HYDRA ARACAJU"/>
    <s v="WILLYANSON MAYRINCK MARTINS ALVES"/>
    <s v="WILLYANSON"/>
    <n v="10004074"/>
    <s v="HPA-14"/>
    <s v="HPA-14 - LINHAS MONTADORAS - HA"/>
    <s v="HYAR"/>
    <s v="HYMONTAD04"/>
    <s v="Linhas Montadoras"/>
    <n v="10008087"/>
    <s v="HPA-01"/>
    <s v="HPA-01 - PRODUCAO - HA"/>
    <s v="JENILTON MATIAS DOS SANTOS"/>
    <n v="10000080"/>
    <s v="EQUIPE"/>
    <s v="EQUIPE"/>
    <n v="10000019"/>
    <s v="HYDRA"/>
    <s v="DIR IND HYDRA"/>
    <m/>
    <m/>
    <m/>
    <m/>
    <m/>
    <m/>
    <s v="15/10/2020"/>
    <n v="0"/>
    <m/>
    <s v="30/03/1999"/>
    <x v="13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37"/>
    <m/>
    <s v="22/09/2014"/>
    <s v="SE"/>
    <s v="085.571.305-46"/>
    <n v="6992312"/>
    <n v="50"/>
    <s v="25/05/2017"/>
    <s v="SE"/>
    <n v="20008330926"/>
    <m/>
    <m/>
    <m/>
    <m/>
    <m/>
    <m/>
    <m/>
    <m/>
    <m/>
    <x v="323"/>
    <n v="1"/>
    <n v="438"/>
    <d v="2017-03-07T00:00:00"/>
    <s v="SE"/>
    <n v="190034324557"/>
    <m/>
    <m/>
    <m/>
    <s v="RUA CEL PADILHA"/>
    <n v="60"/>
    <m/>
    <s v="DEZOITO DO FORTE"/>
    <s v="ARACAJU"/>
    <s v="SE"/>
    <s v="49072-140"/>
    <m/>
    <n v="79998449729"/>
    <m/>
    <n v="341"/>
    <n v="297"/>
    <x v="33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WILLYALV"/>
    <n v="1"/>
    <m/>
  </r>
  <r>
    <n v="102020"/>
    <x v="338"/>
    <s v="Ativo"/>
    <s v="AD"/>
    <n v="30049018"/>
    <s v="Colaborador–M.O.Var"/>
    <s v="Mensalista"/>
    <s v="1HY"/>
    <s v="HYDRA CORONA SIST.AQ.LTD."/>
    <n v="32"/>
    <s v="HYDRA ARACAJU"/>
    <n v="32"/>
    <s v="CORONA"/>
    <s v="SIM"/>
    <s v="0032 – FÁB. HYDRA ARACAJU"/>
    <s v="JOAO PAULO FERNANDES SANTOS TELES"/>
    <s v="JOAO"/>
    <n v="10004074"/>
    <s v="HPA-14"/>
    <s v="HPA-14 - LINHAS MONTADORAS - HA"/>
    <s v="HYAR"/>
    <s v="HYMONTAD04"/>
    <s v="Linhas Montadoras"/>
    <n v="10008087"/>
    <s v="HPA-01"/>
    <s v="HPA-01 - PRODUCAO - HA"/>
    <s v="JENILTON MATIAS DOS SANTOS"/>
    <n v="10000080"/>
    <s v="EQUIPE"/>
    <s v="EQUIPE"/>
    <n v="10000019"/>
    <s v="HYDRA"/>
    <s v="DIR IND HYDRA"/>
    <m/>
    <m/>
    <m/>
    <m/>
    <m/>
    <m/>
    <s v="15/10/2020"/>
    <n v="0"/>
    <m/>
    <s v="16/06/2000"/>
    <x v="32"/>
    <m/>
    <s v="brasileira"/>
    <s v="ARACAJU"/>
    <s v="SE"/>
    <s v="BR"/>
    <s v="Não"/>
    <s v="M"/>
    <s v="Não"/>
    <m/>
    <s v="Solt."/>
    <s v="Pard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38"/>
    <m/>
    <s v="16/04/2015"/>
    <s v="SE"/>
    <s v="080.350.565-57"/>
    <n v="1267641"/>
    <n v="60"/>
    <s v="28/08/2018"/>
    <s v="SE"/>
    <n v="20363250918"/>
    <m/>
    <m/>
    <m/>
    <m/>
    <m/>
    <m/>
    <m/>
    <m/>
    <m/>
    <x v="324"/>
    <n v="1"/>
    <n v="257"/>
    <s v="22/09/2020"/>
    <s v="SE"/>
    <n v="320000334294"/>
    <m/>
    <m/>
    <m/>
    <s v="TRAVESSA ANCHIETA INV ANCHIETAO"/>
    <n v="229"/>
    <m/>
    <s v="BUGIO"/>
    <s v="ARACAJU"/>
    <s v="SE"/>
    <s v="49091-100"/>
    <m/>
    <n v="79996435356"/>
    <m/>
    <n v="341"/>
    <n v="5634"/>
    <x v="33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JOATELES"/>
    <n v="1"/>
    <m/>
  </r>
  <r>
    <n v="102020"/>
    <x v="339"/>
    <s v="Ativo"/>
    <s v="AD"/>
    <n v="30049019"/>
    <s v="Colaborador–M.O.Var"/>
    <s v="Mensalista"/>
    <s v="1HY"/>
    <s v="HYDRA CORONA SIST.AQ.LTD."/>
    <n v="32"/>
    <s v="HYDRA ARACAJU"/>
    <n v="32"/>
    <s v="CORONA"/>
    <s v="SIM"/>
    <s v="0032 – FÁB. HYDRA ARACAJU"/>
    <s v="ALEXANDRA SANTANA DE ALMEIDA"/>
    <s v="ALEXANDRA"/>
    <n v="10008680"/>
    <s v="HPA-08"/>
    <s v="HPA-08 - INJECAO - HÁ"/>
    <s v="HYAR"/>
    <s v="HYINJECA04"/>
    <s v="Injeção"/>
    <n v="10006827"/>
    <s v="HPA-06"/>
    <s v="HPA-06 - MONTADORAS - HA"/>
    <s v="RENAN SILVEIRA ABREU"/>
    <n v="10000080"/>
    <s v="EQUIPE"/>
    <s v="EQUIPE"/>
    <n v="10000019"/>
    <s v="HYDRA"/>
    <s v="DIR IND HYDRA"/>
    <m/>
    <m/>
    <m/>
    <m/>
    <m/>
    <m/>
    <s v="15/10/2020"/>
    <n v="0"/>
    <m/>
    <s v="30/12/1980"/>
    <x v="20"/>
    <m/>
    <s v="brasileira"/>
    <s v="ARACAJU"/>
    <s v="SE"/>
    <s v="BR"/>
    <s v="Não"/>
    <s v="F"/>
    <s v="Não"/>
    <m/>
    <s v="Solt."/>
    <s v="Negra"/>
    <s v="Colegial completo"/>
    <m/>
    <n v="22001165"/>
    <s v="220/M"/>
    <s v="OPER MAQUINA C"/>
    <n v="64201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5"/>
    <s v="GRS015OP"/>
    <d v="2020-10-01T00:00:00"/>
    <s v="Admissão"/>
    <s v="1.059,00"/>
    <s v="105900,00"/>
    <n v="1"/>
    <m/>
    <s v="N"/>
    <x v="339"/>
    <m/>
    <s v="16/09/2014"/>
    <s v="SE"/>
    <s v="000.602.765-25"/>
    <n v="55501"/>
    <n v="7"/>
    <d v="1997-05-08T00:00:00"/>
    <s v="SE"/>
    <n v="16150766595"/>
    <m/>
    <m/>
    <m/>
    <m/>
    <m/>
    <m/>
    <m/>
    <m/>
    <m/>
    <x v="325"/>
    <n v="34"/>
    <n v="130"/>
    <d v="2011-05-08T00:00:00"/>
    <s v="SE"/>
    <m/>
    <m/>
    <m/>
    <m/>
    <s v="RUA A CINCO"/>
    <n v="212"/>
    <m/>
    <s v="MARCOS FREIRE"/>
    <s v="NOSSA SENHORA DO SOCORRO"/>
    <s v="SE"/>
    <s v="49160-000"/>
    <m/>
    <n v="79998655866"/>
    <m/>
    <n v="341"/>
    <n v="7811"/>
    <x v="33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ALEXAALM"/>
    <n v="1"/>
    <m/>
  </r>
  <r>
    <n v="102020"/>
    <x v="340"/>
    <s v="Ativo"/>
    <s v="AD"/>
    <n v="30049026"/>
    <s v="Colaborador–M.O.Var"/>
    <s v="Mensalista"/>
    <s v="1HY"/>
    <s v="HYDRA CORONA SIST.AQ.LTD."/>
    <n v="32"/>
    <s v="HYDRA ARACAJU"/>
    <n v="32"/>
    <s v="CORONA"/>
    <s v="SIM"/>
    <s v="0032 – FÁB. HYDRA ARACAJU"/>
    <s v="BRENO RAMOS MARQUES"/>
    <s v="BRENO"/>
    <n v="10004049"/>
    <s v="HPA-08"/>
    <s v="HPA-08 - LINHAS MONTADORAS - HA"/>
    <s v="HYAR"/>
    <s v="HYMONTAD04"/>
    <s v="Linhas Montadoras"/>
    <n v="10008087"/>
    <s v="HPA-01"/>
    <s v="HPA-01 - PRODUCAO - HA"/>
    <s v="ANDERSON RICARDO ROSSI ALVES"/>
    <n v="10000059"/>
    <s v="SUPERVISOR"/>
    <s v="SUPERVISOR"/>
    <n v="10000019"/>
    <s v="HYDRA"/>
    <s v="DIR IND HYDRA"/>
    <m/>
    <m/>
    <m/>
    <m/>
    <m/>
    <m/>
    <s v="15/10/2020"/>
    <n v="0"/>
    <m/>
    <d v="2000-12-06T00:00:00"/>
    <x v="32"/>
    <m/>
    <s v="brasileira"/>
    <s v="ARACAJU"/>
    <s v="SE"/>
    <s v="BR"/>
    <s v="Não"/>
    <s v="M"/>
    <s v="Não"/>
    <m/>
    <s v="Solt."/>
    <s v="Negr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40"/>
    <m/>
    <d v="2017-11-07T00:00:00"/>
    <s v="SE"/>
    <s v="077.757.125-03"/>
    <n v="6996534"/>
    <n v="50"/>
    <s v="27/06/2017"/>
    <s v="SE"/>
    <n v="21273248459"/>
    <m/>
    <m/>
    <m/>
    <m/>
    <m/>
    <m/>
    <m/>
    <m/>
    <m/>
    <x v="326"/>
    <n v="2"/>
    <n v="636"/>
    <s v="25/01/2019"/>
    <s v="SE"/>
    <n v="320000687067"/>
    <m/>
    <m/>
    <m/>
    <s v="RUA B"/>
    <n v="125"/>
    <m/>
    <s v="SANTA MARIA"/>
    <s v="ARACAJU"/>
    <s v="SE"/>
    <s v="49000-000"/>
    <m/>
    <n v="79988453872"/>
    <m/>
    <n v="341"/>
    <n v="1170"/>
    <x v="34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BRMARQUE"/>
    <n v="1"/>
    <m/>
  </r>
  <r>
    <n v="102020"/>
    <x v="341"/>
    <s v="Ativo"/>
    <s v="AD"/>
    <n v="30049025"/>
    <s v="Colaborador–M.O.Var"/>
    <s v="Mensalista"/>
    <s v="1HY"/>
    <s v="HYDRA CORONA SIST.AQ.LTD."/>
    <n v="32"/>
    <s v="HYDRA ARACAJU"/>
    <n v="32"/>
    <s v="CORONA"/>
    <s v="SIM"/>
    <s v="0032 – FÁB. HYDRA ARACAJU"/>
    <s v="BARBARA SANTOS DA PAIXAO"/>
    <s v="BARBARA"/>
    <n v="10008680"/>
    <s v="HPA-08"/>
    <s v="HPA-08 - INJECAO - HÁ"/>
    <s v="HYAR"/>
    <s v="HYINJECA04"/>
    <s v="Injeção"/>
    <n v="10006827"/>
    <s v="HPA-06"/>
    <s v="HPA-06 - MONTADORAS - HA"/>
    <s v="RENAN SILVEIRA ABREU"/>
    <n v="10000080"/>
    <s v="EQUIPE"/>
    <s v="EQUIPE"/>
    <n v="10000019"/>
    <s v="HYDRA"/>
    <s v="DIR IND HYDRA"/>
    <m/>
    <m/>
    <m/>
    <m/>
    <m/>
    <m/>
    <s v="15/10/2020"/>
    <n v="0"/>
    <m/>
    <s v="25/06/2002"/>
    <x v="26"/>
    <m/>
    <s v="brasileira"/>
    <s v="ARACAJU"/>
    <s v="SE"/>
    <s v="BR"/>
    <s v="Não"/>
    <s v="F"/>
    <s v="Não"/>
    <m/>
    <s v="Solt."/>
    <s v="Parda"/>
    <s v="Colegial incompleto"/>
    <m/>
    <n v="22001165"/>
    <s v="220/M"/>
    <s v="OPER MAQUINA C"/>
    <n v="64201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5"/>
    <s v="GRS015OP"/>
    <d v="2020-10-01T00:00:00"/>
    <s v="Admissão"/>
    <s v="1.059,00"/>
    <s v="105900,00"/>
    <n v="1"/>
    <m/>
    <s v="N"/>
    <x v="341"/>
    <m/>
    <s v="17/02/2014"/>
    <s v="SE"/>
    <s v="089.314.075-99"/>
    <n v="2085805"/>
    <n v="60"/>
    <s v="27/11/2018"/>
    <s v="SE"/>
    <n v="15522485500"/>
    <m/>
    <m/>
    <m/>
    <m/>
    <m/>
    <m/>
    <m/>
    <m/>
    <m/>
    <x v="327"/>
    <n v="1"/>
    <n v="172"/>
    <d v="2020-07-01T00:00:00"/>
    <s v="SE"/>
    <m/>
    <m/>
    <m/>
    <m/>
    <s v="RUA JOAO BENEVIDES MARQUES"/>
    <n v="109"/>
    <m/>
    <s v="DEZOITO DO FORTE"/>
    <s v="ARACAJU"/>
    <s v="SE"/>
    <s v="49072-380"/>
    <m/>
    <n v="79999284903"/>
    <m/>
    <n v="341"/>
    <n v="5634"/>
    <x v="34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BPAIXAO"/>
    <n v="1"/>
    <m/>
  </r>
  <r>
    <n v="102020"/>
    <x v="342"/>
    <s v="Ativo"/>
    <s v="AD"/>
    <n v="30049021"/>
    <s v="Colaborador–M.O.Var"/>
    <s v="Mensalista"/>
    <s v="1HY"/>
    <s v="HYDRA CORONA SIST.AQ.LTD."/>
    <n v="32"/>
    <s v="HYDRA ARACAJU"/>
    <n v="32"/>
    <s v="CORONA"/>
    <s v="SIM"/>
    <s v="0032 – FÁB. HYDRA ARACAJU"/>
    <s v="MARIANE SANDRYNE SANTOS DIAS"/>
    <s v="MARIANE"/>
    <n v="10004049"/>
    <s v="HPA-08"/>
    <s v="HPA-08 - LINHAS MONTADORAS - HA"/>
    <s v="HYAR"/>
    <s v="HYMONTAD04"/>
    <s v="Linhas Montadoras"/>
    <n v="10008087"/>
    <s v="HPA-01"/>
    <s v="HPA-01 - PRODUCAO - HA"/>
    <s v="ANDERSON RICARDO ROSSI ALVES"/>
    <n v="10000059"/>
    <s v="SUPERVISOR"/>
    <s v="SUPERVISOR"/>
    <n v="10000019"/>
    <s v="HYDRA"/>
    <s v="DIR IND HYDRA"/>
    <m/>
    <m/>
    <m/>
    <m/>
    <m/>
    <m/>
    <s v="15/10/2020"/>
    <n v="0"/>
    <m/>
    <s v="16/09/1993"/>
    <x v="16"/>
    <m/>
    <s v="brasileira"/>
    <s v="ARACAJU"/>
    <s v="SE"/>
    <s v="BR"/>
    <s v="Não"/>
    <s v="F"/>
    <s v="Não"/>
    <m/>
    <s v="Solt."/>
    <s v="Negr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42"/>
    <m/>
    <s v="20/01/2015"/>
    <s v="SE"/>
    <s v="054.850.915-80"/>
    <n v="5875814"/>
    <n v="40"/>
    <s v="17/01/2014"/>
    <s v="SE"/>
    <n v="21281340350"/>
    <m/>
    <m/>
    <m/>
    <m/>
    <m/>
    <m/>
    <m/>
    <m/>
    <m/>
    <x v="328"/>
    <n v="2"/>
    <n v="145"/>
    <d v="2011-10-10T00:00:00"/>
    <s v="SE"/>
    <m/>
    <m/>
    <m/>
    <m/>
    <s v="RUA JOSE DA SILVA CARVALHO"/>
    <n v="685"/>
    <m/>
    <s v="JARDIM CENTENARIO"/>
    <s v="ARACAJU"/>
    <s v="SE"/>
    <s v="49000-000"/>
    <m/>
    <n v="79988033284"/>
    <m/>
    <n v="341"/>
    <n v="5634"/>
    <x v="34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IADIA"/>
    <n v="1"/>
    <m/>
  </r>
  <r>
    <n v="102020"/>
    <x v="343"/>
    <s v="Ativo"/>
    <s v="AD"/>
    <n v="30036220"/>
    <s v="Colaborador–M.O.Var"/>
    <s v="Mensalista"/>
    <s v="1HY"/>
    <s v="HYDRA CORONA SIST.AQ.LTD."/>
    <n v="32"/>
    <s v="HYDRA ARACAJU"/>
    <n v="32"/>
    <s v="CORONA"/>
    <s v="SIM"/>
    <s v="0032 – FÁB. HYDRA ARACAJU"/>
    <s v="MAISA RESENDE"/>
    <s v="MAISA"/>
    <n v="10004025"/>
    <s v="HPA-02"/>
    <s v="HPA-02 - LINHAS MONTADORAS - HA"/>
    <s v="HYAR"/>
    <s v="HYMONTAD04"/>
    <s v="Linhas Montadoras"/>
    <n v="10006828"/>
    <s v="HPA-06"/>
    <s v="HPA-06 - MONTADORAS - HA"/>
    <s v="ANDERSON FERREIRA DE SOUZA"/>
    <n v="10000080"/>
    <s v="EQUIPE"/>
    <s v="EQUIPE"/>
    <n v="10000019"/>
    <s v="HYDRA"/>
    <s v="DIR IND HYDRA"/>
    <m/>
    <m/>
    <m/>
    <m/>
    <m/>
    <m/>
    <s v="15/10/2020"/>
    <n v="0"/>
    <m/>
    <s v="18/03/1993"/>
    <x v="16"/>
    <m/>
    <s v="brasileira"/>
    <s v="SALESOPOLIS"/>
    <s v="SP"/>
    <s v="BR"/>
    <s v="Não"/>
    <s v="F"/>
    <s v="Não"/>
    <m/>
    <s v="Solt."/>
    <s v="Branca"/>
    <s v="Colegial completo"/>
    <m/>
    <n v="22003304"/>
    <s v="220/M"/>
    <s v="OPER MAQUINA JR"/>
    <n v="862150"/>
    <s v="Admissão"/>
    <d v="2020-10-01T00:00:00"/>
    <s v="220,00"/>
    <m/>
    <s v="HDD-01"/>
    <s v="DDI-01"/>
    <s v="CSS-01"/>
    <s v="DDE-01"/>
    <s v="PRE-01"/>
    <s v="1.060,00"/>
    <s v="1.060,00"/>
    <s v="1.060,00"/>
    <s v="0,00"/>
    <s v="HU"/>
    <s v="HYDRA ARACAJU-220/M"/>
    <n v="13"/>
    <s v="GRS013OP"/>
    <d v="2020-10-01T00:00:00"/>
    <s v="Admissão"/>
    <s v="1.059,00"/>
    <s v="105900,00"/>
    <n v="1"/>
    <m/>
    <s v="N"/>
    <x v="343"/>
    <m/>
    <s v="14/04/2007"/>
    <s v="SE"/>
    <s v="063.211.795-82"/>
    <n v="2794721"/>
    <n v="30"/>
    <s v="14/07/2009"/>
    <s v="SE"/>
    <n v="14186737270"/>
    <m/>
    <m/>
    <m/>
    <m/>
    <m/>
    <m/>
    <m/>
    <m/>
    <m/>
    <x v="329"/>
    <n v="34"/>
    <n v="17"/>
    <d v="2012-02-05T00:00:00"/>
    <s v="SE"/>
    <m/>
    <m/>
    <m/>
    <m/>
    <s v="RUA 69"/>
    <n v="214"/>
    <m/>
    <s v="PARQUE DOS FAROIS"/>
    <s v="NOSSA SENHORA DO SOCORRO"/>
    <s v="SE"/>
    <s v="49160-000"/>
    <m/>
    <n v="79988766218"/>
    <m/>
    <n v="341"/>
    <n v="5634"/>
    <x v="34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MARESEND"/>
    <n v="1"/>
    <m/>
  </r>
  <r>
    <n v="102020"/>
    <x v="344"/>
    <s v="Ativo"/>
    <s v="AD"/>
    <n v="30039211"/>
    <s v="Colaborador–M.O.Var"/>
    <s v="Horista"/>
    <s v="1DX"/>
    <s v="Duratex S.A."/>
    <n v="7"/>
    <s v="FÁB METAIS JUNDIAÍ"/>
    <n v="7"/>
    <s v="DECA"/>
    <s v="SIM"/>
    <s v="0007 - FÁB METAIS JUNDIAÍ"/>
    <s v="FERNANDO ESTEVAM DA SILVA"/>
    <s v="FERNANDO"/>
    <n v="10001466"/>
    <s v="DVM-03"/>
    <s v="DVM-03– USINAGEM - MP"/>
    <s v="DXMP"/>
    <s v="DXUSINAG33"/>
    <s v="Usinagem MP"/>
    <n v="10001047"/>
    <s v="DVM-02"/>
    <s v="DVM-02 - ACABAMENTO - MP"/>
    <s v="SILVIO APARECIDO BARROS"/>
    <n v="10000080"/>
    <s v="EQUIPE"/>
    <s v="EQUIPE"/>
    <n v="10000002"/>
    <s v="DECA"/>
    <s v="DIR IND DECA (METAIS)"/>
    <m/>
    <m/>
    <m/>
    <m/>
    <m/>
    <m/>
    <s v="15/10/2020"/>
    <n v="0"/>
    <m/>
    <d v="1982-12-11T00:00:00"/>
    <x v="31"/>
    <m/>
    <s v="brasileira"/>
    <s v="JUNDIAI"/>
    <s v="SP"/>
    <s v="BR"/>
    <s v="Não"/>
    <s v="M"/>
    <s v="Não"/>
    <m/>
    <s v="Solt."/>
    <s v="Parda"/>
    <s v="Colegial completo"/>
    <m/>
    <n v="22000417"/>
    <s v="220/H"/>
    <s v="OPER PRODUCAO C"/>
    <n v="862150"/>
    <s v="Admissão"/>
    <d v="2020-10-01T00:00:00"/>
    <s v="220,00"/>
    <m/>
    <s v="DJD-01"/>
    <s v="DDI-01"/>
    <s v="CSS-01"/>
    <s v="DDE-01"/>
    <s v="PRE-01"/>
    <s v="1.859,00"/>
    <s v="8,45"/>
    <s v="1.859,00"/>
    <s v="0,00"/>
    <s v="BV"/>
    <s v="METAIS JUNDIAÍ-220/H"/>
    <n v="16"/>
    <s v="GRS016OP"/>
    <d v="2020-10-01T00:00:00"/>
    <s v="Admissão"/>
    <s v="1.858,00"/>
    <s v="185800,00"/>
    <n v="1"/>
    <s v="Ausência B.H. Empregado"/>
    <s v="N"/>
    <x v="344"/>
    <m/>
    <d v="1999-05-04T00:00:00"/>
    <s v="SP"/>
    <s v="322.467.868-27"/>
    <n v="21895"/>
    <n v="251"/>
    <s v="15/01/1999"/>
    <s v="SP"/>
    <n v="12739725266"/>
    <m/>
    <m/>
    <m/>
    <m/>
    <m/>
    <m/>
    <m/>
    <m/>
    <m/>
    <x v="330"/>
    <n v="65"/>
    <n v="239"/>
    <d v="2011-01-09T00:00:00"/>
    <s v="SP"/>
    <m/>
    <m/>
    <m/>
    <m/>
    <s v="RUA QUINZE DE NOVEMBRO"/>
    <n v="1266"/>
    <m/>
    <s v="VILA MUNICIPAL"/>
    <s v="JUNDIAÍ"/>
    <s v="SP"/>
    <s v="13201-305"/>
    <m/>
    <n v="11941781555"/>
    <m/>
    <n v="341"/>
    <n v="2731"/>
    <x v="344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s v="FESTEVAM"/>
    <n v="1"/>
    <m/>
  </r>
  <r>
    <n v="102020"/>
    <x v="345"/>
    <s v="Ativo"/>
    <s v="AD"/>
    <n v="30048549"/>
    <s v="Colaborador–M.O.Fixa"/>
    <s v="Aprendiz"/>
    <s v="1HY"/>
    <s v="HYDRA CORONA SIST.AQ.LTD."/>
    <n v="32"/>
    <s v="HYDRA ARACAJU"/>
    <n v="32"/>
    <s v="CORONA"/>
    <s v="SIM"/>
    <s v="0032 – FÁB. HYDRA ARACAJU"/>
    <s v="DANIEL SIQUEIRA SANTOS"/>
    <s v="DANIEL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3/04/2000"/>
    <x v="32"/>
    <m/>
    <s v="brasileira"/>
    <s v="ARACAJU"/>
    <s v="SE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22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45"/>
    <m/>
    <s v="18/10/2019"/>
    <s v="SE"/>
    <s v="088.889.625-57"/>
    <n v="6993145"/>
    <n v="50"/>
    <s v="30/05/2017"/>
    <s v="SE"/>
    <n v="20458934911"/>
    <m/>
    <m/>
    <m/>
    <m/>
    <m/>
    <m/>
    <m/>
    <m/>
    <m/>
    <x v="331"/>
    <n v="34"/>
    <n v="97"/>
    <d v="2018-03-05T00:00:00"/>
    <s v="SE"/>
    <m/>
    <m/>
    <m/>
    <m/>
    <s v="TRAVESSA TREZE B"/>
    <n v="123"/>
    <m/>
    <s v="FERNANDO COLLOR"/>
    <s v="NOSSA SENHORA DO SOCORRO"/>
    <s v="SE"/>
    <s v="49160-000"/>
    <m/>
    <n v="79996776838"/>
    <m/>
    <n v="341"/>
    <n v="7811"/>
    <x v="345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46"/>
    <s v="Ativo"/>
    <s v="AD"/>
    <n v="30048550"/>
    <s v="Colaborador–M.O.Fixa"/>
    <s v="Aprendiz"/>
    <s v="1HY"/>
    <s v="HYDRA CORONA SIST.AQ.LTD."/>
    <n v="32"/>
    <s v="HYDRA ARACAJU"/>
    <n v="32"/>
    <s v="CORONA"/>
    <s v="SIM"/>
    <s v="0032 – FÁB. HYDRA ARACAJU"/>
    <s v="VITORIA MALTA DE ANDRADE"/>
    <s v="VITORI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3/08/2000"/>
    <x v="32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46"/>
    <m/>
    <d v="2019-01-04T00:00:00"/>
    <s v="SE"/>
    <s v="068.871.155-30"/>
    <n v="3795003"/>
    <n v="60"/>
    <d v="2019-01-04T00:00:00"/>
    <s v="SE"/>
    <n v="23619736606"/>
    <m/>
    <m/>
    <m/>
    <m/>
    <m/>
    <m/>
    <m/>
    <m/>
    <m/>
    <x v="332"/>
    <n v="1"/>
    <n v="444"/>
    <d v="2018-10-04T00:00:00"/>
    <s v="SE"/>
    <m/>
    <m/>
    <m/>
    <m/>
    <s v="RUA GOIAS"/>
    <n v="1074"/>
    <m/>
    <s v="AGAME MAGALHAES"/>
    <s v="ARACAJU"/>
    <s v="SE"/>
    <s v="49085-150"/>
    <m/>
    <n v="79996503999"/>
    <m/>
    <n v="341"/>
    <n v="5634"/>
    <x v="346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47"/>
    <s v="Ativo"/>
    <s v="AD"/>
    <n v="30048551"/>
    <s v="Colaborador–M.O.Fixa"/>
    <s v="Aprendiz"/>
    <s v="1HY"/>
    <s v="HYDRA CORONA SIST.AQ.LTD."/>
    <n v="32"/>
    <s v="HYDRA ARACAJU"/>
    <n v="32"/>
    <s v="CORONA"/>
    <s v="SIM"/>
    <s v="0032 – FÁB. HYDRA ARACAJU"/>
    <s v="SARAH HELLEN DE MELO DE FERREIRA"/>
    <s v="SARAH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8/04/1999"/>
    <x v="13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47"/>
    <m/>
    <d v="2011-10-02T00:00:00"/>
    <s v="SE"/>
    <s v="065.071.765-16"/>
    <n v="1634608"/>
    <n v="50"/>
    <d v="2015-10-09T00:00:00"/>
    <s v="SE"/>
    <n v="16605031807"/>
    <m/>
    <m/>
    <m/>
    <m/>
    <m/>
    <m/>
    <m/>
    <m/>
    <m/>
    <x v="333"/>
    <n v="34"/>
    <n v="294"/>
    <s v="24/09/2015"/>
    <s v="SE"/>
    <m/>
    <m/>
    <m/>
    <m/>
    <s v="RUA 12"/>
    <n v="66"/>
    <m/>
    <s v="TAICOCA"/>
    <s v="NOSSA SENHORA DO SOCORRO"/>
    <s v="SE"/>
    <s v="49160-000"/>
    <m/>
    <n v="79988073193"/>
    <m/>
    <n v="341"/>
    <n v="7811"/>
    <x v="347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48"/>
    <s v="Ativo"/>
    <s v="AD"/>
    <n v="30048554"/>
    <s v="Colaborador–M.O.Fixa"/>
    <s v="Aprendiz"/>
    <s v="1HY"/>
    <s v="HYDRA CORONA SIST.AQ.LTD."/>
    <n v="32"/>
    <s v="HYDRA ARACAJU"/>
    <n v="32"/>
    <s v="CORONA"/>
    <s v="SIM"/>
    <s v="0032 – FÁB. HYDRA ARACAJU"/>
    <s v="MARIANA SILVA DOS SANTOS"/>
    <s v="MARIAN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31/10/1999"/>
    <x v="13"/>
    <m/>
    <s v="brasileira"/>
    <s v="ARACAJU"/>
    <s v="SE"/>
    <s v="BR"/>
    <s v="Não"/>
    <s v="F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48"/>
    <m/>
    <d v="2017-09-02T00:00:00"/>
    <s v="SE"/>
    <s v="064.571.785-10"/>
    <n v="2924747"/>
    <n v="50"/>
    <s v="21/01/2016"/>
    <s v="SE"/>
    <n v="14496865242"/>
    <m/>
    <m/>
    <m/>
    <m/>
    <m/>
    <m/>
    <m/>
    <m/>
    <m/>
    <x v="334"/>
    <n v="2"/>
    <n v="60"/>
    <s v="21/01/2016"/>
    <s v="SE"/>
    <m/>
    <m/>
    <m/>
    <m/>
    <s v="TRAVESSA NOE BERNARDO BASTOS"/>
    <n v="15"/>
    <m/>
    <s v="GETULIO VARGAS"/>
    <s v="ARACAJU"/>
    <s v="SE"/>
    <s v="49055-690"/>
    <m/>
    <n v="79991385207"/>
    <m/>
    <n v="341"/>
    <n v="297"/>
    <x v="348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49"/>
    <s v="Ativo"/>
    <s v="AD"/>
    <n v="30048561"/>
    <s v="Colaborador–M.O.Fixa"/>
    <s v="Aprendiz"/>
    <s v="1HY"/>
    <s v="HYDRA CORONA SIST.AQ.LTD."/>
    <n v="32"/>
    <s v="HYDRA ARACAJU"/>
    <n v="32"/>
    <s v="CORONA"/>
    <s v="SIM"/>
    <s v="0032 – FÁB. HYDRA ARACAJU"/>
    <s v="KLIVIANE SANTOS REIS"/>
    <s v="KLIVIAN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4/03/1999"/>
    <x v="13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49"/>
    <m/>
    <s v="30/04/2010"/>
    <s v="SE"/>
    <s v="060.657.485-95"/>
    <n v="1258373"/>
    <n v="50"/>
    <d v="2015-09-07T00:00:00"/>
    <s v="SE"/>
    <n v="20087642659"/>
    <m/>
    <m/>
    <m/>
    <m/>
    <m/>
    <m/>
    <m/>
    <m/>
    <m/>
    <x v="335"/>
    <n v="21"/>
    <n v="252"/>
    <s v="14/08/2019"/>
    <s v="SE"/>
    <m/>
    <m/>
    <m/>
    <m/>
    <s v="RUA SERGIPE"/>
    <n v="983"/>
    <m/>
    <s v="SIQUEIRA CAMPOS"/>
    <s v="ARACAJU"/>
    <s v="SE"/>
    <s v="49075-540"/>
    <m/>
    <n v="79999157666"/>
    <m/>
    <n v="341"/>
    <n v="5634"/>
    <x v="349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0"/>
    <s v="Ativo"/>
    <s v="AD"/>
    <n v="30131182"/>
    <s v="Colaborador–M.O.Fixa"/>
    <s v="Aprendiz"/>
    <s v="1HY"/>
    <s v="HYDRA CORONA SIST.AQ.LTD."/>
    <n v="32"/>
    <s v="HYDRA ARACAJU"/>
    <n v="32"/>
    <s v="CORONA"/>
    <s v="SIM"/>
    <s v="0032 – FÁB. HYDRA ARACAJU"/>
    <s v="PALOMA MARIA SANTOS VIEIRA"/>
    <s v="PALOM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9/11/2001"/>
    <x v="26"/>
    <m/>
    <s v="brasileira"/>
    <s v="ARACAJU"/>
    <s v="SE"/>
    <s v="BR"/>
    <s v="Não"/>
    <s v="F"/>
    <s v="Não"/>
    <m/>
    <s v="Solt."/>
    <s v="Não Informado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0"/>
    <m/>
    <d v="2020-08-01T00:00:00"/>
    <s v="SE"/>
    <s v="057.439.915-10"/>
    <n v="2923449"/>
    <n v="50"/>
    <d v="2016-11-01T00:00:00"/>
    <s v="SE"/>
    <n v="20950077164"/>
    <m/>
    <m/>
    <m/>
    <m/>
    <m/>
    <m/>
    <m/>
    <m/>
    <m/>
    <x v="88"/>
    <m/>
    <m/>
    <m/>
    <m/>
    <m/>
    <m/>
    <m/>
    <m/>
    <s v="RUA SERGIPE"/>
    <n v="1624"/>
    <m/>
    <s v="SIQUEIRA CAMPOS"/>
    <s v="ARACAJU"/>
    <s v="SE"/>
    <s v="49075-540"/>
    <m/>
    <n v="79988384046"/>
    <m/>
    <n v="341"/>
    <n v="5634"/>
    <x v="350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1"/>
    <s v="Ativo"/>
    <s v="AD"/>
    <n v="30131183"/>
    <s v="Colaborador–M.O.Fixa"/>
    <s v="Aprendiz"/>
    <s v="1HY"/>
    <s v="HYDRA CORONA SIST.AQ.LTD."/>
    <n v="32"/>
    <s v="HYDRA ARACAJU"/>
    <n v="32"/>
    <s v="CORONA"/>
    <s v="SIM"/>
    <s v="0032 – FÁB. HYDRA ARACAJU"/>
    <s v="NICOLAS RAFAEL ANDRADE DE JESUS"/>
    <s v="NICOLAS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31/07/2002"/>
    <x v="26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1"/>
    <m/>
    <s v="18/12/2013"/>
    <s v="SE"/>
    <s v="076.831.675-84"/>
    <n v="7615074"/>
    <n v="60"/>
    <s v="21/09/2020"/>
    <s v="SE"/>
    <n v="16612566761"/>
    <m/>
    <m/>
    <m/>
    <m/>
    <m/>
    <m/>
    <m/>
    <m/>
    <m/>
    <x v="88"/>
    <m/>
    <m/>
    <m/>
    <m/>
    <n v="320005046850"/>
    <m/>
    <m/>
    <m/>
    <s v="RUA BERILO FONSECA DORIA"/>
    <n v="112"/>
    <m/>
    <s v="INDUSTRIAL"/>
    <s v="ARACAJU"/>
    <s v="SE"/>
    <s v="49066-240"/>
    <m/>
    <n v="79998696202"/>
    <m/>
    <n v="341"/>
    <n v="5634"/>
    <x v="351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2"/>
    <s v="Ativo"/>
    <s v="AD"/>
    <n v="30131192"/>
    <s v="Colaborador–M.O.Fixa"/>
    <s v="Aprendiz"/>
    <s v="1HY"/>
    <s v="HYDRA CORONA SIST.AQ.LTD."/>
    <n v="32"/>
    <s v="HYDRA ARACAJU"/>
    <n v="32"/>
    <s v="CORONA"/>
    <s v="SIM"/>
    <s v="0032 – FÁB. HYDRA ARACAJU"/>
    <s v="RAFAELA TAVARES SANTOS"/>
    <s v="RAFAEL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7/03/2002"/>
    <x v="26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2"/>
    <m/>
    <s v="15/08/2013"/>
    <s v="SE"/>
    <s v="094.459.665-70"/>
    <n v="944596"/>
    <n v="6570"/>
    <d v="2017-08-11T00:00:00"/>
    <s v="SE"/>
    <n v="16624772744"/>
    <m/>
    <m/>
    <m/>
    <m/>
    <m/>
    <m/>
    <m/>
    <m/>
    <m/>
    <x v="336"/>
    <n v="34"/>
    <n v="2"/>
    <s v="14/12/2018"/>
    <s v="SE"/>
    <m/>
    <m/>
    <m/>
    <m/>
    <s v="RUA NOVA PARAIBA"/>
    <n v="384"/>
    <m/>
    <s v="AMERICA"/>
    <s v="ARACAJU"/>
    <s v="SE"/>
    <s v="49080-380"/>
    <m/>
    <n v="79988088136"/>
    <m/>
    <n v="341"/>
    <n v="297"/>
    <x v="352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3"/>
    <s v="Ativo"/>
    <s v="AD"/>
    <n v="30048570"/>
    <s v="Colaborador–M.O.Fixa"/>
    <s v="Aprendiz"/>
    <s v="1HY"/>
    <s v="HYDRA CORONA SIST.AQ.LTD."/>
    <n v="32"/>
    <s v="HYDRA ARACAJU"/>
    <n v="32"/>
    <s v="CORONA"/>
    <s v="SIM"/>
    <s v="0032 – FÁB. HYDRA ARACAJU"/>
    <s v="LEANDRO CASTRO SILVA"/>
    <s v="LEANDRO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1-08-08T00:00:00"/>
    <x v="24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3"/>
    <m/>
    <s v="29/01/2014"/>
    <s v="SE"/>
    <s v="077.444.955-19"/>
    <n v="4884680"/>
    <n v="50"/>
    <s v="13/12/2016"/>
    <s v="SE"/>
    <n v="20481022338"/>
    <m/>
    <m/>
    <m/>
    <m/>
    <m/>
    <m/>
    <m/>
    <m/>
    <m/>
    <x v="337"/>
    <n v="27"/>
    <n v="493"/>
    <s v="28/01/2020"/>
    <s v="SE"/>
    <n v="320003013025"/>
    <m/>
    <m/>
    <m/>
    <s v="RUA K"/>
    <n v="433"/>
    <m/>
    <s v="SAO CONRADO"/>
    <s v="ARACAJU"/>
    <s v="SE"/>
    <s v="49043-236"/>
    <m/>
    <n v="79996297274"/>
    <m/>
    <n v="341"/>
    <n v="297"/>
    <x v="353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4"/>
    <s v="Ativo"/>
    <s v="AD"/>
    <n v="30048571"/>
    <s v="Colaborador–M.O.Fixa"/>
    <s v="Aprendiz"/>
    <s v="1HY"/>
    <s v="HYDRA CORONA SIST.AQ.LTD."/>
    <n v="32"/>
    <s v="HYDRA ARACAJU"/>
    <n v="32"/>
    <s v="CORONA"/>
    <s v="SIM"/>
    <s v="0032 – FÁB. HYDRA ARACAJU"/>
    <s v="JAAZYEL SANTOS SILVA"/>
    <s v="JAAZYEL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4/09/2001"/>
    <x v="24"/>
    <m/>
    <s v="brasileira"/>
    <s v="ARACAJU"/>
    <s v="SE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4"/>
    <m/>
    <d v="2012-12-01T00:00:00"/>
    <s v="SE"/>
    <s v="047.938.585-89"/>
    <n v="1270817"/>
    <n v="60"/>
    <d v="2018-04-10T00:00:00"/>
    <s v="SE"/>
    <n v="20084322343"/>
    <m/>
    <m/>
    <m/>
    <m/>
    <m/>
    <m/>
    <m/>
    <m/>
    <m/>
    <x v="338"/>
    <n v="27"/>
    <n v="502"/>
    <d v="2020-02-03T00:00:00"/>
    <s v="SE"/>
    <n v="320002292389"/>
    <m/>
    <m/>
    <m/>
    <s v="RUA Q"/>
    <n v="473"/>
    <m/>
    <s v="SAO CONRADO"/>
    <s v="ARACAJU"/>
    <s v="SE"/>
    <s v="49043-356"/>
    <m/>
    <n v="79988153491"/>
    <m/>
    <n v="341"/>
    <n v="297"/>
    <x v="354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5"/>
    <s v="Ativo"/>
    <s v="AD"/>
    <n v="30048572"/>
    <s v="Colaborador–M.O.Fixa"/>
    <s v="Aprendiz"/>
    <s v="1HY"/>
    <s v="HYDRA CORONA SIST.AQ.LTD."/>
    <n v="32"/>
    <s v="HYDRA ARACAJU"/>
    <n v="32"/>
    <s v="CORONA"/>
    <s v="SIM"/>
    <s v="0032 – FÁB. HYDRA ARACAJU"/>
    <s v="MIGUEL DE ALMEIDA BEZERRA"/>
    <s v="MIGUEL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1999-12-11T00:00:00"/>
    <x v="32"/>
    <m/>
    <s v="brasileira"/>
    <s v="ARACAJU"/>
    <s v="SE"/>
    <s v="BR"/>
    <s v="Não"/>
    <s v="M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5"/>
    <m/>
    <d v="2016-02-05T00:00:00"/>
    <s v="SE"/>
    <s v="070.007.085-06"/>
    <n v="1263798"/>
    <n v="60"/>
    <s v="26/07/2018"/>
    <s v="SE"/>
    <n v="15164074285"/>
    <m/>
    <m/>
    <m/>
    <m/>
    <m/>
    <m/>
    <m/>
    <m/>
    <m/>
    <x v="339"/>
    <n v="2"/>
    <n v="628"/>
    <d v="2018-05-02T00:00:00"/>
    <s v="SE"/>
    <n v="190034316710"/>
    <m/>
    <m/>
    <m/>
    <s v="RUA HERACLITO MUNIZ BARRETO"/>
    <n v="52"/>
    <m/>
    <s v="LUZIA"/>
    <s v="ARACAJU"/>
    <s v="SE"/>
    <s v="49045-200"/>
    <m/>
    <n v="79981522032"/>
    <m/>
    <n v="341"/>
    <n v="1170"/>
    <x v="355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6"/>
    <s v="Ativo"/>
    <s v="AD"/>
    <n v="30048573"/>
    <s v="Colaborador–M.O.Fixa"/>
    <s v="Aprendiz"/>
    <s v="1HY"/>
    <s v="HYDRA CORONA SIST.AQ.LTD."/>
    <n v="32"/>
    <s v="HYDRA ARACAJU"/>
    <n v="32"/>
    <s v="CORONA"/>
    <s v="SIM"/>
    <s v="0032 – FÁB. HYDRA ARACAJU"/>
    <s v="FABRICIO SANTOS SANTANA"/>
    <s v="FABRICIO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1999-05-06T00:00:00"/>
    <x v="13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6"/>
    <m/>
    <s v="21/02/2014"/>
    <s v="SE"/>
    <s v="077.868.015-02"/>
    <n v="3818781"/>
    <n v="50"/>
    <s v="29/04/2016"/>
    <s v="SE"/>
    <n v="20055935812"/>
    <m/>
    <m/>
    <m/>
    <m/>
    <m/>
    <m/>
    <m/>
    <m/>
    <m/>
    <x v="340"/>
    <n v="34"/>
    <n v="62"/>
    <s v="18/11/2015"/>
    <s v="SE"/>
    <n v="320000731864"/>
    <m/>
    <m/>
    <m/>
    <s v="RUA MARCILIO DIAS"/>
    <n v="755"/>
    <m/>
    <s v="PAI ANDRE"/>
    <s v="NOSSA SENHORA DO SOCORRO"/>
    <s v="SE"/>
    <s v="49160-000"/>
    <m/>
    <n v="79988029182"/>
    <m/>
    <n v="341"/>
    <n v="5634"/>
    <x v="356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7"/>
    <s v="Ativo"/>
    <s v="AD"/>
    <n v="30048574"/>
    <s v="Colaborador–M.O.Fixa"/>
    <s v="Aprendiz"/>
    <s v="1HY"/>
    <s v="HYDRA CORONA SIST.AQ.LTD."/>
    <n v="32"/>
    <s v="HYDRA ARACAJU"/>
    <n v="32"/>
    <s v="CORONA"/>
    <s v="SIM"/>
    <s v="0032 – FÁB. HYDRA ARACAJU"/>
    <s v="ROBERT EINSTEIN NETO RESENDE"/>
    <s v="ROBERT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8/05/1999"/>
    <x v="13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7"/>
    <m/>
    <s v="20/07/2009"/>
    <s v="SE"/>
    <s v="065.224.305-33"/>
    <n v="5875931"/>
    <n v="40"/>
    <s v="20/01/2017"/>
    <s v="SE"/>
    <n v="20458227484"/>
    <m/>
    <m/>
    <m/>
    <m/>
    <m/>
    <m/>
    <m/>
    <m/>
    <m/>
    <x v="341"/>
    <n v="1"/>
    <n v="258"/>
    <s v="23/09/2015"/>
    <s v="SE"/>
    <n v="190034327121"/>
    <m/>
    <m/>
    <m/>
    <s v="RUA XAVIER BRITO"/>
    <n v="140"/>
    <m/>
    <s v="DEZOITO DO FORTE"/>
    <s v="ARACAJU"/>
    <s v="SE"/>
    <s v="49072-770"/>
    <m/>
    <n v="79999223944"/>
    <m/>
    <n v="341"/>
    <n v="297"/>
    <x v="357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8"/>
    <s v="Ativo"/>
    <s v="AD"/>
    <n v="30131184"/>
    <s v="Colaborador–M.O.Fixa"/>
    <s v="Aprendiz"/>
    <s v="1HY"/>
    <s v="HYDRA CORONA SIST.AQ.LTD."/>
    <n v="32"/>
    <s v="HYDRA ARACAJU"/>
    <n v="32"/>
    <s v="CORONA"/>
    <s v="SIM"/>
    <s v="0032 – FÁB. HYDRA ARACAJU"/>
    <s v="LUIS FERNANDO DE JESUS NASCIMENTO"/>
    <s v="LUIS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2-10-04T00:00:00"/>
    <x v="26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8"/>
    <m/>
    <s v="27/09/2017"/>
    <s v="SE"/>
    <s v="090.003.985-09"/>
    <n v="2089390"/>
    <n v="60"/>
    <d v="2019-10-01T00:00:00"/>
    <s v="SE"/>
    <n v="16483908513"/>
    <m/>
    <m/>
    <m/>
    <m/>
    <m/>
    <m/>
    <m/>
    <m/>
    <m/>
    <x v="88"/>
    <m/>
    <m/>
    <m/>
    <m/>
    <n v="320004186914"/>
    <m/>
    <m/>
    <m/>
    <s v="TRAVESSA BA"/>
    <n v="89"/>
    <m/>
    <s v="SAO CONRADO"/>
    <s v="ARACAJU"/>
    <s v="SE"/>
    <s v="49000-000"/>
    <m/>
    <n v="79996378977"/>
    <m/>
    <n v="341"/>
    <n v="297"/>
    <x v="358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59"/>
    <s v="Ativo"/>
    <s v="AD"/>
    <n v="30131190"/>
    <s v="Colaborador–M.O.Fixa"/>
    <s v="Aprendiz"/>
    <s v="1HY"/>
    <s v="HYDRA CORONA SIST.AQ.LTD."/>
    <n v="32"/>
    <s v="HYDRA ARACAJU"/>
    <n v="32"/>
    <s v="CORONA"/>
    <s v="SIM"/>
    <s v="0032 – FÁB. HYDRA ARACAJU"/>
    <s v="LAELSON JOSE DE OLIVEIRA JUNIOR"/>
    <s v="LAELSON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1-05-04T00:00:00"/>
    <x v="24"/>
    <m/>
    <s v="brasileira"/>
    <s v="ARACAJU"/>
    <s v="SE"/>
    <s v="BR"/>
    <s v="Não"/>
    <s v="M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59"/>
    <m/>
    <d v="2019-03-01T00:00:00"/>
    <s v="SE"/>
    <s v="058.077.975-07"/>
    <n v="3790083"/>
    <n v="60"/>
    <d v="2019-12-02T00:00:00"/>
    <s v="SE"/>
    <n v="20665558338"/>
    <m/>
    <m/>
    <m/>
    <m/>
    <m/>
    <m/>
    <m/>
    <m/>
    <m/>
    <x v="342"/>
    <n v="27"/>
    <n v="536"/>
    <d v="2019-12-04T00:00:00"/>
    <s v="SE"/>
    <n v="320002748603"/>
    <m/>
    <m/>
    <m/>
    <s v="AVENIDA AGAPITO SILVA"/>
    <n v="197"/>
    <m/>
    <s v="JABOTIANA"/>
    <s v="ARACAJU"/>
    <s v="SE"/>
    <s v="49045-000"/>
    <m/>
    <n v="79988381210"/>
    <m/>
    <n v="341"/>
    <n v="1170"/>
    <x v="359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0"/>
    <s v="Ativo"/>
    <s v="AD"/>
    <n v="30131204"/>
    <s v="Colaborador–M.O.Fixa"/>
    <s v="Aprendiz"/>
    <s v="1HY"/>
    <s v="HYDRA CORONA SIST.AQ.LTD."/>
    <n v="32"/>
    <s v="HYDRA ARACAJU"/>
    <n v="32"/>
    <s v="CORONA"/>
    <s v="SIM"/>
    <s v="0032 – FÁB. HYDRA ARACAJU"/>
    <s v="OSVALDO HENRIQUE DOS SANTOS SOUZA"/>
    <s v="OSVALDO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1999-06-05T00:00:00"/>
    <x v="13"/>
    <m/>
    <s v="brasileira"/>
    <s v="ARACAJU"/>
    <s v="SE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0"/>
    <m/>
    <s v="13/08/2020"/>
    <s v="SE"/>
    <s v="078.017.725-80"/>
    <n v="3825036"/>
    <n v="50"/>
    <s v="19/07/2016"/>
    <s v="SE"/>
    <n v="20007286567"/>
    <m/>
    <m/>
    <m/>
    <m/>
    <m/>
    <m/>
    <m/>
    <m/>
    <m/>
    <x v="343"/>
    <n v="2"/>
    <n v="627"/>
    <d v="2018-06-02T00:00:00"/>
    <s v="SE"/>
    <n v="190034308329"/>
    <m/>
    <m/>
    <m/>
    <s v="AVENIDA PANTANAL"/>
    <n v="115"/>
    <m/>
    <s v="INACIO BARBOSA"/>
    <s v="ARACAJU"/>
    <s v="SE"/>
    <s v="49000-000"/>
    <m/>
    <n v="79988735487"/>
    <m/>
    <n v="341"/>
    <n v="297"/>
    <x v="360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1"/>
    <s v="Ativo"/>
    <s v="AD"/>
    <n v="30131205"/>
    <s v="Colaborador–M.O.Fixa"/>
    <s v="Aprendiz"/>
    <s v="1HY"/>
    <s v="HYDRA CORONA SIST.AQ.LTD."/>
    <n v="32"/>
    <s v="HYDRA ARACAJU"/>
    <n v="32"/>
    <s v="CORONA"/>
    <s v="SIM"/>
    <s v="0032 – FÁB. HYDRA ARACAJU"/>
    <s v="JOHM TAUA OLIVEIRA DOS SANTOS"/>
    <s v="JOHM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9/11/1999"/>
    <x v="32"/>
    <m/>
    <s v="brasileira"/>
    <s v="ARACAJU"/>
    <s v="SE"/>
    <s v="BR"/>
    <s v="Não"/>
    <s v="M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1"/>
    <m/>
    <s v="19/09/2012"/>
    <s v="SE"/>
    <s v="078.436.555-57"/>
    <n v="2928099"/>
    <n v="50"/>
    <s v="18/02/2016"/>
    <s v="SE"/>
    <n v="20028299552"/>
    <m/>
    <m/>
    <m/>
    <m/>
    <m/>
    <m/>
    <m/>
    <m/>
    <m/>
    <x v="344"/>
    <n v="1"/>
    <n v="387"/>
    <s v="15/04/2016"/>
    <s v="SE"/>
    <n v="320000186709"/>
    <m/>
    <m/>
    <m/>
    <s v="RUA VINTE E QUATRO DE OUTUBRO"/>
    <n v="38"/>
    <m/>
    <s v="SANTO ANTONIO"/>
    <s v="ARACAJU"/>
    <s v="SE"/>
    <s v="49000-000"/>
    <m/>
    <n v="79998305463"/>
    <m/>
    <n v="341"/>
    <n v="9295"/>
    <x v="361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2"/>
    <s v="Ativo"/>
    <s v="AD"/>
    <n v="30131206"/>
    <s v="Colaborador–M.O.Fixa"/>
    <s v="Aprendiz"/>
    <s v="1HY"/>
    <s v="HYDRA CORONA SIST.AQ.LTD."/>
    <n v="32"/>
    <s v="HYDRA ARACAJU"/>
    <n v="32"/>
    <s v="CORONA"/>
    <s v="SIM"/>
    <s v="0032 – FÁB. HYDRA ARACAJU"/>
    <s v="ANTHONY DANIEL MATIAS SANTOS DO NASCIMENTO"/>
    <s v="ANTHONY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0-05-11T00:00:00"/>
    <x v="24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2"/>
    <m/>
    <s v="19/01/2016"/>
    <s v="SE"/>
    <s v="072.893.655-00"/>
    <n v="9213913"/>
    <n v="50"/>
    <s v="19/01/2018"/>
    <s v="SE"/>
    <n v="21210883750"/>
    <m/>
    <m/>
    <m/>
    <m/>
    <m/>
    <m/>
    <m/>
    <m/>
    <m/>
    <x v="345"/>
    <n v="1"/>
    <n v="437"/>
    <s v="20/11/2017"/>
    <s v="SE"/>
    <n v="320001070222"/>
    <m/>
    <m/>
    <m/>
    <s v="RUA A"/>
    <n v="115"/>
    <m/>
    <s v="CIDADE NOVA"/>
    <s v="ARACAJU"/>
    <s v="SE"/>
    <s v="49087-183"/>
    <m/>
    <n v="79988755793"/>
    <m/>
    <n v="341"/>
    <n v="5634"/>
    <x v="362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3"/>
    <s v="Ativo"/>
    <s v="AD"/>
    <n v="30047446"/>
    <s v="Colaborador–M.O.Fixa"/>
    <s v="Aprendiz"/>
    <s v="1HY"/>
    <s v="HYDRA CORONA SIST.AQ.LTD."/>
    <n v="32"/>
    <s v="HYDRA ARACAJU"/>
    <n v="32"/>
    <s v="CORONA"/>
    <s v="SIM"/>
    <s v="0032 – FÁB. HYDRA ARACAJU"/>
    <s v="VINICIUS DE JESUS FIGUEIREDO"/>
    <s v="VINICIUS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6/01/2002"/>
    <x v="26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3"/>
    <m/>
    <s v="30/06/2010"/>
    <s v="SE"/>
    <s v="086.474.655-55"/>
    <n v="4974561"/>
    <n v="60"/>
    <s v="22/05/2019"/>
    <s v="SE"/>
    <n v="16605075200"/>
    <m/>
    <m/>
    <m/>
    <m/>
    <m/>
    <m/>
    <m/>
    <m/>
    <m/>
    <x v="346"/>
    <n v="1"/>
    <n v="444"/>
    <d v="2018-08-05T00:00:00"/>
    <s v="SE"/>
    <n v="320003995751"/>
    <m/>
    <m/>
    <m/>
    <s v="RUA FRANCISCO ASSIS D PEREIRA FREITAS"/>
    <n v="100"/>
    <m/>
    <s v="PONTO NOVO"/>
    <s v="ARACAJU"/>
    <s v="SE"/>
    <s v="49097-710"/>
    <m/>
    <n v="79998600644"/>
    <m/>
    <n v="341"/>
    <n v="5634"/>
    <x v="363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4"/>
    <s v="Ativo"/>
    <s v="AD"/>
    <n v="30131199"/>
    <s v="Colaborador–M.O.Fixa"/>
    <s v="Aprendiz"/>
    <s v="1HY"/>
    <s v="HYDRA CORONA SIST.AQ.LTD."/>
    <n v="32"/>
    <s v="HYDRA ARACAJU"/>
    <n v="32"/>
    <s v="CORONA"/>
    <s v="SIM"/>
    <s v="0032 – FÁB. HYDRA ARACAJU"/>
    <s v="DAVID SANTOS DA SILVEIRA"/>
    <s v="DAVID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1/08/2001"/>
    <x v="24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4"/>
    <m/>
    <d v="2015-10-12T00:00:00"/>
    <s v="SE"/>
    <s v="099.520.755-02"/>
    <n v="995207"/>
    <n v="5502"/>
    <d v="2017-12-12T00:00:00"/>
    <s v="SE"/>
    <n v="21266336259"/>
    <m/>
    <m/>
    <m/>
    <m/>
    <m/>
    <m/>
    <m/>
    <m/>
    <m/>
    <x v="88"/>
    <m/>
    <m/>
    <m/>
    <m/>
    <n v="320002814030"/>
    <m/>
    <m/>
    <m/>
    <s v="TRAVESSA TRES PORQUINHOS"/>
    <n v="71"/>
    <m/>
    <s v="ROBALO"/>
    <s v="ARACAJU"/>
    <s v="SE"/>
    <s v="49033-255"/>
    <m/>
    <n v="79998746398"/>
    <m/>
    <n v="341"/>
    <n v="297"/>
    <x v="364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5"/>
    <s v="Ativo"/>
    <s v="AD"/>
    <n v="30047444"/>
    <s v="Colaborador–M.O.Fixa"/>
    <s v="Aprendiz"/>
    <s v="1HY"/>
    <s v="HYDRA CORONA SIST.AQ.LTD."/>
    <n v="32"/>
    <s v="HYDRA ARACAJU"/>
    <n v="32"/>
    <s v="CORONA"/>
    <s v="SIM"/>
    <s v="0032 – FÁB. HYDRA ARACAJU"/>
    <s v="WILLIANNE DE OLIVEIRA SOUZA"/>
    <s v="WILLIANN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1-09-10T00:00:00"/>
    <x v="24"/>
    <m/>
    <s v="brasileira"/>
    <s v="ARACAJU"/>
    <s v="SE"/>
    <s v="BR"/>
    <s v="Não"/>
    <s v="F"/>
    <s v="Não"/>
    <m/>
    <s v="Solt."/>
    <s v="Parda"/>
    <s v="Superior in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5"/>
    <m/>
    <s v="31/10/2019"/>
    <s v="SE"/>
    <s v="073.423.075-30"/>
    <n v="6988610"/>
    <n v="50"/>
    <s v="25/04/2017"/>
    <s v="SE"/>
    <n v="20356247427"/>
    <m/>
    <m/>
    <m/>
    <m/>
    <m/>
    <m/>
    <m/>
    <m/>
    <m/>
    <x v="347"/>
    <n v="34"/>
    <n v="16"/>
    <s v="21/02/2018"/>
    <s v="SE"/>
    <m/>
    <m/>
    <m/>
    <m/>
    <s v="RUA RUA HAITI"/>
    <n v="200"/>
    <m/>
    <s v="AMERICA"/>
    <s v="ARACAJU"/>
    <s v="SE"/>
    <s v="49080-300"/>
    <m/>
    <n v="79998733924"/>
    <m/>
    <n v="341"/>
    <n v="297"/>
    <x v="365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6"/>
    <s v="Ativo"/>
    <s v="AD"/>
    <n v="30131198"/>
    <s v="Colaborador–M.O.Fixa"/>
    <s v="Aprendiz"/>
    <s v="1HY"/>
    <s v="HYDRA CORONA SIST.AQ.LTD."/>
    <n v="32"/>
    <s v="HYDRA ARACAJU"/>
    <n v="32"/>
    <s v="CORONA"/>
    <s v="SIM"/>
    <s v="0032 – FÁB. HYDRA ARACAJU"/>
    <s v="THAISE NOBRE DANTAS"/>
    <s v="THAIS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3/10/2000"/>
    <x v="32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6"/>
    <m/>
    <d v="2019-08-08T00:00:00"/>
    <s v="SE"/>
    <s v="087.035.265-26"/>
    <n v="4883843"/>
    <n v="50"/>
    <d v="2016-01-12T00:00:00"/>
    <s v="SE"/>
    <n v="13844255167"/>
    <m/>
    <m/>
    <m/>
    <m/>
    <m/>
    <m/>
    <m/>
    <m/>
    <m/>
    <x v="348"/>
    <n v="1"/>
    <n v="269"/>
    <s v="26/03/2019"/>
    <s v="SE"/>
    <m/>
    <m/>
    <m/>
    <m/>
    <s v="TRAVESSA ANCHIETA"/>
    <n v="105"/>
    <m/>
    <s v="BUGIO"/>
    <s v="ARACAJU"/>
    <s v="SE"/>
    <s v="49091-100"/>
    <m/>
    <n v="79996480728"/>
    <m/>
    <n v="341"/>
    <n v="1170"/>
    <x v="366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7"/>
    <s v="Ativo"/>
    <s v="AD"/>
    <n v="30048553"/>
    <s v="Colaborador–M.O.Fixa"/>
    <s v="Aprendiz"/>
    <s v="1HY"/>
    <s v="HYDRA CORONA SIST.AQ.LTD."/>
    <n v="32"/>
    <s v="HYDRA ARACAJU"/>
    <n v="32"/>
    <s v="CORONA"/>
    <s v="SIM"/>
    <s v="0032 – FÁB. HYDRA ARACAJU"/>
    <s v="GEOVANA ALVES RODRIGUES"/>
    <s v="GEOVAN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0/10/1999"/>
    <x v="13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7"/>
    <m/>
    <d v="2015-01-09T00:00:00"/>
    <s v="SE"/>
    <s v="085.351.695-20"/>
    <n v="2923035"/>
    <n v="50"/>
    <d v="2016-06-01T00:00:00"/>
    <s v="SE"/>
    <n v="20369907153"/>
    <m/>
    <m/>
    <m/>
    <m/>
    <m/>
    <m/>
    <m/>
    <m/>
    <m/>
    <x v="349"/>
    <n v="27"/>
    <n v="505"/>
    <s v="29/11/2017"/>
    <s v="SE"/>
    <m/>
    <m/>
    <m/>
    <m/>
    <s v="ESTRADA AGUACHUMA"/>
    <n v="393"/>
    <m/>
    <s v="ZONA DE EXPANSAO (ROBALO)"/>
    <s v="ARACAJU"/>
    <s v="SE"/>
    <s v="49004-213"/>
    <m/>
    <n v="79999623415"/>
    <m/>
    <n v="341"/>
    <n v="297"/>
    <x v="367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8"/>
    <s v="Ativo"/>
    <s v="AD"/>
    <n v="30131201"/>
    <s v="Colaborador–M.O.Fixa"/>
    <s v="Aprendiz"/>
    <s v="1HY"/>
    <s v="HYDRA CORONA SIST.AQ.LTD."/>
    <n v="32"/>
    <s v="HYDRA ARACAJU"/>
    <n v="32"/>
    <s v="CORONA"/>
    <s v="SIM"/>
    <s v="0032 – FÁB. HYDRA ARACAJU"/>
    <s v="BRENDA DE ALMEIDA REIS"/>
    <s v="BREND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1-02-02T00:00:00"/>
    <x v="24"/>
    <m/>
    <s v="brasileira"/>
    <s v="ARACAJU"/>
    <s v="SE"/>
    <s v="BR"/>
    <s v="Não"/>
    <s v="F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8"/>
    <m/>
    <d v="2017-11-05T00:00:00"/>
    <s v="SE"/>
    <s v="089.031.375-07"/>
    <n v="9215751"/>
    <n v="50"/>
    <d v="2018-01-02T00:00:00"/>
    <s v="SE"/>
    <n v="20055937025"/>
    <m/>
    <m/>
    <m/>
    <m/>
    <m/>
    <m/>
    <m/>
    <m/>
    <m/>
    <x v="350"/>
    <n v="34"/>
    <n v="77"/>
    <d v="2018-10-04T00:00:00"/>
    <s v="SE"/>
    <m/>
    <m/>
    <m/>
    <m/>
    <s v="RUA 1 DE MAIO"/>
    <n v="451"/>
    <m/>
    <s v="DEZOITO DO FORTE"/>
    <s v="ARACAJU"/>
    <s v="SE"/>
    <s v="49072-570"/>
    <m/>
    <n v="79988750603"/>
    <m/>
    <n v="341"/>
    <n v="5634"/>
    <x v="368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69"/>
    <s v="Ativo"/>
    <s v="AD"/>
    <n v="30131195"/>
    <s v="Colaborador–M.O.Fixa"/>
    <s v="Aprendiz"/>
    <s v="1HY"/>
    <s v="HYDRA CORONA SIST.AQ.LTD."/>
    <n v="32"/>
    <s v="HYDRA ARACAJU"/>
    <n v="32"/>
    <s v="CORONA"/>
    <s v="SIM"/>
    <s v="0032 – FÁB. HYDRA ARACAJU"/>
    <s v="THAIS HELEN RIBEIRO BATISTA"/>
    <s v="THAIS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5/12/2000"/>
    <x v="24"/>
    <m/>
    <s v="brasileira"/>
    <s v="ARACAJU"/>
    <s v="SE"/>
    <s v="BR"/>
    <s v="Não"/>
    <s v="F"/>
    <s v="Não"/>
    <m/>
    <s v="Solt."/>
    <s v="Negra"/>
    <s v="Superior in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69"/>
    <m/>
    <s v="28/09/2018"/>
    <s v="SE"/>
    <s v="080.034.495-29"/>
    <n v="2093529"/>
    <n v="60"/>
    <s v="30/10/2018"/>
    <s v="SE"/>
    <n v="20315749231"/>
    <m/>
    <m/>
    <m/>
    <m/>
    <m/>
    <m/>
    <m/>
    <m/>
    <m/>
    <x v="351"/>
    <n v="34"/>
    <n v="327"/>
    <d v="2019-11-11T00:00:00"/>
    <s v="SE"/>
    <m/>
    <m/>
    <m/>
    <m/>
    <s v="RUA TREZE"/>
    <n v="53"/>
    <m/>
    <s v="TAICOCA"/>
    <s v="NOSSA SENHORA DO SOCORRO"/>
    <s v="SE"/>
    <s v="49160-000"/>
    <m/>
    <n v="79981148698"/>
    <m/>
    <n v="341"/>
    <n v="7811"/>
    <x v="369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0"/>
    <s v="Ativo"/>
    <s v="AD"/>
    <n v="30131200"/>
    <s v="Colaborador–M.O.Fixa"/>
    <s v="Aprendiz"/>
    <s v="1HY"/>
    <s v="HYDRA CORONA SIST.AQ.LTD."/>
    <n v="32"/>
    <s v="HYDRA ARACAJU"/>
    <n v="32"/>
    <s v="CORONA"/>
    <s v="SIM"/>
    <s v="0032 – FÁB. HYDRA ARACAJU"/>
    <s v="HELLEN MIKELE SAMPAIO COSTA"/>
    <s v="HELLEN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1/07/2001"/>
    <x v="24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0"/>
    <m/>
    <s v="15/01/2016"/>
    <s v="SE"/>
    <s v="081.392.675-03"/>
    <n v="6991643"/>
    <n v="50"/>
    <s v="19/05/2017"/>
    <s v="SE"/>
    <n v="13363626974"/>
    <m/>
    <m/>
    <m/>
    <m/>
    <m/>
    <m/>
    <m/>
    <m/>
    <m/>
    <x v="352"/>
    <n v="1"/>
    <n v="388"/>
    <s v="31/01/2020"/>
    <s v="SE"/>
    <m/>
    <m/>
    <m/>
    <m/>
    <s v="RUA G LOT RECANTO DA JAQUEIRA"/>
    <n v="97"/>
    <m/>
    <s v="PORTO D'ANTAS"/>
    <s v="ARACAJU"/>
    <s v="SE"/>
    <s v="49070-000"/>
    <m/>
    <n v="79998839219"/>
    <m/>
    <n v="341"/>
    <n v="297"/>
    <x v="370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1"/>
    <s v="Ativo"/>
    <s v="AD"/>
    <n v="30131207"/>
    <s v="Colaborador–M.O.Fixa"/>
    <s v="Aprendiz"/>
    <s v="1HY"/>
    <s v="HYDRA CORONA SIST.AQ.LTD."/>
    <n v="32"/>
    <s v="HYDRA ARACAJU"/>
    <n v="32"/>
    <s v="CORONA"/>
    <s v="SIM"/>
    <s v="0032 – FÁB. HYDRA ARACAJU"/>
    <s v="SAMIRA ELISABETE SANTOS DA SILVA"/>
    <s v="SAMIR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3/01/2002"/>
    <x v="26"/>
    <m/>
    <s v="brasileira"/>
    <s v="ARACAJU"/>
    <s v="SE"/>
    <s v="BR"/>
    <s v="Não"/>
    <s v="F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1"/>
    <m/>
    <d v="2009-04-12T00:00:00"/>
    <s v="SE"/>
    <s v="087.754.415-86"/>
    <n v="1266676"/>
    <n v="60"/>
    <s v="17/08/2018"/>
    <s v="SE"/>
    <n v="16627653126"/>
    <m/>
    <m/>
    <m/>
    <m/>
    <m/>
    <m/>
    <m/>
    <m/>
    <m/>
    <x v="353"/>
    <n v="2"/>
    <n v="636"/>
    <d v="2019-05-04T00:00:00"/>
    <s v="SE"/>
    <m/>
    <m/>
    <m/>
    <m/>
    <s v="RUA LUIZ CARLOS PRESTES"/>
    <n v="153"/>
    <m/>
    <s v="PONTO NOVO"/>
    <s v="ARACAJU"/>
    <s v="SE"/>
    <s v="49097-380"/>
    <m/>
    <n v="79998738490"/>
    <m/>
    <n v="341"/>
    <n v="1170"/>
    <x v="371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2"/>
    <s v="Ativo"/>
    <s v="AD"/>
    <n v="30047443"/>
    <s v="Colaborador–M.O.Fixa"/>
    <s v="Aprendiz"/>
    <s v="1HY"/>
    <s v="HYDRA CORONA SIST.AQ.LTD."/>
    <n v="32"/>
    <s v="HYDRA ARACAJU"/>
    <n v="32"/>
    <s v="CORONA"/>
    <s v="SIM"/>
    <s v="0032 – FÁB. HYDRA ARACAJU"/>
    <s v="JOYCE LARISSA RIBEIRO NASCIMENTO"/>
    <s v="JOYC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6/10/1999"/>
    <x v="13"/>
    <m/>
    <s v="brasileira"/>
    <s v="ARACAJU"/>
    <s v="SE"/>
    <s v="BR"/>
    <s v="Não"/>
    <s v="F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2"/>
    <m/>
    <s v="17/05/2008"/>
    <s v="SE"/>
    <s v="052.881.585-76"/>
    <n v="1259029"/>
    <n v="50"/>
    <s v="15/07/2015"/>
    <s v="SE"/>
    <n v="13624042768"/>
    <m/>
    <m/>
    <m/>
    <m/>
    <m/>
    <m/>
    <m/>
    <m/>
    <m/>
    <x v="354"/>
    <n v="2"/>
    <n v="151"/>
    <s v="18/04/2016"/>
    <s v="SE"/>
    <m/>
    <m/>
    <m/>
    <m/>
    <s v="RUA HAITI"/>
    <n v="198"/>
    <m/>
    <s v="AMERICA"/>
    <s v="ARACAJU"/>
    <s v="SE"/>
    <s v="49080-300"/>
    <m/>
    <n v="80000000000"/>
    <m/>
    <n v="341"/>
    <n v="5634"/>
    <x v="372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3"/>
    <s v="Ativo"/>
    <s v="AD"/>
    <n v="30047447"/>
    <s v="Colaborador–M.O.Fixa"/>
    <s v="Aprendiz"/>
    <s v="1HY"/>
    <s v="HYDRA CORONA SIST.AQ.LTD."/>
    <n v="32"/>
    <s v="HYDRA ARACAJU"/>
    <n v="32"/>
    <s v="CORONA"/>
    <s v="SIM"/>
    <s v="0032 – FÁB. HYDRA ARACAJU"/>
    <s v="JOAO VITOR DA SILVA BARRETO"/>
    <s v="JOAO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1-09-02T00:00:00"/>
    <x v="24"/>
    <m/>
    <s v="brasileira"/>
    <s v="RIO DE JANEIRO"/>
    <s v="RJ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3"/>
    <m/>
    <s v="29/05/2019"/>
    <s v="SE"/>
    <s v="082.475.455-78"/>
    <n v="6187497"/>
    <n v="60"/>
    <s v="18/12/2019"/>
    <s v="SE"/>
    <n v="16333610810"/>
    <m/>
    <m/>
    <m/>
    <m/>
    <m/>
    <m/>
    <m/>
    <m/>
    <m/>
    <x v="355"/>
    <n v="34"/>
    <n v="330"/>
    <s v="27/01/2020"/>
    <s v="SE"/>
    <n v="320004225770"/>
    <m/>
    <m/>
    <m/>
    <s v="RUA 22 PRQ DOS FAROIS"/>
    <n v="50"/>
    <m/>
    <s v="POV PALESTINA D FORA"/>
    <s v="NOSSA SENHORA DO SOCORRO"/>
    <s v="SE"/>
    <s v="49160-000"/>
    <m/>
    <n v="79990000000"/>
    <m/>
    <n v="341"/>
    <n v="297"/>
    <x v="373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4"/>
    <s v="Ativo"/>
    <s v="AD"/>
    <n v="30131209"/>
    <s v="Colaborador–M.O.Fixa"/>
    <s v="Aprendiz"/>
    <s v="1HY"/>
    <s v="HYDRA CORONA SIST.AQ.LTD."/>
    <n v="32"/>
    <s v="HYDRA ARACAJU"/>
    <n v="32"/>
    <s v="CORONA"/>
    <s v="SIM"/>
    <s v="0032 – FÁB. HYDRA ARACAJU"/>
    <s v="STEFANY APARECIDA GOMES CRUZ"/>
    <s v="STEFANY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0-12-10T00:00:00"/>
    <x v="32"/>
    <m/>
    <s v="brasileira"/>
    <s v="ARACAJU"/>
    <s v="SE"/>
    <s v="BR"/>
    <s v="Não"/>
    <s v="F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4"/>
    <m/>
    <d v="2018-10-12T00:00:00"/>
    <s v="SE"/>
    <s v="085.863.585-25"/>
    <n v="4875846"/>
    <n v="50"/>
    <d v="2016-01-09T00:00:00"/>
    <s v="SE"/>
    <n v="20356176244"/>
    <m/>
    <m/>
    <m/>
    <m/>
    <m/>
    <m/>
    <m/>
    <m/>
    <m/>
    <x v="356"/>
    <n v="1"/>
    <n v="519"/>
    <d v="2019-01-08T00:00:00"/>
    <s v="SE"/>
    <m/>
    <m/>
    <m/>
    <m/>
    <s v="AVENIDA EUCLINDES FIGUEIREDO"/>
    <n v="2900"/>
    <m/>
    <s v="PORTO DANTAS"/>
    <s v="ARACAJU"/>
    <s v="SE"/>
    <s v="49070-000"/>
    <m/>
    <n v="79990000000"/>
    <m/>
    <n v="341"/>
    <n v="297"/>
    <x v="374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5"/>
    <s v="Ativo"/>
    <s v="AD"/>
    <n v="30047442"/>
    <s v="Colaborador–M.O.Fixa"/>
    <s v="Aprendiz"/>
    <s v="1HY"/>
    <s v="HYDRA CORONA SIST.AQ.LTD."/>
    <n v="32"/>
    <s v="HYDRA ARACAJU"/>
    <n v="32"/>
    <s v="CORONA"/>
    <s v="SIM"/>
    <s v="0032 – FÁB. HYDRA ARACAJU"/>
    <s v="VITOR FILIPE DE AQUINO"/>
    <s v="VITOR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8/05/2001"/>
    <x v="24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5"/>
    <m/>
    <s v="13/05/2019"/>
    <s v="SE"/>
    <s v="050.207.695-09"/>
    <n v="3804911"/>
    <n v="60"/>
    <s v="27/09/2019"/>
    <s v="SE"/>
    <n v="20458928334"/>
    <m/>
    <m/>
    <m/>
    <m/>
    <m/>
    <m/>
    <m/>
    <m/>
    <m/>
    <x v="357"/>
    <n v="34"/>
    <n v="316"/>
    <s v="30/09/2019"/>
    <s v="SE"/>
    <n v="320003027600"/>
    <m/>
    <m/>
    <m/>
    <s v="RUA DO MEIO"/>
    <n v="315"/>
    <m/>
    <s v="CONJUNTO JARDIM CENTRO"/>
    <s v="NOSSA SENHORA DO SOCORRO"/>
    <s v="SE"/>
    <s v="49160-000"/>
    <m/>
    <n v="80000000000"/>
    <m/>
    <n v="341"/>
    <n v="297"/>
    <x v="375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6"/>
    <s v="Ativo"/>
    <s v="AD"/>
    <n v="30131202"/>
    <s v="Colaborador–M.O.Fixa"/>
    <s v="Aprendiz"/>
    <s v="1HY"/>
    <s v="HYDRA CORONA SIST.AQ.LTD."/>
    <n v="32"/>
    <s v="HYDRA ARACAJU"/>
    <n v="32"/>
    <s v="CORONA"/>
    <s v="SIM"/>
    <s v="0032 – FÁB. HYDRA ARACAJU"/>
    <s v="EVENNY SILVA SANTANA"/>
    <s v="EVENNY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8/05/2002"/>
    <x v="26"/>
    <m/>
    <s v="brasileira"/>
    <s v="ARACAJU"/>
    <s v="SE"/>
    <s v="BR"/>
    <s v="Não"/>
    <s v="F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6"/>
    <m/>
    <s v="27/03/2019"/>
    <s v="SE"/>
    <s v="086.627.225-98"/>
    <n v="3795464"/>
    <n v="60"/>
    <d v="2019-04-04T00:00:00"/>
    <s v="SE"/>
    <n v="14878390596"/>
    <m/>
    <m/>
    <m/>
    <m/>
    <m/>
    <m/>
    <m/>
    <m/>
    <m/>
    <x v="358"/>
    <n v="19"/>
    <n v="100"/>
    <s v="19/02/2020"/>
    <s v="SE"/>
    <m/>
    <m/>
    <m/>
    <m/>
    <s v="RUA CANADA"/>
    <n v="192"/>
    <m/>
    <s v="AMERICA"/>
    <s v="ARACAJU"/>
    <s v="SE"/>
    <s v="49080-130"/>
    <m/>
    <n v="80000000000"/>
    <m/>
    <n v="341"/>
    <n v="5634"/>
    <x v="376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7"/>
    <s v="Ativo"/>
    <s v="AD"/>
    <n v="30131189"/>
    <s v="Colaborador–M.O.Fixa"/>
    <s v="Aprendiz"/>
    <s v="1HY"/>
    <s v="HYDRA CORONA SIST.AQ.LTD."/>
    <n v="32"/>
    <s v="HYDRA ARACAJU"/>
    <n v="32"/>
    <s v="CORONA"/>
    <s v="SIM"/>
    <s v="0032 – FÁB. HYDRA ARACAJU"/>
    <s v="VICTOR HUGO SANTOS SILVA"/>
    <s v="VICTOR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2/07/2000"/>
    <x v="32"/>
    <m/>
    <s v="brasileira"/>
    <s v="ARACAJU"/>
    <s v="SE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7"/>
    <m/>
    <d v="2012-09-01T00:00:00"/>
    <s v="SE"/>
    <s v="068.701.565-06"/>
    <n v="4880235"/>
    <n v="50"/>
    <s v="26/10/2016"/>
    <s v="SE"/>
    <n v="16609307300"/>
    <m/>
    <m/>
    <m/>
    <m/>
    <m/>
    <m/>
    <m/>
    <m/>
    <m/>
    <x v="359"/>
    <n v="1"/>
    <n v="277"/>
    <s v="15/03/2018"/>
    <s v="SE"/>
    <n v="320000940712"/>
    <m/>
    <m/>
    <m/>
    <s v="RUA BELA VISTA"/>
    <n v="355"/>
    <m/>
    <s v="JARD CENTENARIO"/>
    <s v="ARACAJU"/>
    <s v="SE"/>
    <s v="49090-020"/>
    <m/>
    <n v="80000000000"/>
    <m/>
    <n v="341"/>
    <n v="5634"/>
    <x v="377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8"/>
    <s v="Ativo"/>
    <s v="AD"/>
    <n v="30131194"/>
    <s v="Colaborador–M.O.Fixa"/>
    <s v="Aprendiz"/>
    <s v="1HY"/>
    <s v="HYDRA CORONA SIST.AQ.LTD."/>
    <n v="32"/>
    <s v="HYDRA ARACAJU"/>
    <n v="32"/>
    <s v="CORONA"/>
    <s v="SIM"/>
    <s v="0032 – FÁB. HYDRA ARACAJU"/>
    <s v="ADRIELE RIBEIRO DELFINO"/>
    <s v="ADRIEL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6/10/2001"/>
    <x v="24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8"/>
    <m/>
    <s v="24/07/2012"/>
    <s v="SE"/>
    <s v="092.555.995-42"/>
    <n v="477680"/>
    <n v="60"/>
    <s v="27/03/2018"/>
    <s v="SE"/>
    <n v="16150764517"/>
    <m/>
    <m/>
    <m/>
    <m/>
    <m/>
    <m/>
    <m/>
    <m/>
    <m/>
    <x v="88"/>
    <m/>
    <m/>
    <m/>
    <m/>
    <m/>
    <m/>
    <m/>
    <m/>
    <s v="RUA GLEIDE FONSECA DE ALMEIDA"/>
    <n v="129"/>
    <m/>
    <s v="SANTOS DUMONT"/>
    <s v="ARACAJU"/>
    <s v="SE"/>
    <s v="49000-000"/>
    <m/>
    <n v="79988728344"/>
    <m/>
    <n v="341"/>
    <n v="7811"/>
    <x v="378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79"/>
    <s v="Ativo"/>
    <s v="AD"/>
    <n v="30047445"/>
    <s v="Colaborador–M.O.Fixa"/>
    <s v="Aprendiz"/>
    <s v="1HY"/>
    <s v="HYDRA CORONA SIST.AQ.LTD."/>
    <n v="32"/>
    <s v="HYDRA ARACAJU"/>
    <n v="32"/>
    <s v="CORONA"/>
    <s v="SIM"/>
    <s v="0032 – FÁB. HYDRA ARACAJU"/>
    <s v="DIEGO VIEIRA DOS SANTOS"/>
    <s v="DIEGO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5/07/2000"/>
    <x v="32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79"/>
    <m/>
    <s v="21/01/2014"/>
    <s v="SE"/>
    <s v="077.322.165-47"/>
    <n v="1274533"/>
    <n v="60"/>
    <d v="2018-06-06T00:00:00"/>
    <s v="SE"/>
    <n v="16093066550"/>
    <m/>
    <m/>
    <m/>
    <m/>
    <m/>
    <m/>
    <m/>
    <m/>
    <m/>
    <x v="360"/>
    <n v="34"/>
    <n v="166"/>
    <d v="2018-11-04T00:00:00"/>
    <s v="SE"/>
    <n v="320001733039"/>
    <m/>
    <m/>
    <m/>
    <s v="RUA  13 B CONJUNTO FERNANDO COLLOR"/>
    <n v="339"/>
    <m/>
    <s v="TAICOCA"/>
    <s v="NOSSA SENHORA DO SOCORRO"/>
    <s v="SE"/>
    <s v="49160-000"/>
    <m/>
    <n v="79996346487"/>
    <m/>
    <n v="341"/>
    <n v="7811"/>
    <x v="379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0"/>
    <s v="Ativo"/>
    <s v="AD"/>
    <n v="30047441"/>
    <s v="Colaborador–M.O.Fixa"/>
    <s v="Aprendiz"/>
    <s v="1HY"/>
    <s v="HYDRA CORONA SIST.AQ.LTD."/>
    <n v="32"/>
    <s v="HYDRA ARACAJU"/>
    <n v="32"/>
    <s v="CORONA"/>
    <s v="SIM"/>
    <s v="0032 – FÁB. HYDRA ARACAJU"/>
    <s v="LARISSA SANTOS DE ANDRADE RAMOS"/>
    <s v="LARISS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30/07/2001"/>
    <x v="24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80"/>
    <m/>
    <s v="20/04/2018"/>
    <s v="SE"/>
    <s v="087.717.735-09"/>
    <n v="6188572"/>
    <n v="60"/>
    <d v="2020-08-01T00:00:00"/>
    <s v="SE"/>
    <n v="16417327346"/>
    <m/>
    <m/>
    <m/>
    <m/>
    <m/>
    <m/>
    <m/>
    <m/>
    <m/>
    <x v="361"/>
    <n v="2"/>
    <n v="288"/>
    <d v="2020-09-01T00:00:00"/>
    <s v="SE"/>
    <m/>
    <m/>
    <m/>
    <m/>
    <s v="RUA MARUIM"/>
    <n v="1335"/>
    <m/>
    <s v="CIRURGIA"/>
    <s v="ARACAJU"/>
    <s v="SE"/>
    <s v="49055-440"/>
    <m/>
    <n v="79988794079"/>
    <m/>
    <n v="341"/>
    <n v="9295"/>
    <x v="380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1"/>
    <s v="Ativo"/>
    <s v="AD"/>
    <n v="30131181"/>
    <s v="Colaborador–M.O.Fixa"/>
    <s v="Aprendiz"/>
    <s v="1HY"/>
    <s v="HYDRA CORONA SIST.AQ.LTD."/>
    <n v="32"/>
    <s v="HYDRA ARACAJU"/>
    <n v="32"/>
    <s v="CORONA"/>
    <s v="SIM"/>
    <s v="0032 – FÁB. HYDRA ARACAJU"/>
    <s v="RAYELLE MOURA DOS SANTOS"/>
    <s v="RAYELL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0-12-08T00:00:00"/>
    <x v="32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81"/>
    <m/>
    <s v="19/04/2012"/>
    <s v="SE"/>
    <s v="081.674.545-50"/>
    <n v="9085502"/>
    <n v="40"/>
    <d v="2014-02-12T00:00:00"/>
    <s v="SE"/>
    <n v="16612191687"/>
    <m/>
    <m/>
    <m/>
    <m/>
    <m/>
    <m/>
    <m/>
    <m/>
    <m/>
    <x v="362"/>
    <n v="2"/>
    <n v="632"/>
    <s v="27/04/2018"/>
    <s v="SE"/>
    <m/>
    <m/>
    <m/>
    <m/>
    <s v="RUA CANADA"/>
    <n v="479"/>
    <m/>
    <s v="NOVO PARAISO"/>
    <s v="ARACAJU"/>
    <s v="SE"/>
    <s v="49082-415"/>
    <m/>
    <n v="79996889453"/>
    <m/>
    <n v="341"/>
    <n v="5634"/>
    <x v="381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2"/>
    <s v="Ativo"/>
    <s v="AD"/>
    <n v="30048552"/>
    <s v="Colaborador–M.O.Fixa"/>
    <s v="Aprendiz"/>
    <s v="1HY"/>
    <s v="HYDRA CORONA SIST.AQ.LTD."/>
    <n v="32"/>
    <s v="HYDRA ARACAJU"/>
    <n v="32"/>
    <s v="CORONA"/>
    <s v="SIM"/>
    <s v="0032 – FÁB. HYDRA ARACAJU"/>
    <s v="TAYNA DE SANTANA OLIVEIRA"/>
    <s v="TAYN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2-10-08T00:00:00"/>
    <x v="26"/>
    <m/>
    <s v="brasileira"/>
    <s v="ARACAJU"/>
    <s v="SE"/>
    <s v="BR"/>
    <s v="Não"/>
    <s v="F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82"/>
    <m/>
    <d v="2013-07-11T00:00:00"/>
    <s v="SE"/>
    <s v="076.247.105-01"/>
    <n v="6185822"/>
    <n v="60"/>
    <s v="26/11/2019"/>
    <s v="SE"/>
    <n v="20655497824"/>
    <m/>
    <m/>
    <m/>
    <m/>
    <m/>
    <m/>
    <m/>
    <m/>
    <m/>
    <x v="363"/>
    <n v="27"/>
    <n v="521"/>
    <s v="19/11/2019"/>
    <s v="SE"/>
    <m/>
    <m/>
    <m/>
    <m/>
    <s v="RUA JOSE STEREMBERG"/>
    <n v="293"/>
    <m/>
    <s v="ATALAIA"/>
    <s v="ARACAJU"/>
    <s v="SE"/>
    <s v="49035-470"/>
    <m/>
    <n v="79998536203"/>
    <m/>
    <n v="341"/>
    <n v="297"/>
    <x v="382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3"/>
    <s v="Ativo"/>
    <s v="AD"/>
    <n v="30131193"/>
    <s v="Colaborador–M.O.Fixa"/>
    <s v="Aprendiz"/>
    <s v="1HY"/>
    <s v="HYDRA CORONA SIST.AQ.LTD."/>
    <n v="32"/>
    <s v="HYDRA ARACAJU"/>
    <n v="32"/>
    <s v="CORONA"/>
    <s v="SIM"/>
    <s v="0032 – FÁB. HYDRA ARACAJU"/>
    <s v="GUILHERME ABRAAO SANTOS DE OLIVEIRA"/>
    <s v="GUILHERM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30/05/2000"/>
    <x v="32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83"/>
    <m/>
    <s v="13/12/2018"/>
    <s v="SE"/>
    <s v="077.355.805-50"/>
    <n v="9671359"/>
    <n v="40"/>
    <d v="2015-09-03T00:00:00"/>
    <s v="SE"/>
    <n v="16255618073"/>
    <m/>
    <m/>
    <m/>
    <m/>
    <m/>
    <m/>
    <m/>
    <m/>
    <m/>
    <x v="364"/>
    <n v="34"/>
    <n v="73"/>
    <d v="2018-12-03T00:00:00"/>
    <s v="SE"/>
    <n v="320000822070"/>
    <m/>
    <m/>
    <m/>
    <s v="RUA  O"/>
    <n v="1"/>
    <m/>
    <s v="CENTRO"/>
    <s v="NOSSA SENHORA DO SOCORRO"/>
    <s v="SE"/>
    <s v="49160-000"/>
    <m/>
    <n v="79981398173"/>
    <m/>
    <n v="341"/>
    <n v="5634"/>
    <x v="383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4"/>
    <s v="Ativo"/>
    <s v="AD"/>
    <n v="30031009"/>
    <s v="Colaborador–M.O.Fixa"/>
    <s v="Aprendiz"/>
    <s v="1DX"/>
    <s v="Duratex S.A."/>
    <n v="14"/>
    <s v="FÁB LOUÇAS PARAÍBA"/>
    <n v="14"/>
    <s v="DECA"/>
    <s v="NAO"/>
    <s v="0014 - FÁB LOUÇAS PARAÍBA"/>
    <s v="THIAGO ANDRADE DO NASCIMENTO"/>
    <s v="THIAGO"/>
    <n v="10006680"/>
    <s v="DJP-02"/>
    <s v="DJP-02 - APRENDIZ - LP"/>
    <s v="DXLP"/>
    <s v="DXAPREND69"/>
    <s v="Aprendizes"/>
    <n v="10008464"/>
    <s v="DJP-02"/>
    <s v="DJP-02 - ADMINISTRATIVO - LP"/>
    <s v="ANA CLAUDIA DE LIRA GUEDES"/>
    <n v="10000080"/>
    <s v="EQUIPE"/>
    <s v="EQUIPE"/>
    <n v="10000017"/>
    <s v="DECA"/>
    <s v="DIR IND DECA (LOUCAS)"/>
    <m/>
    <m/>
    <m/>
    <m/>
    <m/>
    <m/>
    <s v="19/10/2020"/>
    <n v="0"/>
    <m/>
    <d v="1998-08-02T00:00:00"/>
    <x v="28"/>
    <m/>
    <s v="brasileira"/>
    <s v="JOAO PESSOA"/>
    <s v="PB"/>
    <s v="BR"/>
    <s v="Não"/>
    <s v="M"/>
    <s v="Não"/>
    <m/>
    <s v="Solt."/>
    <s v="Parda"/>
    <s v="Colegial incompleto"/>
    <m/>
    <n v="22001645"/>
    <s v="220/M"/>
    <s v="APRENDIZ SENAI"/>
    <n v="725010"/>
    <s v="Admissão"/>
    <d v="2020-10-01T00:00:00"/>
    <s v="220,00"/>
    <m/>
    <s v="DJP-01"/>
    <s v="DDI-01"/>
    <s v="CSS-01"/>
    <s v="DDE-01"/>
    <s v="PRE-01"/>
    <s v="522,50"/>
    <s v="522,50"/>
    <s v="522,50"/>
    <s v="0,00"/>
    <s v="DF"/>
    <s v="LO PARAÍBA-220/M"/>
    <n v="3"/>
    <s v="GRS03DE"/>
    <d v="2020-10-01T00:00:00"/>
    <s v="Admissão"/>
    <s v="521,50"/>
    <s v="52.150,00"/>
    <n v="1"/>
    <m/>
    <s v="N"/>
    <x v="384"/>
    <m/>
    <d v="2016-08-06T00:00:00"/>
    <s v="PB"/>
    <s v="709.266.814-00"/>
    <n v="5007038"/>
    <n v="50"/>
    <d v="2016-02-08T00:00:00"/>
    <s v="PB"/>
    <n v="20660117740"/>
    <m/>
    <m/>
    <m/>
    <m/>
    <m/>
    <m/>
    <m/>
    <m/>
    <m/>
    <x v="365"/>
    <n v="73"/>
    <n v="188"/>
    <d v="2017-06-10T00:00:00"/>
    <s v="PB"/>
    <n v="230754520024"/>
    <m/>
    <m/>
    <m/>
    <s v="RUA SEVERINO RODRIGUES"/>
    <n v="1"/>
    <m/>
    <s v="MATA REDONDA"/>
    <s v="ALHANDRA"/>
    <s v="PB"/>
    <s v="58320-000"/>
    <m/>
    <n v="83991102249"/>
    <m/>
    <n v="341"/>
    <n v="7981"/>
    <x v="384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5"/>
    <s v="Ativo"/>
    <s v="AD"/>
    <n v="30131099"/>
    <s v="Colaborador–M.O.Fixa"/>
    <s v="Aprendiz"/>
    <s v="1DX"/>
    <s v="Duratex S.A."/>
    <n v="14"/>
    <s v="FÁB LOUÇAS PARAÍBA"/>
    <n v="14"/>
    <s v="DECA"/>
    <s v="NAO"/>
    <s v="0014 - FÁB LOUÇAS PARAÍBA"/>
    <s v="ELIAS VINICIOS BARBOSA ALVES"/>
    <s v="ELIAS"/>
    <n v="10006680"/>
    <s v="DJP-02"/>
    <s v="DJP-02 - APRENDIZ - LP"/>
    <s v="DXLP"/>
    <s v="DXAPREND69"/>
    <s v="Aprendizes"/>
    <n v="10008464"/>
    <s v="DJP-02"/>
    <s v="DJP-02 - ADMINISTRATIVO - LP"/>
    <s v="ANA CLAUDIA DE LIRA GUEDES"/>
    <n v="10000080"/>
    <s v="EQUIPE"/>
    <s v="EQUIPE"/>
    <n v="10000017"/>
    <s v="DECA"/>
    <s v="DIR IND DECA (LOUCAS)"/>
    <m/>
    <m/>
    <m/>
    <m/>
    <m/>
    <m/>
    <s v="19/10/2020"/>
    <n v="0"/>
    <m/>
    <d v="2000-07-08T00:00:00"/>
    <x v="32"/>
    <m/>
    <s v="brasileira"/>
    <s v="JOAO PESSOA"/>
    <s v="PB"/>
    <s v="BR"/>
    <s v="Não"/>
    <s v="M"/>
    <s v="Não"/>
    <m/>
    <s v="Solt."/>
    <s v="Parda"/>
    <s v="Colegial completo"/>
    <m/>
    <n v="22001645"/>
    <s v="220/M"/>
    <s v="APRENDIZ SENAI"/>
    <n v="725010"/>
    <s v="Admissão"/>
    <d v="2020-10-01T00:00:00"/>
    <s v="220,00"/>
    <m/>
    <s v="DJP-01"/>
    <s v="DDI-01"/>
    <s v="CSS-01"/>
    <s v="DDE-01"/>
    <s v="PRE-01"/>
    <s v="522,50"/>
    <s v="522,50"/>
    <s v="522,50"/>
    <s v="0,00"/>
    <s v="DF"/>
    <s v="LO PARAÍBA-220/M"/>
    <n v="3"/>
    <s v="GRS03DE"/>
    <d v="2020-10-01T00:00:00"/>
    <s v="Admissão"/>
    <s v="521,50"/>
    <s v="52.150,00"/>
    <n v="1"/>
    <m/>
    <s v="N"/>
    <x v="385"/>
    <m/>
    <s v="26/05/2017"/>
    <s v="PB"/>
    <s v="714.252.614-93"/>
    <n v="8650526"/>
    <n v="50"/>
    <s v="28/11/2017"/>
    <s v="PB"/>
    <n v="21213793043"/>
    <m/>
    <m/>
    <m/>
    <m/>
    <m/>
    <m/>
    <m/>
    <m/>
    <m/>
    <x v="366"/>
    <n v="77"/>
    <n v="170"/>
    <d v="2019-11-11T00:00:00"/>
    <s v="PB"/>
    <n v="320001619761"/>
    <m/>
    <m/>
    <m/>
    <s v="RUA JOAO AGRIPINO DE ALMEIDA"/>
    <n v="100"/>
    <m/>
    <s v="JOAO PAULO II"/>
    <s v="JOÃO PESSOA"/>
    <s v="PB"/>
    <s v="58076-430"/>
    <m/>
    <n v="83988876102"/>
    <m/>
    <n v="341"/>
    <n v="7981"/>
    <x v="385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6"/>
    <s v="Ativo"/>
    <s v="AD"/>
    <n v="30131095"/>
    <s v="Colaborador–M.O.Fixa"/>
    <s v="Aprendiz"/>
    <s v="1DX"/>
    <s v="Duratex S.A."/>
    <n v="14"/>
    <s v="FÁB LOUÇAS PARAÍBA"/>
    <n v="14"/>
    <s v="DECA"/>
    <s v="NAO"/>
    <s v="0014 - FÁB LOUÇAS PARAÍBA"/>
    <s v="DEBORA CLARYCE FREIRE DE ARAUJO"/>
    <s v="DEBORA"/>
    <n v="10006680"/>
    <s v="DJP-02"/>
    <s v="DJP-02 - APRENDIZ - LP"/>
    <s v="DXLP"/>
    <s v="DXAPREND69"/>
    <s v="Aprendizes"/>
    <n v="10008464"/>
    <s v="DJP-02"/>
    <s v="DJP-02 - ADMINISTRATIVO - LP"/>
    <s v="ANA CLAUDIA DE LIRA GUEDES"/>
    <n v="10000080"/>
    <s v="EQUIPE"/>
    <s v="EQUIPE"/>
    <n v="10000017"/>
    <s v="DECA"/>
    <s v="DIR IND DECA (LOUCAS)"/>
    <m/>
    <m/>
    <m/>
    <m/>
    <m/>
    <m/>
    <s v="19/10/2020"/>
    <n v="0"/>
    <m/>
    <s v="18/06/2000"/>
    <x v="32"/>
    <m/>
    <s v="brasileira"/>
    <s v="GUARABIRA"/>
    <s v="PB"/>
    <s v="BR"/>
    <s v="Não"/>
    <s v="F"/>
    <s v="Não"/>
    <m/>
    <s v="Casado"/>
    <s v="Branca"/>
    <s v="Colegial completo"/>
    <m/>
    <n v="22001645"/>
    <s v="220/M"/>
    <s v="APRENDIZ SENAI"/>
    <n v="725010"/>
    <s v="Admissão"/>
    <d v="2020-10-01T00:00:00"/>
    <s v="220,00"/>
    <m/>
    <s v="DJP-01"/>
    <s v="DDI-01"/>
    <s v="CSS-01"/>
    <s v="DDE-01"/>
    <s v="PRE-01"/>
    <s v="522,50"/>
    <s v="522,50"/>
    <s v="522,50"/>
    <s v="0,00"/>
    <s v="DF"/>
    <s v="LO PARAÍBA-220/M"/>
    <n v="3"/>
    <s v="GRS03DE"/>
    <d v="2020-10-01T00:00:00"/>
    <s v="Admissão"/>
    <s v="521,50"/>
    <s v="52.150,00"/>
    <n v="1"/>
    <m/>
    <s v="N"/>
    <x v="386"/>
    <m/>
    <d v="2018-11-10T00:00:00"/>
    <s v="PB"/>
    <s v="712.450.084-20"/>
    <n v="4056543"/>
    <n v="50"/>
    <d v="2016-10-05T00:00:00"/>
    <s v="PB"/>
    <n v="13697847049"/>
    <m/>
    <m/>
    <m/>
    <m/>
    <m/>
    <m/>
    <m/>
    <m/>
    <m/>
    <x v="367"/>
    <n v="77"/>
    <n v="375"/>
    <d v="2018-08-11T00:00:00"/>
    <s v="PB"/>
    <m/>
    <m/>
    <m/>
    <m/>
    <s v="RUA ENG FRANCISCO RIBEIRO BELTRAO"/>
    <n v="120"/>
    <m/>
    <s v="MANGABEIRA"/>
    <s v="JOÃO PESSOA"/>
    <s v="PB"/>
    <s v="58056-570"/>
    <m/>
    <n v="83981321221"/>
    <m/>
    <n v="341"/>
    <n v="7981"/>
    <x v="386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7"/>
    <s v="Ativo"/>
    <s v="AD"/>
    <n v="30038625"/>
    <s v="Colaborador–M.O.Fixa"/>
    <s v="Aprendiz"/>
    <s v="1DX"/>
    <s v="Duratex S.A."/>
    <n v="14"/>
    <s v="FÁB LOUÇAS PARAÍBA"/>
    <n v="14"/>
    <s v="DECA"/>
    <s v="NAO"/>
    <s v="0014 - FÁB LOUÇAS PARAÍBA"/>
    <s v="THALIA BIANCA DA SILVA BARBOSA"/>
    <s v="THALIA"/>
    <n v="10006680"/>
    <s v="DJP-02"/>
    <s v="DJP-02 - APRENDIZ - LP"/>
    <s v="DXLP"/>
    <s v="DXAPREND69"/>
    <s v="Aprendizes"/>
    <n v="10008464"/>
    <s v="DJP-02"/>
    <s v="DJP-02 - ADMINISTRATIVO - LP"/>
    <s v="ANA CLAUDIA DE LIRA GUEDES"/>
    <n v="10000080"/>
    <s v="EQUIPE"/>
    <s v="EQUIPE"/>
    <n v="10000017"/>
    <s v="DECA"/>
    <s v="DIR IND DECA (LOUCAS)"/>
    <m/>
    <m/>
    <m/>
    <m/>
    <m/>
    <m/>
    <s v="19/10/2020"/>
    <n v="0"/>
    <m/>
    <d v="2000-04-06T00:00:00"/>
    <x v="32"/>
    <m/>
    <s v="brasileira"/>
    <s v="BAYEUX"/>
    <s v="PB"/>
    <s v="BR"/>
    <s v="Não"/>
    <s v="F"/>
    <s v="Não"/>
    <m/>
    <s v="Solt."/>
    <s v="Parda"/>
    <s v="Colegial completo"/>
    <m/>
    <n v="22001645"/>
    <s v="220/M"/>
    <s v="APRENDIZ SENAI"/>
    <n v="725010"/>
    <s v="Admissão"/>
    <d v="2020-10-01T00:00:00"/>
    <s v="220,00"/>
    <m/>
    <s v="DJP-01"/>
    <s v="DDI-01"/>
    <s v="CSS-01"/>
    <s v="DDE-01"/>
    <s v="PRE-01"/>
    <s v="522,50"/>
    <s v="522,50"/>
    <s v="522,50"/>
    <s v="0,00"/>
    <s v="DF"/>
    <s v="LO PARAÍBA-220/M"/>
    <n v="3"/>
    <s v="GRS03DE"/>
    <d v="2020-10-01T00:00:00"/>
    <s v="Admissão"/>
    <s v="521,50"/>
    <s v="52.150,00"/>
    <n v="1"/>
    <m/>
    <s v="N"/>
    <x v="387"/>
    <m/>
    <s v="24/08/2015"/>
    <s v="PB"/>
    <s v="071.083.734-83"/>
    <n v="9453266"/>
    <n v="50"/>
    <d v="2017-06-12T00:00:00"/>
    <s v="PB"/>
    <n v="16612731371"/>
    <m/>
    <m/>
    <m/>
    <m/>
    <m/>
    <m/>
    <m/>
    <m/>
    <m/>
    <x v="368"/>
    <n v="61"/>
    <n v="137"/>
    <d v="2017-06-12T00:00:00"/>
    <s v="PB"/>
    <m/>
    <m/>
    <m/>
    <m/>
    <s v="RUA 13 DE MAIO"/>
    <n v="549"/>
    <m/>
    <s v="SESI"/>
    <s v="BAYEUX"/>
    <s v="PB"/>
    <s v="58111-280"/>
    <m/>
    <n v="83987662848"/>
    <m/>
    <n v="341"/>
    <n v="7981"/>
    <x v="387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8"/>
    <s v="Ativo"/>
    <s v="AD"/>
    <n v="30131097"/>
    <s v="Colaborador–M.O.Fixa"/>
    <s v="Aprendiz"/>
    <s v="1DX"/>
    <s v="Duratex S.A."/>
    <n v="14"/>
    <s v="FÁB LOUÇAS PARAÍBA"/>
    <n v="14"/>
    <s v="DECA"/>
    <s v="NAO"/>
    <s v="0014 - FÁB LOUÇAS PARAÍBA"/>
    <s v="HILQUIAS COSTA DE LIMA"/>
    <s v="HILQUIAS"/>
    <n v="10006680"/>
    <s v="DJP-02"/>
    <s v="DJP-02 - APRENDIZ - LP"/>
    <s v="DXLP"/>
    <s v="DXAPREND69"/>
    <s v="Aprendizes"/>
    <n v="10008464"/>
    <s v="DJP-02"/>
    <s v="DJP-02 - ADMINISTRATIVO - LP"/>
    <s v="ANA CLAUDIA DE LIRA GUEDES"/>
    <n v="10000080"/>
    <s v="EQUIPE"/>
    <s v="EQUIPE"/>
    <n v="10000017"/>
    <s v="DECA"/>
    <s v="DIR IND DECA (LOUCAS)"/>
    <m/>
    <m/>
    <m/>
    <m/>
    <m/>
    <m/>
    <s v="19/10/2020"/>
    <n v="0"/>
    <m/>
    <s v="15/06/1999"/>
    <x v="13"/>
    <m/>
    <s v="brasileira"/>
    <s v="JOAO PESSOA"/>
    <s v="PB"/>
    <s v="BR"/>
    <s v="Não"/>
    <s v="M"/>
    <s v="Não"/>
    <m/>
    <s v="Solt."/>
    <s v="Branca"/>
    <s v="Colegial completo"/>
    <m/>
    <n v="22001645"/>
    <s v="220/M"/>
    <s v="APRENDIZ SENAI"/>
    <n v="725010"/>
    <s v="Admissão"/>
    <d v="2020-10-01T00:00:00"/>
    <s v="220,00"/>
    <m/>
    <s v="DJP-01"/>
    <s v="DDI-01"/>
    <s v="CSS-01"/>
    <s v="DDE-01"/>
    <s v="PRE-01"/>
    <s v="522,50"/>
    <s v="522,50"/>
    <s v="522,50"/>
    <s v="0,00"/>
    <s v="DF"/>
    <s v="LO PARAÍBA-220/M"/>
    <n v="3"/>
    <s v="GRS03DE"/>
    <d v="2020-10-01T00:00:00"/>
    <s v="Admissão"/>
    <s v="521,50"/>
    <s v="52.150,00"/>
    <n v="1"/>
    <m/>
    <s v="N"/>
    <x v="388"/>
    <m/>
    <s v="22/04/2019"/>
    <s v="PB"/>
    <s v="126.691.574-59"/>
    <n v="221946"/>
    <n v="60"/>
    <s v="13/04/2018"/>
    <s v="PB"/>
    <n v="23801571242"/>
    <m/>
    <m/>
    <m/>
    <m/>
    <m/>
    <m/>
    <m/>
    <m/>
    <m/>
    <x v="369"/>
    <n v="64"/>
    <n v="395"/>
    <d v="2019-07-10T00:00:00"/>
    <s v="PB"/>
    <n v="230754607193"/>
    <m/>
    <m/>
    <m/>
    <s v="RUA SEVERINO BEZERRA DOS SANTOS"/>
    <n v="28"/>
    <m/>
    <s v="ILHA DO BISPO"/>
    <s v="JOÃO PESSOA"/>
    <s v="PB"/>
    <s v="58011-530"/>
    <m/>
    <n v="83987911656"/>
    <m/>
    <n v="341"/>
    <n v="7981"/>
    <x v="388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89"/>
    <s v="Ativo"/>
    <s v="AD"/>
    <n v="30048567"/>
    <s v="Colaborador–M.O.Fixa"/>
    <s v="Aprendiz"/>
    <s v="1HY"/>
    <s v="HYDRA CORONA SIST.AQ.LTD."/>
    <n v="32"/>
    <s v="HYDRA ARACAJU"/>
    <n v="32"/>
    <s v="CORONA"/>
    <s v="SIM"/>
    <s v="0032 – FÁB. HYDRA ARACAJU"/>
    <s v="JOAO LUKAS MENDES DOS SANTOS"/>
    <s v="JOAO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2-11-08T00:00:00"/>
    <x v="26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89"/>
    <m/>
    <s v="30/05/2018"/>
    <s v="SE"/>
    <s v="064.298.285-65"/>
    <n v="8140573"/>
    <n v="50"/>
    <d v="2017-10-10T00:00:00"/>
    <s v="SE"/>
    <n v="20093771228"/>
    <m/>
    <m/>
    <m/>
    <m/>
    <m/>
    <m/>
    <m/>
    <m/>
    <m/>
    <x v="88"/>
    <m/>
    <m/>
    <m/>
    <m/>
    <n v="320004347392"/>
    <m/>
    <m/>
    <m/>
    <s v="AVENIDA GAL EUCLIDES FIGUEIREDO"/>
    <n v="1905"/>
    <m/>
    <s v="PORTO D'ANTAS"/>
    <s v="ARACAJU"/>
    <s v="SE"/>
    <s v="49070-000"/>
    <m/>
    <n v="79988565692"/>
    <m/>
    <n v="341"/>
    <n v="9295"/>
    <x v="389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90"/>
    <s v="Ativo"/>
    <s v="AD"/>
    <n v="30131197"/>
    <s v="Colaborador–M.O.Fixa"/>
    <s v="Aprendiz"/>
    <s v="1HY"/>
    <s v="HYDRA CORONA SIST.AQ.LTD."/>
    <n v="32"/>
    <s v="HYDRA ARACAJU"/>
    <n v="32"/>
    <s v="CORONA"/>
    <s v="SIM"/>
    <s v="0032 – FÁB. HYDRA ARACAJU"/>
    <s v="ELIZIANE VIEIRA RODRIGUES"/>
    <s v="ELIZIAN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8/12/2000"/>
    <x v="24"/>
    <m/>
    <s v="brasileira"/>
    <s v="ARACAJU"/>
    <s v="SE"/>
    <s v="BR"/>
    <s v="Não"/>
    <s v="F"/>
    <s v="Não"/>
    <m/>
    <s v="Solt."/>
    <s v="Amarel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90"/>
    <m/>
    <s v="20/01/2014"/>
    <s v="SE"/>
    <s v="077.287.175-29"/>
    <n v="2087886"/>
    <s v="0 060"/>
    <s v="19/12/2018"/>
    <s v="SE"/>
    <n v="16107023314"/>
    <m/>
    <m/>
    <m/>
    <m/>
    <m/>
    <m/>
    <m/>
    <m/>
    <m/>
    <x v="88"/>
    <m/>
    <m/>
    <m/>
    <m/>
    <m/>
    <m/>
    <m/>
    <m/>
    <s v="ESTRADA TRES PORQUINHOS"/>
    <n v="712"/>
    <m/>
    <s v="ZONA DE EXPANSAO (ROBALO)"/>
    <s v="ARACAJU"/>
    <s v="SE"/>
    <s v="49000-000"/>
    <m/>
    <n v="79998054184"/>
    <m/>
    <n v="341"/>
    <n v="297"/>
    <x v="390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91"/>
    <s v="Ativo"/>
    <s v="AD"/>
    <n v="30046318"/>
    <s v="Colaborador–M.O.Fixa"/>
    <s v="Aprendiz"/>
    <s v="1HY"/>
    <s v="HYDRA CORONA SIST.AQ.LTD."/>
    <n v="32"/>
    <s v="HYDRA ARACAJU"/>
    <n v="32"/>
    <s v="CORONA"/>
    <s v="SIM"/>
    <s v="0032 – FÁB. HYDRA ARACAJU"/>
    <s v="ERICKSON AYSLAN SANTOS ARIMATEIA"/>
    <s v="ERICKSON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9/11/1998"/>
    <x v="13"/>
    <m/>
    <s v="brasileira"/>
    <s v="ARACAJU"/>
    <s v="SE"/>
    <s v="BR"/>
    <s v="Não"/>
    <s v="M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91"/>
    <m/>
    <s v="13/02/2015"/>
    <s v="SE"/>
    <s v="057.643.905-32"/>
    <n v="7658126"/>
    <n v="40"/>
    <d v="2014-06-06T00:00:00"/>
    <s v="SE"/>
    <n v="21285162511"/>
    <m/>
    <m/>
    <m/>
    <m/>
    <m/>
    <m/>
    <m/>
    <m/>
    <m/>
    <x v="370"/>
    <n v="1"/>
    <n v="176"/>
    <s v="29/09/2020"/>
    <s v="SE"/>
    <n v="190034273473"/>
    <m/>
    <m/>
    <m/>
    <s v="RUA GLEIDE FONSECA DE ALMEIDA"/>
    <n v="54"/>
    <m/>
    <s v="SANTOS DUMONT"/>
    <s v="ARACAJU"/>
    <s v="SE"/>
    <s v="49087-530"/>
    <m/>
    <n v="79996284079"/>
    <m/>
    <n v="341"/>
    <n v="297"/>
    <x v="391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92"/>
    <s v="Ativo"/>
    <s v="AD"/>
    <n v="30047241"/>
    <s v="Colaborador–M.O.Var"/>
    <s v="Mensalista"/>
    <s v="1DX"/>
    <s v="Duratex S.A."/>
    <n v="9"/>
    <s v="FÁB LOUÇAS JUNDIAÍ I"/>
    <n v="9"/>
    <s v="DECA"/>
    <s v="SIM"/>
    <s v="0009 - FÁB LOUÇAS JUNDIAÍ I"/>
    <s v="LUCAS GABRIEL LIMA PASSOS"/>
    <s v="LUCAS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s v="16/10/2020"/>
    <n v="0"/>
    <m/>
    <d v="2000-09-05T00:00:00"/>
    <x v="32"/>
    <m/>
    <s v="brasileira"/>
    <s v="SAO PAULO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92"/>
    <m/>
    <d v="2019-07-01T00:00:00"/>
    <s v="SP"/>
    <s v="480.634.508-33"/>
    <n v="79965"/>
    <n v="439"/>
    <d v="2015-05-11T00:00:00"/>
    <s v="SP"/>
    <n v="12586824751"/>
    <m/>
    <m/>
    <m/>
    <m/>
    <m/>
    <m/>
    <m/>
    <m/>
    <m/>
    <x v="88"/>
    <m/>
    <m/>
    <m/>
    <m/>
    <n v="320000364906"/>
    <m/>
    <m/>
    <m/>
    <s v="RUA EMBUGUACU"/>
    <n v="59"/>
    <m/>
    <s v="VILA INDAIA"/>
    <s v="VÁRZEA PAULISTA"/>
    <s v="SP"/>
    <s v="13225-451"/>
    <m/>
    <n v="11996108698"/>
    <m/>
    <n v="341"/>
    <n v="2523"/>
    <x v="39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93"/>
    <s v="Ativo"/>
    <s v="AD"/>
    <n v="30041262"/>
    <s v="Colaborador–M.O.Var"/>
    <s v="Mensalista"/>
    <s v="1DX"/>
    <s v="Duratex S.A."/>
    <n v="9"/>
    <s v="FÁB LOUÇAS JUNDIAÍ I"/>
    <n v="9"/>
    <s v="DECA"/>
    <s v="SIM"/>
    <s v="0009 - FÁB LOUÇAS JUNDIAÍ I"/>
    <s v="JEAN CARLOS DA SILVA"/>
    <s v="JEAN"/>
    <n v="10001550"/>
    <s v="DCF-03"/>
    <s v="DCF-03 - FUNDICAO CONVENCIONAL - LJ I"/>
    <s v="DXLJ"/>
    <s v="DXCONVEN23"/>
    <s v="Fund. Convencional"/>
    <n v="10001539"/>
    <s v="DCF-01"/>
    <s v="DCF-01 - FUND MEC /CONV/ FC/ INSP - LJ I"/>
    <s v="EDISON BATISTA TIMOTEO"/>
    <n v="10000059"/>
    <s v="SUPERVISOR"/>
    <s v="SUPERVISOR"/>
    <n v="10000017"/>
    <s v="DECA"/>
    <s v="DIR IND DECA (LOUCAS)"/>
    <m/>
    <m/>
    <m/>
    <m/>
    <m/>
    <m/>
    <s v="16/10/2020"/>
    <n v="0"/>
    <m/>
    <s v="25/04/1997"/>
    <x v="18"/>
    <m/>
    <s v="brasileira"/>
    <s v="JUNDIAI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93"/>
    <m/>
    <s v="28/03/2016"/>
    <s v="SP"/>
    <s v="457.443.348-58"/>
    <n v="1064"/>
    <n v="393"/>
    <d v="2011-03-08T00:00:00"/>
    <s v="SP"/>
    <n v="13056518228"/>
    <m/>
    <m/>
    <m/>
    <m/>
    <m/>
    <m/>
    <m/>
    <m/>
    <m/>
    <x v="371"/>
    <n v="65"/>
    <n v="225"/>
    <d v="2015-06-01T00:00:00"/>
    <s v="SP"/>
    <n v="140873147429"/>
    <m/>
    <m/>
    <m/>
    <s v="RUA UVA NIAGARA"/>
    <n v="462"/>
    <m/>
    <s v="MORADA DAS VINHAS"/>
    <s v="JUNDIAÍ"/>
    <s v="SP"/>
    <s v="13214-699"/>
    <m/>
    <n v="11992869390"/>
    <m/>
    <n v="341"/>
    <n v="7431"/>
    <x v="39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94"/>
    <s v="Ativo"/>
    <s v="AD"/>
    <n v="30131196"/>
    <s v="Colaborador–M.O.Fixa"/>
    <s v="Aprendiz"/>
    <s v="1HY"/>
    <s v="HYDRA CORONA SIST.AQ.LTD."/>
    <n v="32"/>
    <s v="HYDRA ARACAJU"/>
    <n v="32"/>
    <s v="CORONA"/>
    <s v="SIM"/>
    <s v="0032 – FÁB. HYDRA ARACAJU"/>
    <s v="DANIEL SANTOS DE ARAUJO"/>
    <s v="DANIEL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1-10-09T00:00:00"/>
    <x v="24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94"/>
    <m/>
    <s v="31/07/2014"/>
    <s v="SE"/>
    <s v="073.920.705-92"/>
    <n v="4880081"/>
    <n v="50"/>
    <s v="24/10/2016"/>
    <s v="SE"/>
    <n v="15442702025"/>
    <m/>
    <m/>
    <m/>
    <m/>
    <m/>
    <m/>
    <m/>
    <m/>
    <m/>
    <x v="88"/>
    <m/>
    <m/>
    <m/>
    <m/>
    <n v="320002504037"/>
    <m/>
    <m/>
    <m/>
    <s v="RUA CANADA"/>
    <n v="903"/>
    <m/>
    <s v="AMERICA"/>
    <s v="ARACAJU"/>
    <s v="SE"/>
    <s v="49080-130"/>
    <m/>
    <n v="79991256843"/>
    <m/>
    <n v="341"/>
    <n v="5634"/>
    <x v="394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95"/>
    <s v="Ativo"/>
    <s v="AD"/>
    <n v="30047245"/>
    <s v="Colaborador–M.O.Var"/>
    <s v="Mensalista"/>
    <s v="1DX"/>
    <s v="Duratex S.A."/>
    <n v="9"/>
    <s v="FÁB LOUÇAS JUNDIAÍ I"/>
    <n v="9"/>
    <s v="DECA"/>
    <s v="SIM"/>
    <s v="0009 - FÁB LOUÇAS JUNDIAÍ I"/>
    <s v="JOSE GUSTAVO CECCATO"/>
    <s v="JOSE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s v="16/10/2020"/>
    <n v="0"/>
    <m/>
    <s v="20/12/2000"/>
    <x v="24"/>
    <m/>
    <s v="brasileira"/>
    <s v="JUNDIAI"/>
    <s v="SP"/>
    <s v="BR"/>
    <s v="Não"/>
    <s v="M"/>
    <s v="Não"/>
    <m/>
    <s v="Solt."/>
    <s v="Branc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95"/>
    <m/>
    <s v="19/06/2019"/>
    <s v="SP"/>
    <s v="511.247.018-69"/>
    <n v="60706"/>
    <n v="442"/>
    <d v="2016-09-04T00:00:00"/>
    <s v="SP"/>
    <n v="20740851246"/>
    <m/>
    <m/>
    <m/>
    <m/>
    <m/>
    <m/>
    <m/>
    <m/>
    <m/>
    <x v="372"/>
    <n v="281"/>
    <n v="223"/>
    <s v="22/02/2019"/>
    <s v="SP"/>
    <n v="320000451738"/>
    <m/>
    <m/>
    <m/>
    <s v="RUA JOSE FRANCISCO RODRIGUES  LOT R PALMEIRAS"/>
    <n v="619"/>
    <m/>
    <s v="JARDIM COLONIA"/>
    <s v="JUNDIAÍ"/>
    <s v="SP"/>
    <s v="13219-845"/>
    <m/>
    <n v="11975683644"/>
    <m/>
    <n v="341"/>
    <n v="2523"/>
    <x v="395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96"/>
    <s v="Ativo"/>
    <s v="AD"/>
    <n v="30044761"/>
    <s v="Colaborador–M.O.Fixa"/>
    <s v="Mensalista"/>
    <s v="1DX"/>
    <s v="Duratex S.A."/>
    <n v="9"/>
    <s v="FÁB LOUÇAS JUNDIAÍ I"/>
    <n v="9"/>
    <s v="DECA"/>
    <s v="SIM"/>
    <s v="0009 - FÁB LOUÇAS JUNDIAÍ I"/>
    <s v="GUSTAVO LOURENCO GONCALVES"/>
    <s v="GUSTAVO"/>
    <n v="10001569"/>
    <s v="DMF-02"/>
    <s v="DMF-02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s v="16/10/2020"/>
    <n v="0"/>
    <m/>
    <s v="13/06/1998"/>
    <x v="28"/>
    <m/>
    <s v="brasileira"/>
    <s v="JUNDIAI"/>
    <s v="SP"/>
    <s v="BR"/>
    <s v="Não"/>
    <s v="M"/>
    <s v="Não"/>
    <m/>
    <s v="Solt."/>
    <s v="Parda"/>
    <s v="Colegial in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96"/>
    <m/>
    <s v="18/05/2018"/>
    <s v="SP"/>
    <s v="443.113.568-54"/>
    <n v="32137"/>
    <n v="419"/>
    <d v="2014-02-07T00:00:00"/>
    <s v="SP"/>
    <n v="14711294194"/>
    <m/>
    <m/>
    <m/>
    <m/>
    <m/>
    <m/>
    <m/>
    <m/>
    <m/>
    <x v="373"/>
    <n v="344"/>
    <n v="147"/>
    <s v="16/09/2019"/>
    <s v="SP"/>
    <n v="140342218728"/>
    <m/>
    <m/>
    <m/>
    <s v="RUA SERGIO ALEXANDRE BORIN"/>
    <n v="733"/>
    <m/>
    <s v="JARDIM GUANCIALE"/>
    <s v="CAMPO LIMPO PAULISTA"/>
    <s v="SP"/>
    <s v="13236-100"/>
    <m/>
    <n v="11943314931"/>
    <m/>
    <n v="341"/>
    <n v="8441"/>
    <x v="396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97"/>
    <s v="Ativo"/>
    <s v="AD"/>
    <n v="30047221"/>
    <s v="Colaborador–M.O.Var"/>
    <s v="Mensalista"/>
    <s v="1DX"/>
    <s v="Duratex S.A."/>
    <n v="9"/>
    <s v="FÁB LOUÇAS JUNDIAÍ I"/>
    <n v="9"/>
    <s v="DECA"/>
    <s v="SIM"/>
    <s v="0009 - FÁB LOUÇAS JUNDIAÍ I"/>
    <s v="FELIPE ALMEIDA BATISTA"/>
    <s v="FELIPE"/>
    <n v="10001564"/>
    <s v="DMF-02"/>
    <s v="DMF-02 - FUNDICAO ACESS A.PRESSAO - LJ I"/>
    <s v="DXLJ"/>
    <s v="DXACESAP23"/>
    <s v="Fund.Acess.AltaPress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s v="16/10/2020"/>
    <n v="0"/>
    <m/>
    <d v="2000-02-08T00:00:00"/>
    <x v="32"/>
    <m/>
    <s v="brasileira"/>
    <s v="SUZANO"/>
    <s v="SP"/>
    <s v="BR"/>
    <s v="Não"/>
    <s v="M"/>
    <s v="Não"/>
    <m/>
    <s v="Solt.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397"/>
    <m/>
    <s v="30/07/2014"/>
    <s v="SP"/>
    <s v="486.586.748-19"/>
    <n v="81073"/>
    <n v="445"/>
    <s v="20/09/2016"/>
    <s v="SP"/>
    <n v="16326760322"/>
    <m/>
    <m/>
    <m/>
    <m/>
    <m/>
    <m/>
    <m/>
    <m/>
    <m/>
    <x v="374"/>
    <n v="344"/>
    <n v="127"/>
    <d v="2018-12-03T00:00:00"/>
    <s v="SP"/>
    <n v="320000572203"/>
    <m/>
    <m/>
    <m/>
    <s v="RUA FABIANO"/>
    <n v="447"/>
    <m/>
    <s v="BOTUJURU (BOTUJURU)"/>
    <s v="CAMPO LIMPO PAULISTA"/>
    <s v="SP"/>
    <s v="13238-250"/>
    <m/>
    <n v="11941817837"/>
    <m/>
    <n v="341"/>
    <n v="2523"/>
    <x v="397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398"/>
    <s v="Ativo"/>
    <s v="AD"/>
    <n v="30048575"/>
    <s v="Colaborador–M.O.Fixa"/>
    <s v="Aprendiz"/>
    <s v="1HY"/>
    <s v="HYDRA CORONA SIST.AQ.LTD."/>
    <n v="32"/>
    <s v="HYDRA ARACAJU"/>
    <n v="32"/>
    <s v="CORONA"/>
    <s v="SIM"/>
    <s v="0032 – FÁB. HYDRA ARACAJU"/>
    <s v="GLADSTON SANTOS CONCEICAO"/>
    <s v="GLADSTON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1/08/2002"/>
    <x v="26"/>
    <m/>
    <s v="brasileira"/>
    <s v="ARACAJU"/>
    <s v="SE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98"/>
    <m/>
    <s v="23/07/2012"/>
    <s v="SE"/>
    <s v="071.418.595-78"/>
    <n v="3796591"/>
    <n v="60"/>
    <s v="15/04/2019"/>
    <s v="SE"/>
    <n v="14395817447"/>
    <m/>
    <m/>
    <m/>
    <m/>
    <m/>
    <m/>
    <m/>
    <m/>
    <m/>
    <x v="88"/>
    <m/>
    <m/>
    <m/>
    <m/>
    <n v="320005189158"/>
    <m/>
    <m/>
    <m/>
    <s v="RUA ETELVINO OLIVEIRA"/>
    <n v="480"/>
    <m/>
    <s v="ALTO DA DIVINEIA"/>
    <s v="SAO CRISTOVAO"/>
    <s v="SE"/>
    <s v="49100-000"/>
    <m/>
    <n v="79999913132"/>
    <m/>
    <n v="341"/>
    <n v="297"/>
    <x v="398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399"/>
    <s v="Ativo"/>
    <s v="AD"/>
    <n v="30131203"/>
    <s v="Colaborador–M.O.Fixa"/>
    <s v="Aprendiz"/>
    <s v="1HY"/>
    <s v="HYDRA CORONA SIST.AQ.LTD."/>
    <n v="32"/>
    <s v="HYDRA ARACAJU"/>
    <n v="32"/>
    <s v="CORONA"/>
    <s v="SIM"/>
    <s v="0032 – FÁB. HYDRA ARACAJU"/>
    <s v="VINICIUS BISPO DE JESUS"/>
    <s v="VINICIUS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1999-10-03T00:00:00"/>
    <x v="13"/>
    <m/>
    <s v="brasileira"/>
    <s v="ARACAJU"/>
    <s v="SE"/>
    <s v="BR"/>
    <s v="Não"/>
    <s v="M"/>
    <s v="Não"/>
    <m/>
    <s v="Solt."/>
    <s v="Parda"/>
    <s v="Superior in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399"/>
    <m/>
    <s v="29/11/2019"/>
    <s v="SE"/>
    <s v="087.063.335-08"/>
    <n v="1268775"/>
    <n v="60"/>
    <d v="2018-10-09T00:00:00"/>
    <s v="SE"/>
    <n v="13731847913"/>
    <m/>
    <m/>
    <m/>
    <m/>
    <m/>
    <m/>
    <m/>
    <m/>
    <m/>
    <x v="375"/>
    <n v="27"/>
    <n v="509"/>
    <s v="13/03/2018"/>
    <s v="SE"/>
    <n v="190034330364"/>
    <m/>
    <m/>
    <m/>
    <s v="RUA CINCO"/>
    <n v="245"/>
    <m/>
    <s v="COROA DO MEIO"/>
    <s v="ARACAJU"/>
    <s v="SE"/>
    <s v="49035-516"/>
    <m/>
    <n v="79988599635"/>
    <m/>
    <n v="341"/>
    <n v="297"/>
    <x v="399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00"/>
    <s v="Ativo"/>
    <s v="AD"/>
    <n v="30041766"/>
    <s v="Colaborador–M.O.Var"/>
    <s v="Mensalista"/>
    <s v="1DX"/>
    <s v="Duratex S.A."/>
    <n v="9"/>
    <s v="FÁB LOUÇAS JUNDIAÍ I"/>
    <n v="9"/>
    <s v="DECA"/>
    <s v="SIM"/>
    <s v="0009 - FÁB LOUÇAS JUNDIAÍ I"/>
    <s v="ALAN FERREIRA DOS SANTOS"/>
    <s v="ALAN"/>
    <n v="10001590"/>
    <s v="DCI-02"/>
    <s v="DCI-02 - CLASSIFICACAO - LJ I"/>
    <s v="DXLJ"/>
    <s v="DXCLEMBL23"/>
    <s v="Classificação"/>
    <n v="10008652"/>
    <s v="DCI-01"/>
    <s v="DCI-01 - CLASSIFICAÇÃO E MANUT. LJ I"/>
    <s v="MAYKON HENRIQUE PADUA PINTO"/>
    <n v="10000060"/>
    <s v="SUPERIOR"/>
    <s v="SUPERIOR"/>
    <n v="10000017"/>
    <s v="DECA"/>
    <s v="DIR IND DECA (LOUCAS)"/>
    <m/>
    <m/>
    <m/>
    <m/>
    <m/>
    <m/>
    <s v="16/10/2020"/>
    <n v="0"/>
    <m/>
    <s v="26/02/1992"/>
    <x v="11"/>
    <m/>
    <s v="brasileira"/>
    <s v="JUNDIAI"/>
    <s v="SP"/>
    <s v="BR"/>
    <s v="Não"/>
    <s v="M"/>
    <s v="Não"/>
    <m/>
    <s v="Casado"/>
    <s v="Pard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0"/>
    <s v="1.645,00"/>
    <s v="1.645,00"/>
    <s v="0,00"/>
    <s v="BH"/>
    <s v="LO JUNDIAÍ-220/M"/>
    <n v="13"/>
    <s v="GRS013OP"/>
    <d v="2020-10-01T00:00:00"/>
    <s v="Admissão"/>
    <s v="1.644,00"/>
    <s v="164400,00"/>
    <n v="1"/>
    <m/>
    <s v="N"/>
    <x v="400"/>
    <m/>
    <d v="2010-01-10T00:00:00"/>
    <s v="SP"/>
    <s v="406.508.008-85"/>
    <n v="75199"/>
    <n v="318"/>
    <s v="29/03/2007"/>
    <s v="SP"/>
    <n v="16123415817"/>
    <m/>
    <m/>
    <m/>
    <m/>
    <m/>
    <m/>
    <m/>
    <m/>
    <m/>
    <x v="376"/>
    <n v="281"/>
    <n v="34"/>
    <s v="23/06/2017"/>
    <s v="SP"/>
    <n v="140873011609"/>
    <m/>
    <m/>
    <m/>
    <s v="AVENIDA BENTO DO AMARAL GURGEL"/>
    <n v="1468"/>
    <m/>
    <s v="VILA NAMBI"/>
    <s v="JUNDIAÍ"/>
    <s v="SP"/>
    <s v="13219-070"/>
    <m/>
    <n v="11940039829"/>
    <m/>
    <n v="341"/>
    <n v="26"/>
    <x v="40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401"/>
    <s v="Ativo"/>
    <s v="AD"/>
    <n v="30047233"/>
    <s v="Colaborador–M.O.Var"/>
    <s v="Mensalista"/>
    <s v="1DX"/>
    <s v="Duratex S.A."/>
    <n v="9"/>
    <s v="FÁB LOUÇAS JUNDIAÍ I"/>
    <n v="9"/>
    <s v="DECA"/>
    <s v="SIM"/>
    <s v="0009 - FÁB LOUÇAS JUNDIAÍ I"/>
    <s v="CLEUSON PEREIRA DA SILVA"/>
    <s v="CLEUSON"/>
    <n v="10001571"/>
    <s v="DMF-04"/>
    <s v="DMF-04 - FUNDICAO ALTA PRESSAO - LJ I"/>
    <s v="DXLJ"/>
    <s v="DXALTPRE23"/>
    <s v="Fund. Alta Pressão"/>
    <n v="10002727"/>
    <s v="DMF-04"/>
    <s v="DMF-04 - ACABAM/ESMAL ALTA PRESSAO - LJI"/>
    <s v="REGINALDO APARECIDO CALIXTO"/>
    <n v="10000080"/>
    <s v="EQUIPE"/>
    <s v="EQUIPE"/>
    <n v="10000017"/>
    <s v="DECA"/>
    <s v="DIR IND DECA (LOUCAS)"/>
    <m/>
    <m/>
    <m/>
    <m/>
    <m/>
    <m/>
    <s v="16/10/2020"/>
    <n v="0"/>
    <m/>
    <s v="17/02/1984"/>
    <x v="34"/>
    <m/>
    <s v="brasileira"/>
    <s v="CAMPO ALEGRE DE LOURDES"/>
    <s v="BA"/>
    <s v="BR"/>
    <s v="Não"/>
    <s v="M"/>
    <s v="Não"/>
    <m/>
    <s v="Casado"/>
    <s v="Branca"/>
    <s v="Colegial in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401"/>
    <m/>
    <s v="28/11/2013"/>
    <s v="BA"/>
    <s v="023.955.735-23"/>
    <n v="47638"/>
    <n v="318"/>
    <s v="21/03/2006"/>
    <s v="SP"/>
    <n v="20322242465"/>
    <m/>
    <m/>
    <m/>
    <m/>
    <m/>
    <m/>
    <m/>
    <m/>
    <m/>
    <x v="377"/>
    <n v="67"/>
    <n v="32"/>
    <s v="15/04/2000"/>
    <s v="BA"/>
    <n v="171572026291"/>
    <m/>
    <m/>
    <m/>
    <s v="RUA ITIRAPINA"/>
    <n v="273"/>
    <m/>
    <s v="VILA LACERDA"/>
    <s v="JUNDIAÍ"/>
    <s v="SP"/>
    <s v="13214-065"/>
    <m/>
    <n v="11975016360"/>
    <m/>
    <n v="341"/>
    <n v="19"/>
    <x v="401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402"/>
    <s v="Ativo"/>
    <s v="AD"/>
    <n v="30041432"/>
    <s v="Colaborador–M.O.Var"/>
    <s v="Mensalista"/>
    <s v="1DX"/>
    <s v="Duratex S.A."/>
    <n v="9"/>
    <s v="FÁB LOUÇAS JUNDIAÍ I"/>
    <n v="9"/>
    <s v="DECA"/>
    <s v="SIM"/>
    <s v="0009 - FÁB LOUÇAS JUNDIAÍ I"/>
    <s v="VICTOR GABRIEL FERREIRA RIBEIRO ROMAO"/>
    <s v="VICTOR"/>
    <n v="10002635"/>
    <s v="DCF-03"/>
    <s v="DCF-03 - FUNDICAO MECANIZADA - LJ I"/>
    <s v="DXLJ"/>
    <s v="DXFMECAN23"/>
    <s v="Fundição Mecanizada"/>
    <n v="10001539"/>
    <s v="DCF-01"/>
    <s v="DCF-01 - FUND MEC /CONV/ FC/ INSP - LJ I"/>
    <s v="JOAO ROSINALDO LOPES"/>
    <n v="10000080"/>
    <s v="EQUIPE"/>
    <s v="EQUIPE"/>
    <n v="10000017"/>
    <s v="DECA"/>
    <s v="DIR IND DECA (LOUCAS)"/>
    <m/>
    <m/>
    <m/>
    <m/>
    <m/>
    <m/>
    <s v="16/10/2020"/>
    <n v="0"/>
    <m/>
    <s v="19/07/2002"/>
    <x v="26"/>
    <m/>
    <s v="brasileira"/>
    <s v="JUNDIAI"/>
    <s v="SP"/>
    <s v="BR"/>
    <s v="Não"/>
    <s v="M"/>
    <s v="Não"/>
    <m/>
    <s v="Solt."/>
    <s v="Negra"/>
    <s v="Colegial completo"/>
    <m/>
    <n v="22000878"/>
    <s v="220/M"/>
    <s v="AUX PRODUCAO"/>
    <n v="784205"/>
    <s v="Admissão"/>
    <d v="2020-10-01T00:00:00"/>
    <s v="220,00"/>
    <m/>
    <s v="DLJ-01"/>
    <s v="DDI-01"/>
    <s v="CSS-01"/>
    <s v="DDE-01"/>
    <s v="PRE-01"/>
    <s v="1.645,05"/>
    <s v="1.645,05"/>
    <s v="1.645,05"/>
    <s v="0,00"/>
    <s v="BH"/>
    <s v="LO JUNDIAÍ-220/M"/>
    <n v="13"/>
    <s v="GRS013OP"/>
    <d v="2020-10-01T00:00:00"/>
    <s v="Admissão"/>
    <s v="1.644,05"/>
    <s v="164405,00"/>
    <n v="1"/>
    <m/>
    <s v="N"/>
    <x v="402"/>
    <m/>
    <s v="21/10/2019"/>
    <s v="SP"/>
    <s v="519.731.808-20"/>
    <n v="31072"/>
    <n v="470"/>
    <s v="15/10/2019"/>
    <s v="SP"/>
    <n v="11778887311"/>
    <m/>
    <m/>
    <m/>
    <m/>
    <m/>
    <m/>
    <m/>
    <m/>
    <m/>
    <x v="378"/>
    <n v="281"/>
    <n v="255"/>
    <d v="2020-10-10T00:00:00"/>
    <s v="SP"/>
    <n v="320003996097"/>
    <m/>
    <m/>
    <m/>
    <s v="RUA DEZENOVE DE ABRIL"/>
    <n v="8"/>
    <m/>
    <s v="VILA CIDADANIA"/>
    <s v="JUNDIAÍ"/>
    <s v="SP"/>
    <s v="13219-343"/>
    <m/>
    <n v="11950905171"/>
    <m/>
    <n v="341"/>
    <n v="658"/>
    <x v="40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n v="1"/>
    <m/>
  </r>
  <r>
    <n v="102020"/>
    <x v="403"/>
    <s v="Ativo"/>
    <s v="AD"/>
    <n v="30131191"/>
    <s v="Colaborador–M.O.Fixa"/>
    <s v="Aprendiz"/>
    <s v="1HY"/>
    <s v="HYDRA CORONA SIST.AQ.LTD."/>
    <n v="32"/>
    <s v="HYDRA ARACAJU"/>
    <n v="32"/>
    <s v="CORONA"/>
    <s v="SIM"/>
    <s v="0032 – FÁB. HYDRA ARACAJU"/>
    <s v="HELENA KARINY FERREIRA DOS SANTOS"/>
    <s v="HELEN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2-02-06T00:00:00"/>
    <x v="26"/>
    <m/>
    <s v="brasileira"/>
    <s v="AQUIDABA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03"/>
    <m/>
    <d v="2012-08-05T00:00:00"/>
    <s v="SE"/>
    <s v="085.905.015-74"/>
    <n v="859050"/>
    <n v="1574"/>
    <s v="22/09/2020"/>
    <s v="SE"/>
    <n v="16147086791"/>
    <m/>
    <m/>
    <m/>
    <m/>
    <m/>
    <m/>
    <m/>
    <m/>
    <m/>
    <x v="379"/>
    <n v="3"/>
    <n v="2"/>
    <s v="20/01/2020"/>
    <s v="SE"/>
    <m/>
    <m/>
    <m/>
    <m/>
    <s v="RUA BAHIA  DE 136 137 AO FIM"/>
    <n v="1385"/>
    <m/>
    <s v="SIQUEIRA CAMPOS"/>
    <s v="ARACAJU"/>
    <s v="SE"/>
    <s v="49075-000"/>
    <m/>
    <n v="79998984637"/>
    <m/>
    <n v="341"/>
    <n v="5634"/>
    <x v="403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04"/>
    <s v="Ativo"/>
    <s v="AD"/>
    <n v="30046321"/>
    <s v="Colaborador–M.O.Fixa"/>
    <s v="Aprendiz"/>
    <s v="1HY"/>
    <s v="HYDRA CORONA SIST.AQ.LTD."/>
    <n v="32"/>
    <s v="HYDRA ARACAJU"/>
    <n v="32"/>
    <s v="CORONA"/>
    <s v="SIM"/>
    <s v="0032 – FÁB. HYDRA ARACAJU"/>
    <s v="SAMUEL ROBERT SANTOS DE OLIVEIRA"/>
    <s v="SAMUEL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3/05/2001"/>
    <x v="24"/>
    <m/>
    <s v="brasileira"/>
    <s v="SAO PAULO"/>
    <s v="SP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04"/>
    <m/>
    <d v="2020-09-03T00:00:00"/>
    <s v="SE"/>
    <s v="091.428.615-35"/>
    <n v="4975851"/>
    <n v="60"/>
    <d v="2019-03-06T00:00:00"/>
    <s v="SE"/>
    <n v="13536394441"/>
    <m/>
    <m/>
    <m/>
    <m/>
    <m/>
    <m/>
    <m/>
    <m/>
    <m/>
    <x v="380"/>
    <n v="14"/>
    <n v="104"/>
    <s v="23/01/2019"/>
    <s v="SE"/>
    <n v="320003121905"/>
    <m/>
    <m/>
    <m/>
    <s v="RUA RIO GRANDE DO SUL"/>
    <n v="939"/>
    <m/>
    <s v="SIQUEIRA CAMPOS"/>
    <s v="ARACAJU"/>
    <s v="SE"/>
    <s v="49075-510"/>
    <m/>
    <n v="79981393167"/>
    <m/>
    <n v="341"/>
    <n v="297"/>
    <x v="404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05"/>
    <s v="Ativo"/>
    <s v="AD"/>
    <n v="30046319"/>
    <s v="Colaborador–M.O.Fixa"/>
    <s v="Aprendiz"/>
    <s v="1HY"/>
    <s v="HYDRA CORONA SIST.AQ.LTD."/>
    <n v="32"/>
    <s v="HYDRA ARACAJU"/>
    <n v="32"/>
    <s v="CORONA"/>
    <s v="SIM"/>
    <s v="0032 – FÁB. HYDRA ARACAJU"/>
    <s v="JEAN CARLOS SILVA COSTA"/>
    <s v="JEAN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0/02/1999"/>
    <x v="13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05"/>
    <m/>
    <d v="2019-09-07T00:00:00"/>
    <s v="SE"/>
    <s v="072.359.625-50"/>
    <n v="5876533"/>
    <n v="40"/>
    <s v="22/01/2014"/>
    <s v="SE"/>
    <n v="16263884771"/>
    <m/>
    <m/>
    <m/>
    <m/>
    <m/>
    <m/>
    <m/>
    <m/>
    <m/>
    <x v="381"/>
    <n v="27"/>
    <n v="467"/>
    <d v="2015-05-03T00:00:00"/>
    <s v="SE"/>
    <n v="190034290394"/>
    <m/>
    <m/>
    <m/>
    <s v="AVENIDA DOUTOR JOSE TOMAS D AVILA NABUCO"/>
    <n v="407"/>
    <m/>
    <s v="FAROLANDIA"/>
    <s v="ARACAJU"/>
    <s v="SE"/>
    <s v="49030-270"/>
    <m/>
    <n v="79998220260"/>
    <m/>
    <n v="341"/>
    <n v="9295"/>
    <x v="405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06"/>
    <s v="Ativo"/>
    <s v="AD"/>
    <n v="30046320"/>
    <s v="Colaborador–M.O.Fixa"/>
    <s v="Aprendiz"/>
    <s v="1HY"/>
    <s v="HYDRA CORONA SIST.AQ.LTD."/>
    <n v="32"/>
    <s v="HYDRA ARACAJU"/>
    <n v="32"/>
    <s v="CORONA"/>
    <s v="SIM"/>
    <s v="0032 – FÁB. HYDRA ARACAJU"/>
    <s v="JOSE HENRIQUE DOS SANTOS SANTANA"/>
    <s v="JOS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0-09-11T00:00:00"/>
    <x v="24"/>
    <m/>
    <s v="brasileira"/>
    <s v="NOSSA SENHORA DO SOCORRO"/>
    <s v="SE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06"/>
    <m/>
    <s v="26/11/2019"/>
    <s v="SE"/>
    <s v="094.303.405-14"/>
    <n v="6987869"/>
    <n v="50"/>
    <s v="19/04/2017"/>
    <s v="SE"/>
    <n v="16286942700"/>
    <m/>
    <m/>
    <m/>
    <m/>
    <m/>
    <m/>
    <m/>
    <m/>
    <m/>
    <x v="382"/>
    <n v="34"/>
    <n v="317"/>
    <s v="27/01/2020"/>
    <s v="SE"/>
    <n v="320004222718"/>
    <m/>
    <m/>
    <m/>
    <s v="RUA 70"/>
    <n v="37"/>
    <m/>
    <s v="CENTRO"/>
    <s v="NOSSA SENHORA DO SOCORRO"/>
    <s v="SE"/>
    <s v="49160-000"/>
    <m/>
    <n v="79996564248"/>
    <m/>
    <n v="341"/>
    <n v="5634"/>
    <x v="406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07"/>
    <s v="Ativo"/>
    <s v="AD"/>
    <n v="30046322"/>
    <s v="Colaborador–M.O.Fixa"/>
    <s v="Aprendiz"/>
    <s v="1HY"/>
    <s v="HYDRA CORONA SIST.AQ.LTD."/>
    <n v="32"/>
    <s v="HYDRA ARACAJU"/>
    <n v="32"/>
    <s v="CORONA"/>
    <s v="SIM"/>
    <s v="0032 – FÁB. HYDRA ARACAJU"/>
    <s v="KIMBERLY SILVA ALCANTARA"/>
    <s v="KIMBERLY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13/05/2000"/>
    <x v="32"/>
    <m/>
    <s v="brasileira"/>
    <s v="ARACAJU"/>
    <s v="SE"/>
    <s v="BR"/>
    <s v="Não"/>
    <s v="F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07"/>
    <m/>
    <d v="2015-11-06T00:00:00"/>
    <s v="SE"/>
    <s v="084.466.845-19"/>
    <n v="4977040"/>
    <n v="60"/>
    <s v="14/06/2019"/>
    <s v="SE"/>
    <n v="23631594980"/>
    <m/>
    <m/>
    <m/>
    <m/>
    <m/>
    <m/>
    <m/>
    <m/>
    <m/>
    <x v="383"/>
    <n v="27"/>
    <n v="539"/>
    <s v="27/08/2019"/>
    <s v="SE"/>
    <m/>
    <m/>
    <m/>
    <m/>
    <s v="AVENIDA MONTEIRO LOBATO"/>
    <n v="899"/>
    <m/>
    <s v="ATALAIA"/>
    <s v="ARACAJU"/>
    <s v="SE"/>
    <s v="49037-450"/>
    <m/>
    <n v="79999372953"/>
    <m/>
    <n v="341"/>
    <n v="9295"/>
    <x v="407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08"/>
    <s v="Ativo"/>
    <s v="AD"/>
    <n v="30046323"/>
    <s v="Colaborador–M.O.Fixa"/>
    <s v="Aprendiz"/>
    <s v="1HY"/>
    <s v="HYDRA CORONA SIST.AQ.LTD."/>
    <n v="32"/>
    <s v="HYDRA ARACAJU"/>
    <n v="32"/>
    <s v="CORONA"/>
    <s v="SIM"/>
    <s v="0032 – FÁB. HYDRA ARACAJU"/>
    <s v="JOSE LUCAS DE MATOS NETO"/>
    <s v="JOSE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1999-10-12T00:00:00"/>
    <x v="32"/>
    <m/>
    <s v="brasileira"/>
    <s v="LAGARTO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08"/>
    <m/>
    <s v="25/01/2011"/>
    <s v="SE"/>
    <s v="073.827.055-52"/>
    <n v="5785561"/>
    <n v="50"/>
    <s v="31/03/2017"/>
    <s v="SE"/>
    <n v="20614720146"/>
    <m/>
    <m/>
    <m/>
    <m/>
    <m/>
    <m/>
    <m/>
    <m/>
    <m/>
    <x v="88"/>
    <m/>
    <m/>
    <m/>
    <m/>
    <n v="190034330257"/>
    <m/>
    <m/>
    <m/>
    <s v="AVENIDA INACIO BARBOSA"/>
    <n v="325"/>
    <m/>
    <s v="ZONA DE EXPANSAO (MOSQUEIRO)"/>
    <s v="ARACAJU"/>
    <s v="SE"/>
    <s v="49000-000"/>
    <m/>
    <n v="79988683920"/>
    <m/>
    <n v="341"/>
    <n v="1170"/>
    <x v="408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09"/>
    <s v="Ativo"/>
    <s v="AD"/>
    <n v="30046324"/>
    <s v="Colaborador–M.O.Fixa"/>
    <s v="Aprendiz"/>
    <s v="1HY"/>
    <s v="HYDRA CORONA SIST.AQ.LTD."/>
    <n v="32"/>
    <s v="HYDRA ARACAJU"/>
    <n v="32"/>
    <s v="CORONA"/>
    <s v="SIM"/>
    <s v="0032 – FÁB. HYDRA ARACAJU"/>
    <s v="MICHEL MATHEUS DOS SANTOS"/>
    <s v="MICHEL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1998-02-06T00:00:00"/>
    <x v="28"/>
    <m/>
    <s v="brasileira"/>
    <s v="SAO BERNARDO DO CAMPO"/>
    <s v="SP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09"/>
    <m/>
    <d v="2014-12-09T00:00:00"/>
    <s v="SE"/>
    <s v="071.065.755-26"/>
    <n v="2932568"/>
    <n v="50"/>
    <s v="23/03/2016"/>
    <s v="SE"/>
    <n v="13442641801"/>
    <m/>
    <m/>
    <m/>
    <m/>
    <m/>
    <m/>
    <m/>
    <m/>
    <m/>
    <x v="384"/>
    <n v="27"/>
    <n v="477"/>
    <d v="2016-07-03T00:00:00"/>
    <s v="SE"/>
    <n v="190034261320"/>
    <m/>
    <m/>
    <m/>
    <s v="RUA LENIO DE MOURA MORAIS"/>
    <n v="250"/>
    <m/>
    <s v="FAROLANDIA"/>
    <s v="ARACAJU"/>
    <s v="SE"/>
    <s v="49031-040"/>
    <m/>
    <n v="79999987870"/>
    <m/>
    <n v="341"/>
    <n v="1170"/>
    <x v="409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0"/>
    <s v="Ativo"/>
    <s v="AD"/>
    <n v="30050370"/>
    <s v="Colaborador–M.O.Fixa"/>
    <s v="Aprendiz"/>
    <s v="1HY"/>
    <s v="HYDRA CORONA SIST.AQ.LTD."/>
    <n v="32"/>
    <s v="HYDRA ARACAJU"/>
    <n v="32"/>
    <s v="CORONA"/>
    <s v="SIM"/>
    <s v="0032 – FÁB. HYDRA ARACAJU"/>
    <s v="ICARO VIEIRA SANTOS"/>
    <s v="ICARO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9/11/2001"/>
    <x v="26"/>
    <m/>
    <s v="brasileira"/>
    <s v="ARACAJU"/>
    <s v="SE"/>
    <s v="BR"/>
    <s v="Não"/>
    <s v="M"/>
    <s v="Não"/>
    <m/>
    <s v="Solt."/>
    <s v="Negr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10"/>
    <m/>
    <d v="2016-08-01T00:00:00"/>
    <s v="SE"/>
    <s v="056.118.105-51"/>
    <n v="6191423"/>
    <n v="60"/>
    <d v="2020-07-02T00:00:00"/>
    <s v="SE"/>
    <n v="15085262976"/>
    <m/>
    <m/>
    <m/>
    <m/>
    <m/>
    <m/>
    <m/>
    <m/>
    <m/>
    <x v="385"/>
    <n v="34"/>
    <n v="235"/>
    <d v="2020-10-01T00:00:00"/>
    <s v="SE"/>
    <n v="320003676313"/>
    <m/>
    <m/>
    <m/>
    <s v="RUA A12"/>
    <n v="10"/>
    <m/>
    <s v="MARCOS FREIRE I"/>
    <s v="NOSSA SENHORA DO SOCORRO"/>
    <s v="SE"/>
    <s v="49160-000"/>
    <m/>
    <n v="79996832911"/>
    <m/>
    <n v="341"/>
    <n v="7811"/>
    <x v="410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1"/>
    <s v="Ativo"/>
    <s v="AD"/>
    <n v="30050362"/>
    <s v="Colaborador–M.O.Fixa"/>
    <s v="Aprendiz"/>
    <s v="1HY"/>
    <s v="HYDRA CORONA SIST.AQ.LTD."/>
    <n v="32"/>
    <s v="HYDRA ARACAJU"/>
    <n v="32"/>
    <s v="CORONA"/>
    <s v="SIM"/>
    <s v="0032 – FÁB. HYDRA ARACAJU"/>
    <s v="GILVAN LOPES DA SILVA JUNIOR"/>
    <s v="GILVAN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0/09/1999"/>
    <x v="13"/>
    <m/>
    <s v="brasileira"/>
    <s v="ARACAJU"/>
    <s v="SE"/>
    <s v="BR"/>
    <s v="Não"/>
    <s v="M"/>
    <s v="Não"/>
    <m/>
    <s v="Solt."/>
    <s v="Parda"/>
    <s v="Superior in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11"/>
    <m/>
    <d v="2018-01-11T00:00:00"/>
    <s v="SE"/>
    <s v="093.656.415-60"/>
    <n v="6190825"/>
    <n v="60"/>
    <s v="31/01/2020"/>
    <s v="SE"/>
    <n v="20027701853"/>
    <m/>
    <m/>
    <m/>
    <m/>
    <m/>
    <m/>
    <m/>
    <m/>
    <m/>
    <x v="386"/>
    <n v="1"/>
    <n v="457"/>
    <s v="31/01/2020"/>
    <s v="SE"/>
    <n v="190034333756"/>
    <m/>
    <m/>
    <m/>
    <s v="RUA JOAO FERREIRA LIMA CASA B"/>
    <n v="251"/>
    <m/>
    <s v="OLARIA"/>
    <s v="ARACAJU"/>
    <s v="SE"/>
    <s v="49092-530"/>
    <m/>
    <n v="79998559664"/>
    <m/>
    <n v="341"/>
    <n v="5634"/>
    <x v="411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2"/>
    <s v="Ativo"/>
    <s v="AD"/>
    <n v="30050364"/>
    <s v="Colaborador–M.O.Fixa"/>
    <s v="Aprendiz"/>
    <s v="1HY"/>
    <s v="HYDRA CORONA SIST.AQ.LTD."/>
    <n v="32"/>
    <s v="HYDRA ARACAJU"/>
    <n v="32"/>
    <s v="CORONA"/>
    <s v="SIM"/>
    <s v="0032 – FÁB. HYDRA ARACAJU"/>
    <s v="WESLEY DAVID SILVA SANTOS"/>
    <s v="WESLEY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0/08/1999"/>
    <x v="13"/>
    <m/>
    <s v="brasileira"/>
    <s v="ARACAJU"/>
    <s v="SE"/>
    <s v="BR"/>
    <s v="Não"/>
    <s v="M"/>
    <s v="Não"/>
    <m/>
    <s v="Solt."/>
    <s v="Amarel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12"/>
    <m/>
    <s v="29/04/2019"/>
    <s v="SE"/>
    <s v="084.342.135-59"/>
    <n v="1646296"/>
    <n v="50"/>
    <s v="30/11/2015"/>
    <s v="SE"/>
    <n v="16627626609"/>
    <m/>
    <m/>
    <m/>
    <m/>
    <m/>
    <m/>
    <m/>
    <m/>
    <m/>
    <x v="387"/>
    <n v="2"/>
    <n v="599"/>
    <s v="15/01/2018"/>
    <s v="SE"/>
    <n v="190034335298"/>
    <m/>
    <m/>
    <m/>
    <s v="RUA LUIS CARLOS PRESTES"/>
    <n v="178"/>
    <m/>
    <s v="PONTO NOVO"/>
    <s v="ARACAJU"/>
    <s v="SE"/>
    <s v="49097-380"/>
    <m/>
    <n v="79981328253"/>
    <m/>
    <n v="341"/>
    <n v="1170"/>
    <x v="412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3"/>
    <s v="Ativo"/>
    <s v="AD"/>
    <n v="30050365"/>
    <s v="Colaborador–M.O.Fixa"/>
    <s v="Aprendiz"/>
    <s v="1HY"/>
    <s v="HYDRA CORONA SIST.AQ.LTD."/>
    <n v="32"/>
    <s v="HYDRA ARACAJU"/>
    <n v="32"/>
    <s v="CORONA"/>
    <s v="SIM"/>
    <s v="0032 – FÁB. HYDRA ARACAJU"/>
    <s v="BIANCA APARECIDA OLIVEIRA DE JESUS"/>
    <s v="BIANC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s v="22/10/2001"/>
    <x v="24"/>
    <m/>
    <s v="brasileira"/>
    <s v="SAO PAULO"/>
    <s v="SP"/>
    <s v="BR"/>
    <s v="Não"/>
    <s v="F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13"/>
    <m/>
    <d v="2012-09-06T00:00:00"/>
    <s v="SE"/>
    <s v="365.607.438-02"/>
    <n v="3802478"/>
    <n v="60"/>
    <d v="2019-02-10T00:00:00"/>
    <s v="SE"/>
    <n v="20393013027"/>
    <m/>
    <m/>
    <m/>
    <m/>
    <m/>
    <m/>
    <m/>
    <m/>
    <m/>
    <x v="388"/>
    <n v="24"/>
    <n v="118"/>
    <s v="23/07/2019"/>
    <s v="SE"/>
    <m/>
    <m/>
    <m/>
    <m/>
    <s v="RUA SERGIPE"/>
    <n v="1709"/>
    <m/>
    <s v="SIQUEIRA CAMPOS"/>
    <s v="ARACAJU"/>
    <s v="SE"/>
    <s v="49075-540"/>
    <m/>
    <n v="79999597931"/>
    <m/>
    <n v="341"/>
    <n v="5634"/>
    <x v="413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4"/>
    <s v="Ativo"/>
    <s v="AD"/>
    <n v="30050366"/>
    <s v="Colaborador–M.O.Fixa"/>
    <s v="Aprendiz"/>
    <s v="1HY"/>
    <s v="HYDRA CORONA SIST.AQ.LTD."/>
    <n v="32"/>
    <s v="HYDRA ARACAJU"/>
    <n v="32"/>
    <s v="CORONA"/>
    <s v="SIM"/>
    <s v="0032 – FÁB. HYDRA ARACAJU"/>
    <s v="JEFERSON AZEVEDO PEREIRA"/>
    <s v="JEFERSON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0-12-04T00:00:00"/>
    <x v="32"/>
    <m/>
    <s v="brasileira"/>
    <s v="ARACAJU"/>
    <s v="SE"/>
    <s v="BR"/>
    <s v="Não"/>
    <s v="M"/>
    <s v="Não"/>
    <m/>
    <s v="Solt."/>
    <s v="Pard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14"/>
    <m/>
    <s v="30/12/2019"/>
    <s v="SE"/>
    <s v="085.911.275-60"/>
    <n v="2931900"/>
    <n v="50"/>
    <s v="18/03/2016"/>
    <s v="SE"/>
    <n v="20005520279"/>
    <m/>
    <m/>
    <m/>
    <m/>
    <m/>
    <m/>
    <m/>
    <m/>
    <m/>
    <x v="389"/>
    <n v="1"/>
    <n v="490"/>
    <s v="15/01/2018"/>
    <s v="SE"/>
    <n v="320000417526"/>
    <m/>
    <m/>
    <m/>
    <s v="RUA VITORIA"/>
    <n v="815"/>
    <m/>
    <s v="JOSE CONRADO DE ARAUJO"/>
    <s v="ARACAJU"/>
    <s v="SE"/>
    <s v="49085-450"/>
    <m/>
    <n v="79998138510"/>
    <m/>
    <n v="341"/>
    <n v="5634"/>
    <x v="414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5"/>
    <s v="Ativo"/>
    <s v="AD"/>
    <n v="30050373"/>
    <s v="Colaborador–M.O.Fixa"/>
    <s v="Aprendiz"/>
    <s v="1HY"/>
    <s v="HYDRA CORONA SIST.AQ.LTD."/>
    <n v="32"/>
    <s v="HYDRA ARACAJU"/>
    <n v="32"/>
    <s v="CORONA"/>
    <s v="SIM"/>
    <s v="0032 – FÁB. HYDRA ARACAJU"/>
    <s v="ANA ELVIRA GALVAO CARVALHO"/>
    <s v="AN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0-08-05T00:00:00"/>
    <x v="32"/>
    <m/>
    <s v="brasileira"/>
    <s v="ARACAJU"/>
    <s v="SE"/>
    <s v="BR"/>
    <s v="Não"/>
    <s v="F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15"/>
    <m/>
    <d v="2018-05-09T00:00:00"/>
    <s v="SE"/>
    <s v="053.537.225-66"/>
    <n v="3797408"/>
    <n v="60"/>
    <s v="26/04/2019"/>
    <s v="SE"/>
    <n v="20427258337"/>
    <m/>
    <m/>
    <m/>
    <m/>
    <m/>
    <m/>
    <m/>
    <m/>
    <m/>
    <x v="390"/>
    <n v="11"/>
    <n v="51"/>
    <s v="18/12/2017"/>
    <s v="SE"/>
    <m/>
    <m/>
    <m/>
    <m/>
    <s v="TRAVESSA SANTA TEREZINHA"/>
    <n v="64"/>
    <m/>
    <s v="OLARIA"/>
    <s v="ARACAJU"/>
    <s v="SE"/>
    <s v="49000-000"/>
    <m/>
    <n v="79991082410"/>
    <m/>
    <n v="341"/>
    <n v="9295"/>
    <x v="415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6"/>
    <s v="Ativo"/>
    <s v="AD"/>
    <n v="30050371"/>
    <s v="Colaborador–M.O.Fixa"/>
    <s v="Aprendiz"/>
    <s v="1HY"/>
    <s v="HYDRA CORONA SIST.AQ.LTD."/>
    <n v="32"/>
    <s v="HYDRA ARACAJU"/>
    <n v="32"/>
    <s v="CORONA"/>
    <s v="SIM"/>
    <s v="0032 – FÁB. HYDRA ARACAJU"/>
    <s v="MICHAEL VINICIUS DOS SANTOS"/>
    <s v="MICHAEL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0-04-05T00:00:00"/>
    <x v="32"/>
    <m/>
    <s v="brasileira"/>
    <s v="LARANJEIRAS"/>
    <s v="SE"/>
    <s v="BR"/>
    <s v="Não"/>
    <s v="M"/>
    <s v="Não"/>
    <m/>
    <s v="Solt."/>
    <s v="Parda"/>
    <s v="Superior in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16"/>
    <m/>
    <s v="13/06/2019"/>
    <s v="SE"/>
    <s v="073.162.815-29"/>
    <n v="6184370"/>
    <n v="60"/>
    <d v="2019-08-11T00:00:00"/>
    <s v="SE"/>
    <n v="20658409837"/>
    <m/>
    <m/>
    <m/>
    <m/>
    <m/>
    <m/>
    <m/>
    <m/>
    <m/>
    <x v="391"/>
    <n v="13"/>
    <n v="201"/>
    <s v="19/04/2016"/>
    <s v="SE"/>
    <n v="320001215065"/>
    <m/>
    <m/>
    <m/>
    <s v="RUA JOAO FERREIRA LIMA"/>
    <n v="40"/>
    <m/>
    <s v="OLARIA"/>
    <s v="ARACAJU"/>
    <s v="SE"/>
    <s v="49092-530"/>
    <m/>
    <n v="79981544649"/>
    <m/>
    <n v="341"/>
    <n v="297"/>
    <x v="416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7"/>
    <s v="Ativo"/>
    <s v="AD"/>
    <n v="30050372"/>
    <s v="Colaborador–M.O.Fixa"/>
    <s v="Aprendiz"/>
    <s v="1HY"/>
    <s v="HYDRA CORONA SIST.AQ.LTD."/>
    <n v="32"/>
    <s v="HYDRA ARACAJU"/>
    <n v="32"/>
    <s v="CORONA"/>
    <s v="SIM"/>
    <s v="0032 – FÁB. HYDRA ARACAJU"/>
    <s v="CECILIA DE LIMA"/>
    <s v="CECILIA"/>
    <n v="10006830"/>
    <s v="HDD-03"/>
    <s v="HDD-03 - JOVEM APRENDIZ - HA"/>
    <s v="HYAR"/>
    <s v="HYGERACH04"/>
    <s v="Gerais Prod.Chuveiro"/>
    <n v="10007198"/>
    <s v="HDD-01"/>
    <s v="HDD-01 - GER FABRICA HYDRA ARACAJU"/>
    <s v="ROGERIO RODOLFO DE SOUZA"/>
    <n v="10000080"/>
    <s v="EQUIPE"/>
    <s v="EQUIPE"/>
    <n v="10000019"/>
    <s v="HYDRA"/>
    <s v="DIR IND HYDRA"/>
    <m/>
    <m/>
    <m/>
    <m/>
    <m/>
    <m/>
    <s v="19/10/2020"/>
    <n v="0"/>
    <m/>
    <d v="2002-09-01T00:00:00"/>
    <x v="26"/>
    <m/>
    <s v="brasileira"/>
    <s v="PAO DE ACUCAR"/>
    <s v="AL"/>
    <s v="BR"/>
    <s v="Não"/>
    <s v="F"/>
    <s v="Não"/>
    <m/>
    <s v="Solt."/>
    <s v="Branca"/>
    <s v="Colegial completo"/>
    <m/>
    <n v="22003269"/>
    <s v="110/M"/>
    <s v="APRENDIZ OPER INJECAO PLASTICO"/>
    <n v="411010"/>
    <s v="Admissão"/>
    <d v="2020-10-01T00:00:00"/>
    <s v="110,00"/>
    <m/>
    <s v="HDD-01"/>
    <s v="DDI-01"/>
    <s v="CSS-01"/>
    <s v="DDE-01"/>
    <s v="PRE-01"/>
    <s v="522,50"/>
    <s v="522,50"/>
    <s v="522,50"/>
    <s v="0,00"/>
    <s v="HX"/>
    <s v="HYDRA ARACAJU-110/M"/>
    <n v="3"/>
    <s v="GRS03DE"/>
    <d v="2020-10-01T00:00:00"/>
    <s v="Admissão"/>
    <s v="521,50"/>
    <s v="52.150,00"/>
    <n v="1"/>
    <m/>
    <s v="N"/>
    <x v="417"/>
    <m/>
    <s v="28/04/2014"/>
    <s v="SE"/>
    <s v="086.388.305-21"/>
    <n v="9217472"/>
    <n v="50"/>
    <s v="19/02/2018"/>
    <s v="SE"/>
    <n v="16605575653"/>
    <m/>
    <m/>
    <m/>
    <m/>
    <m/>
    <m/>
    <m/>
    <m/>
    <m/>
    <x v="88"/>
    <m/>
    <m/>
    <m/>
    <m/>
    <m/>
    <m/>
    <m/>
    <m/>
    <s v="RUA DE PEDESTRE RUA 13 B"/>
    <n v="8"/>
    <m/>
    <s v="TAICOCA"/>
    <s v="NOSSA SENHORA DO SOCORRO"/>
    <s v="SE"/>
    <s v="49160-000"/>
    <m/>
    <n v="79988918873"/>
    <m/>
    <n v="341"/>
    <n v="7811"/>
    <x v="417"/>
    <m/>
    <m/>
    <m/>
    <s v="APRENDIZ"/>
    <s v="ADMINISTRATIVO"/>
    <s v="ADMINISTRATIVO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8"/>
    <s v="Ativo"/>
    <s v="AD"/>
    <n v="30006979"/>
    <s v="Colaborador–M.O.Var"/>
    <s v="Horista"/>
    <s v="1DX"/>
    <s v="Duratex S.A."/>
    <n v="13"/>
    <s v="FÁB LOUÇAS QUEIMADOS"/>
    <n v="13"/>
    <s v="DECA"/>
    <s v="SIM"/>
    <s v="0013 - FÁB LOUÇAS QUEIMADOS"/>
    <s v="ROGERIO ALMEIDA ELIAS"/>
    <s v="ROGERIO"/>
    <n v="10001256"/>
    <s v="DJA-03"/>
    <s v="DJA-03- FORNOS - LQ"/>
    <s v="DXLQ"/>
    <s v="DXFORNOS68"/>
    <s v="Fornos"/>
    <n v="10007687"/>
    <s v="DJA-01"/>
    <s v="DJA-01 - ESM/INSP/FUND/ALTPR - LQ"/>
    <s v="ESER MARQUES PEREIRA"/>
    <n v="10000059"/>
    <s v="SUPERVISOR"/>
    <s v="SUPERVISOR"/>
    <n v="10000017"/>
    <s v="DECA"/>
    <s v="DIR IND DECA (LOUCAS)"/>
    <m/>
    <m/>
    <m/>
    <m/>
    <m/>
    <m/>
    <s v="19/10/2020"/>
    <n v="0"/>
    <m/>
    <s v="20/08/1971"/>
    <x v="25"/>
    <m/>
    <s v="brasileira"/>
    <s v="RIO DE JANEIRO"/>
    <s v="RJ"/>
    <s v="BR"/>
    <s v="Não"/>
    <s v="M"/>
    <s v="Não"/>
    <m/>
    <s v="Divor."/>
    <s v="Parda"/>
    <s v="Colegial in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418"/>
    <m/>
    <s v="19/02/1997"/>
    <s v="RJ"/>
    <s v="016.511.237-99"/>
    <n v="56439"/>
    <n v="115"/>
    <s v="13/02/1995"/>
    <s v="RJ"/>
    <n v="17042170243"/>
    <m/>
    <m/>
    <m/>
    <m/>
    <m/>
    <m/>
    <m/>
    <m/>
    <m/>
    <x v="392"/>
    <n v="138"/>
    <n v="196"/>
    <s v="21/01/2020"/>
    <s v="RJ"/>
    <m/>
    <m/>
    <m/>
    <m/>
    <s v="RUA ANA CRISTINA CASA"/>
    <n v="56"/>
    <m/>
    <s v="VILA NASCENTE"/>
    <s v="QUEIMADOS"/>
    <s v="RJ"/>
    <s v="26323-320"/>
    <m/>
    <n v="21995717608"/>
    <m/>
    <n v="341"/>
    <n v="6891"/>
    <x v="418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19"/>
    <s v="Ativo"/>
    <s v="AD"/>
    <n v="30041744"/>
    <s v="Colaborador–M.O.Var"/>
    <s v="Horista"/>
    <s v="1DX"/>
    <s v="Duratex S.A."/>
    <n v="13"/>
    <s v="FÁB LOUÇAS QUEIMADOS"/>
    <n v="13"/>
    <s v="DECA"/>
    <s v="SIM"/>
    <s v="0013 - FÁB LOUÇAS QUEIMADOS"/>
    <s v="IGOR COSTA DANTAS"/>
    <s v="IGOR"/>
    <n v="10003675"/>
    <s v="DND-08"/>
    <s v="DND-08 - FUNDICAO MECANIZADA - LQ"/>
    <s v="DXLQ"/>
    <s v="DXFMECAN68"/>
    <s v="Fundição Mecanizada"/>
    <n v="10001253"/>
    <s v="DND-07"/>
    <s v="DND-07 - FUNDICAO MECANIZADA - LQ"/>
    <s v="GEISON SANTOS DE OLIVEIRA"/>
    <n v="10000059"/>
    <s v="SUPERVISOR"/>
    <s v="SUPERVISOR"/>
    <n v="10000017"/>
    <s v="DECA"/>
    <s v="DIR IND DECA (LOUCAS)"/>
    <m/>
    <m/>
    <m/>
    <m/>
    <m/>
    <m/>
    <s v="19/10/2020"/>
    <n v="0"/>
    <m/>
    <d v="1984-11-03T00:00:00"/>
    <x v="34"/>
    <m/>
    <s v="brasileira"/>
    <s v="RIO DE JANEIRO"/>
    <s v="RJ"/>
    <s v="BR"/>
    <s v="Não"/>
    <s v="M"/>
    <s v="Não"/>
    <m/>
    <s v="Solt."/>
    <s v="Pard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419"/>
    <m/>
    <d v="2013-07-11T00:00:00"/>
    <s v="RJ"/>
    <s v="056.299.737-70"/>
    <n v="26674"/>
    <n v="142"/>
    <d v="2001-02-08T00:00:00"/>
    <s v="RJ"/>
    <n v="13139467620"/>
    <m/>
    <m/>
    <m/>
    <m/>
    <m/>
    <m/>
    <m/>
    <m/>
    <m/>
    <x v="393"/>
    <n v="138"/>
    <n v="65"/>
    <d v="2019-03-12T00:00:00"/>
    <s v="RJ"/>
    <n v="21502007442"/>
    <m/>
    <m/>
    <m/>
    <s v="RUA BEIRA RIO"/>
    <n v="1"/>
    <m/>
    <s v="JARDIM SAO SILVESTRE"/>
    <s v="QUEIMADOS"/>
    <s v="RJ"/>
    <s v="26311-470"/>
    <m/>
    <n v="21994453335"/>
    <m/>
    <n v="341"/>
    <n v="6891"/>
    <x v="419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20"/>
    <s v="Ativo"/>
    <s v="AD"/>
    <n v="30049286"/>
    <s v="Colaborador–M.O.Var"/>
    <s v="Horista"/>
    <s v="1DX"/>
    <s v="Duratex S.A."/>
    <n v="13"/>
    <s v="FÁB LOUÇAS QUEIMADOS"/>
    <n v="13"/>
    <s v="DECA"/>
    <s v="SIM"/>
    <s v="0013 - FÁB LOUÇAS QUEIMADOS"/>
    <s v="CARLOS ALEXANDRE SILVA COSTA"/>
    <s v="CARLOS"/>
    <n v="10001264"/>
    <s v="DJA-02"/>
    <s v="DJA-03 - PRODUCAO DE MASSA - LQ"/>
    <s v="DXLQ"/>
    <s v="DXPRMASS68"/>
    <s v="Produção de Massa"/>
    <n v="10008236"/>
    <s v="DJA-02"/>
    <s v="DJA-02 - PROD DE MASSA - LQ"/>
    <s v="ALEXANDRE DE OLIVEIRA FERRERO"/>
    <n v="10000080"/>
    <s v="EQUIPE"/>
    <s v="EQUIPE"/>
    <n v="10000017"/>
    <s v="DECA"/>
    <s v="DIR IND DECA (LOUCAS)"/>
    <m/>
    <m/>
    <m/>
    <m/>
    <m/>
    <m/>
    <s v="19/10/2020"/>
    <n v="0"/>
    <m/>
    <d v="1988-09-04T00:00:00"/>
    <x v="9"/>
    <m/>
    <s v="brasileira"/>
    <s v="RIO DE JANEIRO"/>
    <s v="RJ"/>
    <s v="BR"/>
    <s v="Não"/>
    <s v="M"/>
    <s v="Não"/>
    <m/>
    <s v="Casado"/>
    <s v="Negra"/>
    <s v="Colegial completo"/>
    <m/>
    <n v="22000271"/>
    <s v="220/H"/>
    <s v="AUX PRODUCAO"/>
    <n v="784205"/>
    <s v="Admissão"/>
    <d v="2020-10-01T00:00:00"/>
    <s v="220,00"/>
    <m/>
    <s v="DJT-01"/>
    <s v="DDI-01"/>
    <s v="CSS-01"/>
    <s v="DDE-01"/>
    <s v="PRE-01"/>
    <s v="1.342,00"/>
    <s v="6,10"/>
    <s v="1.342,00"/>
    <s v="0,00"/>
    <s v="DE"/>
    <s v="LO QUEIMADOS-220/H"/>
    <n v="13"/>
    <s v="GRS013OP"/>
    <d v="2020-10-01T00:00:00"/>
    <s v="Admissão"/>
    <s v="1.341,00"/>
    <s v="134100,00"/>
    <n v="1"/>
    <m/>
    <s v="N"/>
    <x v="420"/>
    <m/>
    <s v="17/08/2011"/>
    <s v="RJ"/>
    <s v="129.039.047-90"/>
    <n v="7231"/>
    <n v="163"/>
    <s v="22/06/2009"/>
    <s v="RJ"/>
    <n v="13302206622"/>
    <m/>
    <m/>
    <m/>
    <m/>
    <m/>
    <m/>
    <m/>
    <m/>
    <m/>
    <x v="394"/>
    <n v="153"/>
    <n v="39"/>
    <d v="2010-10-03T00:00:00"/>
    <s v="RJ"/>
    <n v="21462411055"/>
    <m/>
    <m/>
    <m/>
    <s v="RUA SAO PAULO"/>
    <n v="154"/>
    <m/>
    <s v="SAO VICENTE"/>
    <s v="BELFORD ROXO"/>
    <s v="RJ"/>
    <s v="26172-190"/>
    <m/>
    <n v="21994886873"/>
    <m/>
    <n v="341"/>
    <n v="6538"/>
    <x v="420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21"/>
    <s v="Ativo"/>
    <s v="AD"/>
    <n v="30131096"/>
    <s v="Colaborador–M.O.Fixa"/>
    <s v="Aprendiz"/>
    <s v="1DX"/>
    <s v="Duratex S.A."/>
    <n v="14"/>
    <s v="FÁB LOUÇAS PARAÍBA"/>
    <n v="14"/>
    <s v="DECA"/>
    <s v="NAO"/>
    <s v="0014 - FÁB LOUÇAS PARAÍBA"/>
    <s v="MARCOS RYAN VIEIRA MAIA"/>
    <s v="MARCOS"/>
    <n v="10006680"/>
    <s v="DJP-02"/>
    <s v="DJP-02 - APRENDIZ - LP"/>
    <s v="DXLP"/>
    <s v="DXAPREND69"/>
    <s v="Aprendizes"/>
    <n v="10008464"/>
    <s v="DJP-02"/>
    <s v="DJP-02 - ADMINISTRATIVO - LP"/>
    <s v="ANA CLAUDIA DE LIRA GUEDES"/>
    <n v="10000080"/>
    <s v="EQUIPE"/>
    <s v="EQUIPE"/>
    <n v="10000017"/>
    <s v="DECA"/>
    <s v="DIR IND DECA (LOUCAS)"/>
    <m/>
    <m/>
    <m/>
    <m/>
    <m/>
    <m/>
    <s v="19/10/2020"/>
    <n v="0"/>
    <m/>
    <s v="15/01/2001"/>
    <x v="24"/>
    <m/>
    <s v="brasileira"/>
    <s v="JOAO PESSOA"/>
    <s v="PB"/>
    <s v="BR"/>
    <s v="Não"/>
    <s v="M"/>
    <s v="Não"/>
    <m/>
    <s v="Solt."/>
    <s v="Negra"/>
    <s v="Colegial completo"/>
    <m/>
    <n v="22001645"/>
    <s v="220/M"/>
    <s v="APRENDIZ SENAI"/>
    <n v="725010"/>
    <s v="Admissão"/>
    <d v="2020-10-01T00:00:00"/>
    <s v="220,00"/>
    <m/>
    <s v="DJP-01"/>
    <s v="DDI-01"/>
    <s v="CSS-01"/>
    <s v="DDE-01"/>
    <s v="PRE-01"/>
    <s v="522,50"/>
    <s v="522,50"/>
    <s v="522,50"/>
    <s v="0,00"/>
    <s v="DF"/>
    <s v="LO PARAÍBA-220/M"/>
    <n v="3"/>
    <s v="GRS03DE"/>
    <d v="2020-10-01T00:00:00"/>
    <s v="Admissão"/>
    <s v="521,50"/>
    <s v="52.150,00"/>
    <n v="1"/>
    <m/>
    <s v="N"/>
    <x v="421"/>
    <m/>
    <d v="2016-09-12T00:00:00"/>
    <s v="PB"/>
    <s v="712.840.924-61"/>
    <n v="8643200"/>
    <n v="50"/>
    <d v="2017-03-10T00:00:00"/>
    <s v="PB"/>
    <n v="16424979280"/>
    <m/>
    <m/>
    <m/>
    <m/>
    <m/>
    <m/>
    <m/>
    <m/>
    <m/>
    <x v="395"/>
    <n v="77"/>
    <n v="321"/>
    <s v="21/02/2019"/>
    <s v="PB"/>
    <n v="320003256804"/>
    <m/>
    <m/>
    <m/>
    <s v="AVENIDA DAS INDUSTRIAS"/>
    <n v="1"/>
    <m/>
    <s v="DISTRITO INDUSTRIAL"/>
    <s v="JOÃO PESSOA"/>
    <s v="PB"/>
    <s v="58082-050"/>
    <m/>
    <n v="83988798670"/>
    <m/>
    <n v="341"/>
    <n v="8210"/>
    <x v="421"/>
    <m/>
    <m/>
    <m/>
    <s v="APRENDIZ"/>
    <s v="ADMINISTRATIVO"/>
    <s v="TEC/ OPERACIONAL"/>
    <s v="APRENDIZ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22"/>
    <s v="Ativo"/>
    <s v="AD"/>
    <n v="30048342"/>
    <s v="Colaborador–M.O.Var"/>
    <s v="Mensalista"/>
    <s v="1DX"/>
    <s v="Duratex S.A."/>
    <n v="14"/>
    <s v="FÁB LOUÇAS PARAÍBA"/>
    <n v="14"/>
    <s v="DECA"/>
    <s v="SIM"/>
    <s v="0014 - FÁB LOUÇAS PARAÍBA"/>
    <s v="ISAAC DO NASCIMENTO SILVA"/>
    <s v="ISAAC"/>
    <n v="10007529"/>
    <s v="DIA-05"/>
    <s v="DIA-05 - FUNDICAO MECANIZADA - LP"/>
    <s v="DXLP"/>
    <s v="DXFMECAN69"/>
    <s v="Fundição Mecanizada"/>
    <n v="10008661"/>
    <s v="DIA-01"/>
    <s v="DIA-01- FUND/APR/INSP - LP"/>
    <s v="RAPHAEL ALBUQUERQUE DE SOUZA"/>
    <n v="10000059"/>
    <s v="SUPERVISOR"/>
    <s v="SUPERVISOR"/>
    <n v="10000002"/>
    <s v="DECA"/>
    <s v="DIR IND DECA (METAIS)"/>
    <m/>
    <m/>
    <m/>
    <m/>
    <m/>
    <m/>
    <s v="19/10/2020"/>
    <n v="0"/>
    <m/>
    <s v="26/04/1985"/>
    <x v="21"/>
    <m/>
    <s v="brasileira"/>
    <s v="SANTA RITA"/>
    <s v="PB"/>
    <s v="BR"/>
    <s v="Não"/>
    <s v="M"/>
    <s v="Não"/>
    <m/>
    <s v="Divor."/>
    <s v="Negra"/>
    <s v="Ginasial completo"/>
    <m/>
    <n v="22000878"/>
    <s v="220/M"/>
    <s v="AUX PRODUCAO"/>
    <n v="784205"/>
    <s v="Admissão"/>
    <d v="2020-10-01T00:00:00"/>
    <s v="220,00"/>
    <m/>
    <s v="DJP-01"/>
    <s v="DDI-01"/>
    <s v="CSS-01"/>
    <s v="DDE-01"/>
    <s v="PRE-01"/>
    <s v="1.045,00"/>
    <s v="1.045,00"/>
    <s v="1.045,00"/>
    <s v="0,00"/>
    <s v="DF"/>
    <s v="LO PARAÍBA-220/M"/>
    <n v="13"/>
    <s v="GRS013OP"/>
    <d v="2020-10-01T00:00:00"/>
    <s v="Admissão"/>
    <s v="1.044,00"/>
    <s v="104400,00"/>
    <n v="1"/>
    <m/>
    <s v="N"/>
    <x v="422"/>
    <m/>
    <d v="2003-07-08T00:00:00"/>
    <s v="PB"/>
    <s v="060.954.304-02"/>
    <n v="62387"/>
    <n v="28"/>
    <s v="21/07/2010"/>
    <s v="RJ"/>
    <n v="20633764188"/>
    <m/>
    <m/>
    <m/>
    <m/>
    <m/>
    <m/>
    <m/>
    <m/>
    <m/>
    <x v="396"/>
    <n v="2"/>
    <n v="153"/>
    <s v="18/12/2015"/>
    <s v="PB"/>
    <n v="231352242615"/>
    <m/>
    <m/>
    <m/>
    <s v="RUA ANESIO ALVES DE MIRANDA"/>
    <n v="98"/>
    <m/>
    <s v="VARZEA NOVA"/>
    <s v="SANTA RITA"/>
    <s v="PB"/>
    <s v="58304-500"/>
    <m/>
    <n v="83988798670"/>
    <m/>
    <n v="341"/>
    <n v="7981"/>
    <x v="422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n v="102020"/>
    <x v="423"/>
    <s v="Ativo"/>
    <s v="AD"/>
    <n v="30048338"/>
    <s v="Colaborador–M.O.Var"/>
    <s v="Mensalista"/>
    <s v="1DX"/>
    <s v="Duratex S.A."/>
    <n v="14"/>
    <s v="FÁB LOUÇAS PARAÍBA"/>
    <n v="14"/>
    <s v="DECA"/>
    <s v="SIM"/>
    <s v="0014 - FÁB LOUÇAS PARAÍBA"/>
    <s v="ROSINALDO BARBOSA DE SOUZA"/>
    <s v="ROSINALDO"/>
    <n v="10004035"/>
    <s v="DIA-02"/>
    <s v="DIA-02 - ALTA PRESSÃO - LP"/>
    <s v="DXLP"/>
    <s v="DXALTPRE69"/>
    <s v="Fund. Alta Pressão"/>
    <n v="10008661"/>
    <s v="DIA-01"/>
    <s v="DIA-01- FUND/APR/INSP - LP"/>
    <s v="JONNATHA MARQUES DE ANDRADE"/>
    <n v="10000059"/>
    <s v="SUPERVISOR"/>
    <s v="SUPERVISOR"/>
    <n v="10000002"/>
    <s v="DECA"/>
    <s v="DIR IND DECA (METAIS)"/>
    <m/>
    <m/>
    <m/>
    <m/>
    <m/>
    <m/>
    <s v="19/10/2020"/>
    <n v="0"/>
    <m/>
    <d v="1971-05-10T00:00:00"/>
    <x v="25"/>
    <m/>
    <s v="brasileira"/>
    <s v="JOAO PESSOA"/>
    <s v="PB"/>
    <s v="BR"/>
    <s v="Não"/>
    <s v="M"/>
    <s v="Não"/>
    <m/>
    <s v="Solt."/>
    <s v="Branca"/>
    <s v="Ginasial incompleto"/>
    <m/>
    <n v="22000878"/>
    <s v="220/M"/>
    <s v="AUX PRODUCAO"/>
    <n v="784205"/>
    <s v="Admissão"/>
    <d v="2020-10-01T00:00:00"/>
    <s v="220,00"/>
    <m/>
    <s v="DJP-01"/>
    <s v="DDI-01"/>
    <s v="CSS-01"/>
    <s v="DDE-01"/>
    <s v="PRE-01"/>
    <s v="1.045,00"/>
    <s v="1.045,00"/>
    <s v="1.045,00"/>
    <s v="0,00"/>
    <s v="DF"/>
    <s v="LO PARAÍBA-220/M"/>
    <n v="13"/>
    <s v="GRS013OP"/>
    <d v="2020-10-01T00:00:00"/>
    <s v="Admissão"/>
    <s v="1.044,00"/>
    <s v="104400,00"/>
    <n v="1"/>
    <m/>
    <s v="N"/>
    <x v="423"/>
    <m/>
    <d v="2011-02-12T00:00:00"/>
    <s v="PB"/>
    <s v="789.698.324-91"/>
    <n v="15083"/>
    <n v="30"/>
    <d v="2005-04-02T00:00:00"/>
    <s v="PB"/>
    <n v="20316290712"/>
    <m/>
    <m/>
    <m/>
    <m/>
    <m/>
    <m/>
    <m/>
    <m/>
    <m/>
    <x v="397"/>
    <n v="64"/>
    <n v="171"/>
    <s v="14/10/2013"/>
    <s v="PB"/>
    <m/>
    <m/>
    <m/>
    <m/>
    <s v="RUA SIQUEIRA CAMPOS"/>
    <n v="557"/>
    <m/>
    <s v="CRUZ DAS ARMAS"/>
    <s v="JOÃO PESSOA"/>
    <s v="PB"/>
    <s v="58085-400"/>
    <m/>
    <n v="83996028732"/>
    <m/>
    <n v="341"/>
    <n v="7981"/>
    <x v="423"/>
    <m/>
    <m/>
    <m/>
    <s v="OPERACIONAL"/>
    <s v="OPERACOES"/>
    <s v="TEC/ OPERACIONAL"/>
    <s v="OPERACIONAL"/>
    <s v="EQUIPE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s v="0,00"/>
    <m/>
    <m/>
    <m/>
    <e v="#N/A"/>
    <m/>
  </r>
  <r>
    <m/>
    <x v="4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24"/>
    <m/>
    <m/>
    <m/>
    <m/>
    <m/>
    <m/>
    <m/>
    <m/>
    <m/>
    <m/>
    <m/>
    <m/>
    <m/>
    <m/>
    <m/>
    <m/>
    <m/>
    <m/>
    <x v="88"/>
    <m/>
    <m/>
    <m/>
    <m/>
    <m/>
    <m/>
    <m/>
    <m/>
    <m/>
    <m/>
    <m/>
    <m/>
    <m/>
    <m/>
    <m/>
    <m/>
    <m/>
    <m/>
    <m/>
    <m/>
    <x v="4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K2:L3" firstHeaderRow="0" firstDataRow="1" firstDataCol="0"/>
  <pivotFields count="190">
    <pivotField showAll="0"/>
    <pivotField dataField="1" showAll="0">
      <items count="4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6">
        <item x="11"/>
        <item x="48"/>
        <item x="339"/>
        <item x="423"/>
        <item x="43"/>
        <item x="290"/>
        <item x="291"/>
        <item x="422"/>
        <item x="287"/>
        <item x="293"/>
        <item x="288"/>
        <item x="294"/>
        <item x="208"/>
        <item x="300"/>
        <item x="292"/>
        <item x="289"/>
        <item x="295"/>
        <item x="284"/>
        <item x="388"/>
        <item x="387"/>
        <item x="270"/>
        <item x="386"/>
        <item x="384"/>
        <item x="421"/>
        <item x="385"/>
        <item x="83"/>
        <item x="180"/>
        <item x="215"/>
        <item x="249"/>
        <item x="238"/>
        <item x="37"/>
        <item x="257"/>
        <item x="36"/>
        <item x="243"/>
        <item x="255"/>
        <item x="319"/>
        <item x="73"/>
        <item x="203"/>
        <item x="181"/>
        <item x="86"/>
        <item x="252"/>
        <item x="250"/>
        <item x="74"/>
        <item x="179"/>
        <item x="253"/>
        <item x="88"/>
        <item x="320"/>
        <item x="245"/>
        <item x="77"/>
        <item x="256"/>
        <item x="244"/>
        <item x="183"/>
        <item x="279"/>
        <item x="69"/>
        <item x="87"/>
        <item x="70"/>
        <item x="81"/>
        <item x="212"/>
        <item x="72"/>
        <item x="318"/>
        <item x="237"/>
        <item x="285"/>
        <item x="220"/>
        <item x="182"/>
        <item x="124"/>
        <item x="239"/>
        <item x="177"/>
        <item x="282"/>
        <item x="75"/>
        <item x="207"/>
        <item x="298"/>
        <item x="283"/>
        <item x="108"/>
        <item x="246"/>
        <item x="71"/>
        <item x="218"/>
        <item x="296"/>
        <item x="176"/>
        <item x="129"/>
        <item x="175"/>
        <item x="299"/>
        <item x="114"/>
        <item x="205"/>
        <item x="241"/>
        <item x="92"/>
        <item x="99"/>
        <item x="102"/>
        <item x="254"/>
        <item x="247"/>
        <item x="204"/>
        <item x="103"/>
        <item x="242"/>
        <item x="281"/>
        <item x="110"/>
        <item x="278"/>
        <item x="286"/>
        <item x="106"/>
        <item x="277"/>
        <item x="209"/>
        <item x="131"/>
        <item x="221"/>
        <item x="105"/>
        <item x="240"/>
        <item x="111"/>
        <item x="134"/>
        <item x="297"/>
        <item x="98"/>
        <item x="248"/>
        <item x="96"/>
        <item x="133"/>
        <item x="135"/>
        <item x="112"/>
        <item x="136"/>
        <item x="123"/>
        <item x="323"/>
        <item x="13"/>
        <item x="10"/>
        <item x="12"/>
        <item x="15"/>
        <item x="38"/>
        <item x="304"/>
        <item x="263"/>
        <item x="276"/>
        <item x="95"/>
        <item x="120"/>
        <item x="327"/>
        <item x="343"/>
        <item x="372"/>
        <item x="324"/>
        <item x="47"/>
        <item x="46"/>
        <item x="170"/>
        <item x="313"/>
        <item x="45"/>
        <item x="312"/>
        <item x="411"/>
        <item x="307"/>
        <item x="9"/>
        <item x="55"/>
        <item x="54"/>
        <item x="383"/>
        <item x="410"/>
        <item x="346"/>
        <item x="51"/>
        <item x="44"/>
        <item x="354"/>
        <item x="375"/>
        <item x="414"/>
        <item x="340"/>
        <item x="376"/>
        <item x="391"/>
        <item x="342"/>
        <item x="355"/>
        <item x="310"/>
        <item x="405"/>
        <item x="357"/>
        <item x="359"/>
        <item x="306"/>
        <item x="56"/>
        <item x="374"/>
        <item x="315"/>
        <item x="398"/>
        <item x="365"/>
        <item x="49"/>
        <item x="394"/>
        <item x="360"/>
        <item x="53"/>
        <item x="363"/>
        <item x="415"/>
        <item x="369"/>
        <item x="316"/>
        <item x="348"/>
        <item x="366"/>
        <item x="345"/>
        <item x="408"/>
        <item x="347"/>
        <item x="399"/>
        <item x="333"/>
        <item x="314"/>
        <item x="416"/>
        <item x="50"/>
        <item x="358"/>
        <item x="356"/>
        <item x="325"/>
        <item x="305"/>
        <item x="309"/>
        <item x="377"/>
        <item x="381"/>
        <item x="403"/>
        <item x="413"/>
        <item x="378"/>
        <item x="336"/>
        <item x="361"/>
        <item x="373"/>
        <item x="362"/>
        <item x="368"/>
        <item x="404"/>
        <item x="352"/>
        <item x="350"/>
        <item x="382"/>
        <item x="351"/>
        <item x="390"/>
        <item x="379"/>
        <item x="353"/>
        <item x="303"/>
        <item x="341"/>
        <item x="417"/>
        <item x="308"/>
        <item x="409"/>
        <item x="337"/>
        <item x="412"/>
        <item x="338"/>
        <item x="407"/>
        <item x="367"/>
        <item x="364"/>
        <item x="370"/>
        <item x="380"/>
        <item x="62"/>
        <item x="31"/>
        <item x="57"/>
        <item x="371"/>
        <item x="311"/>
        <item x="389"/>
        <item x="349"/>
        <item x="406"/>
        <item x="235"/>
        <item x="137"/>
        <item x="418"/>
        <item x="321"/>
        <item x="164"/>
        <item x="153"/>
        <item x="264"/>
        <item x="141"/>
        <item x="154"/>
        <item x="419"/>
        <item x="178"/>
        <item x="144"/>
        <item x="140"/>
        <item x="20"/>
        <item x="66"/>
        <item x="262"/>
        <item x="275"/>
        <item x="206"/>
        <item x="193"/>
        <item x="420"/>
        <item x="150"/>
        <item x="223"/>
        <item x="21"/>
        <item x="145"/>
        <item x="224"/>
        <item x="155"/>
        <item x="149"/>
        <item x="17"/>
        <item x="115"/>
        <item x="59"/>
        <item x="172"/>
        <item x="28"/>
        <item x="147"/>
        <item x="26"/>
        <item x="199"/>
        <item x="139"/>
        <item x="192"/>
        <item x="142"/>
        <item x="67"/>
        <item x="148"/>
        <item x="173"/>
        <item x="174"/>
        <item x="334"/>
        <item x="151"/>
        <item x="234"/>
        <item x="6"/>
        <item x="143"/>
        <item x="266"/>
        <item x="328"/>
        <item x="146"/>
        <item x="158"/>
        <item x="157"/>
        <item x="80"/>
        <item x="89"/>
        <item x="210"/>
        <item x="280"/>
        <item x="229"/>
        <item x="65"/>
        <item x="34"/>
        <item x="232"/>
        <item x="64"/>
        <item x="302"/>
        <item x="272"/>
        <item x="24"/>
        <item x="128"/>
        <item x="335"/>
        <item x="14"/>
        <item x="25"/>
        <item x="185"/>
        <item x="41"/>
        <item x="3"/>
        <item x="61"/>
        <item x="184"/>
        <item x="76"/>
        <item x="265"/>
        <item x="344"/>
        <item x="27"/>
        <item x="82"/>
        <item x="202"/>
        <item x="68"/>
        <item x="109"/>
        <item x="186"/>
        <item x="258"/>
        <item x="213"/>
        <item x="35"/>
        <item x="260"/>
        <item x="259"/>
        <item x="161"/>
        <item x="42"/>
        <item x="100"/>
        <item x="330"/>
        <item x="63"/>
        <item x="273"/>
        <item x="159"/>
        <item x="301"/>
        <item x="22"/>
        <item x="60"/>
        <item x="8"/>
        <item x="231"/>
        <item x="58"/>
        <item x="201"/>
        <item x="29"/>
        <item x="2"/>
        <item x="101"/>
        <item x="32"/>
        <item x="162"/>
        <item x="171"/>
        <item x="400"/>
        <item x="271"/>
        <item x="121"/>
        <item x="5"/>
        <item x="188"/>
        <item x="190"/>
        <item x="197"/>
        <item x="261"/>
        <item x="322"/>
        <item x="79"/>
        <item x="393"/>
        <item x="233"/>
        <item x="329"/>
        <item x="165"/>
        <item x="104"/>
        <item x="33"/>
        <item x="217"/>
        <item x="267"/>
        <item x="91"/>
        <item x="130"/>
        <item x="94"/>
        <item x="187"/>
        <item x="19"/>
        <item x="117"/>
        <item x="268"/>
        <item x="226"/>
        <item x="125"/>
        <item x="84"/>
        <item x="39"/>
        <item x="40"/>
        <item x="191"/>
        <item x="132"/>
        <item x="392"/>
        <item x="214"/>
        <item x="119"/>
        <item x="395"/>
        <item x="211"/>
        <item x="122"/>
        <item x="251"/>
        <item x="326"/>
        <item x="93"/>
        <item x="126"/>
        <item x="116"/>
        <item x="396"/>
        <item x="331"/>
        <item x="219"/>
        <item x="222"/>
        <item x="194"/>
        <item x="196"/>
        <item x="401"/>
        <item x="90"/>
        <item x="397"/>
        <item x="163"/>
        <item x="225"/>
        <item x="198"/>
        <item x="195"/>
        <item x="402"/>
        <item x="160"/>
        <item x="85"/>
        <item x="138"/>
        <item x="317"/>
        <item x="52"/>
        <item x="168"/>
        <item x="113"/>
        <item x="167"/>
        <item x="166"/>
        <item x="169"/>
        <item x="152"/>
        <item x="236"/>
        <item x="107"/>
        <item x="23"/>
        <item x="189"/>
        <item x="30"/>
        <item x="97"/>
        <item x="7"/>
        <item x="18"/>
        <item x="156"/>
        <item x="4"/>
        <item x="78"/>
        <item x="200"/>
        <item x="269"/>
        <item x="216"/>
        <item x="230"/>
        <item x="228"/>
        <item x="1"/>
        <item x="0"/>
        <item x="16"/>
        <item x="332"/>
        <item x="118"/>
        <item x="227"/>
        <item x="274"/>
        <item x="127"/>
        <item x="4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ntagem de RG" fld="85" subtotal="count" baseField="0" baseItem="0"/>
    <dataField name="Contagem de Matrícula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1">
  <location ref="A1:B2" firstHeaderRow="0" firstDataRow="1" firstDataCol="0"/>
  <pivotFields count="190">
    <pivotField showAll="0"/>
    <pivotField dataField="1" showAll="0">
      <items count="4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6">
        <item x="169"/>
        <item x="167"/>
        <item x="168"/>
        <item x="166"/>
        <item x="33"/>
        <item x="260"/>
        <item x="63"/>
        <item x="280"/>
        <item x="8"/>
        <item x="163"/>
        <item x="161"/>
        <item x="165"/>
        <item x="265"/>
        <item x="267"/>
        <item x="162"/>
        <item x="266"/>
        <item x="100"/>
        <item x="67"/>
        <item x="113"/>
        <item x="5"/>
        <item x="4"/>
        <item x="14"/>
        <item x="258"/>
        <item x="7"/>
        <item x="328"/>
        <item x="29"/>
        <item x="21"/>
        <item x="32"/>
        <item x="25"/>
        <item x="24"/>
        <item x="31"/>
        <item x="23"/>
        <item x="28"/>
        <item x="26"/>
        <item x="234"/>
        <item x="59"/>
        <item x="201"/>
        <item x="214"/>
        <item x="392"/>
        <item x="298"/>
        <item x="395"/>
        <item x="119"/>
        <item x="194"/>
        <item x="122"/>
        <item x="226"/>
        <item x="93"/>
        <item x="127"/>
        <item x="213"/>
        <item x="185"/>
        <item x="125"/>
        <item x="222"/>
        <item x="397"/>
        <item x="121"/>
        <item x="94"/>
        <item x="130"/>
        <item x="95"/>
        <item x="91"/>
        <item x="85"/>
        <item x="189"/>
        <item x="118"/>
        <item x="58"/>
        <item x="202"/>
        <item x="225"/>
        <item x="199"/>
        <item x="60"/>
        <item x="197"/>
        <item x="132"/>
        <item x="109"/>
        <item x="208"/>
        <item x="322"/>
        <item x="210"/>
        <item x="334"/>
        <item x="273"/>
        <item x="228"/>
        <item x="272"/>
        <item x="271"/>
        <item x="329"/>
        <item x="80"/>
        <item x="114"/>
        <item x="129"/>
        <item x="87"/>
        <item x="320"/>
        <item x="220"/>
        <item x="75"/>
        <item x="157"/>
        <item x="70"/>
        <item x="73"/>
        <item x="74"/>
        <item x="71"/>
        <item x="204"/>
        <item x="205"/>
        <item x="176"/>
        <item x="83"/>
        <item x="238"/>
        <item x="257"/>
        <item x="133"/>
        <item x="131"/>
        <item x="98"/>
        <item x="96"/>
        <item x="134"/>
        <item x="240"/>
        <item x="287"/>
        <item x="249"/>
        <item x="282"/>
        <item x="285"/>
        <item x="281"/>
        <item x="64"/>
        <item x="86"/>
        <item x="318"/>
        <item x="78"/>
        <item x="209"/>
        <item x="72"/>
        <item x="207"/>
        <item x="284"/>
        <item x="181"/>
        <item x="218"/>
        <item x="243"/>
        <item x="283"/>
        <item x="256"/>
        <item x="251"/>
        <item x="239"/>
        <item x="246"/>
        <item x="254"/>
        <item x="203"/>
        <item x="241"/>
        <item x="237"/>
        <item x="221"/>
        <item x="177"/>
        <item x="156"/>
        <item x="115"/>
        <item x="99"/>
        <item x="102"/>
        <item x="108"/>
        <item x="106"/>
        <item x="135"/>
        <item x="110"/>
        <item x="112"/>
        <item x="105"/>
        <item x="216"/>
        <item x="259"/>
        <item x="10"/>
        <item x="262"/>
        <item x="42"/>
        <item x="40"/>
        <item x="223"/>
        <item x="196"/>
        <item x="41"/>
        <item x="290"/>
        <item x="154"/>
        <item x="332"/>
        <item x="9"/>
        <item x="104"/>
        <item x="160"/>
        <item x="268"/>
        <item x="195"/>
        <item x="175"/>
        <item x="16"/>
        <item x="0"/>
        <item x="295"/>
        <item x="2"/>
        <item x="250"/>
        <item x="330"/>
        <item x="164"/>
        <item x="270"/>
        <item x="171"/>
        <item x="200"/>
        <item x="13"/>
        <item x="153"/>
        <item x="261"/>
        <item x="335"/>
        <item x="235"/>
        <item x="229"/>
        <item x="293"/>
        <item x="68"/>
        <item x="291"/>
        <item x="289"/>
        <item x="388"/>
        <item x="384"/>
        <item x="217"/>
        <item x="385"/>
        <item x="386"/>
        <item x="387"/>
        <item x="423"/>
        <item x="233"/>
        <item x="422"/>
        <item x="17"/>
        <item x="396"/>
        <item x="339"/>
        <item x="149"/>
        <item x="140"/>
        <item x="55"/>
        <item x="49"/>
        <item x="345"/>
        <item x="306"/>
        <item x="56"/>
        <item x="410"/>
        <item x="417"/>
        <item x="369"/>
        <item x="43"/>
        <item x="347"/>
        <item x="379"/>
        <item x="378"/>
        <item x="22"/>
        <item x="188"/>
        <item x="101"/>
        <item x="116"/>
        <item x="37"/>
        <item x="141"/>
        <item x="34"/>
        <item x="150"/>
        <item x="300"/>
        <item x="276"/>
        <item x="107"/>
        <item x="325"/>
        <item x="393"/>
        <item x="152"/>
        <item x="326"/>
        <item x="126"/>
        <item x="90"/>
        <item x="321"/>
        <item x="337"/>
        <item x="18"/>
        <item x="274"/>
        <item x="19"/>
        <item x="252"/>
        <item x="39"/>
        <item x="301"/>
        <item x="292"/>
        <item x="27"/>
        <item x="3"/>
        <item x="343"/>
        <item x="180"/>
        <item x="242"/>
        <item x="247"/>
        <item x="6"/>
        <item x="123"/>
        <item x="296"/>
        <item x="278"/>
        <item x="286"/>
        <item x="61"/>
        <item x="236"/>
        <item x="38"/>
        <item x="206"/>
        <item x="11"/>
        <item x="47"/>
        <item x="323"/>
        <item x="227"/>
        <item x="309"/>
        <item x="362"/>
        <item x="311"/>
        <item x="324"/>
        <item x="411"/>
        <item x="54"/>
        <item x="363"/>
        <item x="341"/>
        <item x="406"/>
        <item x="349"/>
        <item x="338"/>
        <item x="413"/>
        <item x="376"/>
        <item x="331"/>
        <item x="372"/>
        <item x="310"/>
        <item x="351"/>
        <item x="368"/>
        <item x="308"/>
        <item x="342"/>
        <item x="350"/>
        <item x="46"/>
        <item x="307"/>
        <item x="336"/>
        <item x="383"/>
        <item x="346"/>
        <item x="377"/>
        <item x="414"/>
        <item x="170"/>
        <item x="356"/>
        <item x="394"/>
        <item x="381"/>
        <item x="313"/>
        <item x="403"/>
        <item x="15"/>
        <item x="333"/>
        <item x="35"/>
        <item x="128"/>
        <item x="183"/>
        <item x="344"/>
        <item x="184"/>
        <item x="198"/>
        <item x="179"/>
        <item x="277"/>
        <item x="248"/>
        <item x="79"/>
        <item x="82"/>
        <item x="77"/>
        <item x="297"/>
        <item x="12"/>
        <item x="299"/>
        <item x="45"/>
        <item x="269"/>
        <item x="159"/>
        <item x="279"/>
        <item x="191"/>
        <item x="190"/>
        <item x="62"/>
        <item x="244"/>
        <item x="1"/>
        <item x="230"/>
        <item x="69"/>
        <item x="124"/>
        <item x="143"/>
        <item x="151"/>
        <item x="139"/>
        <item x="288"/>
        <item x="186"/>
        <item x="76"/>
        <item x="263"/>
        <item x="193"/>
        <item x="219"/>
        <item x="148"/>
        <item x="137"/>
        <item x="138"/>
        <item x="314"/>
        <item x="144"/>
        <item x="146"/>
        <item x="294"/>
        <item x="315"/>
        <item x="145"/>
        <item x="418"/>
        <item x="419"/>
        <item x="66"/>
        <item x="212"/>
        <item x="255"/>
        <item x="245"/>
        <item x="407"/>
        <item x="389"/>
        <item x="361"/>
        <item x="415"/>
        <item x="380"/>
        <item x="405"/>
        <item x="304"/>
        <item x="402"/>
        <item x="215"/>
        <item x="253"/>
        <item x="111"/>
        <item x="36"/>
        <item x="172"/>
        <item x="231"/>
        <item x="88"/>
        <item x="232"/>
        <item x="65"/>
        <item x="224"/>
        <item x="158"/>
        <item x="211"/>
        <item x="142"/>
        <item x="117"/>
        <item x="400"/>
        <item x="359"/>
        <item x="316"/>
        <item x="48"/>
        <item x="340"/>
        <item x="409"/>
        <item x="355"/>
        <item x="371"/>
        <item x="412"/>
        <item x="305"/>
        <item x="366"/>
        <item x="408"/>
        <item x="317"/>
        <item x="20"/>
        <item x="192"/>
        <item x="421"/>
        <item x="302"/>
        <item x="173"/>
        <item x="178"/>
        <item x="120"/>
        <item x="174"/>
        <item x="147"/>
        <item x="155"/>
        <item x="275"/>
        <item x="187"/>
        <item x="84"/>
        <item x="420"/>
        <item x="327"/>
        <item x="401"/>
        <item x="391"/>
        <item x="312"/>
        <item x="57"/>
        <item x="404"/>
        <item x="398"/>
        <item x="50"/>
        <item x="360"/>
        <item x="373"/>
        <item x="303"/>
        <item x="365"/>
        <item x="348"/>
        <item x="52"/>
        <item x="375"/>
        <item x="374"/>
        <item x="53"/>
        <item x="51"/>
        <item x="367"/>
        <item x="353"/>
        <item x="416"/>
        <item x="352"/>
        <item x="382"/>
        <item x="364"/>
        <item x="44"/>
        <item x="358"/>
        <item x="390"/>
        <item x="357"/>
        <item x="354"/>
        <item x="370"/>
        <item x="399"/>
        <item x="81"/>
        <item x="30"/>
        <item x="92"/>
        <item x="97"/>
        <item x="89"/>
        <item x="182"/>
        <item x="264"/>
        <item x="319"/>
        <item x="103"/>
        <item x="136"/>
        <item x="4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ntagem de Matrícula" fld="1" subtotal="count" baseField="0" baseItem="0"/>
    <dataField name="Contagem de Conta" fld="125" subtotal="count" baseField="0" baseItem="0"/>
  </dataField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1">
  <location ref="D1:E2" firstHeaderRow="0" firstDataRow="1" firstDataCol="0"/>
  <pivotFields count="190">
    <pivotField showAll="0"/>
    <pivotField dataField="1" showAll="0">
      <items count="4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7">
        <item x="26"/>
        <item x="24"/>
        <item x="32"/>
        <item x="13"/>
        <item x="28"/>
        <item x="18"/>
        <item x="7"/>
        <item x="4"/>
        <item x="2"/>
        <item x="16"/>
        <item x="11"/>
        <item x="27"/>
        <item x="30"/>
        <item x="12"/>
        <item x="9"/>
        <item x="0"/>
        <item x="3"/>
        <item x="21"/>
        <item x="34"/>
        <item x="31"/>
        <item x="6"/>
        <item x="20"/>
        <item x="8"/>
        <item x="17"/>
        <item x="5"/>
        <item x="19"/>
        <item x="22"/>
        <item x="10"/>
        <item x="14"/>
        <item x="15"/>
        <item x="29"/>
        <item x="25"/>
        <item x="23"/>
        <item x="33"/>
        <item x="1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399">
        <item x="11"/>
        <item x="47"/>
        <item x="43"/>
        <item x="397"/>
        <item x="325"/>
        <item x="48"/>
        <item x="299"/>
        <item x="46"/>
        <item x="290"/>
        <item x="162"/>
        <item x="298"/>
        <item x="54"/>
        <item x="45"/>
        <item x="56"/>
        <item x="49"/>
        <item x="292"/>
        <item x="296"/>
        <item x="55"/>
        <item x="44"/>
        <item x="328"/>
        <item x="1"/>
        <item x="329"/>
        <item x="273"/>
        <item x="291"/>
        <item x="295"/>
        <item x="381"/>
        <item x="310"/>
        <item x="297"/>
        <item x="333"/>
        <item x="341"/>
        <item x="344"/>
        <item x="300"/>
        <item x="334"/>
        <item x="293"/>
        <item x="340"/>
        <item x="384"/>
        <item x="354"/>
        <item x="289"/>
        <item x="301"/>
        <item x="391"/>
        <item x="51"/>
        <item x="323"/>
        <item x="319"/>
        <item x="390"/>
        <item x="347"/>
        <item x="364"/>
        <item x="345"/>
        <item x="389"/>
        <item x="359"/>
        <item x="349"/>
        <item x="383"/>
        <item x="375"/>
        <item x="387"/>
        <item x="339"/>
        <item x="343"/>
        <item x="57"/>
        <item x="362"/>
        <item x="302"/>
        <item x="350"/>
        <item x="360"/>
        <item x="331"/>
        <item x="336"/>
        <item x="332"/>
        <item x="346"/>
        <item x="370"/>
        <item x="342"/>
        <item x="380"/>
        <item x="326"/>
        <item x="358"/>
        <item x="353"/>
        <item x="361"/>
        <item x="335"/>
        <item x="388"/>
        <item x="311"/>
        <item x="324"/>
        <item x="348"/>
        <item x="356"/>
        <item x="53"/>
        <item x="363"/>
        <item x="337"/>
        <item x="379"/>
        <item x="327"/>
        <item x="352"/>
        <item x="386"/>
        <item x="357"/>
        <item x="50"/>
        <item x="351"/>
        <item x="52"/>
        <item x="385"/>
        <item x="382"/>
        <item x="355"/>
        <item x="338"/>
        <item x="322"/>
        <item x="31"/>
        <item x="249"/>
        <item x="276"/>
        <item x="396"/>
        <item x="186"/>
        <item x="277"/>
        <item x="270"/>
        <item x="80"/>
        <item x="274"/>
        <item x="153"/>
        <item x="83"/>
        <item x="279"/>
        <item x="286"/>
        <item x="280"/>
        <item x="235"/>
        <item x="172"/>
        <item x="294"/>
        <item x="275"/>
        <item x="365"/>
        <item x="281"/>
        <item x="368"/>
        <item x="278"/>
        <item x="369"/>
        <item x="395"/>
        <item x="256"/>
        <item x="367"/>
        <item x="243"/>
        <item x="366"/>
        <item x="206"/>
        <item x="37"/>
        <item x="86"/>
        <item x="36"/>
        <item x="305"/>
        <item x="73"/>
        <item x="187"/>
        <item x="242"/>
        <item x="224"/>
        <item x="195"/>
        <item x="260"/>
        <item x="74"/>
        <item x="306"/>
        <item x="236"/>
        <item x="229"/>
        <item x="239"/>
        <item x="238"/>
        <item x="200"/>
        <item x="77"/>
        <item x="173"/>
        <item x="171"/>
        <item x="130"/>
        <item x="230"/>
        <item x="221"/>
        <item x="241"/>
        <item x="231"/>
        <item x="85"/>
        <item x="81"/>
        <item x="145"/>
        <item x="175"/>
        <item x="223"/>
        <item x="69"/>
        <item x="268"/>
        <item x="204"/>
        <item x="87"/>
        <item x="304"/>
        <item x="283"/>
        <item x="282"/>
        <item x="269"/>
        <item x="33"/>
        <item x="75"/>
        <item x="72"/>
        <item x="225"/>
        <item x="211"/>
        <item x="271"/>
        <item x="199"/>
        <item x="265"/>
        <item x="71"/>
        <item x="70"/>
        <item x="168"/>
        <item x="174"/>
        <item x="232"/>
        <item x="167"/>
        <item x="240"/>
        <item x="284"/>
        <item x="169"/>
        <item x="209"/>
        <item x="285"/>
        <item x="392"/>
        <item x="197"/>
        <item x="272"/>
        <item x="92"/>
        <item x="227"/>
        <item x="263"/>
        <item x="109"/>
        <item x="264"/>
        <item x="121"/>
        <item x="103"/>
        <item x="99"/>
        <item x="108"/>
        <item x="106"/>
        <item x="98"/>
        <item x="314"/>
        <item x="126"/>
        <item x="102"/>
        <item x="212"/>
        <item x="201"/>
        <item x="226"/>
        <item x="111"/>
        <item x="267"/>
        <item x="234"/>
        <item x="196"/>
        <item x="233"/>
        <item x="228"/>
        <item x="96"/>
        <item x="120"/>
        <item x="113"/>
        <item x="127"/>
        <item x="115"/>
        <item x="16"/>
        <item x="237"/>
        <item x="129"/>
        <item x="105"/>
        <item x="110"/>
        <item x="377"/>
        <item x="307"/>
        <item x="131"/>
        <item x="250"/>
        <item x="147"/>
        <item x="146"/>
        <item x="160"/>
        <item x="161"/>
        <item x="134"/>
        <item x="159"/>
        <item x="393"/>
        <item x="170"/>
        <item x="317"/>
        <item x="185"/>
        <item x="257"/>
        <item x="315"/>
        <item x="394"/>
        <item x="215"/>
        <item x="142"/>
        <item x="222"/>
        <item x="138"/>
        <item x="140"/>
        <item x="303"/>
        <item x="10"/>
        <item x="13"/>
        <item x="133"/>
        <item x="164"/>
        <item x="38"/>
        <item x="0"/>
        <item x="135"/>
        <item x="148"/>
        <item x="184"/>
        <item x="132"/>
        <item x="144"/>
        <item x="165"/>
        <item x="141"/>
        <item x="143"/>
        <item x="139"/>
        <item x="137"/>
        <item x="136"/>
        <item x="157"/>
        <item x="17"/>
        <item x="9"/>
        <item x="12"/>
        <item x="20"/>
        <item x="309"/>
        <item x="112"/>
        <item x="318"/>
        <item x="15"/>
        <item x="66"/>
        <item x="217"/>
        <item x="248"/>
        <item x="320"/>
        <item x="191"/>
        <item x="262"/>
        <item x="95"/>
        <item x="21"/>
        <item x="252"/>
        <item x="116"/>
        <item x="117"/>
        <item x="124"/>
        <item x="6"/>
        <item x="313"/>
        <item x="114"/>
        <item x="59"/>
        <item x="89"/>
        <item x="166"/>
        <item x="261"/>
        <item x="28"/>
        <item x="107"/>
        <item x="214"/>
        <item x="218"/>
        <item x="220"/>
        <item x="330"/>
        <item x="198"/>
        <item x="26"/>
        <item x="65"/>
        <item x="30"/>
        <item x="61"/>
        <item x="266"/>
        <item x="67"/>
        <item x="202"/>
        <item x="151"/>
        <item x="7"/>
        <item x="100"/>
        <item x="23"/>
        <item x="82"/>
        <item x="22"/>
        <item x="194"/>
        <item x="150"/>
        <item x="34"/>
        <item x="155"/>
        <item x="25"/>
        <item x="19"/>
        <item x="378"/>
        <item x="154"/>
        <item x="4"/>
        <item x="181"/>
        <item x="259"/>
        <item x="180"/>
        <item x="245"/>
        <item x="207"/>
        <item x="27"/>
        <item x="193"/>
        <item x="244"/>
        <item x="3"/>
        <item x="316"/>
        <item x="35"/>
        <item x="58"/>
        <item x="177"/>
        <item x="60"/>
        <item x="78"/>
        <item x="63"/>
        <item x="149"/>
        <item x="29"/>
        <item x="192"/>
        <item x="163"/>
        <item x="255"/>
        <item x="62"/>
        <item x="101"/>
        <item x="176"/>
        <item x="2"/>
        <item x="251"/>
        <item x="76"/>
        <item x="189"/>
        <item x="42"/>
        <item x="247"/>
        <item x="5"/>
        <item x="18"/>
        <item x="376"/>
        <item x="152"/>
        <item x="178"/>
        <item x="246"/>
        <item x="41"/>
        <item x="182"/>
        <item x="118"/>
        <item x="219"/>
        <item x="205"/>
        <item x="68"/>
        <item x="288"/>
        <item x="8"/>
        <item x="179"/>
        <item x="94"/>
        <item x="32"/>
        <item x="254"/>
        <item x="79"/>
        <item x="321"/>
        <item x="125"/>
        <item x="371"/>
        <item x="308"/>
        <item x="24"/>
        <item x="287"/>
        <item x="104"/>
        <item x="373"/>
        <item x="97"/>
        <item x="216"/>
        <item x="253"/>
        <item x="64"/>
        <item x="91"/>
        <item x="258"/>
        <item x="156"/>
        <item x="128"/>
        <item x="374"/>
        <item x="93"/>
        <item x="40"/>
        <item x="90"/>
        <item x="122"/>
        <item x="14"/>
        <item x="158"/>
        <item x="84"/>
        <item x="312"/>
        <item x="208"/>
        <item x="39"/>
        <item x="210"/>
        <item x="188"/>
        <item x="203"/>
        <item x="372"/>
        <item x="183"/>
        <item x="119"/>
        <item x="190"/>
        <item x="213"/>
        <item x="123"/>
        <item x="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ntagem de Título de Eleitor" fld="104" subtotal="count" baseField="0" baseItem="0"/>
    <dataField name="Contagem de Matrícula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atrícula" sourceName="Matrícula">
  <pivotTables>
    <pivotTable tabId="30" name="Tabela dinâmica1"/>
  </pivotTables>
  <data>
    <tabular pivotCacheId="2">
      <items count="42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  <i x="368" s="1"/>
        <i x="369" s="1"/>
        <i x="370" s="1"/>
        <i x="371" s="1"/>
        <i x="372" s="1"/>
        <i x="373" s="1"/>
        <i x="374" s="1"/>
        <i x="375" s="1"/>
        <i x="376" s="1"/>
        <i x="377" s="1"/>
        <i x="378" s="1"/>
        <i x="379" s="1"/>
        <i x="380" s="1"/>
        <i x="381" s="1"/>
        <i x="382" s="1"/>
        <i x="383" s="1"/>
        <i x="384" s="1"/>
        <i x="385" s="1"/>
        <i x="386" s="1"/>
        <i x="387" s="1"/>
        <i x="388" s="1"/>
        <i x="389" s="1"/>
        <i x="390" s="1"/>
        <i x="391" s="1"/>
        <i x="392" s="1"/>
        <i x="393" s="1"/>
        <i x="394" s="1"/>
        <i x="395" s="1"/>
        <i x="396" s="1"/>
        <i x="397" s="1"/>
        <i x="398" s="1"/>
        <i x="399" s="1"/>
        <i x="400" s="1"/>
        <i x="401" s="1"/>
        <i x="402" s="1"/>
        <i x="403" s="1"/>
        <i x="404" s="1"/>
        <i x="405" s="1"/>
        <i x="406" s="1"/>
        <i x="407" s="1"/>
        <i x="408" s="1"/>
        <i x="409" s="1"/>
        <i x="410" s="1"/>
        <i x="411" s="1"/>
        <i x="412" s="1"/>
        <i x="413" s="1"/>
        <i x="414" s="1"/>
        <i x="415" s="1"/>
        <i x="416" s="1"/>
        <i x="417" s="1"/>
        <i x="418" s="1"/>
        <i x="419" s="1"/>
        <i x="420" s="1"/>
        <i x="421" s="1"/>
        <i x="422" s="1"/>
        <i x="423" s="1"/>
        <i x="42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nta" sourceName="Conta">
  <pivotTables>
    <pivotTable tabId="30" name="Tabela dinâmica1"/>
  </pivotTables>
  <data>
    <tabular pivotCacheId="2">
      <items count="425">
        <i x="169" s="1"/>
        <i x="167" s="1"/>
        <i x="168" s="1"/>
        <i x="166" s="1"/>
        <i x="33" s="1"/>
        <i x="260" s="1"/>
        <i x="63" s="1"/>
        <i x="280" s="1"/>
        <i x="8" s="1"/>
        <i x="163" s="1"/>
        <i x="161" s="1"/>
        <i x="165" s="1"/>
        <i x="265" s="1"/>
        <i x="267" s="1"/>
        <i x="162" s="1"/>
        <i x="266" s="1"/>
        <i x="100" s="1"/>
        <i x="67" s="1"/>
        <i x="113" s="1"/>
        <i x="5" s="1"/>
        <i x="4" s="1"/>
        <i x="14" s="1"/>
        <i x="258" s="1"/>
        <i x="7" s="1"/>
        <i x="328" s="1"/>
        <i x="29" s="1"/>
        <i x="21" s="1"/>
        <i x="32" s="1"/>
        <i x="25" s="1"/>
        <i x="24" s="1"/>
        <i x="31" s="1"/>
        <i x="23" s="1"/>
        <i x="28" s="1"/>
        <i x="26" s="1"/>
        <i x="234" s="1"/>
        <i x="59" s="1"/>
        <i x="201" s="1"/>
        <i x="214" s="1"/>
        <i x="392" s="1"/>
        <i x="298" s="1"/>
        <i x="395" s="1"/>
        <i x="119" s="1"/>
        <i x="194" s="1"/>
        <i x="122" s="1"/>
        <i x="226" s="1"/>
        <i x="93" s="1"/>
        <i x="127" s="1"/>
        <i x="213" s="1"/>
        <i x="185" s="1"/>
        <i x="125" s="1"/>
        <i x="222" s="1"/>
        <i x="397" s="1"/>
        <i x="121" s="1"/>
        <i x="94" s="1"/>
        <i x="130" s="1"/>
        <i x="95" s="1"/>
        <i x="91" s="1"/>
        <i x="85" s="1"/>
        <i x="189" s="1"/>
        <i x="118" s="1"/>
        <i x="58" s="1"/>
        <i x="202" s="1"/>
        <i x="225" s="1"/>
        <i x="199" s="1"/>
        <i x="60" s="1"/>
        <i x="197" s="1"/>
        <i x="132" s="1"/>
        <i x="109" s="1"/>
        <i x="208" s="1"/>
        <i x="322" s="1"/>
        <i x="210" s="1"/>
        <i x="334" s="1"/>
        <i x="273" s="1"/>
        <i x="228" s="1"/>
        <i x="272" s="1"/>
        <i x="271" s="1"/>
        <i x="329" s="1"/>
        <i x="80" s="1"/>
        <i x="114" s="1"/>
        <i x="129" s="1"/>
        <i x="87" s="1"/>
        <i x="320" s="1"/>
        <i x="220" s="1"/>
        <i x="75" s="1"/>
        <i x="157" s="1"/>
        <i x="70" s="1"/>
        <i x="73" s="1"/>
        <i x="74" s="1"/>
        <i x="71" s="1"/>
        <i x="204" s="1"/>
        <i x="205" s="1"/>
        <i x="176" s="1"/>
        <i x="83" s="1"/>
        <i x="238" s="1"/>
        <i x="257" s="1"/>
        <i x="133" s="1"/>
        <i x="131" s="1"/>
        <i x="98" s="1"/>
        <i x="96" s="1"/>
        <i x="134" s="1"/>
        <i x="240" s="1"/>
        <i x="287" s="1"/>
        <i x="249" s="1"/>
        <i x="282" s="1"/>
        <i x="285" s="1"/>
        <i x="281" s="1"/>
        <i x="64" s="1"/>
        <i x="86" s="1"/>
        <i x="318" s="1"/>
        <i x="78" s="1"/>
        <i x="209" s="1"/>
        <i x="72" s="1"/>
        <i x="207" s="1"/>
        <i x="284" s="1"/>
        <i x="181" s="1"/>
        <i x="218" s="1"/>
        <i x="243" s="1"/>
        <i x="283" s="1"/>
        <i x="256" s="1"/>
        <i x="251" s="1"/>
        <i x="239" s="1"/>
        <i x="246" s="1"/>
        <i x="254" s="1"/>
        <i x="203" s="1"/>
        <i x="241" s="1"/>
        <i x="237" s="1"/>
        <i x="221" s="1"/>
        <i x="177" s="1"/>
        <i x="156" s="1"/>
        <i x="115" s="1"/>
        <i x="99" s="1"/>
        <i x="102" s="1"/>
        <i x="108" s="1"/>
        <i x="106" s="1"/>
        <i x="135" s="1"/>
        <i x="110" s="1"/>
        <i x="112" s="1"/>
        <i x="105" s="1"/>
        <i x="216" s="1"/>
        <i x="259" s="1"/>
        <i x="10" s="1"/>
        <i x="262" s="1"/>
        <i x="42" s="1"/>
        <i x="40" s="1"/>
        <i x="223" s="1"/>
        <i x="196" s="1"/>
        <i x="41" s="1"/>
        <i x="290" s="1"/>
        <i x="154" s="1"/>
        <i x="332" s="1"/>
        <i x="9" s="1"/>
        <i x="104" s="1"/>
        <i x="160" s="1"/>
        <i x="268" s="1"/>
        <i x="195" s="1"/>
        <i x="175" s="1"/>
        <i x="16" s="1"/>
        <i x="0" s="1"/>
        <i x="295" s="1"/>
        <i x="2" s="1"/>
        <i x="250" s="1"/>
        <i x="330" s="1"/>
        <i x="164" s="1"/>
        <i x="270" s="1"/>
        <i x="171" s="1"/>
        <i x="200" s="1"/>
        <i x="13" s="1"/>
        <i x="153" s="1"/>
        <i x="261" s="1"/>
        <i x="335" s="1"/>
        <i x="235" s="1"/>
        <i x="229" s="1"/>
        <i x="293" s="1"/>
        <i x="68" s="1"/>
        <i x="291" s="1"/>
        <i x="289" s="1"/>
        <i x="388" s="1"/>
        <i x="384" s="1"/>
        <i x="217" s="1"/>
        <i x="385" s="1"/>
        <i x="386" s="1"/>
        <i x="387" s="1"/>
        <i x="423" s="1"/>
        <i x="233" s="1"/>
        <i x="422" s="1"/>
        <i x="17" s="1"/>
        <i x="396" s="1"/>
        <i x="339" s="1"/>
        <i x="149" s="1"/>
        <i x="140" s="1"/>
        <i x="55" s="1"/>
        <i x="49" s="1"/>
        <i x="345" s="1"/>
        <i x="306" s="1"/>
        <i x="56" s="1"/>
        <i x="410" s="1"/>
        <i x="417" s="1"/>
        <i x="369" s="1"/>
        <i x="43" s="1"/>
        <i x="347" s="1"/>
        <i x="379" s="1"/>
        <i x="378" s="1"/>
        <i x="22" s="1"/>
        <i x="188" s="1"/>
        <i x="101" s="1"/>
        <i x="116" s="1"/>
        <i x="37" s="1"/>
        <i x="141" s="1"/>
        <i x="34" s="1"/>
        <i x="150" s="1"/>
        <i x="300" s="1"/>
        <i x="276" s="1"/>
        <i x="107" s="1"/>
        <i x="325" s="1"/>
        <i x="393" s="1"/>
        <i x="152" s="1"/>
        <i x="326" s="1"/>
        <i x="126" s="1"/>
        <i x="90" s="1"/>
        <i x="321" s="1"/>
        <i x="337" s="1"/>
        <i x="18" s="1"/>
        <i x="274" s="1"/>
        <i x="19" s="1"/>
        <i x="252" s="1"/>
        <i x="39" s="1"/>
        <i x="301" s="1"/>
        <i x="292" s="1"/>
        <i x="27" s="1"/>
        <i x="3" s="1"/>
        <i x="343" s="1"/>
        <i x="180" s="1"/>
        <i x="242" s="1"/>
        <i x="247" s="1"/>
        <i x="6" s="1"/>
        <i x="123" s="1"/>
        <i x="296" s="1"/>
        <i x="278" s="1"/>
        <i x="286" s="1"/>
        <i x="61" s="1"/>
        <i x="236" s="1"/>
        <i x="38" s="1"/>
        <i x="206" s="1"/>
        <i x="11" s="1"/>
        <i x="47" s="1"/>
        <i x="323" s="1"/>
        <i x="227" s="1"/>
        <i x="309" s="1"/>
        <i x="362" s="1"/>
        <i x="311" s="1"/>
        <i x="324" s="1"/>
        <i x="411" s="1"/>
        <i x="54" s="1"/>
        <i x="363" s="1"/>
        <i x="341" s="1"/>
        <i x="406" s="1"/>
        <i x="349" s="1"/>
        <i x="338" s="1"/>
        <i x="413" s="1"/>
        <i x="376" s="1"/>
        <i x="331" s="1"/>
        <i x="372" s="1"/>
        <i x="310" s="1"/>
        <i x="351" s="1"/>
        <i x="368" s="1"/>
        <i x="308" s="1"/>
        <i x="342" s="1"/>
        <i x="350" s="1"/>
        <i x="46" s="1"/>
        <i x="307" s="1"/>
        <i x="336" s="1"/>
        <i x="383" s="1"/>
        <i x="346" s="1"/>
        <i x="377" s="1"/>
        <i x="414" s="1"/>
        <i x="170" s="1"/>
        <i x="356" s="1"/>
        <i x="394" s="1"/>
        <i x="381" s="1"/>
        <i x="313" s="1"/>
        <i x="403" s="1"/>
        <i x="15" s="1"/>
        <i x="333" s="1"/>
        <i x="35" s="1"/>
        <i x="128" s="1"/>
        <i x="183" s="1"/>
        <i x="344" s="1"/>
        <i x="184" s="1"/>
        <i x="198" s="1"/>
        <i x="179" s="1"/>
        <i x="277" s="1"/>
        <i x="248" s="1"/>
        <i x="79" s="1"/>
        <i x="82" s="1"/>
        <i x="77" s="1"/>
        <i x="297" s="1"/>
        <i x="12" s="1"/>
        <i x="299" s="1"/>
        <i x="45" s="1"/>
        <i x="269" s="1"/>
        <i x="159" s="1"/>
        <i x="279" s="1"/>
        <i x="191" s="1"/>
        <i x="190" s="1"/>
        <i x="62" s="1"/>
        <i x="244" s="1"/>
        <i x="1" s="1"/>
        <i x="230" s="1"/>
        <i x="69" s="1"/>
        <i x="124" s="1"/>
        <i x="143" s="1"/>
        <i x="151" s="1"/>
        <i x="139" s="1"/>
        <i x="288" s="1"/>
        <i x="186" s="1"/>
        <i x="76" s="1"/>
        <i x="263" s="1"/>
        <i x="193" s="1"/>
        <i x="219" s="1"/>
        <i x="148" s="1"/>
        <i x="137" s="1"/>
        <i x="138" s="1"/>
        <i x="314" s="1"/>
        <i x="144" s="1"/>
        <i x="146" s="1"/>
        <i x="294" s="1"/>
        <i x="315" s="1"/>
        <i x="145" s="1"/>
        <i x="418" s="1"/>
        <i x="419" s="1"/>
        <i x="66" s="1"/>
        <i x="212" s="1"/>
        <i x="255" s="1"/>
        <i x="245" s="1"/>
        <i x="407" s="1"/>
        <i x="389" s="1"/>
        <i x="361" s="1"/>
        <i x="415" s="1"/>
        <i x="380" s="1"/>
        <i x="405" s="1"/>
        <i x="304" s="1"/>
        <i x="402" s="1"/>
        <i x="215" s="1"/>
        <i x="253" s="1"/>
        <i x="111" s="1"/>
        <i x="36" s="1"/>
        <i x="172" s="1"/>
        <i x="231" s="1"/>
        <i x="88" s="1"/>
        <i x="232" s="1"/>
        <i x="65" s="1"/>
        <i x="224" s="1"/>
        <i x="158" s="1"/>
        <i x="211" s="1"/>
        <i x="142" s="1"/>
        <i x="117" s="1"/>
        <i x="400" s="1"/>
        <i x="359" s="1"/>
        <i x="316" s="1"/>
        <i x="48" s="1"/>
        <i x="340" s="1"/>
        <i x="409" s="1"/>
        <i x="355" s="1"/>
        <i x="371" s="1"/>
        <i x="412" s="1"/>
        <i x="305" s="1"/>
        <i x="366" s="1"/>
        <i x="408" s="1"/>
        <i x="317" s="1"/>
        <i x="20" s="1"/>
        <i x="192" s="1"/>
        <i x="421" s="1"/>
        <i x="302" s="1"/>
        <i x="173" s="1"/>
        <i x="178" s="1"/>
        <i x="120" s="1"/>
        <i x="174" s="1"/>
        <i x="147" s="1"/>
        <i x="155" s="1"/>
        <i x="275" s="1"/>
        <i x="187" s="1"/>
        <i x="84" s="1"/>
        <i x="420" s="1"/>
        <i x="327" s="1"/>
        <i x="401" s="1"/>
        <i x="391" s="1"/>
        <i x="312" s="1"/>
        <i x="57" s="1"/>
        <i x="404" s="1"/>
        <i x="398" s="1"/>
        <i x="50" s="1"/>
        <i x="360" s="1"/>
        <i x="373" s="1"/>
        <i x="303" s="1"/>
        <i x="365" s="1"/>
        <i x="348" s="1"/>
        <i x="52" s="1"/>
        <i x="375" s="1"/>
        <i x="374" s="1"/>
        <i x="53" s="1"/>
        <i x="51" s="1"/>
        <i x="367" s="1"/>
        <i x="353" s="1"/>
        <i x="416" s="1"/>
        <i x="352" s="1"/>
        <i x="382" s="1"/>
        <i x="364" s="1"/>
        <i x="44" s="1"/>
        <i x="358" s="1"/>
        <i x="390" s="1"/>
        <i x="357" s="1"/>
        <i x="354" s="1"/>
        <i x="370" s="1"/>
        <i x="399" s="1"/>
        <i x="81" s="1"/>
        <i x="30" s="1"/>
        <i x="92" s="1"/>
        <i x="97" s="1"/>
        <i x="89" s="1"/>
        <i x="182" s="1"/>
        <i x="264" s="1"/>
        <i x="319" s="1"/>
        <i x="103" s="1"/>
        <i x="136" s="1"/>
        <i x="424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atrícula1" sourceName="Matrícula">
  <pivotTables>
    <pivotTable tabId="30" name="Tabela dinâmica3"/>
  </pivotTables>
  <data>
    <tabular pivotCacheId="2">
      <items count="42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  <i x="368" s="1"/>
        <i x="369" s="1"/>
        <i x="370" s="1"/>
        <i x="371" s="1"/>
        <i x="372" s="1"/>
        <i x="373" s="1"/>
        <i x="374" s="1"/>
        <i x="375" s="1"/>
        <i x="376" s="1"/>
        <i x="377" s="1"/>
        <i x="378" s="1"/>
        <i x="379" s="1"/>
        <i x="380" s="1"/>
        <i x="381" s="1"/>
        <i x="382" s="1"/>
        <i x="383" s="1"/>
        <i x="384" s="1"/>
        <i x="385" s="1"/>
        <i x="386" s="1"/>
        <i x="387" s="1"/>
        <i x="388" s="1"/>
        <i x="389" s="1"/>
        <i x="390" s="1"/>
        <i x="391" s="1"/>
        <i x="392" s="1"/>
        <i x="393" s="1"/>
        <i x="394" s="1"/>
        <i x="395" s="1"/>
        <i x="396" s="1"/>
        <i x="397" s="1"/>
        <i x="398" s="1"/>
        <i x="399" s="1"/>
        <i x="400" s="1"/>
        <i x="401" s="1"/>
        <i x="402" s="1"/>
        <i x="403" s="1"/>
        <i x="404" s="1"/>
        <i x="405" s="1"/>
        <i x="406" s="1"/>
        <i x="407" s="1"/>
        <i x="408" s="1"/>
        <i x="409" s="1"/>
        <i x="410" s="1"/>
        <i x="411" s="1"/>
        <i x="412" s="1"/>
        <i x="413" s="1"/>
        <i x="414" s="1"/>
        <i x="415" s="1"/>
        <i x="416" s="1"/>
        <i x="417" s="1"/>
        <i x="418" s="1"/>
        <i x="419" s="1"/>
        <i x="420" s="1"/>
        <i x="421" s="1"/>
        <i x="422" s="1"/>
        <i x="423" s="1"/>
        <i x="424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ade" sourceName="Idade">
  <pivotTables>
    <pivotTable tabId="30" name="Tabela dinâmica3"/>
  </pivotTables>
  <data>
    <tabular pivotCacheId="2">
      <items count="36">
        <i x="26" s="1"/>
        <i x="24" s="1"/>
        <i x="32" s="1"/>
        <i x="13" s="1"/>
        <i x="28" s="1"/>
        <i x="18" s="1"/>
        <i x="7" s="1"/>
        <i x="4" s="1"/>
        <i x="2" s="1"/>
        <i x="16" s="1"/>
        <i x="11" s="1"/>
        <i x="27" s="1"/>
        <i x="30" s="1"/>
        <i x="12" s="1"/>
        <i x="9" s="1"/>
        <i x="0" s="1"/>
        <i x="3" s="1"/>
        <i x="21" s="1"/>
        <i x="34" s="1"/>
        <i x="31" s="1"/>
        <i x="6" s="1"/>
        <i x="20" s="1"/>
        <i x="8" s="1"/>
        <i x="17" s="1"/>
        <i x="5" s="1"/>
        <i x="19" s="1"/>
        <i x="22" s="1"/>
        <i x="10" s="1"/>
        <i x="14" s="1"/>
        <i x="15" s="1"/>
        <i x="29" s="1"/>
        <i x="25" s="1"/>
        <i x="23" s="1"/>
        <i x="33" s="1"/>
        <i x="1" s="1"/>
        <i x="35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ítulo_de_Eleitor" sourceName="Título de Eleitor">
  <pivotTables>
    <pivotTable tabId="30" name="Tabela dinâmica3"/>
  </pivotTables>
  <data>
    <tabular pivotCacheId="2">
      <items count="398">
        <i x="11" s="1"/>
        <i x="47" s="1"/>
        <i x="43" s="1"/>
        <i x="397" s="1"/>
        <i x="325" s="1"/>
        <i x="48" s="1"/>
        <i x="299" s="1"/>
        <i x="46" s="1"/>
        <i x="290" s="1"/>
        <i x="162" s="1"/>
        <i x="298" s="1"/>
        <i x="54" s="1"/>
        <i x="45" s="1"/>
        <i x="56" s="1"/>
        <i x="49" s="1"/>
        <i x="292" s="1"/>
        <i x="296" s="1"/>
        <i x="55" s="1"/>
        <i x="44" s="1"/>
        <i x="328" s="1"/>
        <i x="1" s="1"/>
        <i x="329" s="1"/>
        <i x="273" s="1"/>
        <i x="291" s="1"/>
        <i x="295" s="1"/>
        <i x="381" s="1"/>
        <i x="310" s="1"/>
        <i x="297" s="1"/>
        <i x="333" s="1"/>
        <i x="341" s="1"/>
        <i x="344" s="1"/>
        <i x="300" s="1"/>
        <i x="334" s="1"/>
        <i x="293" s="1"/>
        <i x="340" s="1"/>
        <i x="384" s="1"/>
        <i x="354" s="1"/>
        <i x="289" s="1"/>
        <i x="301" s="1"/>
        <i x="391" s="1"/>
        <i x="51" s="1"/>
        <i x="323" s="1"/>
        <i x="319" s="1"/>
        <i x="390" s="1"/>
        <i x="347" s="1"/>
        <i x="364" s="1"/>
        <i x="345" s="1"/>
        <i x="389" s="1"/>
        <i x="359" s="1"/>
        <i x="349" s="1"/>
        <i x="383" s="1"/>
        <i x="375" s="1"/>
        <i x="387" s="1"/>
        <i x="339" s="1"/>
        <i x="343" s="1"/>
        <i x="57" s="1"/>
        <i x="362" s="1"/>
        <i x="302" s="1"/>
        <i x="350" s="1"/>
        <i x="360" s="1"/>
        <i x="331" s="1"/>
        <i x="336" s="1"/>
        <i x="332" s="1"/>
        <i x="346" s="1"/>
        <i x="370" s="1"/>
        <i x="342" s="1"/>
        <i x="380" s="1"/>
        <i x="326" s="1"/>
        <i x="358" s="1"/>
        <i x="353" s="1"/>
        <i x="361" s="1"/>
        <i x="335" s="1"/>
        <i x="388" s="1"/>
        <i x="311" s="1"/>
        <i x="324" s="1"/>
        <i x="348" s="1"/>
        <i x="356" s="1"/>
        <i x="53" s="1"/>
        <i x="363" s="1"/>
        <i x="337" s="1"/>
        <i x="379" s="1"/>
        <i x="327" s="1"/>
        <i x="352" s="1"/>
        <i x="386" s="1"/>
        <i x="357" s="1"/>
        <i x="50" s="1"/>
        <i x="351" s="1"/>
        <i x="52" s="1"/>
        <i x="385" s="1"/>
        <i x="382" s="1"/>
        <i x="355" s="1"/>
        <i x="338" s="1"/>
        <i x="322" s="1"/>
        <i x="31" s="1"/>
        <i x="249" s="1"/>
        <i x="276" s="1"/>
        <i x="396" s="1"/>
        <i x="186" s="1"/>
        <i x="277" s="1"/>
        <i x="270" s="1"/>
        <i x="80" s="1"/>
        <i x="274" s="1"/>
        <i x="153" s="1"/>
        <i x="83" s="1"/>
        <i x="279" s="1"/>
        <i x="286" s="1"/>
        <i x="280" s="1"/>
        <i x="235" s="1"/>
        <i x="172" s="1"/>
        <i x="294" s="1"/>
        <i x="275" s="1"/>
        <i x="365" s="1"/>
        <i x="281" s="1"/>
        <i x="368" s="1"/>
        <i x="278" s="1"/>
        <i x="369" s="1"/>
        <i x="395" s="1"/>
        <i x="256" s="1"/>
        <i x="367" s="1"/>
        <i x="243" s="1"/>
        <i x="366" s="1"/>
        <i x="206" s="1"/>
        <i x="37" s="1"/>
        <i x="86" s="1"/>
        <i x="36" s="1"/>
        <i x="305" s="1"/>
        <i x="73" s="1"/>
        <i x="187" s="1"/>
        <i x="242" s="1"/>
        <i x="224" s="1"/>
        <i x="195" s="1"/>
        <i x="260" s="1"/>
        <i x="74" s="1"/>
        <i x="306" s="1"/>
        <i x="236" s="1"/>
        <i x="229" s="1"/>
        <i x="239" s="1"/>
        <i x="238" s="1"/>
        <i x="200" s="1"/>
        <i x="77" s="1"/>
        <i x="173" s="1"/>
        <i x="171" s="1"/>
        <i x="130" s="1"/>
        <i x="230" s="1"/>
        <i x="221" s="1"/>
        <i x="241" s="1"/>
        <i x="231" s="1"/>
        <i x="85" s="1"/>
        <i x="81" s="1"/>
        <i x="145" s="1"/>
        <i x="175" s="1"/>
        <i x="223" s="1"/>
        <i x="69" s="1"/>
        <i x="268" s="1"/>
        <i x="204" s="1"/>
        <i x="87" s="1"/>
        <i x="304" s="1"/>
        <i x="283" s="1"/>
        <i x="282" s="1"/>
        <i x="269" s="1"/>
        <i x="33" s="1"/>
        <i x="75" s="1"/>
        <i x="72" s="1"/>
        <i x="225" s="1"/>
        <i x="211" s="1"/>
        <i x="271" s="1"/>
        <i x="199" s="1"/>
        <i x="265" s="1"/>
        <i x="71" s="1"/>
        <i x="70" s="1"/>
        <i x="168" s="1"/>
        <i x="174" s="1"/>
        <i x="232" s="1"/>
        <i x="167" s="1"/>
        <i x="240" s="1"/>
        <i x="284" s="1"/>
        <i x="169" s="1"/>
        <i x="209" s="1"/>
        <i x="285" s="1"/>
        <i x="392" s="1"/>
        <i x="197" s="1"/>
        <i x="272" s="1"/>
        <i x="92" s="1"/>
        <i x="227" s="1"/>
        <i x="263" s="1"/>
        <i x="109" s="1"/>
        <i x="264" s="1"/>
        <i x="121" s="1"/>
        <i x="103" s="1"/>
        <i x="99" s="1"/>
        <i x="108" s="1"/>
        <i x="106" s="1"/>
        <i x="98" s="1"/>
        <i x="314" s="1"/>
        <i x="126" s="1"/>
        <i x="102" s="1"/>
        <i x="212" s="1"/>
        <i x="201" s="1"/>
        <i x="226" s="1"/>
        <i x="111" s="1"/>
        <i x="267" s="1"/>
        <i x="234" s="1"/>
        <i x="196" s="1"/>
        <i x="233" s="1"/>
        <i x="228" s="1"/>
        <i x="96" s="1"/>
        <i x="120" s="1"/>
        <i x="113" s="1"/>
        <i x="127" s="1"/>
        <i x="115" s="1"/>
        <i x="16" s="1"/>
        <i x="237" s="1"/>
        <i x="129" s="1"/>
        <i x="105" s="1"/>
        <i x="110" s="1"/>
        <i x="377" s="1"/>
        <i x="307" s="1"/>
        <i x="131" s="1"/>
        <i x="250" s="1"/>
        <i x="147" s="1"/>
        <i x="146" s="1"/>
        <i x="160" s="1"/>
        <i x="161" s="1"/>
        <i x="134" s="1"/>
        <i x="159" s="1"/>
        <i x="393" s="1"/>
        <i x="170" s="1"/>
        <i x="317" s="1"/>
        <i x="185" s="1"/>
        <i x="257" s="1"/>
        <i x="315" s="1"/>
        <i x="394" s="1"/>
        <i x="215" s="1"/>
        <i x="142" s="1"/>
        <i x="222" s="1"/>
        <i x="138" s="1"/>
        <i x="140" s="1"/>
        <i x="303" s="1"/>
        <i x="10" s="1"/>
        <i x="13" s="1"/>
        <i x="133" s="1"/>
        <i x="164" s="1"/>
        <i x="38" s="1"/>
        <i x="0" s="1"/>
        <i x="135" s="1"/>
        <i x="148" s="1"/>
        <i x="184" s="1"/>
        <i x="132" s="1"/>
        <i x="144" s="1"/>
        <i x="165" s="1"/>
        <i x="141" s="1"/>
        <i x="143" s="1"/>
        <i x="139" s="1"/>
        <i x="137" s="1"/>
        <i x="136" s="1"/>
        <i x="157" s="1"/>
        <i x="17" s="1"/>
        <i x="9" s="1"/>
        <i x="12" s="1"/>
        <i x="20" s="1"/>
        <i x="309" s="1"/>
        <i x="112" s="1"/>
        <i x="318" s="1"/>
        <i x="15" s="1"/>
        <i x="66" s="1"/>
        <i x="217" s="1"/>
        <i x="248" s="1"/>
        <i x="320" s="1"/>
        <i x="191" s="1"/>
        <i x="262" s="1"/>
        <i x="95" s="1"/>
        <i x="21" s="1"/>
        <i x="252" s="1"/>
        <i x="116" s="1"/>
        <i x="117" s="1"/>
        <i x="124" s="1"/>
        <i x="6" s="1"/>
        <i x="313" s="1"/>
        <i x="114" s="1"/>
        <i x="59" s="1"/>
        <i x="89" s="1"/>
        <i x="166" s="1"/>
        <i x="261" s="1"/>
        <i x="28" s="1"/>
        <i x="107" s="1"/>
        <i x="214" s="1"/>
        <i x="218" s="1"/>
        <i x="220" s="1"/>
        <i x="330" s="1"/>
        <i x="198" s="1"/>
        <i x="26" s="1"/>
        <i x="65" s="1"/>
        <i x="30" s="1"/>
        <i x="61" s="1"/>
        <i x="266" s="1"/>
        <i x="67" s="1"/>
        <i x="202" s="1"/>
        <i x="151" s="1"/>
        <i x="7" s="1"/>
        <i x="100" s="1"/>
        <i x="23" s="1"/>
        <i x="82" s="1"/>
        <i x="22" s="1"/>
        <i x="194" s="1"/>
        <i x="150" s="1"/>
        <i x="34" s="1"/>
        <i x="155" s="1"/>
        <i x="25" s="1"/>
        <i x="19" s="1"/>
        <i x="378" s="1"/>
        <i x="154" s="1"/>
        <i x="4" s="1"/>
        <i x="181" s="1"/>
        <i x="259" s="1"/>
        <i x="180" s="1"/>
        <i x="245" s="1"/>
        <i x="207" s="1"/>
        <i x="27" s="1"/>
        <i x="193" s="1"/>
        <i x="244" s="1"/>
        <i x="3" s="1"/>
        <i x="316" s="1"/>
        <i x="35" s="1"/>
        <i x="58" s="1"/>
        <i x="177" s="1"/>
        <i x="60" s="1"/>
        <i x="78" s="1"/>
        <i x="63" s="1"/>
        <i x="149" s="1"/>
        <i x="29" s="1"/>
        <i x="192" s="1"/>
        <i x="163" s="1"/>
        <i x="255" s="1"/>
        <i x="62" s="1"/>
        <i x="101" s="1"/>
        <i x="176" s="1"/>
        <i x="2" s="1"/>
        <i x="251" s="1"/>
        <i x="76" s="1"/>
        <i x="189" s="1"/>
        <i x="42" s="1"/>
        <i x="247" s="1"/>
        <i x="5" s="1"/>
        <i x="18" s="1"/>
        <i x="376" s="1"/>
        <i x="152" s="1"/>
        <i x="178" s="1"/>
        <i x="246" s="1"/>
        <i x="41" s="1"/>
        <i x="182" s="1"/>
        <i x="118" s="1"/>
        <i x="219" s="1"/>
        <i x="205" s="1"/>
        <i x="68" s="1"/>
        <i x="288" s="1"/>
        <i x="8" s="1"/>
        <i x="179" s="1"/>
        <i x="94" s="1"/>
        <i x="32" s="1"/>
        <i x="254" s="1"/>
        <i x="79" s="1"/>
        <i x="321" s="1"/>
        <i x="125" s="1"/>
        <i x="371" s="1"/>
        <i x="308" s="1"/>
        <i x="24" s="1"/>
        <i x="287" s="1"/>
        <i x="104" s="1"/>
        <i x="373" s="1"/>
        <i x="97" s="1"/>
        <i x="216" s="1"/>
        <i x="253" s="1"/>
        <i x="64" s="1"/>
        <i x="91" s="1"/>
        <i x="258" s="1"/>
        <i x="156" s="1"/>
        <i x="128" s="1"/>
        <i x="374" s="1"/>
        <i x="93" s="1"/>
        <i x="40" s="1"/>
        <i x="90" s="1"/>
        <i x="122" s="1"/>
        <i x="14" s="1"/>
        <i x="158" s="1"/>
        <i x="84" s="1"/>
        <i x="312" s="1"/>
        <i x="208" s="1"/>
        <i x="39" s="1"/>
        <i x="210" s="1"/>
        <i x="188" s="1"/>
        <i x="203" s="1"/>
        <i x="372" s="1"/>
        <i x="183" s="1"/>
        <i x="119" s="1"/>
        <i x="190" s="1"/>
        <i x="213" s="1"/>
        <i x="123" s="1"/>
        <i x="88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atrícula2" sourceName="Matrícula">
  <pivotTables>
    <pivotTable tabId="30" name="Tabela dinâmica2"/>
  </pivotTables>
  <data>
    <tabular pivotCacheId="2">
      <items count="42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  <i x="368" s="1"/>
        <i x="369" s="1"/>
        <i x="370" s="1"/>
        <i x="371" s="1"/>
        <i x="372" s="1"/>
        <i x="373" s="1"/>
        <i x="374" s="1"/>
        <i x="375" s="1"/>
        <i x="376" s="1"/>
        <i x="377" s="1"/>
        <i x="378" s="1"/>
        <i x="379" s="1"/>
        <i x="380" s="1"/>
        <i x="381" s="1"/>
        <i x="382" s="1"/>
        <i x="383" s="1"/>
        <i x="384" s="1"/>
        <i x="385" s="1"/>
        <i x="386" s="1"/>
        <i x="387" s="1"/>
        <i x="388" s="1"/>
        <i x="389" s="1"/>
        <i x="390" s="1"/>
        <i x="391" s="1"/>
        <i x="392" s="1"/>
        <i x="393" s="1"/>
        <i x="394" s="1"/>
        <i x="395" s="1"/>
        <i x="396" s="1"/>
        <i x="397" s="1"/>
        <i x="398" s="1"/>
        <i x="399" s="1"/>
        <i x="400" s="1"/>
        <i x="401" s="1"/>
        <i x="402" s="1"/>
        <i x="403" s="1"/>
        <i x="404" s="1"/>
        <i x="405" s="1"/>
        <i x="406" s="1"/>
        <i x="407" s="1"/>
        <i x="408" s="1"/>
        <i x="409" s="1"/>
        <i x="410" s="1"/>
        <i x="411" s="1"/>
        <i x="412" s="1"/>
        <i x="413" s="1"/>
        <i x="414" s="1"/>
        <i x="415" s="1"/>
        <i x="416" s="1"/>
        <i x="417" s="1"/>
        <i x="418" s="1"/>
        <i x="419" s="1"/>
        <i x="420" s="1"/>
        <i x="421" s="1"/>
        <i x="422" s="1"/>
        <i x="423" s="1"/>
        <i x="424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RG" sourceName="RG">
  <pivotTables>
    <pivotTable tabId="30" name="Tabela dinâmica2"/>
  </pivotTables>
  <data>
    <tabular pivotCacheId="2">
      <items count="425">
        <i x="11" s="1"/>
        <i x="48" s="1"/>
        <i x="339" s="1"/>
        <i x="423" s="1"/>
        <i x="43" s="1"/>
        <i x="290" s="1"/>
        <i x="291" s="1"/>
        <i x="422" s="1"/>
        <i x="287" s="1"/>
        <i x="293" s="1"/>
        <i x="288" s="1"/>
        <i x="294" s="1"/>
        <i x="208" s="1"/>
        <i x="300" s="1"/>
        <i x="292" s="1"/>
        <i x="289" s="1"/>
        <i x="295" s="1"/>
        <i x="284" s="1"/>
        <i x="388" s="1"/>
        <i x="387" s="1"/>
        <i x="270" s="1"/>
        <i x="386" s="1"/>
        <i x="384" s="1"/>
        <i x="421" s="1"/>
        <i x="385" s="1"/>
        <i x="83" s="1"/>
        <i x="180" s="1"/>
        <i x="215" s="1"/>
        <i x="249" s="1"/>
        <i x="238" s="1"/>
        <i x="37" s="1"/>
        <i x="257" s="1"/>
        <i x="36" s="1"/>
        <i x="243" s="1"/>
        <i x="255" s="1"/>
        <i x="319" s="1"/>
        <i x="73" s="1"/>
        <i x="203" s="1"/>
        <i x="181" s="1"/>
        <i x="86" s="1"/>
        <i x="252" s="1"/>
        <i x="250" s="1"/>
        <i x="74" s="1"/>
        <i x="179" s="1"/>
        <i x="253" s="1"/>
        <i x="88" s="1"/>
        <i x="320" s="1"/>
        <i x="245" s="1"/>
        <i x="77" s="1"/>
        <i x="256" s="1"/>
        <i x="244" s="1"/>
        <i x="183" s="1"/>
        <i x="279" s="1"/>
        <i x="69" s="1"/>
        <i x="87" s="1"/>
        <i x="70" s="1"/>
        <i x="81" s="1"/>
        <i x="212" s="1"/>
        <i x="72" s="1"/>
        <i x="318" s="1"/>
        <i x="237" s="1"/>
        <i x="285" s="1"/>
        <i x="220" s="1"/>
        <i x="182" s="1"/>
        <i x="124" s="1"/>
        <i x="239" s="1"/>
        <i x="177" s="1"/>
        <i x="282" s="1"/>
        <i x="75" s="1"/>
        <i x="207" s="1"/>
        <i x="298" s="1"/>
        <i x="283" s="1"/>
        <i x="108" s="1"/>
        <i x="246" s="1"/>
        <i x="71" s="1"/>
        <i x="218" s="1"/>
        <i x="296" s="1"/>
        <i x="176" s="1"/>
        <i x="129" s="1"/>
        <i x="175" s="1"/>
        <i x="299" s="1"/>
        <i x="114" s="1"/>
        <i x="205" s="1"/>
        <i x="241" s="1"/>
        <i x="92" s="1"/>
        <i x="99" s="1"/>
        <i x="102" s="1"/>
        <i x="254" s="1"/>
        <i x="247" s="1"/>
        <i x="204" s="1"/>
        <i x="103" s="1"/>
        <i x="242" s="1"/>
        <i x="281" s="1"/>
        <i x="110" s="1"/>
        <i x="278" s="1"/>
        <i x="286" s="1"/>
        <i x="106" s="1"/>
        <i x="277" s="1"/>
        <i x="209" s="1"/>
        <i x="131" s="1"/>
        <i x="221" s="1"/>
        <i x="105" s="1"/>
        <i x="240" s="1"/>
        <i x="111" s="1"/>
        <i x="134" s="1"/>
        <i x="297" s="1"/>
        <i x="98" s="1"/>
        <i x="248" s="1"/>
        <i x="96" s="1"/>
        <i x="133" s="1"/>
        <i x="135" s="1"/>
        <i x="112" s="1"/>
        <i x="136" s="1"/>
        <i x="123" s="1"/>
        <i x="323" s="1"/>
        <i x="13" s="1"/>
        <i x="10" s="1"/>
        <i x="12" s="1"/>
        <i x="15" s="1"/>
        <i x="38" s="1"/>
        <i x="304" s="1"/>
        <i x="263" s="1"/>
        <i x="276" s="1"/>
        <i x="95" s="1"/>
        <i x="120" s="1"/>
        <i x="327" s="1"/>
        <i x="343" s="1"/>
        <i x="372" s="1"/>
        <i x="324" s="1"/>
        <i x="47" s="1"/>
        <i x="46" s="1"/>
        <i x="170" s="1"/>
        <i x="313" s="1"/>
        <i x="45" s="1"/>
        <i x="312" s="1"/>
        <i x="411" s="1"/>
        <i x="307" s="1"/>
        <i x="9" s="1"/>
        <i x="55" s="1"/>
        <i x="54" s="1"/>
        <i x="383" s="1"/>
        <i x="410" s="1"/>
        <i x="346" s="1"/>
        <i x="51" s="1"/>
        <i x="44" s="1"/>
        <i x="354" s="1"/>
        <i x="375" s="1"/>
        <i x="414" s="1"/>
        <i x="340" s="1"/>
        <i x="376" s="1"/>
        <i x="391" s="1"/>
        <i x="342" s="1"/>
        <i x="355" s="1"/>
        <i x="310" s="1"/>
        <i x="405" s="1"/>
        <i x="357" s="1"/>
        <i x="359" s="1"/>
        <i x="306" s="1"/>
        <i x="56" s="1"/>
        <i x="374" s="1"/>
        <i x="315" s="1"/>
        <i x="398" s="1"/>
        <i x="365" s="1"/>
        <i x="49" s="1"/>
        <i x="394" s="1"/>
        <i x="360" s="1"/>
        <i x="53" s="1"/>
        <i x="363" s="1"/>
        <i x="415" s="1"/>
        <i x="369" s="1"/>
        <i x="316" s="1"/>
        <i x="348" s="1"/>
        <i x="366" s="1"/>
        <i x="345" s="1"/>
        <i x="408" s="1"/>
        <i x="347" s="1"/>
        <i x="399" s="1"/>
        <i x="333" s="1"/>
        <i x="314" s="1"/>
        <i x="416" s="1"/>
        <i x="50" s="1"/>
        <i x="358" s="1"/>
        <i x="356" s="1"/>
        <i x="325" s="1"/>
        <i x="305" s="1"/>
        <i x="309" s="1"/>
        <i x="377" s="1"/>
        <i x="381" s="1"/>
        <i x="403" s="1"/>
        <i x="413" s="1"/>
        <i x="378" s="1"/>
        <i x="336" s="1"/>
        <i x="361" s="1"/>
        <i x="373" s="1"/>
        <i x="362" s="1"/>
        <i x="368" s="1"/>
        <i x="404" s="1"/>
        <i x="352" s="1"/>
        <i x="350" s="1"/>
        <i x="382" s="1"/>
        <i x="351" s="1"/>
        <i x="390" s="1"/>
        <i x="379" s="1"/>
        <i x="353" s="1"/>
        <i x="303" s="1"/>
        <i x="341" s="1"/>
        <i x="417" s="1"/>
        <i x="308" s="1"/>
        <i x="409" s="1"/>
        <i x="337" s="1"/>
        <i x="412" s="1"/>
        <i x="338" s="1"/>
        <i x="407" s="1"/>
        <i x="367" s="1"/>
        <i x="364" s="1"/>
        <i x="370" s="1"/>
        <i x="380" s="1"/>
        <i x="62" s="1"/>
        <i x="31" s="1"/>
        <i x="57" s="1"/>
        <i x="371" s="1"/>
        <i x="311" s="1"/>
        <i x="389" s="1"/>
        <i x="349" s="1"/>
        <i x="406" s="1"/>
        <i x="235" s="1"/>
        <i x="137" s="1"/>
        <i x="418" s="1"/>
        <i x="321" s="1"/>
        <i x="164" s="1"/>
        <i x="153" s="1"/>
        <i x="264" s="1"/>
        <i x="141" s="1"/>
        <i x="154" s="1"/>
        <i x="419" s="1"/>
        <i x="178" s="1"/>
        <i x="144" s="1"/>
        <i x="140" s="1"/>
        <i x="20" s="1"/>
        <i x="66" s="1"/>
        <i x="262" s="1"/>
        <i x="275" s="1"/>
        <i x="206" s="1"/>
        <i x="193" s="1"/>
        <i x="420" s="1"/>
        <i x="150" s="1"/>
        <i x="223" s="1"/>
        <i x="21" s="1"/>
        <i x="145" s="1"/>
        <i x="224" s="1"/>
        <i x="155" s="1"/>
        <i x="149" s="1"/>
        <i x="17" s="1"/>
        <i x="115" s="1"/>
        <i x="59" s="1"/>
        <i x="172" s="1"/>
        <i x="28" s="1"/>
        <i x="147" s="1"/>
        <i x="26" s="1"/>
        <i x="199" s="1"/>
        <i x="139" s="1"/>
        <i x="192" s="1"/>
        <i x="142" s="1"/>
        <i x="67" s="1"/>
        <i x="148" s="1"/>
        <i x="173" s="1"/>
        <i x="174" s="1"/>
        <i x="334" s="1"/>
        <i x="151" s="1"/>
        <i x="234" s="1"/>
        <i x="6" s="1"/>
        <i x="143" s="1"/>
        <i x="266" s="1"/>
        <i x="328" s="1"/>
        <i x="146" s="1"/>
        <i x="158" s="1"/>
        <i x="157" s="1"/>
        <i x="80" s="1"/>
        <i x="89" s="1"/>
        <i x="210" s="1"/>
        <i x="280" s="1"/>
        <i x="229" s="1"/>
        <i x="65" s="1"/>
        <i x="34" s="1"/>
        <i x="232" s="1"/>
        <i x="64" s="1"/>
        <i x="302" s="1"/>
        <i x="272" s="1"/>
        <i x="24" s="1"/>
        <i x="128" s="1"/>
        <i x="335" s="1"/>
        <i x="14" s="1"/>
        <i x="25" s="1"/>
        <i x="185" s="1"/>
        <i x="41" s="1"/>
        <i x="3" s="1"/>
        <i x="61" s="1"/>
        <i x="184" s="1"/>
        <i x="76" s="1"/>
        <i x="265" s="1"/>
        <i x="344" s="1"/>
        <i x="27" s="1"/>
        <i x="82" s="1"/>
        <i x="202" s="1"/>
        <i x="68" s="1"/>
        <i x="109" s="1"/>
        <i x="186" s="1"/>
        <i x="258" s="1"/>
        <i x="213" s="1"/>
        <i x="35" s="1"/>
        <i x="260" s="1"/>
        <i x="259" s="1"/>
        <i x="161" s="1"/>
        <i x="42" s="1"/>
        <i x="100" s="1"/>
        <i x="330" s="1"/>
        <i x="63" s="1"/>
        <i x="273" s="1"/>
        <i x="159" s="1"/>
        <i x="301" s="1"/>
        <i x="22" s="1"/>
        <i x="60" s="1"/>
        <i x="8" s="1"/>
        <i x="231" s="1"/>
        <i x="58" s="1"/>
        <i x="201" s="1"/>
        <i x="29" s="1"/>
        <i x="2" s="1"/>
        <i x="101" s="1"/>
        <i x="32" s="1"/>
        <i x="162" s="1"/>
        <i x="171" s="1"/>
        <i x="400" s="1"/>
        <i x="271" s="1"/>
        <i x="121" s="1"/>
        <i x="5" s="1"/>
        <i x="188" s="1"/>
        <i x="190" s="1"/>
        <i x="197" s="1"/>
        <i x="261" s="1"/>
        <i x="322" s="1"/>
        <i x="79" s="1"/>
        <i x="393" s="1"/>
        <i x="233" s="1"/>
        <i x="329" s="1"/>
        <i x="165" s="1"/>
        <i x="104" s="1"/>
        <i x="33" s="1"/>
        <i x="217" s="1"/>
        <i x="267" s="1"/>
        <i x="91" s="1"/>
        <i x="130" s="1"/>
        <i x="94" s="1"/>
        <i x="187" s="1"/>
        <i x="19" s="1"/>
        <i x="117" s="1"/>
        <i x="268" s="1"/>
        <i x="226" s="1"/>
        <i x="125" s="1"/>
        <i x="84" s="1"/>
        <i x="39" s="1"/>
        <i x="40" s="1"/>
        <i x="191" s="1"/>
        <i x="132" s="1"/>
        <i x="392" s="1"/>
        <i x="214" s="1"/>
        <i x="119" s="1"/>
        <i x="395" s="1"/>
        <i x="211" s="1"/>
        <i x="122" s="1"/>
        <i x="251" s="1"/>
        <i x="326" s="1"/>
        <i x="93" s="1"/>
        <i x="126" s="1"/>
        <i x="116" s="1"/>
        <i x="396" s="1"/>
        <i x="331" s="1"/>
        <i x="219" s="1"/>
        <i x="222" s="1"/>
        <i x="194" s="1"/>
        <i x="196" s="1"/>
        <i x="401" s="1"/>
        <i x="90" s="1"/>
        <i x="397" s="1"/>
        <i x="163" s="1"/>
        <i x="225" s="1"/>
        <i x="198" s="1"/>
        <i x="195" s="1"/>
        <i x="402" s="1"/>
        <i x="160" s="1"/>
        <i x="85" s="1"/>
        <i x="138" s="1"/>
        <i x="317" s="1"/>
        <i x="52" s="1"/>
        <i x="168" s="1"/>
        <i x="113" s="1"/>
        <i x="167" s="1"/>
        <i x="166" s="1"/>
        <i x="169" s="1"/>
        <i x="152" s="1"/>
        <i x="236" s="1"/>
        <i x="107" s="1"/>
        <i x="23" s="1"/>
        <i x="189" s="1"/>
        <i x="30" s="1"/>
        <i x="97" s="1"/>
        <i x="7" s="1"/>
        <i x="18" s="1"/>
        <i x="156" s="1"/>
        <i x="4" s="1"/>
        <i x="78" s="1"/>
        <i x="200" s="1"/>
        <i x="269" s="1"/>
        <i x="216" s="1"/>
        <i x="230" s="1"/>
        <i x="228" s="1"/>
        <i x="1" s="1"/>
        <i x="0" s="1"/>
        <i x="16" s="1"/>
        <i x="332" s="1"/>
        <i x="118" s="1"/>
        <i x="227" s="1"/>
        <i x="274" s="1"/>
        <i x="127" s="1"/>
        <i x="42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atrícula 1" cache="SegmentaçãodeDados_Matrícula" caption="Matrícula" rowHeight="241300"/>
  <slicer name="Conta 1" cache="SegmentaçãodeDados_Conta" caption="Conta" rowHeight="241300"/>
  <slicer name="Matrícula" cache="SegmentaçãodeDados_Matrícula1" caption="Matrícula" rowHeight="241300"/>
  <slicer name="Idade" cache="SegmentaçãodeDados_Idade" caption="Idade" rowHeight="241300"/>
  <slicer name="Título de Eleitor" cache="SegmentaçãodeDados_Título_de_Eleitor" caption="Título de Eleitor" rowHeight="241300"/>
  <slicer name="Matrícula 2" cache="SegmentaçãodeDados_Matrícula2" caption="Matrícula" rowHeight="241300"/>
  <slicer name="RG" cache="SegmentaçãodeDados_RG" caption="RG" startItem="418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H7:R21"/>
  <sheetViews>
    <sheetView showGridLines="0" showRowColHeaders="0" tabSelected="1" topLeftCell="B1" workbookViewId="0">
      <selection activeCell="D7" sqref="D7"/>
    </sheetView>
  </sheetViews>
  <sheetFormatPr defaultRowHeight="15" x14ac:dyDescent="0.25"/>
  <cols>
    <col min="1" max="7" width="6.5703125" customWidth="1"/>
    <col min="8" max="8" width="5.7109375" customWidth="1"/>
    <col min="9" max="9" width="6" customWidth="1"/>
    <col min="10" max="13" width="5.7109375" customWidth="1"/>
    <col min="14" max="14" width="22" customWidth="1"/>
    <col min="15" max="15" width="18.5703125" customWidth="1"/>
    <col min="16" max="16" width="6.28515625" customWidth="1"/>
    <col min="18" max="18" width="8.140625" customWidth="1"/>
  </cols>
  <sheetData>
    <row r="7" spans="8:18" ht="33.75" x14ac:dyDescent="0.5">
      <c r="N7" s="4" t="s">
        <v>188</v>
      </c>
    </row>
    <row r="10" spans="8:18" x14ac:dyDescent="0.25">
      <c r="H10" s="5"/>
      <c r="M10" s="5"/>
    </row>
    <row r="11" spans="8:18" x14ac:dyDescent="0.25">
      <c r="L11" s="8" t="s">
        <v>189</v>
      </c>
      <c r="M11" s="8"/>
      <c r="N11" s="8"/>
      <c r="P11" s="8" t="s">
        <v>190</v>
      </c>
      <c r="Q11" s="8"/>
      <c r="R11" s="8"/>
    </row>
    <row r="12" spans="8:18" x14ac:dyDescent="0.25">
      <c r="L12" t="s">
        <v>204</v>
      </c>
      <c r="M12" t="s">
        <v>193</v>
      </c>
      <c r="Q12" t="s">
        <v>205</v>
      </c>
    </row>
    <row r="19" spans="9:11" x14ac:dyDescent="0.25">
      <c r="I19" s="6"/>
      <c r="J19" t="s">
        <v>191</v>
      </c>
      <c r="K19" t="s">
        <v>192</v>
      </c>
    </row>
    <row r="20" spans="9:11" x14ac:dyDescent="0.25">
      <c r="K20" t="s">
        <v>194</v>
      </c>
    </row>
    <row r="21" spans="9:11" x14ac:dyDescent="0.25">
      <c r="K21" t="s">
        <v>195</v>
      </c>
    </row>
  </sheetData>
  <mergeCells count="2">
    <mergeCell ref="L11:N11"/>
    <mergeCell ref="P11:R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xtBox2">
          <controlPr defaultSize="0" autoLine="0" r:id="rId5">
            <anchor moveWithCells="1">
              <from>
                <xdr:col>16</xdr:col>
                <xdr:colOff>19050</xdr:colOff>
                <xdr:row>11</xdr:row>
                <xdr:rowOff>0</xdr:rowOff>
              </from>
              <to>
                <xdr:col>18</xdr:col>
                <xdr:colOff>0</xdr:colOff>
                <xdr:row>12</xdr:row>
                <xdr:rowOff>19050</xdr:rowOff>
              </to>
            </anchor>
          </controlPr>
        </control>
      </mc:Choice>
      <mc:Fallback>
        <control shapeId="1028" r:id="rId4" name="TextBox2"/>
      </mc:Fallback>
    </mc:AlternateContent>
    <mc:AlternateContent xmlns:mc="http://schemas.openxmlformats.org/markup-compatibility/2006">
      <mc:Choice Requires="x14">
        <control shapeId="1027" r:id="rId6" name="TextBox1">
          <controlPr defaultSize="0" autoLine="0" r:id="rId7">
            <anchor moveWithCells="1">
              <from>
                <xdr:col>11</xdr:col>
                <xdr:colOff>9525</xdr:colOff>
                <xdr:row>11</xdr:row>
                <xdr:rowOff>0</xdr:rowOff>
              </from>
              <to>
                <xdr:col>13</xdr:col>
                <xdr:colOff>419100</xdr:colOff>
                <xdr:row>12</xdr:row>
                <xdr:rowOff>19050</xdr:rowOff>
              </to>
            </anchor>
          </controlPr>
        </control>
      </mc:Choice>
      <mc:Fallback>
        <control shapeId="1027" r:id="rId6" name="TextBox1"/>
      </mc:Fallback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Processo">
            <anchor moveWithCells="1" sizeWithCells="1">
              <from>
                <xdr:col>13</xdr:col>
                <xdr:colOff>190500</xdr:colOff>
                <xdr:row>13</xdr:row>
                <xdr:rowOff>123825</xdr:rowOff>
              </from>
              <to>
                <xdr:col>16</xdr:col>
                <xdr:colOff>95250</xdr:colOff>
                <xdr:row>15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GF6"/>
  <sheetViews>
    <sheetView workbookViewId="0">
      <selection activeCell="A6" sqref="A6:XFD6"/>
    </sheetView>
  </sheetViews>
  <sheetFormatPr defaultRowHeight="15" x14ac:dyDescent="0.25"/>
  <sheetData>
    <row r="1" spans="1:188" s="3" customFormat="1" ht="75" x14ac:dyDescent="0.25">
      <c r="A1" s="1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17</v>
      </c>
      <c r="J1" s="1" t="s">
        <v>18</v>
      </c>
      <c r="K1" s="2" t="s">
        <v>19</v>
      </c>
      <c r="L1" s="1" t="s">
        <v>20</v>
      </c>
      <c r="M1" s="1" t="s">
        <v>21</v>
      </c>
      <c r="N1" s="1" t="s">
        <v>22</v>
      </c>
      <c r="O1" s="2" t="s">
        <v>23</v>
      </c>
      <c r="P1" s="2" t="s">
        <v>24</v>
      </c>
      <c r="Q1" s="2" t="s">
        <v>25</v>
      </c>
      <c r="R1" s="1" t="s">
        <v>26</v>
      </c>
      <c r="S1" s="1" t="s">
        <v>27</v>
      </c>
      <c r="T1" s="2" t="s">
        <v>28</v>
      </c>
      <c r="U1" s="2" t="s">
        <v>29</v>
      </c>
      <c r="V1" s="2" t="s">
        <v>30</v>
      </c>
      <c r="W1" s="2" t="s">
        <v>31</v>
      </c>
      <c r="X1" s="1" t="s">
        <v>32</v>
      </c>
      <c r="Y1" s="1" t="s">
        <v>33</v>
      </c>
      <c r="Z1" s="2" t="s">
        <v>34</v>
      </c>
      <c r="AA1" s="2" t="s">
        <v>35</v>
      </c>
      <c r="AB1" s="1" t="s">
        <v>36</v>
      </c>
      <c r="AC1" s="1" t="s">
        <v>37</v>
      </c>
      <c r="AD1" s="1" t="s">
        <v>38</v>
      </c>
      <c r="AE1" s="1" t="s">
        <v>39</v>
      </c>
      <c r="AF1" s="1" t="s">
        <v>40</v>
      </c>
      <c r="AG1" s="2" t="s">
        <v>41</v>
      </c>
      <c r="AH1" s="1" t="s">
        <v>42</v>
      </c>
      <c r="AI1" s="1" t="s">
        <v>43</v>
      </c>
      <c r="AJ1" s="1" t="s">
        <v>44</v>
      </c>
      <c r="AK1" s="2" t="s">
        <v>45</v>
      </c>
      <c r="AL1" s="1" t="s">
        <v>46</v>
      </c>
      <c r="AM1" s="2" t="s">
        <v>47</v>
      </c>
      <c r="AN1" s="2" t="s">
        <v>48</v>
      </c>
      <c r="AO1" s="1" t="s">
        <v>49</v>
      </c>
      <c r="AP1" s="2" t="s">
        <v>50</v>
      </c>
      <c r="AQ1" s="2" t="s">
        <v>51</v>
      </c>
      <c r="AR1" s="2" t="s">
        <v>52</v>
      </c>
      <c r="AS1" s="2" t="s">
        <v>53</v>
      </c>
      <c r="AT1" s="2" t="s">
        <v>54</v>
      </c>
      <c r="AU1" s="2" t="s">
        <v>55</v>
      </c>
      <c r="AV1" s="2" t="s">
        <v>7</v>
      </c>
      <c r="AW1" s="2" t="s">
        <v>56</v>
      </c>
      <c r="AX1" s="2" t="s">
        <v>57</v>
      </c>
      <c r="AY1" s="2" t="s">
        <v>58</v>
      </c>
      <c r="AZ1" s="2" t="s">
        <v>59</v>
      </c>
      <c r="BA1" s="2" t="s">
        <v>60</v>
      </c>
      <c r="BB1" s="2" t="s">
        <v>61</v>
      </c>
      <c r="BC1" s="2" t="s">
        <v>62</v>
      </c>
      <c r="BD1" s="2" t="s">
        <v>63</v>
      </c>
      <c r="BE1" s="2" t="s">
        <v>0</v>
      </c>
      <c r="BF1" s="2" t="s">
        <v>64</v>
      </c>
      <c r="BG1" s="1" t="s">
        <v>65</v>
      </c>
      <c r="BH1" s="2" t="s">
        <v>66</v>
      </c>
      <c r="BI1" s="2" t="s">
        <v>1</v>
      </c>
      <c r="BJ1" s="2" t="s">
        <v>67</v>
      </c>
      <c r="BK1" s="2" t="s">
        <v>68</v>
      </c>
      <c r="BL1" s="2" t="s">
        <v>69</v>
      </c>
      <c r="BM1" s="1" t="s">
        <v>70</v>
      </c>
      <c r="BN1" s="1" t="s">
        <v>71</v>
      </c>
      <c r="BO1" s="1" t="s">
        <v>72</v>
      </c>
      <c r="BP1" s="1" t="s">
        <v>73</v>
      </c>
      <c r="BQ1" s="1" t="s">
        <v>74</v>
      </c>
      <c r="BR1" s="1" t="s">
        <v>75</v>
      </c>
      <c r="BS1" s="1" t="s">
        <v>76</v>
      </c>
      <c r="BT1" s="1" t="s">
        <v>77</v>
      </c>
      <c r="BU1" s="2" t="s">
        <v>78</v>
      </c>
      <c r="BV1" s="1" t="s">
        <v>79</v>
      </c>
      <c r="BW1" s="1" t="s">
        <v>80</v>
      </c>
      <c r="BX1" s="2" t="s">
        <v>81</v>
      </c>
      <c r="BY1" s="2" t="s">
        <v>82</v>
      </c>
      <c r="BZ1" s="2" t="s">
        <v>83</v>
      </c>
      <c r="CA1" s="1" t="s">
        <v>84</v>
      </c>
      <c r="CB1" s="1" t="s">
        <v>85</v>
      </c>
      <c r="CC1" s="1" t="s">
        <v>86</v>
      </c>
      <c r="CD1" s="1" t="s">
        <v>87</v>
      </c>
      <c r="CE1" s="1" t="s">
        <v>88</v>
      </c>
      <c r="CF1" s="2" t="s">
        <v>89</v>
      </c>
      <c r="CG1" s="1" t="s">
        <v>90</v>
      </c>
      <c r="CH1" s="2" t="s">
        <v>2</v>
      </c>
      <c r="CI1" s="2" t="s">
        <v>91</v>
      </c>
      <c r="CJ1" s="2" t="s">
        <v>92</v>
      </c>
      <c r="CK1" s="2" t="s">
        <v>7</v>
      </c>
      <c r="CL1" s="2" t="s">
        <v>3</v>
      </c>
      <c r="CM1" s="2" t="s">
        <v>4</v>
      </c>
      <c r="CN1" s="2" t="s">
        <v>93</v>
      </c>
      <c r="CO1" s="2" t="s">
        <v>92</v>
      </c>
      <c r="CP1" s="2" t="s">
        <v>7</v>
      </c>
      <c r="CQ1" s="2" t="s">
        <v>5</v>
      </c>
      <c r="CR1" s="2" t="s">
        <v>92</v>
      </c>
      <c r="CS1" s="2" t="s">
        <v>6</v>
      </c>
      <c r="CT1" s="1" t="s">
        <v>94</v>
      </c>
      <c r="CU1" s="2" t="s">
        <v>92</v>
      </c>
      <c r="CV1" s="1" t="s">
        <v>95</v>
      </c>
      <c r="CW1" s="2" t="s">
        <v>96</v>
      </c>
      <c r="CX1" s="2" t="s">
        <v>97</v>
      </c>
      <c r="CY1" s="2" t="s">
        <v>98</v>
      </c>
      <c r="CZ1" s="2" t="s">
        <v>99</v>
      </c>
      <c r="DA1" s="2" t="s">
        <v>100</v>
      </c>
      <c r="DB1" s="1" t="s">
        <v>101</v>
      </c>
      <c r="DC1" s="1" t="s">
        <v>102</v>
      </c>
      <c r="DD1" s="2" t="s">
        <v>92</v>
      </c>
      <c r="DE1" s="1" t="s">
        <v>103</v>
      </c>
      <c r="DF1" s="1" t="s">
        <v>104</v>
      </c>
      <c r="DG1" s="2" t="s">
        <v>105</v>
      </c>
      <c r="DH1" s="2" t="s">
        <v>106</v>
      </c>
      <c r="DI1" s="2" t="s">
        <v>7</v>
      </c>
      <c r="DJ1" s="2" t="s">
        <v>107</v>
      </c>
      <c r="DK1" s="2" t="s">
        <v>108</v>
      </c>
      <c r="DL1" s="2" t="s">
        <v>109</v>
      </c>
      <c r="DM1" s="2" t="s">
        <v>110</v>
      </c>
      <c r="DN1" s="2" t="s">
        <v>55</v>
      </c>
      <c r="DO1" s="2" t="s">
        <v>7</v>
      </c>
      <c r="DP1" s="2" t="s">
        <v>8</v>
      </c>
      <c r="DQ1" s="2" t="s">
        <v>111</v>
      </c>
      <c r="DR1" s="2" t="s">
        <v>112</v>
      </c>
      <c r="DS1" s="2" t="s">
        <v>113</v>
      </c>
      <c r="DT1" s="2" t="s">
        <v>114</v>
      </c>
      <c r="DU1" s="2" t="s">
        <v>115</v>
      </c>
      <c r="DV1" s="2" t="s">
        <v>116</v>
      </c>
      <c r="DW1" s="2" t="s">
        <v>117</v>
      </c>
      <c r="DX1" s="2" t="s">
        <v>118</v>
      </c>
      <c r="DY1" s="2" t="s">
        <v>119</v>
      </c>
      <c r="DZ1" s="2" t="s">
        <v>120</v>
      </c>
      <c r="EA1" s="2" t="s">
        <v>121</v>
      </c>
      <c r="EB1" s="2" t="s">
        <v>122</v>
      </c>
      <c r="EC1" s="2" t="s">
        <v>123</v>
      </c>
      <c r="ED1" s="2" t="s">
        <v>124</v>
      </c>
      <c r="EE1" s="1" t="s">
        <v>125</v>
      </c>
      <c r="EF1" s="1" t="s">
        <v>126</v>
      </c>
      <c r="EG1" s="1" t="s">
        <v>127</v>
      </c>
      <c r="EH1" s="1" t="s">
        <v>128</v>
      </c>
      <c r="EI1" s="1" t="s">
        <v>129</v>
      </c>
      <c r="EJ1" s="1" t="s">
        <v>130</v>
      </c>
      <c r="EK1" s="1" t="s">
        <v>131</v>
      </c>
      <c r="EL1" s="2" t="s">
        <v>132</v>
      </c>
      <c r="EM1" s="1" t="s">
        <v>133</v>
      </c>
      <c r="EN1" s="2" t="s">
        <v>134</v>
      </c>
      <c r="EO1" s="2" t="s">
        <v>135</v>
      </c>
      <c r="EP1" s="1" t="s">
        <v>136</v>
      </c>
      <c r="EQ1" s="1" t="s">
        <v>137</v>
      </c>
      <c r="ER1" s="1" t="s">
        <v>138</v>
      </c>
      <c r="ES1" s="1" t="s">
        <v>139</v>
      </c>
      <c r="ET1" s="1" t="s">
        <v>140</v>
      </c>
      <c r="EU1" s="1" t="s">
        <v>141</v>
      </c>
      <c r="EV1" s="1" t="s">
        <v>142</v>
      </c>
      <c r="EW1" s="1" t="s">
        <v>143</v>
      </c>
      <c r="EX1" s="1" t="s">
        <v>144</v>
      </c>
      <c r="EY1" s="1" t="s">
        <v>145</v>
      </c>
      <c r="EZ1" s="1" t="s">
        <v>146</v>
      </c>
      <c r="FA1" s="1" t="s">
        <v>147</v>
      </c>
      <c r="FB1" s="1" t="s">
        <v>148</v>
      </c>
      <c r="FC1" s="1" t="s">
        <v>149</v>
      </c>
      <c r="FD1" s="1" t="s">
        <v>150</v>
      </c>
      <c r="FE1" s="1" t="s">
        <v>151</v>
      </c>
      <c r="FF1" s="1" t="s">
        <v>152</v>
      </c>
      <c r="FG1" s="1" t="s">
        <v>153</v>
      </c>
      <c r="FH1" s="1" t="s">
        <v>154</v>
      </c>
      <c r="FI1" s="1" t="s">
        <v>155</v>
      </c>
      <c r="FJ1" s="1" t="s">
        <v>156</v>
      </c>
      <c r="FK1" s="1" t="s">
        <v>157</v>
      </c>
      <c r="FL1" s="1" t="s">
        <v>158</v>
      </c>
      <c r="FM1" s="1" t="s">
        <v>159</v>
      </c>
      <c r="FN1" s="1" t="s">
        <v>160</v>
      </c>
      <c r="FO1" s="1" t="s">
        <v>161</v>
      </c>
      <c r="FP1" s="1" t="s">
        <v>162</v>
      </c>
      <c r="FQ1" s="1" t="s">
        <v>163</v>
      </c>
      <c r="FR1" s="1" t="s">
        <v>164</v>
      </c>
      <c r="FS1" s="1" t="s">
        <v>165</v>
      </c>
      <c r="FT1" s="1" t="s">
        <v>166</v>
      </c>
      <c r="FU1" s="1" t="s">
        <v>167</v>
      </c>
      <c r="FV1" s="1" t="s">
        <v>168</v>
      </c>
      <c r="FW1" s="1" t="s">
        <v>169</v>
      </c>
      <c r="FX1" s="1" t="s">
        <v>170</v>
      </c>
      <c r="FY1" s="1" t="s">
        <v>171</v>
      </c>
      <c r="FZ1" s="2" t="s">
        <v>172</v>
      </c>
      <c r="GA1" s="1" t="s">
        <v>173</v>
      </c>
      <c r="GB1" s="1" t="s">
        <v>174</v>
      </c>
      <c r="GC1" s="1" t="s">
        <v>175</v>
      </c>
      <c r="GD1" s="2" t="s">
        <v>176</v>
      </c>
      <c r="GE1" s="2" t="s">
        <v>177</v>
      </c>
      <c r="GF1" s="2" t="s">
        <v>178</v>
      </c>
    </row>
    <row r="6" spans="1:188" x14ac:dyDescent="0.25">
      <c r="A6" s="2" t="s">
        <v>179</v>
      </c>
      <c r="B6" s="2" t="s">
        <v>16</v>
      </c>
      <c r="C6" s="2" t="s">
        <v>180</v>
      </c>
      <c r="D6" s="2" t="s">
        <v>181</v>
      </c>
      <c r="E6" s="2" t="s">
        <v>182</v>
      </c>
      <c r="F6" s="2" t="s">
        <v>183</v>
      </c>
      <c r="G6" s="2" t="s">
        <v>184</v>
      </c>
      <c r="H6" s="2" t="s">
        <v>185</v>
      </c>
      <c r="I6" s="2" t="s">
        <v>186</v>
      </c>
      <c r="J6" s="2" t="s">
        <v>187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5"/>
  <sheetViews>
    <sheetView showGridLines="0" showRowColHeaders="0" topLeftCell="A4" zoomScale="85" zoomScaleNormal="85" workbookViewId="0">
      <selection activeCell="O16" sqref="O16"/>
    </sheetView>
  </sheetViews>
  <sheetFormatPr defaultRowHeight="15" x14ac:dyDescent="0.25"/>
  <cols>
    <col min="1" max="1" width="22" customWidth="1"/>
    <col min="2" max="2" width="18.5703125" customWidth="1"/>
    <col min="3" max="3" width="4.5703125" customWidth="1"/>
    <col min="4" max="4" width="27.85546875" customWidth="1"/>
    <col min="5" max="5" width="22" customWidth="1"/>
    <col min="6" max="10" width="9" customWidth="1"/>
    <col min="11" max="11" width="15.85546875" customWidth="1"/>
    <col min="12" max="12" width="22" customWidth="1"/>
    <col min="13" max="296" width="9" customWidth="1"/>
    <col min="297" max="297" width="7" customWidth="1"/>
    <col min="298" max="298" width="10.7109375" customWidth="1"/>
    <col min="299" max="299" width="14" bestFit="1" customWidth="1"/>
    <col min="300" max="300" width="12" customWidth="1"/>
    <col min="301" max="301" width="14" bestFit="1" customWidth="1"/>
    <col min="302" max="302" width="12" customWidth="1"/>
    <col min="303" max="303" width="14" bestFit="1" customWidth="1"/>
    <col min="304" max="304" width="12" customWidth="1"/>
    <col min="305" max="305" width="14" bestFit="1" customWidth="1"/>
    <col min="306" max="306" width="12" customWidth="1"/>
    <col min="307" max="307" width="14" bestFit="1" customWidth="1"/>
    <col min="308" max="308" width="12" customWidth="1"/>
    <col min="309" max="309" width="14" bestFit="1" customWidth="1"/>
    <col min="310" max="310" width="12" customWidth="1"/>
    <col min="311" max="311" width="14" bestFit="1" customWidth="1"/>
    <col min="312" max="312" width="11" customWidth="1"/>
    <col min="313" max="313" width="14" bestFit="1" customWidth="1"/>
    <col min="314" max="314" width="12" customWidth="1"/>
    <col min="315" max="315" width="14" bestFit="1" customWidth="1"/>
    <col min="316" max="316" width="12" customWidth="1"/>
    <col min="317" max="317" width="14" bestFit="1" customWidth="1"/>
    <col min="318" max="318" width="12" customWidth="1"/>
    <col min="319" max="319" width="14" bestFit="1" customWidth="1"/>
    <col min="320" max="320" width="12" customWidth="1"/>
    <col min="321" max="321" width="14" bestFit="1" customWidth="1"/>
    <col min="322" max="322" width="12" customWidth="1"/>
    <col min="323" max="323" width="14" bestFit="1" customWidth="1"/>
    <col min="324" max="324" width="12" customWidth="1"/>
    <col min="325" max="325" width="14" bestFit="1" customWidth="1"/>
    <col min="326" max="326" width="12" customWidth="1"/>
    <col min="327" max="327" width="14" bestFit="1" customWidth="1"/>
    <col min="328" max="328" width="12" customWidth="1"/>
    <col min="329" max="329" width="14" bestFit="1" customWidth="1"/>
    <col min="330" max="330" width="12" customWidth="1"/>
    <col min="331" max="331" width="14" bestFit="1" customWidth="1"/>
    <col min="332" max="332" width="12" customWidth="1"/>
    <col min="333" max="333" width="14" bestFit="1" customWidth="1"/>
    <col min="334" max="334" width="12" customWidth="1"/>
    <col min="335" max="335" width="14" bestFit="1" customWidth="1"/>
    <col min="336" max="336" width="12" customWidth="1"/>
    <col min="337" max="337" width="14" bestFit="1" customWidth="1"/>
    <col min="338" max="338" width="12" customWidth="1"/>
    <col min="339" max="339" width="14" bestFit="1" customWidth="1"/>
    <col min="340" max="340" width="12" customWidth="1"/>
    <col min="341" max="341" width="14" bestFit="1" customWidth="1"/>
    <col min="342" max="342" width="12" customWidth="1"/>
    <col min="343" max="343" width="14" bestFit="1" customWidth="1"/>
    <col min="344" max="344" width="11" customWidth="1"/>
    <col min="345" max="345" width="14" bestFit="1" customWidth="1"/>
    <col min="346" max="346" width="12" customWidth="1"/>
    <col min="347" max="347" width="14" bestFit="1" customWidth="1"/>
    <col min="348" max="348" width="12" customWidth="1"/>
    <col min="349" max="349" width="14" bestFit="1" customWidth="1"/>
    <col min="350" max="350" width="12" customWidth="1"/>
    <col min="351" max="351" width="14" bestFit="1" customWidth="1"/>
    <col min="352" max="352" width="12" customWidth="1"/>
    <col min="353" max="353" width="14" bestFit="1" customWidth="1"/>
    <col min="354" max="354" width="12" customWidth="1"/>
    <col min="355" max="355" width="14" bestFit="1" customWidth="1"/>
    <col min="356" max="356" width="12" customWidth="1"/>
    <col min="357" max="357" width="14" bestFit="1" customWidth="1"/>
    <col min="358" max="358" width="12" customWidth="1"/>
    <col min="359" max="359" width="14" bestFit="1" customWidth="1"/>
    <col min="360" max="360" width="12" customWidth="1"/>
    <col min="361" max="361" width="14" bestFit="1" customWidth="1"/>
    <col min="362" max="362" width="12" customWidth="1"/>
    <col min="363" max="363" width="14" bestFit="1" customWidth="1"/>
    <col min="364" max="364" width="12" customWidth="1"/>
    <col min="365" max="365" width="14" bestFit="1" customWidth="1"/>
    <col min="366" max="366" width="12" customWidth="1"/>
    <col min="367" max="367" width="14" bestFit="1" customWidth="1"/>
    <col min="368" max="368" width="12" customWidth="1"/>
    <col min="369" max="369" width="14" bestFit="1" customWidth="1"/>
    <col min="370" max="370" width="12" customWidth="1"/>
    <col min="371" max="371" width="14" bestFit="1" customWidth="1"/>
    <col min="372" max="372" width="12" customWidth="1"/>
    <col min="373" max="373" width="14" bestFit="1" customWidth="1"/>
    <col min="374" max="374" width="12" customWidth="1"/>
    <col min="375" max="375" width="14" bestFit="1" customWidth="1"/>
    <col min="376" max="376" width="12" customWidth="1"/>
    <col min="377" max="377" width="14" bestFit="1" customWidth="1"/>
    <col min="378" max="378" width="12" customWidth="1"/>
    <col min="379" max="379" width="14" bestFit="1" customWidth="1"/>
    <col min="380" max="380" width="12" customWidth="1"/>
    <col min="381" max="381" width="14" bestFit="1" customWidth="1"/>
    <col min="382" max="382" width="12" customWidth="1"/>
    <col min="383" max="383" width="14" bestFit="1" customWidth="1"/>
    <col min="384" max="384" width="12" customWidth="1"/>
    <col min="385" max="385" width="14" bestFit="1" customWidth="1"/>
    <col min="386" max="386" width="12" customWidth="1"/>
    <col min="387" max="387" width="14" bestFit="1" customWidth="1"/>
    <col min="388" max="388" width="12" customWidth="1"/>
    <col min="389" max="389" width="14" bestFit="1" customWidth="1"/>
    <col min="390" max="390" width="12" customWidth="1"/>
    <col min="391" max="391" width="14" bestFit="1" customWidth="1"/>
    <col min="392" max="392" width="12" customWidth="1"/>
    <col min="393" max="393" width="14" bestFit="1" customWidth="1"/>
    <col min="394" max="394" width="12" customWidth="1"/>
    <col min="395" max="395" width="14" bestFit="1" customWidth="1"/>
    <col min="396" max="396" width="11" customWidth="1"/>
    <col min="397" max="397" width="14" bestFit="1" customWidth="1"/>
    <col min="398" max="398" width="12" customWidth="1"/>
    <col min="399" max="399" width="14" bestFit="1" customWidth="1"/>
    <col min="400" max="400" width="12" customWidth="1"/>
    <col min="401" max="401" width="14" bestFit="1" customWidth="1"/>
    <col min="402" max="402" width="12" customWidth="1"/>
    <col min="403" max="403" width="14" bestFit="1" customWidth="1"/>
    <col min="404" max="404" width="12" customWidth="1"/>
    <col min="405" max="405" width="14" bestFit="1" customWidth="1"/>
    <col min="406" max="406" width="12" customWidth="1"/>
    <col min="407" max="407" width="14" bestFit="1" customWidth="1"/>
    <col min="408" max="408" width="12" customWidth="1"/>
    <col min="409" max="409" width="14" bestFit="1" customWidth="1"/>
    <col min="410" max="410" width="12" customWidth="1"/>
    <col min="411" max="411" width="14" bestFit="1" customWidth="1"/>
    <col min="412" max="412" width="12" customWidth="1"/>
    <col min="413" max="413" width="14" bestFit="1" customWidth="1"/>
    <col min="414" max="414" width="11" customWidth="1"/>
    <col min="415" max="415" width="14" bestFit="1" customWidth="1"/>
    <col min="416" max="416" width="12" customWidth="1"/>
    <col min="417" max="417" width="14" bestFit="1" customWidth="1"/>
    <col min="418" max="418" width="12" customWidth="1"/>
    <col min="419" max="419" width="14" bestFit="1" customWidth="1"/>
    <col min="420" max="420" width="12" customWidth="1"/>
    <col min="421" max="421" width="14" bestFit="1" customWidth="1"/>
    <col min="422" max="422" width="12" customWidth="1"/>
    <col min="423" max="423" width="14" bestFit="1" customWidth="1"/>
    <col min="424" max="424" width="12" customWidth="1"/>
    <col min="425" max="425" width="14" bestFit="1" customWidth="1"/>
    <col min="426" max="426" width="12" customWidth="1"/>
    <col min="427" max="427" width="14" bestFit="1" customWidth="1"/>
    <col min="428" max="428" width="10.85546875" customWidth="1"/>
    <col min="429" max="429" width="14" bestFit="1" customWidth="1"/>
    <col min="430" max="430" width="12" customWidth="1"/>
    <col min="431" max="431" width="14" bestFit="1" customWidth="1"/>
    <col min="432" max="432" width="12" customWidth="1"/>
    <col min="433" max="433" width="14" bestFit="1" customWidth="1"/>
    <col min="434" max="434" width="12" customWidth="1"/>
    <col min="435" max="435" width="14" bestFit="1" customWidth="1"/>
    <col min="436" max="436" width="12" customWidth="1"/>
    <col min="437" max="437" width="14" bestFit="1" customWidth="1"/>
    <col min="438" max="438" width="12" customWidth="1"/>
    <col min="439" max="439" width="14" bestFit="1" customWidth="1"/>
    <col min="440" max="440" width="12" customWidth="1"/>
    <col min="441" max="441" width="14" bestFit="1" customWidth="1"/>
    <col min="442" max="442" width="11" customWidth="1"/>
    <col min="443" max="443" width="14" bestFit="1" customWidth="1"/>
    <col min="444" max="444" width="12" customWidth="1"/>
    <col min="445" max="445" width="14" bestFit="1" customWidth="1"/>
    <col min="446" max="446" width="11" customWidth="1"/>
    <col min="447" max="447" width="14" bestFit="1" customWidth="1"/>
    <col min="448" max="448" width="12" customWidth="1"/>
    <col min="449" max="449" width="14" bestFit="1" customWidth="1"/>
    <col min="450" max="450" width="12" customWidth="1"/>
    <col min="451" max="451" width="14" bestFit="1" customWidth="1"/>
    <col min="452" max="452" width="12" customWidth="1"/>
    <col min="453" max="453" width="14" bestFit="1" customWidth="1"/>
    <col min="454" max="454" width="12" customWidth="1"/>
    <col min="455" max="455" width="14" bestFit="1" customWidth="1"/>
    <col min="456" max="456" width="12" customWidth="1"/>
    <col min="457" max="457" width="14" bestFit="1" customWidth="1"/>
    <col min="458" max="458" width="12" customWidth="1"/>
    <col min="459" max="459" width="14" bestFit="1" customWidth="1"/>
    <col min="460" max="460" width="12" customWidth="1"/>
    <col min="461" max="461" width="14" bestFit="1" customWidth="1"/>
    <col min="462" max="462" width="12" customWidth="1"/>
    <col min="463" max="463" width="14" bestFit="1" customWidth="1"/>
    <col min="464" max="464" width="12" customWidth="1"/>
    <col min="465" max="465" width="14" bestFit="1" customWidth="1"/>
    <col min="466" max="466" width="12" customWidth="1"/>
    <col min="467" max="467" width="14" bestFit="1" customWidth="1"/>
    <col min="468" max="468" width="12" customWidth="1"/>
    <col min="469" max="469" width="14" bestFit="1" customWidth="1"/>
    <col min="470" max="470" width="12" customWidth="1"/>
    <col min="471" max="471" width="14" bestFit="1" customWidth="1"/>
    <col min="472" max="472" width="12" customWidth="1"/>
    <col min="473" max="473" width="14" bestFit="1" customWidth="1"/>
    <col min="474" max="474" width="12" customWidth="1"/>
    <col min="475" max="475" width="14" bestFit="1" customWidth="1"/>
    <col min="476" max="476" width="12" customWidth="1"/>
    <col min="477" max="477" width="14" bestFit="1" customWidth="1"/>
    <col min="478" max="478" width="12" customWidth="1"/>
    <col min="479" max="479" width="14" bestFit="1" customWidth="1"/>
    <col min="480" max="480" width="11" customWidth="1"/>
    <col min="481" max="481" width="14" bestFit="1" customWidth="1"/>
    <col min="482" max="482" width="12" customWidth="1"/>
    <col min="483" max="483" width="14" bestFit="1" customWidth="1"/>
    <col min="484" max="484" width="12" customWidth="1"/>
    <col min="485" max="485" width="14" bestFit="1" customWidth="1"/>
    <col min="486" max="486" width="12" customWidth="1"/>
    <col min="487" max="487" width="14" bestFit="1" customWidth="1"/>
    <col min="488" max="488" width="12" customWidth="1"/>
    <col min="489" max="489" width="14" bestFit="1" customWidth="1"/>
    <col min="490" max="490" width="12" customWidth="1"/>
    <col min="491" max="491" width="14" bestFit="1" customWidth="1"/>
    <col min="492" max="492" width="12" customWidth="1"/>
    <col min="493" max="493" width="14" bestFit="1" customWidth="1"/>
    <col min="494" max="494" width="12" customWidth="1"/>
    <col min="495" max="495" width="14" bestFit="1" customWidth="1"/>
    <col min="496" max="496" width="12" customWidth="1"/>
    <col min="497" max="497" width="14" bestFit="1" customWidth="1"/>
    <col min="498" max="498" width="12" customWidth="1"/>
    <col min="499" max="499" width="14" bestFit="1" customWidth="1"/>
    <col min="500" max="500" width="12" customWidth="1"/>
    <col min="501" max="501" width="14" bestFit="1" customWidth="1"/>
    <col min="502" max="502" width="12" customWidth="1"/>
    <col min="503" max="503" width="14" bestFit="1" customWidth="1"/>
    <col min="504" max="504" width="12" customWidth="1"/>
    <col min="505" max="505" width="14" bestFit="1" customWidth="1"/>
    <col min="506" max="506" width="12" customWidth="1"/>
    <col min="507" max="507" width="14" bestFit="1" customWidth="1"/>
    <col min="508" max="508" width="12" customWidth="1"/>
    <col min="509" max="509" width="14" bestFit="1" customWidth="1"/>
    <col min="510" max="510" width="12" customWidth="1"/>
    <col min="511" max="511" width="14" bestFit="1" customWidth="1"/>
    <col min="512" max="512" width="12" customWidth="1"/>
    <col min="513" max="513" width="14" bestFit="1" customWidth="1"/>
    <col min="514" max="514" width="12" customWidth="1"/>
    <col min="515" max="515" width="14" bestFit="1" customWidth="1"/>
    <col min="516" max="516" width="12" customWidth="1"/>
    <col min="517" max="517" width="14" bestFit="1" customWidth="1"/>
    <col min="518" max="518" width="12" customWidth="1"/>
    <col min="519" max="519" width="14" bestFit="1" customWidth="1"/>
    <col min="520" max="520" width="12" customWidth="1"/>
    <col min="521" max="521" width="14" bestFit="1" customWidth="1"/>
    <col min="522" max="522" width="12" customWidth="1"/>
    <col min="523" max="523" width="14" bestFit="1" customWidth="1"/>
    <col min="524" max="524" width="12" customWidth="1"/>
    <col min="525" max="525" width="14" bestFit="1" customWidth="1"/>
    <col min="526" max="526" width="11" customWidth="1"/>
    <col min="527" max="527" width="14" bestFit="1" customWidth="1"/>
    <col min="528" max="528" width="12" customWidth="1"/>
    <col min="529" max="529" width="14" bestFit="1" customWidth="1"/>
    <col min="530" max="530" width="12" customWidth="1"/>
    <col min="531" max="531" width="14" bestFit="1" customWidth="1"/>
    <col min="532" max="532" width="12" customWidth="1"/>
    <col min="533" max="533" width="14" bestFit="1" customWidth="1"/>
    <col min="534" max="534" width="12" customWidth="1"/>
    <col min="535" max="535" width="14" bestFit="1" customWidth="1"/>
    <col min="536" max="536" width="12" customWidth="1"/>
    <col min="537" max="537" width="14" bestFit="1" customWidth="1"/>
    <col min="538" max="538" width="12" customWidth="1"/>
    <col min="539" max="539" width="14" bestFit="1" customWidth="1"/>
    <col min="540" max="540" width="12" customWidth="1"/>
    <col min="541" max="541" width="14" bestFit="1" customWidth="1"/>
    <col min="542" max="542" width="12" customWidth="1"/>
    <col min="543" max="543" width="14" bestFit="1" customWidth="1"/>
    <col min="544" max="544" width="12" customWidth="1"/>
    <col min="545" max="545" width="14" bestFit="1" customWidth="1"/>
    <col min="546" max="546" width="12" customWidth="1"/>
    <col min="547" max="547" width="14" bestFit="1" customWidth="1"/>
    <col min="548" max="548" width="12" customWidth="1"/>
    <col min="549" max="549" width="14" bestFit="1" customWidth="1"/>
    <col min="550" max="550" width="12" customWidth="1"/>
    <col min="551" max="551" width="14" bestFit="1" customWidth="1"/>
    <col min="552" max="552" width="12" customWidth="1"/>
    <col min="553" max="553" width="14" bestFit="1" customWidth="1"/>
    <col min="554" max="554" width="12" customWidth="1"/>
    <col min="555" max="555" width="14" bestFit="1" customWidth="1"/>
    <col min="556" max="556" width="12" customWidth="1"/>
    <col min="557" max="557" width="14" bestFit="1" customWidth="1"/>
    <col min="558" max="558" width="12" customWidth="1"/>
    <col min="559" max="559" width="14" bestFit="1" customWidth="1"/>
    <col min="560" max="560" width="12" customWidth="1"/>
    <col min="561" max="561" width="14" bestFit="1" customWidth="1"/>
    <col min="562" max="562" width="12" customWidth="1"/>
    <col min="563" max="563" width="14" bestFit="1" customWidth="1"/>
    <col min="564" max="564" width="12" customWidth="1"/>
    <col min="565" max="565" width="14" bestFit="1" customWidth="1"/>
    <col min="566" max="566" width="12" customWidth="1"/>
    <col min="567" max="567" width="14" bestFit="1" customWidth="1"/>
    <col min="568" max="568" width="12" customWidth="1"/>
    <col min="569" max="569" width="14" bestFit="1" customWidth="1"/>
    <col min="570" max="570" width="12" customWidth="1"/>
    <col min="571" max="571" width="14" bestFit="1" customWidth="1"/>
    <col min="572" max="572" width="12" customWidth="1"/>
    <col min="573" max="573" width="14" bestFit="1" customWidth="1"/>
    <col min="574" max="574" width="10.85546875" customWidth="1"/>
    <col min="575" max="575" width="14" bestFit="1" customWidth="1"/>
    <col min="576" max="576" width="12" customWidth="1"/>
    <col min="577" max="577" width="14" bestFit="1" customWidth="1"/>
    <col min="578" max="578" width="12" customWidth="1"/>
    <col min="579" max="579" width="14" bestFit="1" customWidth="1"/>
    <col min="580" max="580" width="10.85546875" customWidth="1"/>
    <col min="581" max="581" width="14" bestFit="1" customWidth="1"/>
    <col min="582" max="582" width="12" customWidth="1"/>
    <col min="583" max="583" width="14" bestFit="1" customWidth="1"/>
    <col min="584" max="584" width="12" customWidth="1"/>
    <col min="585" max="585" width="14" customWidth="1"/>
    <col min="586" max="586" width="11" customWidth="1"/>
    <col min="587" max="587" width="14" bestFit="1" customWidth="1"/>
    <col min="588" max="588" width="8.85546875" customWidth="1"/>
    <col min="589" max="589" width="11.85546875" bestFit="1" customWidth="1"/>
    <col min="590" max="590" width="10.7109375" bestFit="1" customWidth="1"/>
  </cols>
  <sheetData>
    <row r="1" spans="1:12" x14ac:dyDescent="0.25">
      <c r="A1" t="s">
        <v>196</v>
      </c>
      <c r="B1" t="s">
        <v>197</v>
      </c>
      <c r="D1" t="s">
        <v>198</v>
      </c>
      <c r="E1" t="s">
        <v>196</v>
      </c>
    </row>
    <row r="2" spans="1:12" x14ac:dyDescent="0.25">
      <c r="A2" s="7">
        <v>424</v>
      </c>
      <c r="B2" s="7">
        <v>424</v>
      </c>
      <c r="D2" s="7">
        <v>397</v>
      </c>
      <c r="E2" s="7">
        <v>424</v>
      </c>
      <c r="K2" t="s">
        <v>202</v>
      </c>
      <c r="L2" t="s">
        <v>196</v>
      </c>
    </row>
    <row r="3" spans="1:12" x14ac:dyDescent="0.25">
      <c r="A3" t="s">
        <v>199</v>
      </c>
      <c r="B3" t="s">
        <v>201</v>
      </c>
      <c r="D3" t="s">
        <v>200</v>
      </c>
      <c r="E3" t="s">
        <v>199</v>
      </c>
      <c r="K3" s="7">
        <v>424</v>
      </c>
      <c r="L3" s="7">
        <v>424</v>
      </c>
    </row>
    <row r="4" spans="1:12" x14ac:dyDescent="0.25">
      <c r="A4">
        <f>E4</f>
        <v>1</v>
      </c>
      <c r="B4">
        <f>A4-COUNTA(#REF!)</f>
        <v>0</v>
      </c>
      <c r="D4">
        <f>COUNTA(#REF!)-COUNTA(#REF!)</f>
        <v>0</v>
      </c>
      <c r="E4">
        <f>COUNTA(#REF!)</f>
        <v>1</v>
      </c>
      <c r="K4" t="s">
        <v>203</v>
      </c>
      <c r="L4" t="s">
        <v>199</v>
      </c>
    </row>
    <row r="5" spans="1:12" x14ac:dyDescent="0.25">
      <c r="K5">
        <f>A4-COUNTA(#REF!)</f>
        <v>0</v>
      </c>
      <c r="L5">
        <f>A4</f>
        <v>1</v>
      </c>
    </row>
  </sheetData>
  <pageMargins left="0.511811024" right="0.511811024" top="0.78740157499999996" bottom="0.78740157499999996" header="0.31496062000000002" footer="0.31496062000000002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Entrada</vt:lpstr>
      <vt:lpstr>Cabeçalho</vt:lpstr>
      <vt:lpstr>Grafico_Dados</vt:lpstr>
    </vt:vector>
  </TitlesOfParts>
  <Company>Duratex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Juvenal Ferreira Fonseca</dc:creator>
  <cp:lastModifiedBy>Wellington Juvenal Ferreira Fonseca</cp:lastModifiedBy>
  <dcterms:created xsi:type="dcterms:W3CDTF">2020-10-05T19:27:22Z</dcterms:created>
  <dcterms:modified xsi:type="dcterms:W3CDTF">2020-10-21T11:54:39Z</dcterms:modified>
</cp:coreProperties>
</file>