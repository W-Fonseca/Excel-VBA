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EstaPasta_de_trabalho"/>
  <bookViews>
    <workbookView xWindow="0" yWindow="0" windowWidth="22260" windowHeight="12645"/>
  </bookViews>
  <sheets>
    <sheet name="Plan1" sheetId="1" r:id="rId1"/>
    <sheet name="Plan2" sheetId="2" r:id="rId2"/>
  </sheets>
  <externalReferences>
    <externalReference r:id="rId3"/>
  </externalReferences>
  <definedNames>
    <definedName name="_xlnm._FilterDatabase" localSheetId="0" hidden="1">Plan1!$A$1:$M$1</definedName>
    <definedName name="_xlnm._FilterDatabase" localSheetId="1" hidden="1">Plan2!$A$1:$M$118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" i="2" l="1"/>
  <c r="J3" i="2"/>
  <c r="J4" i="2"/>
  <c r="J5" i="2"/>
  <c r="J6" i="2"/>
  <c r="J7" i="2"/>
  <c r="J8" i="2"/>
  <c r="J9" i="2"/>
  <c r="J10" i="2"/>
  <c r="J11" i="2"/>
  <c r="J12" i="2"/>
  <c r="J13" i="2"/>
  <c r="J15" i="2"/>
  <c r="J14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 l="1"/>
  <c r="J118" i="2"/>
</calcChain>
</file>

<file path=xl/sharedStrings.xml><?xml version="1.0" encoding="utf-8"?>
<sst xmlns="http://schemas.openxmlformats.org/spreadsheetml/2006/main" count="752" uniqueCount="98">
  <si>
    <t>Banco</t>
  </si>
  <si>
    <t>Tipo de Conta</t>
  </si>
  <si>
    <t>Agência</t>
  </si>
  <si>
    <t>cod banco</t>
  </si>
  <si>
    <t>atualiza IF09</t>
  </si>
  <si>
    <t>CHAVE</t>
  </si>
  <si>
    <t>data inicio</t>
  </si>
  <si>
    <t>10078939</t>
  </si>
  <si>
    <t>10041181</t>
  </si>
  <si>
    <t>FÁB TAQUARI</t>
  </si>
  <si>
    <t>CAIXA</t>
  </si>
  <si>
    <t>0519</t>
  </si>
  <si>
    <t>SIM</t>
  </si>
  <si>
    <t>01.04.2020</t>
  </si>
  <si>
    <t>BB</t>
  </si>
  <si>
    <t>00190671</t>
  </si>
  <si>
    <t>Poupança</t>
  </si>
  <si>
    <t>Banco Sicredi</t>
  </si>
  <si>
    <t>FÁB LOUÇAS QUEIMADOS</t>
  </si>
  <si>
    <t>BRADESCO</t>
  </si>
  <si>
    <t>Conta Corrente</t>
  </si>
  <si>
    <t>Conta Poupança</t>
  </si>
  <si>
    <t>NUBANK</t>
  </si>
  <si>
    <t>0001</t>
  </si>
  <si>
    <t>1336 </t>
  </si>
  <si>
    <t>SANTANDER</t>
  </si>
  <si>
    <t>0213</t>
  </si>
  <si>
    <t>FÁB LOUÇAS JUNDIAÍ I</t>
  </si>
  <si>
    <t>0208</t>
  </si>
  <si>
    <t>ITAU</t>
  </si>
  <si>
    <t>Corrente</t>
  </si>
  <si>
    <t>FÁB METAIS JUNDIAÍ</t>
  </si>
  <si>
    <t>6511 </t>
  </si>
  <si>
    <t>0701 </t>
  </si>
  <si>
    <t>FÁB UBERABA</t>
  </si>
  <si>
    <t>SICOOB</t>
  </si>
  <si>
    <t>CONTA POUPANÇA</t>
  </si>
  <si>
    <t>FL ESTRELA DO SUL</t>
  </si>
  <si>
    <t>OP</t>
  </si>
  <si>
    <t>16247</t>
  </si>
  <si>
    <t>CONTA CORRENTE</t>
  </si>
  <si>
    <t>09814</t>
  </si>
  <si>
    <t>17074</t>
  </si>
  <si>
    <t>FL UBERABA</t>
  </si>
  <si>
    <t>11565</t>
  </si>
  <si>
    <t>32405</t>
  </si>
  <si>
    <t>12508</t>
  </si>
  <si>
    <t>sim</t>
  </si>
  <si>
    <t>26353</t>
  </si>
  <si>
    <t>Banco Mercantil do Brasil</t>
  </si>
  <si>
    <t>Itau</t>
  </si>
  <si>
    <t>Santander</t>
  </si>
  <si>
    <t>0019</t>
  </si>
  <si>
    <t>0330</t>
  </si>
  <si>
    <t>0260</t>
  </si>
  <si>
    <t xml:space="preserve"> 2</t>
  </si>
  <si>
    <t>89</t>
  </si>
  <si>
    <t xml:space="preserve"> 1</t>
  </si>
  <si>
    <t xml:space="preserve"> 5</t>
  </si>
  <si>
    <t xml:space="preserve"> 3</t>
  </si>
  <si>
    <t xml:space="preserve"> 9</t>
  </si>
  <si>
    <t xml:space="preserve"> 4</t>
  </si>
  <si>
    <t xml:space="preserve"> 8</t>
  </si>
  <si>
    <t xml:space="preserve"> 0</t>
  </si>
  <si>
    <t xml:space="preserve"> 7</t>
  </si>
  <si>
    <t>74</t>
  </si>
  <si>
    <t xml:space="preserve"> 6</t>
  </si>
  <si>
    <t xml:space="preserve">  7</t>
  </si>
  <si>
    <t xml:space="preserve"> 6 </t>
  </si>
  <si>
    <t xml:space="preserve"> 7 </t>
  </si>
  <si>
    <t xml:space="preserve">  3</t>
  </si>
  <si>
    <t>30</t>
  </si>
  <si>
    <t>95</t>
  </si>
  <si>
    <t xml:space="preserve"> 1 </t>
  </si>
  <si>
    <t xml:space="preserve"> 0 </t>
  </si>
  <si>
    <t>00</t>
  </si>
  <si>
    <t>X4</t>
  </si>
  <si>
    <t>90</t>
  </si>
  <si>
    <t>35</t>
  </si>
  <si>
    <t xml:space="preserve">  6</t>
  </si>
  <si>
    <t>chave</t>
  </si>
  <si>
    <t>conta</t>
  </si>
  <si>
    <t>agencia mais cod banco</t>
  </si>
  <si>
    <t>0671</t>
  </si>
  <si>
    <t>0119</t>
  </si>
  <si>
    <t>0026</t>
  </si>
  <si>
    <t>0907</t>
  </si>
  <si>
    <t>0344</t>
  </si>
  <si>
    <t>0162</t>
  </si>
  <si>
    <t>0040</t>
  </si>
  <si>
    <t>0635</t>
  </si>
  <si>
    <t>0365</t>
  </si>
  <si>
    <t>Matrícula</t>
  </si>
  <si>
    <t>03304202</t>
  </si>
  <si>
    <t>03303520</t>
  </si>
  <si>
    <t>03303352</t>
  </si>
  <si>
    <t>03304468</t>
  </si>
  <si>
    <t>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</si>
</sst>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0"/>
  </numFmts>
  <fonts count="6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1"/>
      <color rgb="FF201F1E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2" borderId="1" xfId="0" applyFont="1" applyFill="1" applyBorder="1" applyAlignment="1">
      <alignment horizontal="left" vertical="center" wrapText="1"/>
    </xf>
    <xf numFmtId="0" fontId="1" fillId="3" borderId="1" xfId="0" applyFont="1" applyFill="1" applyBorder="1" applyAlignment="1">
      <alignment horizontal="left" vertical="center" wrapText="1"/>
    </xf>
    <xf numFmtId="0" fontId="2" fillId="4" borderId="1" xfId="0" applyFont="1" applyFill="1" applyBorder="1" applyAlignment="1">
      <alignment horizontal="left" vertical="center" wrapText="1"/>
    </xf>
    <xf numFmtId="0" fontId="2" fillId="4" borderId="1" xfId="0" applyFont="1" applyFill="1" applyBorder="1" applyAlignment="1">
      <alignment horizontal="center" vertical="center"/>
    </xf>
    <xf numFmtId="164" fontId="2" fillId="4" borderId="1" xfId="0" applyNumberFormat="1" applyFont="1" applyFill="1" applyBorder="1" applyAlignment="1">
      <alignment horizontal="left" vertical="center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5" borderId="0" xfId="0" applyFill="1" applyAlignment="1">
      <alignment vertical="top"/>
    </xf>
    <xf numFmtId="0" fontId="3" fillId="6" borderId="0" xfId="0" applyFont="1" applyFill="1" applyBorder="1" applyAlignment="1">
      <alignment horizontal="left" vertical="center"/>
    </xf>
    <xf numFmtId="0" fontId="3" fillId="7" borderId="0" xfId="0" applyFont="1" applyFill="1" applyBorder="1" applyAlignment="1">
      <alignment horizontal="center" vertical="center"/>
    </xf>
    <xf numFmtId="164" fontId="3" fillId="5" borderId="0" xfId="0" applyNumberFormat="1" applyFont="1" applyFill="1" applyBorder="1" applyAlignment="1">
      <alignment horizontal="left" vertical="center"/>
    </xf>
    <xf numFmtId="0" fontId="3" fillId="5" borderId="0" xfId="0" applyFont="1" applyFill="1" applyBorder="1" applyAlignment="1">
      <alignment horizontal="left" vertical="center"/>
    </xf>
    <xf numFmtId="0" fontId="0" fillId="0" borderId="0" xfId="0" applyAlignment="1">
      <alignment vertical="top"/>
    </xf>
    <xf numFmtId="0" fontId="3" fillId="0" borderId="0" xfId="0" quotePrefix="1" applyFont="1" applyAlignment="1">
      <alignment horizontal="left" vertical="top"/>
    </xf>
    <xf numFmtId="0" fontId="0" fillId="4" borderId="0" xfId="0" applyFill="1" applyAlignment="1">
      <alignment vertical="top"/>
    </xf>
    <xf numFmtId="0" fontId="0" fillId="6" borderId="0" xfId="0" applyFill="1" applyAlignment="1">
      <alignment vertical="top"/>
    </xf>
    <xf numFmtId="49" fontId="4" fillId="5" borderId="1" xfId="0" applyNumberFormat="1" applyFont="1" applyFill="1" applyBorder="1"/>
    <xf numFmtId="0" fontId="5" fillId="0" borderId="0" xfId="0" applyFont="1" applyAlignment="1">
      <alignment vertical="top"/>
    </xf>
    <xf numFmtId="0" fontId="3" fillId="5" borderId="0" xfId="0" quotePrefix="1" applyFont="1" applyFill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3" fillId="5" borderId="0" xfId="0" applyNumberFormat="1" applyFont="1" applyFill="1" applyBorder="1" applyAlignment="1">
      <alignment horizontal="left" vertical="center"/>
    </xf>
    <xf numFmtId="164" fontId="2" fillId="4" borderId="0" xfId="0" applyNumberFormat="1" applyFont="1" applyFill="1" applyBorder="1" applyAlignment="1">
      <alignment horizontal="left" vertical="center"/>
    </xf>
    <xf numFmtId="164" fontId="3" fillId="5" borderId="0" xfId="0" quotePrefix="1" applyNumberFormat="1" applyFont="1" applyFill="1" applyBorder="1" applyAlignment="1">
      <alignment horizontal="left" vertical="center"/>
    </xf>
    <xf numFmtId="0" fontId="3" fillId="5" borderId="0" xfId="0" quotePrefix="1" applyNumberFormat="1" applyFont="1" applyFill="1" applyBorder="1" applyAlignment="1">
      <alignment horizontal="left" vertical="center"/>
    </xf>
    <xf numFmtId="0" fontId="5" fillId="0" borderId="0" xfId="0" quotePrefix="1" applyFont="1" applyAlignment="1">
      <alignment vertical="top"/>
    </xf>
    <xf numFmtId="0" fontId="0" fillId="8" borderId="0" xfId="0" applyFill="1" applyAlignment="1">
      <alignment vertical="top"/>
    </xf>
    <xf numFmtId="0" fontId="3" fillId="8" borderId="0" xfId="0" applyFont="1" applyFill="1" applyBorder="1" applyAlignment="1">
      <alignment horizontal="left" vertical="center"/>
    </xf>
    <xf numFmtId="0" fontId="3" fillId="8" borderId="0" xfId="0" applyFont="1" applyFill="1" applyBorder="1" applyAlignment="1">
      <alignment horizontal="center" vertical="center"/>
    </xf>
    <xf numFmtId="164" fontId="3" fillId="8" borderId="0" xfId="0" applyNumberFormat="1" applyFont="1" applyFill="1" applyBorder="1" applyAlignment="1">
      <alignment horizontal="left" vertical="center"/>
    </xf>
    <xf numFmtId="0" fontId="3" fillId="8" borderId="0" xfId="0" quotePrefix="1" applyFont="1" applyFill="1" applyBorder="1" applyAlignment="1">
      <alignment horizontal="left" vertical="center"/>
    </xf>
    <xf numFmtId="0" fontId="3" fillId="8" borderId="0" xfId="0" applyFont="1" applyFill="1" applyAlignment="1">
      <alignment vertical="top"/>
    </xf>
    <xf numFmtId="0" fontId="0" fillId="8" borderId="0" xfId="0" applyFill="1"/>
    <xf numFmtId="164" fontId="3" fillId="8" borderId="0" xfId="0" quotePrefix="1" applyNumberFormat="1" applyFont="1" applyFill="1" applyBorder="1" applyAlignment="1">
      <alignment horizontal="left" vertical="center"/>
    </xf>
    <xf numFmtId="0" fontId="3" fillId="8" borderId="0" xfId="0" quotePrefix="1" applyFont="1" applyFill="1" applyAlignment="1">
      <alignment horizontal="left" vertical="top"/>
    </xf>
    <xf numFmtId="0" fontId="0" fillId="8" borderId="0" xfId="0" applyFill="1" applyBorder="1" applyAlignment="1">
      <alignment vertical="top"/>
    </xf>
  </cellXfs>
  <cellStyles count="1">
    <cellStyle name="Normal" xfId="0" builtinId="0"/>
  </cellStyles>
  <dxfs count="11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FF000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xmpred01\dtx\Users\douglasp\Downloads\Base%202019%20C&#225;lculo%20DESLIGADOS%20-%20PLR%20-%20BARBARA%20(1)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POIO"/>
      <sheetName val="Regras Especiais"/>
      <sheetName val="Base Dias PLR Especiais"/>
      <sheetName val="Regras Demais"/>
      <sheetName val="RESUMO PLR ESPECIAL"/>
      <sheetName val="Cálculo PLR Especiais"/>
      <sheetName val="Base Dias PLR Demais"/>
      <sheetName val="RESUMO PLR DEMAIS"/>
      <sheetName val="Cálculo PLR Demais"/>
      <sheetName val="Base IRRF"/>
      <sheetName val="VALIDAÇAO "/>
      <sheetName val="Base Transferidos"/>
      <sheetName val="Base Afastamento"/>
      <sheetName val="RESUMO AVOS AFASTADOS"/>
      <sheetName val="Base FIF"/>
      <sheetName val="Base Remuneração Variável"/>
      <sheetName val="Resumo Base RV"/>
      <sheetName val="Base Periculosidade"/>
      <sheetName val="Resumo Base Peric."/>
      <sheetName val="Base Hs In Itinere"/>
      <sheetName val="Resumo Base HS In Itiner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2">
          <cell r="B2" t="str">
            <v>RESUMO DIAS PLR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>
        <row r="1">
          <cell r="A1" t="str">
            <v>Matricula</v>
          </cell>
        </row>
      </sheetData>
      <sheetData sheetId="17" refreshError="1"/>
      <sheetData sheetId="18">
        <row r="1">
          <cell r="A1" t="str">
            <v>Matrícula</v>
          </cell>
        </row>
      </sheetData>
      <sheetData sheetId="19" refreshError="1"/>
      <sheetData sheetId="20">
        <row r="1">
          <cell r="A1" t="str">
            <v>Rótulos de Linha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M1"/>
  <sheetViews>
    <sheetView showGridLines="0" tabSelected="1" workbookViewId="0">
      <selection activeCell="J4" sqref="J4"/>
    </sheetView>
  </sheetViews>
  <sheetFormatPr defaultRowHeight="15" x14ac:dyDescent="0.25"/>
  <cols>
    <col min="1" max="1" width="9" bestFit="1" customWidth="1"/>
    <col min="2" max="2" width="23.7109375" bestFit="1" customWidth="1"/>
    <col min="3" max="3" width="22.7109375" bestFit="1" customWidth="1"/>
    <col min="4" max="4" width="18.5703125" bestFit="1" customWidth="1"/>
    <col min="5" max="5" width="8.42578125" bestFit="1" customWidth="1"/>
    <col min="6" max="6" width="8.42578125" customWidth="1"/>
    <col min="7" max="8" width="11.7109375" customWidth="1"/>
    <col min="9" max="9" width="9.5703125" bestFit="1" customWidth="1"/>
    <col min="10" max="10" width="9.5703125" customWidth="1"/>
    <col min="11" max="11" width="11.5703125" bestFit="1" customWidth="1"/>
    <col min="12" max="12" width="9" bestFit="1" customWidth="1"/>
    <col min="13" max="13" width="10.140625" bestFit="1" customWidth="1"/>
  </cols>
  <sheetData>
    <row r="1" spans="1:13" ht="30" x14ac:dyDescent="0.25">
      <c r="A1" s="1" t="s">
        <v>92</v>
      </c>
      <c r="B1" s="2" t="s">
        <v>97</v>
      </c>
      <c r="C1" s="3" t="s">
        <v>0</v>
      </c>
      <c r="D1" s="4" t="s">
        <v>1</v>
      </c>
      <c r="E1" s="5" t="s">
        <v>2</v>
      </c>
      <c r="F1" s="22"/>
      <c r="G1" s="20" t="s">
        <v>81</v>
      </c>
      <c r="H1" s="20" t="s">
        <v>80</v>
      </c>
      <c r="I1" s="6" t="s">
        <v>3</v>
      </c>
      <c r="J1" s="6" t="s">
        <v>82</v>
      </c>
      <c r="K1" s="7" t="s">
        <v>4</v>
      </c>
      <c r="L1" s="7" t="s">
        <v>5</v>
      </c>
      <c r="M1" s="7" t="s">
        <v>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 filterMode="1"/>
  <dimension ref="A2:M118"/>
  <sheetViews>
    <sheetView workbookViewId="0">
      <selection activeCell="G28" sqref="G28"/>
    </sheetView>
  </sheetViews>
  <sheetFormatPr defaultRowHeight="15" x14ac:dyDescent="0.25"/>
  <sheetData>
    <row r="2" spans="1:13" hidden="1" x14ac:dyDescent="0.25">
      <c r="A2" s="17">
        <v>10041274</v>
      </c>
      <c r="C2" s="9" t="s">
        <v>29</v>
      </c>
      <c r="D2" s="9" t="s">
        <v>20</v>
      </c>
      <c r="E2" s="12">
        <v>9164</v>
      </c>
      <c r="F2" s="12"/>
      <c r="G2" s="11">
        <v>4398</v>
      </c>
      <c r="H2" s="11" t="s">
        <v>64</v>
      </c>
      <c r="I2" s="12">
        <v>3417</v>
      </c>
      <c r="J2" s="12" t="str">
        <f t="shared" ref="J2:J39" si="0">I2&amp;E2</f>
        <v>34179164</v>
      </c>
      <c r="K2" s="7" t="s">
        <v>12</v>
      </c>
      <c r="L2" s="13"/>
      <c r="M2" s="7" t="s">
        <v>13</v>
      </c>
    </row>
    <row r="3" spans="1:13" ht="16.5" hidden="1" x14ac:dyDescent="0.25">
      <c r="A3" s="17">
        <v>10075781</v>
      </c>
      <c r="C3" s="9" t="s">
        <v>50</v>
      </c>
      <c r="D3" s="9" t="s">
        <v>20</v>
      </c>
      <c r="E3" s="18">
        <v>4053</v>
      </c>
      <c r="F3" s="18"/>
      <c r="G3" s="11">
        <v>9403</v>
      </c>
      <c r="H3" s="11" t="s">
        <v>58</v>
      </c>
      <c r="I3" s="12">
        <v>3417</v>
      </c>
      <c r="J3" s="12" t="str">
        <f t="shared" si="0"/>
        <v>34174053</v>
      </c>
      <c r="K3" s="7" t="s">
        <v>12</v>
      </c>
      <c r="L3" s="13"/>
      <c r="M3" s="7" t="s">
        <v>13</v>
      </c>
    </row>
    <row r="4" spans="1:13" ht="16.5" hidden="1" x14ac:dyDescent="0.25">
      <c r="A4" s="17">
        <v>10025872</v>
      </c>
      <c r="C4" s="9" t="s">
        <v>50</v>
      </c>
      <c r="D4" s="9" t="s">
        <v>20</v>
      </c>
      <c r="E4" s="18">
        <v>2523</v>
      </c>
      <c r="F4" s="18"/>
      <c r="G4" s="11">
        <v>4642</v>
      </c>
      <c r="H4" s="11" t="s">
        <v>60</v>
      </c>
      <c r="I4" s="12">
        <v>3417</v>
      </c>
      <c r="J4" s="12" t="str">
        <f t="shared" si="0"/>
        <v>34172523</v>
      </c>
      <c r="K4" s="7" t="s">
        <v>12</v>
      </c>
      <c r="L4" s="13"/>
      <c r="M4" s="7" t="s">
        <v>13</v>
      </c>
    </row>
    <row r="5" spans="1:13" ht="16.5" hidden="1" x14ac:dyDescent="0.25">
      <c r="A5" s="17">
        <v>10007647</v>
      </c>
      <c r="C5" s="9" t="s">
        <v>49</v>
      </c>
      <c r="D5" s="9" t="s">
        <v>20</v>
      </c>
      <c r="E5" s="25" t="s">
        <v>91</v>
      </c>
      <c r="F5" s="18"/>
      <c r="G5" s="11">
        <v>1022346</v>
      </c>
      <c r="H5" s="11" t="s">
        <v>79</v>
      </c>
      <c r="I5" s="12">
        <v>3921</v>
      </c>
      <c r="J5" s="12" t="str">
        <f t="shared" si="0"/>
        <v>39210365</v>
      </c>
      <c r="K5" s="7" t="s">
        <v>12</v>
      </c>
      <c r="L5" s="13"/>
      <c r="M5" s="7" t="s">
        <v>13</v>
      </c>
    </row>
    <row r="6" spans="1:13" ht="16.5" hidden="1" x14ac:dyDescent="0.25">
      <c r="A6" s="17">
        <v>10078156</v>
      </c>
      <c r="C6" s="9" t="s">
        <v>29</v>
      </c>
      <c r="D6" s="9" t="s">
        <v>20</v>
      </c>
      <c r="E6" s="18">
        <v>9632</v>
      </c>
      <c r="F6" s="18"/>
      <c r="G6" s="11">
        <v>7606</v>
      </c>
      <c r="H6" s="11" t="s">
        <v>61</v>
      </c>
      <c r="I6" s="12">
        <v>3417</v>
      </c>
      <c r="J6" s="12" t="str">
        <f t="shared" si="0"/>
        <v>34179632</v>
      </c>
      <c r="K6" s="7" t="s">
        <v>12</v>
      </c>
      <c r="L6" s="13"/>
      <c r="M6" s="7" t="s">
        <v>13</v>
      </c>
    </row>
    <row r="7" spans="1:13" s="32" customFormat="1" x14ac:dyDescent="0.25">
      <c r="A7" s="35">
        <v>10080470</v>
      </c>
      <c r="B7" s="26" t="s">
        <v>34</v>
      </c>
      <c r="C7" s="27" t="s">
        <v>38</v>
      </c>
      <c r="D7" s="28"/>
      <c r="E7" s="29" t="s">
        <v>48</v>
      </c>
      <c r="F7" s="29"/>
      <c r="G7" s="29">
        <v>11111</v>
      </c>
      <c r="H7" s="29" t="s">
        <v>57</v>
      </c>
      <c r="I7" s="27">
        <v>3417</v>
      </c>
      <c r="J7" s="27" t="str">
        <f t="shared" si="0"/>
        <v>341726353</v>
      </c>
      <c r="K7" s="31" t="s">
        <v>12</v>
      </c>
      <c r="L7" s="26"/>
      <c r="M7" s="31" t="s">
        <v>13</v>
      </c>
    </row>
    <row r="8" spans="1:13" hidden="1" x14ac:dyDescent="0.25">
      <c r="A8" s="8">
        <v>10079932</v>
      </c>
      <c r="B8" s="8" t="s">
        <v>34</v>
      </c>
      <c r="C8" s="9" t="s">
        <v>10</v>
      </c>
      <c r="D8" s="10" t="s">
        <v>36</v>
      </c>
      <c r="E8" s="11">
        <v>1538</v>
      </c>
      <c r="F8" s="11"/>
      <c r="G8" s="11">
        <v>20725</v>
      </c>
      <c r="H8" s="11" t="s">
        <v>63</v>
      </c>
      <c r="I8" s="12">
        <v>1040</v>
      </c>
      <c r="J8" s="12" t="str">
        <f t="shared" si="0"/>
        <v>10401538</v>
      </c>
      <c r="K8" s="7" t="s">
        <v>12</v>
      </c>
      <c r="L8" s="13"/>
      <c r="M8" s="7" t="s">
        <v>13</v>
      </c>
    </row>
    <row r="9" spans="1:13" s="32" customFormat="1" x14ac:dyDescent="0.25">
      <c r="A9" s="35">
        <v>10079177</v>
      </c>
      <c r="B9" s="26" t="s">
        <v>34</v>
      </c>
      <c r="C9" s="27" t="s">
        <v>14</v>
      </c>
      <c r="D9" s="28" t="s">
        <v>40</v>
      </c>
      <c r="E9" s="29">
        <v>8068</v>
      </c>
      <c r="F9" s="29"/>
      <c r="G9" s="29">
        <v>2978</v>
      </c>
      <c r="H9" s="29" t="s">
        <v>78</v>
      </c>
      <c r="I9" s="34" t="s">
        <v>52</v>
      </c>
      <c r="J9" s="27" t="str">
        <f t="shared" si="0"/>
        <v>00198068</v>
      </c>
      <c r="K9" s="31" t="s">
        <v>47</v>
      </c>
      <c r="L9" s="26"/>
      <c r="M9" s="31" t="s">
        <v>13</v>
      </c>
    </row>
    <row r="10" spans="1:13" hidden="1" x14ac:dyDescent="0.25">
      <c r="A10" s="8">
        <v>10078238</v>
      </c>
      <c r="B10" s="8" t="s">
        <v>43</v>
      </c>
      <c r="C10" s="9" t="s">
        <v>29</v>
      </c>
      <c r="D10" s="10" t="s">
        <v>40</v>
      </c>
      <c r="E10" s="11">
        <v>5388</v>
      </c>
      <c r="F10" s="11"/>
      <c r="G10" s="11">
        <v>14190</v>
      </c>
      <c r="H10" s="11" t="s">
        <v>61</v>
      </c>
      <c r="I10" s="12">
        <v>3417</v>
      </c>
      <c r="J10" s="12" t="str">
        <f t="shared" si="0"/>
        <v>34175388</v>
      </c>
      <c r="K10" s="7" t="s">
        <v>12</v>
      </c>
      <c r="L10" s="13"/>
      <c r="M10" s="7" t="s">
        <v>13</v>
      </c>
    </row>
    <row r="11" spans="1:13" hidden="1" x14ac:dyDescent="0.25">
      <c r="A11" s="8">
        <v>10075831</v>
      </c>
      <c r="B11" s="8" t="s">
        <v>43</v>
      </c>
      <c r="C11" s="9" t="s">
        <v>10</v>
      </c>
      <c r="D11" s="10" t="s">
        <v>36</v>
      </c>
      <c r="E11" s="11">
        <v>4345</v>
      </c>
      <c r="F11" s="11"/>
      <c r="G11" s="11">
        <v>11632</v>
      </c>
      <c r="H11" s="11" t="s">
        <v>66</v>
      </c>
      <c r="I11" s="12">
        <v>1040</v>
      </c>
      <c r="J11" s="12" t="str">
        <f t="shared" si="0"/>
        <v>10404345</v>
      </c>
      <c r="K11" s="7" t="s">
        <v>12</v>
      </c>
      <c r="L11" s="13"/>
      <c r="M11" s="7" t="s">
        <v>13</v>
      </c>
    </row>
    <row r="12" spans="1:13" hidden="1" x14ac:dyDescent="0.25">
      <c r="A12" s="8">
        <v>10075326</v>
      </c>
      <c r="B12" s="8" t="s">
        <v>43</v>
      </c>
      <c r="C12" s="9" t="s">
        <v>10</v>
      </c>
      <c r="D12" s="10" t="s">
        <v>36</v>
      </c>
      <c r="E12" s="11">
        <v>4345</v>
      </c>
      <c r="F12" s="11"/>
      <c r="G12" s="11">
        <v>11031</v>
      </c>
      <c r="H12" s="11" t="s">
        <v>63</v>
      </c>
      <c r="I12" s="12">
        <v>1040</v>
      </c>
      <c r="J12" s="12" t="str">
        <f t="shared" si="0"/>
        <v>10404345</v>
      </c>
      <c r="K12" s="7" t="s">
        <v>12</v>
      </c>
      <c r="L12" s="13"/>
      <c r="M12" s="7" t="s">
        <v>13</v>
      </c>
    </row>
    <row r="13" spans="1:13" hidden="1" x14ac:dyDescent="0.25">
      <c r="A13" s="8">
        <v>10075146</v>
      </c>
      <c r="B13" s="8" t="s">
        <v>43</v>
      </c>
      <c r="C13" s="9" t="s">
        <v>10</v>
      </c>
      <c r="D13" s="10" t="s">
        <v>36</v>
      </c>
      <c r="E13" s="11">
        <v>4345</v>
      </c>
      <c r="F13" s="11"/>
      <c r="G13" s="11">
        <v>5771</v>
      </c>
      <c r="H13" s="11" t="s">
        <v>63</v>
      </c>
      <c r="I13" s="12">
        <v>1040</v>
      </c>
      <c r="J13" s="12" t="str">
        <f t="shared" si="0"/>
        <v>10404345</v>
      </c>
      <c r="K13" s="7" t="s">
        <v>12</v>
      </c>
      <c r="L13" s="13"/>
      <c r="M13" s="7" t="s">
        <v>13</v>
      </c>
    </row>
    <row r="14" spans="1:13" s="32" customFormat="1" x14ac:dyDescent="0.25">
      <c r="A14" s="35">
        <v>10074906</v>
      </c>
      <c r="B14" s="26" t="s">
        <v>34</v>
      </c>
      <c r="C14" s="27" t="s">
        <v>38</v>
      </c>
      <c r="D14" s="28"/>
      <c r="E14" s="29" t="s">
        <v>45</v>
      </c>
      <c r="F14" s="29"/>
      <c r="G14" s="29">
        <v>11111</v>
      </c>
      <c r="H14" s="29" t="s">
        <v>57</v>
      </c>
      <c r="I14" s="27">
        <v>3417</v>
      </c>
      <c r="J14" s="27" t="str">
        <f t="shared" si="0"/>
        <v>341732405</v>
      </c>
      <c r="K14" s="31" t="s">
        <v>12</v>
      </c>
      <c r="L14" s="26"/>
      <c r="M14" s="31" t="s">
        <v>13</v>
      </c>
    </row>
    <row r="15" spans="1:13" s="32" customFormat="1" x14ac:dyDescent="0.25">
      <c r="A15" s="35">
        <v>10075145</v>
      </c>
      <c r="B15" s="26" t="s">
        <v>43</v>
      </c>
      <c r="C15" s="27" t="s">
        <v>38</v>
      </c>
      <c r="D15" s="28"/>
      <c r="E15" s="29" t="s">
        <v>46</v>
      </c>
      <c r="F15" s="29"/>
      <c r="G15" s="29">
        <v>11111</v>
      </c>
      <c r="H15" s="29" t="s">
        <v>57</v>
      </c>
      <c r="I15" s="27">
        <v>3417</v>
      </c>
      <c r="J15" s="27" t="str">
        <f t="shared" si="0"/>
        <v>341712508</v>
      </c>
      <c r="K15" s="31" t="s">
        <v>12</v>
      </c>
      <c r="L15" s="26"/>
      <c r="M15" s="31" t="s">
        <v>13</v>
      </c>
    </row>
    <row r="16" spans="1:13" hidden="1" x14ac:dyDescent="0.25">
      <c r="A16" s="8">
        <v>10074698</v>
      </c>
      <c r="B16" s="8" t="s">
        <v>43</v>
      </c>
      <c r="C16" s="9" t="s">
        <v>38</v>
      </c>
      <c r="D16" s="10"/>
      <c r="E16" s="11" t="s">
        <v>44</v>
      </c>
      <c r="F16" s="11"/>
      <c r="G16" s="11">
        <v>11111</v>
      </c>
      <c r="H16" s="11" t="s">
        <v>57</v>
      </c>
      <c r="I16" s="12">
        <v>3417</v>
      </c>
      <c r="J16" s="12" t="str">
        <f t="shared" si="0"/>
        <v>341711565</v>
      </c>
      <c r="K16" s="7" t="s">
        <v>12</v>
      </c>
      <c r="L16" s="13"/>
      <c r="M16" s="7" t="s">
        <v>13</v>
      </c>
    </row>
    <row r="17" spans="1:13" hidden="1" x14ac:dyDescent="0.25">
      <c r="A17" s="8">
        <v>10073384</v>
      </c>
      <c r="B17" s="8" t="s">
        <v>34</v>
      </c>
      <c r="C17" s="9" t="s">
        <v>29</v>
      </c>
      <c r="D17" s="10" t="s">
        <v>40</v>
      </c>
      <c r="E17" s="11">
        <v>3035</v>
      </c>
      <c r="F17" s="11"/>
      <c r="G17" s="11">
        <v>29164</v>
      </c>
      <c r="H17" s="11" t="s">
        <v>61</v>
      </c>
      <c r="I17" s="12">
        <v>3417</v>
      </c>
      <c r="J17" s="12" t="str">
        <f t="shared" si="0"/>
        <v>34173035</v>
      </c>
      <c r="K17" s="7" t="s">
        <v>12</v>
      </c>
      <c r="L17" s="13"/>
      <c r="M17" s="7" t="s">
        <v>13</v>
      </c>
    </row>
    <row r="18" spans="1:13" hidden="1" x14ac:dyDescent="0.25">
      <c r="A18" s="8">
        <v>10072307</v>
      </c>
      <c r="B18" s="8" t="s">
        <v>34</v>
      </c>
      <c r="C18" s="9" t="s">
        <v>29</v>
      </c>
      <c r="D18" s="10" t="s">
        <v>40</v>
      </c>
      <c r="E18" s="11">
        <v>3035</v>
      </c>
      <c r="F18" s="11"/>
      <c r="G18" s="11">
        <v>334586</v>
      </c>
      <c r="H18" s="11" t="s">
        <v>58</v>
      </c>
      <c r="I18" s="12">
        <v>3417</v>
      </c>
      <c r="J18" s="12" t="str">
        <f t="shared" si="0"/>
        <v>34173035</v>
      </c>
      <c r="K18" s="7" t="s">
        <v>12</v>
      </c>
      <c r="L18" s="13"/>
      <c r="M18" s="7" t="s">
        <v>13</v>
      </c>
    </row>
    <row r="19" spans="1:13" hidden="1" x14ac:dyDescent="0.25">
      <c r="A19" s="8">
        <v>10061990</v>
      </c>
      <c r="B19" s="8" t="s">
        <v>37</v>
      </c>
      <c r="C19" s="9" t="s">
        <v>29</v>
      </c>
      <c r="D19" s="10" t="s">
        <v>40</v>
      </c>
      <c r="E19" s="23" t="s">
        <v>90</v>
      </c>
      <c r="F19" s="11"/>
      <c r="G19" s="12">
        <v>90209</v>
      </c>
      <c r="H19" s="21"/>
      <c r="I19" s="12">
        <v>3417</v>
      </c>
      <c r="J19" s="12" t="str">
        <f t="shared" si="0"/>
        <v>34170635</v>
      </c>
      <c r="K19" s="7" t="s">
        <v>12</v>
      </c>
      <c r="L19" s="13"/>
      <c r="M19" s="7" t="s">
        <v>13</v>
      </c>
    </row>
    <row r="20" spans="1:13" hidden="1" x14ac:dyDescent="0.25">
      <c r="A20" s="8">
        <v>10052991</v>
      </c>
      <c r="B20" s="8" t="s">
        <v>43</v>
      </c>
      <c r="C20" s="9" t="s">
        <v>29</v>
      </c>
      <c r="D20" s="10" t="s">
        <v>40</v>
      </c>
      <c r="E20" s="11">
        <v>5388</v>
      </c>
      <c r="F20" s="11"/>
      <c r="G20" s="11">
        <v>18193</v>
      </c>
      <c r="H20" s="11" t="s">
        <v>60</v>
      </c>
      <c r="I20" s="12">
        <v>3417</v>
      </c>
      <c r="J20" s="12" t="str">
        <f t="shared" si="0"/>
        <v>34175388</v>
      </c>
      <c r="K20" s="7" t="s">
        <v>12</v>
      </c>
      <c r="L20" s="13"/>
      <c r="M20" s="7" t="s">
        <v>13</v>
      </c>
    </row>
    <row r="21" spans="1:13" hidden="1" x14ac:dyDescent="0.25">
      <c r="A21" s="8">
        <v>10052959</v>
      </c>
      <c r="B21" s="8" t="s">
        <v>43</v>
      </c>
      <c r="C21" s="9" t="s">
        <v>10</v>
      </c>
      <c r="D21" s="10" t="s">
        <v>36</v>
      </c>
      <c r="E21" s="11">
        <v>4345</v>
      </c>
      <c r="F21" s="11"/>
      <c r="G21" s="11">
        <v>1532</v>
      </c>
      <c r="H21" s="11" t="s">
        <v>58</v>
      </c>
      <c r="I21" s="12">
        <v>1040</v>
      </c>
      <c r="J21" s="12" t="str">
        <f t="shared" si="0"/>
        <v>10404345</v>
      </c>
      <c r="K21" s="7" t="s">
        <v>12</v>
      </c>
      <c r="L21" s="13"/>
      <c r="M21" s="7" t="s">
        <v>13</v>
      </c>
    </row>
    <row r="22" spans="1:13" hidden="1" x14ac:dyDescent="0.25">
      <c r="A22" s="8">
        <v>10052741</v>
      </c>
      <c r="B22" s="8" t="s">
        <v>34</v>
      </c>
      <c r="C22" s="9" t="s">
        <v>29</v>
      </c>
      <c r="D22" s="10" t="s">
        <v>40</v>
      </c>
      <c r="E22" s="11">
        <v>4608</v>
      </c>
      <c r="F22" s="11"/>
      <c r="G22" s="11">
        <v>706</v>
      </c>
      <c r="H22" s="11" t="s">
        <v>63</v>
      </c>
      <c r="I22" s="12">
        <v>3417</v>
      </c>
      <c r="J22" s="12" t="str">
        <f t="shared" si="0"/>
        <v>34174608</v>
      </c>
      <c r="K22" s="7" t="s">
        <v>12</v>
      </c>
      <c r="L22" s="13"/>
      <c r="M22" s="7" t="s">
        <v>13</v>
      </c>
    </row>
    <row r="23" spans="1:13" hidden="1" x14ac:dyDescent="0.25">
      <c r="A23" s="8">
        <v>10052131</v>
      </c>
      <c r="B23" s="8" t="s">
        <v>34</v>
      </c>
      <c r="C23" s="9" t="s">
        <v>29</v>
      </c>
      <c r="D23" s="10" t="s">
        <v>40</v>
      </c>
      <c r="E23" s="11">
        <v>5388</v>
      </c>
      <c r="F23" s="11"/>
      <c r="G23" s="11">
        <v>11886</v>
      </c>
      <c r="H23" s="11" t="s">
        <v>63</v>
      </c>
      <c r="I23" s="12">
        <v>3417</v>
      </c>
      <c r="J23" s="12" t="str">
        <f t="shared" si="0"/>
        <v>34175388</v>
      </c>
      <c r="K23" s="7" t="s">
        <v>12</v>
      </c>
      <c r="L23" s="13"/>
      <c r="M23" s="7" t="s">
        <v>13</v>
      </c>
    </row>
    <row r="24" spans="1:13" hidden="1" x14ac:dyDescent="0.25">
      <c r="A24" s="8">
        <v>10049570</v>
      </c>
      <c r="B24" s="8" t="s">
        <v>34</v>
      </c>
      <c r="C24" s="9" t="s">
        <v>10</v>
      </c>
      <c r="D24" s="10" t="s">
        <v>40</v>
      </c>
      <c r="E24" s="11">
        <v>2982</v>
      </c>
      <c r="F24" s="11"/>
      <c r="G24" s="11">
        <v>23776</v>
      </c>
      <c r="H24" s="11" t="s">
        <v>61</v>
      </c>
      <c r="I24" s="12">
        <v>1040</v>
      </c>
      <c r="J24" s="12" t="str">
        <f t="shared" si="0"/>
        <v>10402982</v>
      </c>
      <c r="K24" s="7" t="s">
        <v>12</v>
      </c>
      <c r="L24" s="13"/>
      <c r="M24" s="7" t="s">
        <v>13</v>
      </c>
    </row>
    <row r="25" spans="1:13" s="32" customFormat="1" x14ac:dyDescent="0.25">
      <c r="A25" s="35">
        <v>10042360</v>
      </c>
      <c r="B25" s="26" t="s">
        <v>34</v>
      </c>
      <c r="C25" s="27" t="s">
        <v>38</v>
      </c>
      <c r="D25" s="28"/>
      <c r="E25" s="29" t="s">
        <v>42</v>
      </c>
      <c r="F25" s="29"/>
      <c r="G25" s="29">
        <v>11111</v>
      </c>
      <c r="H25" s="29" t="s">
        <v>57</v>
      </c>
      <c r="I25" s="27">
        <v>3417</v>
      </c>
      <c r="J25" s="27" t="str">
        <f t="shared" si="0"/>
        <v>341717074</v>
      </c>
      <c r="K25" s="31" t="s">
        <v>12</v>
      </c>
      <c r="L25" s="26"/>
      <c r="M25" s="31" t="s">
        <v>13</v>
      </c>
    </row>
    <row r="26" spans="1:13" s="32" customFormat="1" x14ac:dyDescent="0.25">
      <c r="A26" s="26">
        <v>10041757</v>
      </c>
      <c r="B26" s="26" t="s">
        <v>37</v>
      </c>
      <c r="C26" s="27" t="s">
        <v>38</v>
      </c>
      <c r="D26" s="28"/>
      <c r="E26" s="33" t="s">
        <v>41</v>
      </c>
      <c r="F26" s="29"/>
      <c r="G26" s="29">
        <v>11111</v>
      </c>
      <c r="H26" s="29" t="s">
        <v>57</v>
      </c>
      <c r="I26" s="27">
        <v>3417</v>
      </c>
      <c r="J26" s="27" t="str">
        <f t="shared" si="0"/>
        <v>341709814</v>
      </c>
      <c r="K26" s="31" t="s">
        <v>12</v>
      </c>
      <c r="L26" s="26"/>
      <c r="M26" s="31" t="s">
        <v>13</v>
      </c>
    </row>
    <row r="27" spans="1:13" hidden="1" x14ac:dyDescent="0.25">
      <c r="A27" s="8">
        <v>10039131</v>
      </c>
      <c r="B27" s="8" t="s">
        <v>34</v>
      </c>
      <c r="C27" s="9" t="s">
        <v>29</v>
      </c>
      <c r="D27" s="10" t="s">
        <v>40</v>
      </c>
      <c r="E27" s="11">
        <v>3035</v>
      </c>
      <c r="F27" s="11"/>
      <c r="G27" s="11">
        <v>29100</v>
      </c>
      <c r="H27" s="11" t="s">
        <v>62</v>
      </c>
      <c r="I27" s="12">
        <v>3417</v>
      </c>
      <c r="J27" s="12" t="str">
        <f t="shared" si="0"/>
        <v>34173035</v>
      </c>
      <c r="K27" s="7" t="s">
        <v>12</v>
      </c>
      <c r="L27" s="13"/>
      <c r="M27" s="7" t="s">
        <v>13</v>
      </c>
    </row>
    <row r="28" spans="1:13" s="32" customFormat="1" x14ac:dyDescent="0.25">
      <c r="A28" s="26">
        <v>10039008</v>
      </c>
      <c r="B28" s="26" t="s">
        <v>34</v>
      </c>
      <c r="C28" s="27" t="s">
        <v>38</v>
      </c>
      <c r="D28" s="28"/>
      <c r="E28" s="29" t="s">
        <v>39</v>
      </c>
      <c r="F28" s="29"/>
      <c r="G28" s="29">
        <v>11111</v>
      </c>
      <c r="H28" s="29" t="s">
        <v>57</v>
      </c>
      <c r="I28" s="27">
        <v>3417</v>
      </c>
      <c r="J28" s="27" t="str">
        <f t="shared" si="0"/>
        <v>341716247</v>
      </c>
      <c r="K28" s="31" t="s">
        <v>12</v>
      </c>
      <c r="L28" s="26"/>
      <c r="M28" s="31" t="s">
        <v>13</v>
      </c>
    </row>
    <row r="29" spans="1:13" hidden="1" x14ac:dyDescent="0.25">
      <c r="A29" s="8">
        <v>10038833</v>
      </c>
      <c r="B29" s="8" t="s">
        <v>34</v>
      </c>
      <c r="C29" s="9" t="s">
        <v>35</v>
      </c>
      <c r="D29" s="10" t="s">
        <v>36</v>
      </c>
      <c r="E29" s="23" t="s">
        <v>23</v>
      </c>
      <c r="F29" s="11"/>
      <c r="G29" s="11">
        <v>3237853</v>
      </c>
      <c r="H29" s="11" t="s">
        <v>77</v>
      </c>
      <c r="I29" s="12">
        <v>7560</v>
      </c>
      <c r="J29" s="12" t="str">
        <f t="shared" si="0"/>
        <v>75600001</v>
      </c>
      <c r="K29" s="7" t="s">
        <v>12</v>
      </c>
      <c r="L29" s="13"/>
      <c r="M29" s="7" t="s">
        <v>13</v>
      </c>
    </row>
    <row r="30" spans="1:13" hidden="1" x14ac:dyDescent="0.25">
      <c r="A30" s="8">
        <v>10079882</v>
      </c>
      <c r="B30" s="8" t="s">
        <v>27</v>
      </c>
      <c r="C30" s="9" t="s">
        <v>29</v>
      </c>
      <c r="D30" s="10" t="s">
        <v>30</v>
      </c>
      <c r="E30" s="11">
        <v>1292</v>
      </c>
      <c r="F30" s="11"/>
      <c r="G30" s="11">
        <v>40205</v>
      </c>
      <c r="H30" s="11" t="s">
        <v>55</v>
      </c>
      <c r="I30" s="12">
        <v>3417</v>
      </c>
      <c r="J30" s="12" t="str">
        <f t="shared" si="0"/>
        <v>34171292</v>
      </c>
      <c r="K30" s="7" t="s">
        <v>12</v>
      </c>
      <c r="L30" s="13"/>
      <c r="M30" s="7" t="s">
        <v>13</v>
      </c>
    </row>
    <row r="31" spans="1:13" hidden="1" x14ac:dyDescent="0.25">
      <c r="A31" s="8">
        <v>10079641</v>
      </c>
      <c r="B31" s="8" t="s">
        <v>31</v>
      </c>
      <c r="C31" s="9" t="s">
        <v>10</v>
      </c>
      <c r="D31" s="10" t="s">
        <v>16</v>
      </c>
      <c r="E31" s="11">
        <v>2951</v>
      </c>
      <c r="F31" s="11"/>
      <c r="G31" s="11">
        <v>31673</v>
      </c>
      <c r="H31" s="11" t="s">
        <v>57</v>
      </c>
      <c r="I31" s="12">
        <v>1040</v>
      </c>
      <c r="J31" s="12" t="str">
        <f t="shared" si="0"/>
        <v>10402951</v>
      </c>
      <c r="K31" s="7" t="s">
        <v>12</v>
      </c>
      <c r="L31" s="13"/>
      <c r="M31" s="7" t="s">
        <v>13</v>
      </c>
    </row>
    <row r="32" spans="1:13" hidden="1" x14ac:dyDescent="0.25">
      <c r="A32" s="8">
        <v>10079635</v>
      </c>
      <c r="B32" s="8" t="s">
        <v>27</v>
      </c>
      <c r="C32" s="9" t="s">
        <v>14</v>
      </c>
      <c r="D32" s="10" t="s">
        <v>30</v>
      </c>
      <c r="E32" s="11">
        <v>3570</v>
      </c>
      <c r="F32" s="11"/>
      <c r="G32" s="11">
        <v>9874</v>
      </c>
      <c r="H32" s="11" t="s">
        <v>76</v>
      </c>
      <c r="I32" s="14" t="s">
        <v>52</v>
      </c>
      <c r="J32" s="12" t="str">
        <f t="shared" si="0"/>
        <v>00193570</v>
      </c>
      <c r="K32" s="7" t="s">
        <v>12</v>
      </c>
      <c r="L32" s="13"/>
      <c r="M32" s="7" t="s">
        <v>13</v>
      </c>
    </row>
    <row r="33" spans="1:13" hidden="1" x14ac:dyDescent="0.25">
      <c r="A33" s="8">
        <v>10079499</v>
      </c>
      <c r="B33" s="8" t="s">
        <v>31</v>
      </c>
      <c r="C33" s="9" t="s">
        <v>29</v>
      </c>
      <c r="D33" s="10" t="s">
        <v>30</v>
      </c>
      <c r="E33" s="11">
        <v>2523</v>
      </c>
      <c r="F33" s="11"/>
      <c r="G33" s="11">
        <v>5856</v>
      </c>
      <c r="H33" s="11" t="s">
        <v>61</v>
      </c>
      <c r="I33" s="12">
        <v>3417</v>
      </c>
      <c r="J33" s="12" t="str">
        <f t="shared" si="0"/>
        <v>34172523</v>
      </c>
      <c r="K33" s="7" t="s">
        <v>12</v>
      </c>
      <c r="L33" s="13"/>
      <c r="M33" s="7" t="s">
        <v>13</v>
      </c>
    </row>
    <row r="34" spans="1:13" hidden="1" x14ac:dyDescent="0.25">
      <c r="A34" s="8">
        <v>10079494</v>
      </c>
      <c r="B34" s="8" t="s">
        <v>31</v>
      </c>
      <c r="C34" s="9" t="s">
        <v>29</v>
      </c>
      <c r="D34" s="10" t="s">
        <v>30</v>
      </c>
      <c r="E34" s="11">
        <v>6511</v>
      </c>
      <c r="F34" s="11"/>
      <c r="G34" s="11">
        <v>39042</v>
      </c>
      <c r="H34" s="11" t="s">
        <v>66</v>
      </c>
      <c r="I34" s="12">
        <v>3417</v>
      </c>
      <c r="J34" s="12" t="str">
        <f t="shared" si="0"/>
        <v>34176511</v>
      </c>
      <c r="K34" s="7" t="s">
        <v>12</v>
      </c>
      <c r="L34" s="13"/>
      <c r="M34" s="7" t="s">
        <v>13</v>
      </c>
    </row>
    <row r="35" spans="1:13" hidden="1" x14ac:dyDescent="0.25">
      <c r="A35" s="8">
        <v>10079471</v>
      </c>
      <c r="B35" s="8" t="s">
        <v>31</v>
      </c>
      <c r="C35" s="9" t="s">
        <v>29</v>
      </c>
      <c r="D35" s="10" t="s">
        <v>30</v>
      </c>
      <c r="E35" s="11">
        <v>4837</v>
      </c>
      <c r="F35" s="11"/>
      <c r="G35" s="11">
        <v>36874</v>
      </c>
      <c r="H35" s="11" t="s">
        <v>64</v>
      </c>
      <c r="I35" s="12">
        <v>3417</v>
      </c>
      <c r="J35" s="12" t="str">
        <f t="shared" si="0"/>
        <v>34174837</v>
      </c>
      <c r="K35" s="7" t="s">
        <v>12</v>
      </c>
      <c r="L35" s="13"/>
      <c r="M35" s="7" t="s">
        <v>13</v>
      </c>
    </row>
    <row r="36" spans="1:13" hidden="1" x14ac:dyDescent="0.25">
      <c r="A36" s="8">
        <v>10079446</v>
      </c>
      <c r="B36" s="8" t="s">
        <v>31</v>
      </c>
      <c r="C36" s="9" t="s">
        <v>19</v>
      </c>
      <c r="D36" s="10" t="s">
        <v>30</v>
      </c>
      <c r="E36" s="11">
        <v>6329</v>
      </c>
      <c r="F36" s="11"/>
      <c r="G36" s="11">
        <v>13796</v>
      </c>
      <c r="H36" s="11" t="s">
        <v>75</v>
      </c>
      <c r="I36" s="12">
        <v>2372</v>
      </c>
      <c r="J36" s="12" t="str">
        <f t="shared" si="0"/>
        <v>23726329</v>
      </c>
      <c r="K36" s="7" t="s">
        <v>12</v>
      </c>
      <c r="L36" s="13"/>
      <c r="M36" s="7" t="s">
        <v>13</v>
      </c>
    </row>
    <row r="37" spans="1:13" hidden="1" x14ac:dyDescent="0.25">
      <c r="A37" s="8">
        <v>10078998</v>
      </c>
      <c r="B37" s="8" t="s">
        <v>31</v>
      </c>
      <c r="C37" s="9" t="s">
        <v>10</v>
      </c>
      <c r="D37" s="10" t="s">
        <v>30</v>
      </c>
      <c r="E37" s="11">
        <v>3045</v>
      </c>
      <c r="F37" s="11"/>
      <c r="G37" s="11">
        <v>24705</v>
      </c>
      <c r="H37" s="11" t="s">
        <v>60</v>
      </c>
      <c r="I37" s="12">
        <v>1040</v>
      </c>
      <c r="J37" s="12" t="str">
        <f t="shared" si="0"/>
        <v>10403045</v>
      </c>
      <c r="K37" s="7" t="s">
        <v>12</v>
      </c>
      <c r="L37" s="13"/>
      <c r="M37" s="7" t="s">
        <v>13</v>
      </c>
    </row>
    <row r="38" spans="1:13" hidden="1" x14ac:dyDescent="0.25">
      <c r="A38" s="8">
        <v>10078850</v>
      </c>
      <c r="B38" s="8" t="s">
        <v>31</v>
      </c>
      <c r="C38" s="9" t="s">
        <v>10</v>
      </c>
      <c r="D38" s="10" t="s">
        <v>16</v>
      </c>
      <c r="E38" s="11">
        <v>2109</v>
      </c>
      <c r="F38" s="11"/>
      <c r="G38" s="11">
        <v>40490</v>
      </c>
      <c r="H38" s="11" t="s">
        <v>63</v>
      </c>
      <c r="I38" s="12">
        <v>1040</v>
      </c>
      <c r="J38" s="12" t="str">
        <f t="shared" si="0"/>
        <v>10402109</v>
      </c>
      <c r="K38" s="7" t="s">
        <v>12</v>
      </c>
      <c r="L38" s="13"/>
      <c r="M38" s="7" t="s">
        <v>13</v>
      </c>
    </row>
    <row r="39" spans="1:13" hidden="1" x14ac:dyDescent="0.25">
      <c r="A39" s="8">
        <v>10078849</v>
      </c>
      <c r="B39" s="8" t="s">
        <v>31</v>
      </c>
      <c r="C39" s="9" t="s">
        <v>29</v>
      </c>
      <c r="D39" s="10" t="s">
        <v>30</v>
      </c>
      <c r="E39" s="11">
        <v>7431</v>
      </c>
      <c r="F39" s="11"/>
      <c r="G39" s="11">
        <v>27845</v>
      </c>
      <c r="H39" s="11" t="s">
        <v>57</v>
      </c>
      <c r="I39" s="12">
        <v>3417</v>
      </c>
      <c r="J39" s="12" t="str">
        <f t="shared" si="0"/>
        <v>34177431</v>
      </c>
      <c r="K39" s="7" t="s">
        <v>12</v>
      </c>
      <c r="L39" s="13"/>
      <c r="M39" s="7" t="s">
        <v>13</v>
      </c>
    </row>
    <row r="40" spans="1:13" s="32" customFormat="1" x14ac:dyDescent="0.25">
      <c r="A40" s="32">
        <v>10078741</v>
      </c>
      <c r="B40" s="32" t="s">
        <v>31</v>
      </c>
      <c r="C40" s="32" t="s">
        <v>25</v>
      </c>
      <c r="D40" s="32" t="s">
        <v>30</v>
      </c>
      <c r="E40" s="32">
        <v>4202</v>
      </c>
      <c r="G40" s="32">
        <v>2008507</v>
      </c>
      <c r="H40" s="32" t="s">
        <v>74</v>
      </c>
      <c r="I40" s="32" t="s">
        <v>53</v>
      </c>
      <c r="J40" s="32" t="s">
        <v>93</v>
      </c>
      <c r="K40" s="32" t="s">
        <v>12</v>
      </c>
      <c r="M40" s="32" t="s">
        <v>13</v>
      </c>
    </row>
    <row r="41" spans="1:13" s="32" customFormat="1" x14ac:dyDescent="0.25">
      <c r="A41" s="32">
        <v>10044730</v>
      </c>
      <c r="B41" s="32" t="s">
        <v>34</v>
      </c>
      <c r="C41" s="32" t="s">
        <v>25</v>
      </c>
      <c r="E41" s="32">
        <v>3520</v>
      </c>
      <c r="G41" s="32">
        <v>1090137</v>
      </c>
      <c r="H41" s="32" t="s">
        <v>64</v>
      </c>
      <c r="I41" s="32" t="s">
        <v>53</v>
      </c>
      <c r="J41" s="32" t="s">
        <v>94</v>
      </c>
      <c r="K41" s="32" t="s">
        <v>12</v>
      </c>
      <c r="M41" s="32" t="s">
        <v>13</v>
      </c>
    </row>
    <row r="42" spans="1:13" s="32" customFormat="1" x14ac:dyDescent="0.25">
      <c r="A42" s="32">
        <v>10075937</v>
      </c>
      <c r="C42" s="32" t="s">
        <v>25</v>
      </c>
      <c r="D42" s="32" t="s">
        <v>20</v>
      </c>
      <c r="E42" s="32">
        <v>3352</v>
      </c>
      <c r="G42" s="32">
        <v>1020401</v>
      </c>
      <c r="H42" s="32" t="s">
        <v>59</v>
      </c>
      <c r="I42" s="32" t="s">
        <v>53</v>
      </c>
      <c r="J42" s="32" t="s">
        <v>95</v>
      </c>
      <c r="K42" s="32" t="s">
        <v>12</v>
      </c>
      <c r="M42" s="32" t="s">
        <v>13</v>
      </c>
    </row>
    <row r="43" spans="1:13" s="32" customFormat="1" x14ac:dyDescent="0.25">
      <c r="A43" s="32">
        <v>10061775</v>
      </c>
      <c r="C43" s="32" t="s">
        <v>51</v>
      </c>
      <c r="D43" s="32" t="s">
        <v>20</v>
      </c>
      <c r="E43" s="32">
        <v>4468</v>
      </c>
      <c r="G43" s="32">
        <v>1084263</v>
      </c>
      <c r="H43" s="32" t="s">
        <v>63</v>
      </c>
      <c r="I43" s="32" t="s">
        <v>53</v>
      </c>
      <c r="J43" s="32" t="s">
        <v>96</v>
      </c>
      <c r="K43" s="32" t="s">
        <v>12</v>
      </c>
      <c r="M43" s="32" t="s">
        <v>13</v>
      </c>
    </row>
    <row r="44" spans="1:13" s="32" customFormat="1" x14ac:dyDescent="0.25">
      <c r="A44" s="26">
        <v>10078557</v>
      </c>
      <c r="B44" s="26" t="s">
        <v>27</v>
      </c>
      <c r="C44" s="27" t="s">
        <v>10</v>
      </c>
      <c r="D44" s="28" t="s">
        <v>16</v>
      </c>
      <c r="E44" s="29">
        <v>3197</v>
      </c>
      <c r="F44" s="29"/>
      <c r="G44" s="29">
        <v>20390</v>
      </c>
      <c r="H44" s="29" t="s">
        <v>64</v>
      </c>
      <c r="I44" s="27">
        <v>1040</v>
      </c>
      <c r="J44" s="27" t="str">
        <f t="shared" ref="J44:J75" si="1">I44&amp;E44</f>
        <v>10403197</v>
      </c>
      <c r="K44" s="31" t="s">
        <v>12</v>
      </c>
      <c r="L44" s="26"/>
      <c r="M44" s="31" t="s">
        <v>13</v>
      </c>
    </row>
    <row r="45" spans="1:13" hidden="1" x14ac:dyDescent="0.25">
      <c r="A45" s="8">
        <v>10078519</v>
      </c>
      <c r="B45" s="8" t="s">
        <v>31</v>
      </c>
      <c r="C45" s="9" t="s">
        <v>29</v>
      </c>
      <c r="D45" s="10" t="s">
        <v>30</v>
      </c>
      <c r="E45" s="11">
        <v>8032</v>
      </c>
      <c r="F45" s="11"/>
      <c r="G45" s="11">
        <v>47879</v>
      </c>
      <c r="H45" s="11" t="s">
        <v>64</v>
      </c>
      <c r="I45" s="12">
        <v>3417</v>
      </c>
      <c r="J45" s="12" t="str">
        <f t="shared" si="1"/>
        <v>34178032</v>
      </c>
      <c r="K45" s="7" t="s">
        <v>12</v>
      </c>
      <c r="L45" s="13"/>
      <c r="M45" s="7" t="s">
        <v>13</v>
      </c>
    </row>
    <row r="46" spans="1:13" hidden="1" x14ac:dyDescent="0.25">
      <c r="A46" s="8">
        <v>10078518</v>
      </c>
      <c r="B46" s="8" t="s">
        <v>31</v>
      </c>
      <c r="C46" s="9" t="s">
        <v>10</v>
      </c>
      <c r="D46" s="10" t="s">
        <v>16</v>
      </c>
      <c r="E46" s="11">
        <v>3197</v>
      </c>
      <c r="F46" s="11"/>
      <c r="G46" s="11">
        <v>2856</v>
      </c>
      <c r="H46" s="11" t="s">
        <v>63</v>
      </c>
      <c r="I46" s="12">
        <v>1040</v>
      </c>
      <c r="J46" s="12" t="str">
        <f t="shared" si="1"/>
        <v>10403197</v>
      </c>
      <c r="K46" s="7" t="s">
        <v>12</v>
      </c>
      <c r="L46" s="13"/>
      <c r="M46" s="7" t="s">
        <v>13</v>
      </c>
    </row>
    <row r="47" spans="1:13" hidden="1" x14ac:dyDescent="0.25">
      <c r="A47" s="8">
        <v>10078417</v>
      </c>
      <c r="B47" s="8" t="s">
        <v>27</v>
      </c>
      <c r="C47" s="9" t="s">
        <v>29</v>
      </c>
      <c r="D47" s="10" t="s">
        <v>30</v>
      </c>
      <c r="E47" s="11">
        <v>1292</v>
      </c>
      <c r="F47" s="11"/>
      <c r="G47" s="11">
        <v>41776</v>
      </c>
      <c r="H47" s="11" t="s">
        <v>57</v>
      </c>
      <c r="I47" s="12">
        <v>3417</v>
      </c>
      <c r="J47" s="12" t="str">
        <f t="shared" si="1"/>
        <v>34171292</v>
      </c>
      <c r="K47" s="7" t="s">
        <v>12</v>
      </c>
      <c r="L47" s="13"/>
      <c r="M47" s="7" t="s">
        <v>13</v>
      </c>
    </row>
    <row r="48" spans="1:13" hidden="1" x14ac:dyDescent="0.25">
      <c r="A48" s="8">
        <v>10078414</v>
      </c>
      <c r="B48" s="8" t="s">
        <v>27</v>
      </c>
      <c r="C48" s="9" t="s">
        <v>29</v>
      </c>
      <c r="D48" s="10" t="s">
        <v>30</v>
      </c>
      <c r="E48" s="11">
        <v>7431</v>
      </c>
      <c r="F48" s="11"/>
      <c r="G48" s="11">
        <v>27008</v>
      </c>
      <c r="H48" s="11" t="s">
        <v>66</v>
      </c>
      <c r="I48" s="12">
        <v>3417</v>
      </c>
      <c r="J48" s="12" t="str">
        <f t="shared" si="1"/>
        <v>34177431</v>
      </c>
      <c r="K48" s="7" t="s">
        <v>12</v>
      </c>
      <c r="L48" s="13"/>
      <c r="M48" s="7" t="s">
        <v>13</v>
      </c>
    </row>
    <row r="49" spans="1:13" s="32" customFormat="1" x14ac:dyDescent="0.25">
      <c r="A49" s="26">
        <v>10078164</v>
      </c>
      <c r="B49" s="26" t="s">
        <v>27</v>
      </c>
      <c r="C49" s="27" t="s">
        <v>25</v>
      </c>
      <c r="D49" s="28" t="s">
        <v>30</v>
      </c>
      <c r="E49" s="33" t="s">
        <v>33</v>
      </c>
      <c r="F49" s="29"/>
      <c r="G49" s="29">
        <v>1030528</v>
      </c>
      <c r="H49" s="29" t="s">
        <v>57</v>
      </c>
      <c r="I49" s="30" t="s">
        <v>53</v>
      </c>
      <c r="J49" s="27" t="str">
        <f t="shared" si="1"/>
        <v>03300701 </v>
      </c>
      <c r="K49" s="31" t="s">
        <v>12</v>
      </c>
      <c r="L49" s="26"/>
      <c r="M49" s="31" t="s">
        <v>13</v>
      </c>
    </row>
    <row r="50" spans="1:13" hidden="1" x14ac:dyDescent="0.25">
      <c r="A50" s="8">
        <v>10077686</v>
      </c>
      <c r="B50" s="8" t="s">
        <v>27</v>
      </c>
      <c r="C50" s="9" t="s">
        <v>10</v>
      </c>
      <c r="D50" s="10" t="s">
        <v>16</v>
      </c>
      <c r="E50" s="11">
        <v>3197</v>
      </c>
      <c r="F50" s="11"/>
      <c r="G50" s="11">
        <v>23673</v>
      </c>
      <c r="H50" s="11" t="s">
        <v>55</v>
      </c>
      <c r="I50" s="12">
        <v>1040</v>
      </c>
      <c r="J50" s="12" t="str">
        <f t="shared" si="1"/>
        <v>10403197</v>
      </c>
      <c r="K50" s="7" t="s">
        <v>12</v>
      </c>
      <c r="L50" s="13"/>
      <c r="M50" s="7" t="s">
        <v>13</v>
      </c>
    </row>
    <row r="51" spans="1:13" hidden="1" x14ac:dyDescent="0.25">
      <c r="A51" s="8">
        <v>10077449</v>
      </c>
      <c r="B51" s="8" t="s">
        <v>31</v>
      </c>
      <c r="C51" s="9" t="s">
        <v>29</v>
      </c>
      <c r="D51" s="10" t="s">
        <v>30</v>
      </c>
      <c r="E51" s="11">
        <v>7649</v>
      </c>
      <c r="F51" s="11"/>
      <c r="G51" s="11">
        <v>34699</v>
      </c>
      <c r="H51" s="11" t="s">
        <v>57</v>
      </c>
      <c r="I51" s="12">
        <v>3417</v>
      </c>
      <c r="J51" s="12" t="str">
        <f t="shared" si="1"/>
        <v>34177649</v>
      </c>
      <c r="K51" s="7" t="s">
        <v>12</v>
      </c>
      <c r="L51" s="13"/>
      <c r="M51" s="7" t="s">
        <v>13</v>
      </c>
    </row>
    <row r="52" spans="1:13" hidden="1" x14ac:dyDescent="0.25">
      <c r="A52" s="8">
        <v>10076917</v>
      </c>
      <c r="B52" s="8" t="s">
        <v>27</v>
      </c>
      <c r="C52" s="9" t="s">
        <v>29</v>
      </c>
      <c r="D52" s="10" t="s">
        <v>30</v>
      </c>
      <c r="E52" s="11">
        <v>6317</v>
      </c>
      <c r="F52" s="11"/>
      <c r="G52" s="11">
        <v>38257</v>
      </c>
      <c r="H52" s="11" t="s">
        <v>64</v>
      </c>
      <c r="I52" s="12">
        <v>3417</v>
      </c>
      <c r="J52" s="12" t="str">
        <f t="shared" si="1"/>
        <v>34176317</v>
      </c>
      <c r="K52" s="7" t="s">
        <v>12</v>
      </c>
      <c r="L52" s="13"/>
      <c r="M52" s="7" t="s">
        <v>13</v>
      </c>
    </row>
    <row r="53" spans="1:13" hidden="1" x14ac:dyDescent="0.25">
      <c r="A53" s="8">
        <v>10076702</v>
      </c>
      <c r="B53" s="8" t="s">
        <v>31</v>
      </c>
      <c r="C53" s="9" t="s">
        <v>29</v>
      </c>
      <c r="D53" s="10" t="s">
        <v>30</v>
      </c>
      <c r="E53" s="11">
        <v>1292</v>
      </c>
      <c r="F53" s="11"/>
      <c r="G53" s="11">
        <v>41761</v>
      </c>
      <c r="H53" s="11" t="s">
        <v>59</v>
      </c>
      <c r="I53" s="12">
        <v>3417</v>
      </c>
      <c r="J53" s="12" t="str">
        <f t="shared" si="1"/>
        <v>34171292</v>
      </c>
      <c r="K53" s="7" t="s">
        <v>12</v>
      </c>
      <c r="L53" s="13"/>
      <c r="M53" s="7" t="s">
        <v>13</v>
      </c>
    </row>
    <row r="54" spans="1:13" hidden="1" x14ac:dyDescent="0.25">
      <c r="A54" s="8">
        <v>10076643</v>
      </c>
      <c r="B54" s="8" t="s">
        <v>27</v>
      </c>
      <c r="C54" s="9" t="s">
        <v>29</v>
      </c>
      <c r="D54" s="10" t="s">
        <v>30</v>
      </c>
      <c r="E54" s="23" t="s">
        <v>85</v>
      </c>
      <c r="F54" s="11"/>
      <c r="G54" s="11">
        <v>44617</v>
      </c>
      <c r="H54" s="11" t="s">
        <v>60</v>
      </c>
      <c r="I54" s="12">
        <v>3417</v>
      </c>
      <c r="J54" s="12" t="str">
        <f t="shared" si="1"/>
        <v>34170026</v>
      </c>
      <c r="K54" s="7" t="s">
        <v>12</v>
      </c>
      <c r="L54" s="13"/>
      <c r="M54" s="7" t="s">
        <v>13</v>
      </c>
    </row>
    <row r="55" spans="1:13" hidden="1" x14ac:dyDescent="0.25">
      <c r="A55" s="8">
        <v>10075476</v>
      </c>
      <c r="B55" s="16" t="s">
        <v>27</v>
      </c>
      <c r="C55" s="9" t="s">
        <v>29</v>
      </c>
      <c r="D55" s="10" t="s">
        <v>30</v>
      </c>
      <c r="E55" s="11">
        <v>4053</v>
      </c>
      <c r="F55" s="11"/>
      <c r="G55" s="11">
        <v>9498</v>
      </c>
      <c r="H55" s="11" t="s">
        <v>58</v>
      </c>
      <c r="I55" s="12">
        <v>3417</v>
      </c>
      <c r="J55" s="12" t="str">
        <f t="shared" si="1"/>
        <v>34174053</v>
      </c>
      <c r="K55" s="7" t="s">
        <v>12</v>
      </c>
      <c r="L55" s="13"/>
      <c r="M55" s="7" t="s">
        <v>13</v>
      </c>
    </row>
    <row r="56" spans="1:13" hidden="1" x14ac:dyDescent="0.25">
      <c r="A56" s="8">
        <v>10075008</v>
      </c>
      <c r="B56" s="8" t="s">
        <v>27</v>
      </c>
      <c r="C56" s="9" t="s">
        <v>10</v>
      </c>
      <c r="D56" s="10" t="s">
        <v>16</v>
      </c>
      <c r="E56" s="11">
        <v>1600</v>
      </c>
      <c r="F56" s="11"/>
      <c r="G56" s="11">
        <v>58697</v>
      </c>
      <c r="H56" s="11" t="s">
        <v>61</v>
      </c>
      <c r="I56" s="12">
        <v>1040</v>
      </c>
      <c r="J56" s="12" t="str">
        <f t="shared" si="1"/>
        <v>10401600</v>
      </c>
      <c r="K56" s="7" t="s">
        <v>12</v>
      </c>
      <c r="L56" s="13"/>
      <c r="M56" s="7" t="s">
        <v>13</v>
      </c>
    </row>
    <row r="57" spans="1:13" hidden="1" x14ac:dyDescent="0.25">
      <c r="A57" s="8">
        <v>10074215</v>
      </c>
      <c r="B57" s="8" t="s">
        <v>31</v>
      </c>
      <c r="C57" s="9" t="s">
        <v>29</v>
      </c>
      <c r="D57" s="10" t="s">
        <v>30</v>
      </c>
      <c r="E57" s="11">
        <v>7431</v>
      </c>
      <c r="F57" s="11"/>
      <c r="G57" s="11">
        <v>26389</v>
      </c>
      <c r="H57" s="11" t="s">
        <v>73</v>
      </c>
      <c r="I57" s="12">
        <v>3417</v>
      </c>
      <c r="J57" s="12" t="str">
        <f t="shared" si="1"/>
        <v>34177431</v>
      </c>
      <c r="K57" s="7" t="s">
        <v>12</v>
      </c>
      <c r="L57" s="13"/>
      <c r="M57" s="7" t="s">
        <v>13</v>
      </c>
    </row>
    <row r="58" spans="1:13" hidden="1" x14ac:dyDescent="0.25">
      <c r="A58" s="8">
        <v>10073496</v>
      </c>
      <c r="B58" s="8" t="s">
        <v>27</v>
      </c>
      <c r="C58" s="9" t="s">
        <v>14</v>
      </c>
      <c r="D58" s="10" t="s">
        <v>30</v>
      </c>
      <c r="E58" s="11">
        <v>2766</v>
      </c>
      <c r="F58" s="11"/>
      <c r="G58" s="11">
        <v>38444</v>
      </c>
      <c r="H58" s="11" t="s">
        <v>72</v>
      </c>
      <c r="I58" s="14" t="s">
        <v>52</v>
      </c>
      <c r="J58" s="12" t="str">
        <f t="shared" si="1"/>
        <v>00192766</v>
      </c>
      <c r="K58" s="7" t="s">
        <v>12</v>
      </c>
      <c r="L58" s="13"/>
      <c r="M58" s="7" t="s">
        <v>13</v>
      </c>
    </row>
    <row r="59" spans="1:13" hidden="1" x14ac:dyDescent="0.25">
      <c r="A59" s="8">
        <v>10073305</v>
      </c>
      <c r="B59" s="8" t="s">
        <v>31</v>
      </c>
      <c r="C59" s="9" t="s">
        <v>29</v>
      </c>
      <c r="D59" s="10" t="s">
        <v>30</v>
      </c>
      <c r="E59" s="23" t="s">
        <v>88</v>
      </c>
      <c r="F59" s="11"/>
      <c r="G59" s="11">
        <v>518419</v>
      </c>
      <c r="H59" s="11" t="s">
        <v>60</v>
      </c>
      <c r="I59" s="12">
        <v>3417</v>
      </c>
      <c r="J59" s="12" t="str">
        <f t="shared" si="1"/>
        <v>34170162</v>
      </c>
      <c r="K59" s="7" t="s">
        <v>12</v>
      </c>
      <c r="L59" s="13"/>
      <c r="M59" s="7" t="s">
        <v>13</v>
      </c>
    </row>
    <row r="60" spans="1:13" hidden="1" x14ac:dyDescent="0.25">
      <c r="A60" s="8">
        <v>10072089</v>
      </c>
      <c r="B60" s="8" t="s">
        <v>31</v>
      </c>
      <c r="C60" s="9" t="s">
        <v>10</v>
      </c>
      <c r="D60" s="10" t="s">
        <v>30</v>
      </c>
      <c r="E60" s="11">
        <v>1189</v>
      </c>
      <c r="F60" s="11"/>
      <c r="G60" s="11">
        <v>41930</v>
      </c>
      <c r="H60" s="11" t="s">
        <v>64</v>
      </c>
      <c r="I60" s="12">
        <v>1040</v>
      </c>
      <c r="J60" s="12" t="str">
        <f t="shared" si="1"/>
        <v>10401189</v>
      </c>
      <c r="K60" s="7" t="s">
        <v>12</v>
      </c>
      <c r="L60" s="13"/>
      <c r="M60" s="7" t="s">
        <v>13</v>
      </c>
    </row>
    <row r="61" spans="1:13" hidden="1" x14ac:dyDescent="0.25">
      <c r="A61" s="8">
        <v>10071701</v>
      </c>
      <c r="B61" s="8" t="s">
        <v>31</v>
      </c>
      <c r="C61" s="9" t="s">
        <v>10</v>
      </c>
      <c r="D61" s="10" t="s">
        <v>30</v>
      </c>
      <c r="E61" s="11">
        <v>2209</v>
      </c>
      <c r="F61" s="11"/>
      <c r="G61" s="11">
        <v>62460</v>
      </c>
      <c r="H61" s="11" t="s">
        <v>57</v>
      </c>
      <c r="I61" s="12">
        <v>1040</v>
      </c>
      <c r="J61" s="12" t="str">
        <f t="shared" si="1"/>
        <v>10402209</v>
      </c>
      <c r="K61" s="7" t="s">
        <v>12</v>
      </c>
      <c r="L61" s="13"/>
      <c r="M61" s="7" t="s">
        <v>13</v>
      </c>
    </row>
    <row r="62" spans="1:13" hidden="1" x14ac:dyDescent="0.25">
      <c r="A62" s="8">
        <v>10071346</v>
      </c>
      <c r="B62" s="8" t="s">
        <v>31</v>
      </c>
      <c r="C62" s="9" t="s">
        <v>29</v>
      </c>
      <c r="D62" s="10" t="s">
        <v>30</v>
      </c>
      <c r="E62" s="11">
        <v>2866</v>
      </c>
      <c r="F62" s="11"/>
      <c r="G62" s="11">
        <v>1798</v>
      </c>
      <c r="H62" s="11" t="s">
        <v>64</v>
      </c>
      <c r="I62" s="12">
        <v>3417</v>
      </c>
      <c r="J62" s="12" t="str">
        <f t="shared" si="1"/>
        <v>34172866</v>
      </c>
      <c r="K62" s="7" t="s">
        <v>12</v>
      </c>
      <c r="L62" s="13"/>
      <c r="M62" s="7" t="s">
        <v>13</v>
      </c>
    </row>
    <row r="63" spans="1:13" hidden="1" x14ac:dyDescent="0.25">
      <c r="A63" s="8">
        <v>10062082</v>
      </c>
      <c r="B63" s="8" t="s">
        <v>31</v>
      </c>
      <c r="C63" s="9" t="s">
        <v>29</v>
      </c>
      <c r="D63" s="10" t="s">
        <v>30</v>
      </c>
      <c r="E63" s="11">
        <v>2866</v>
      </c>
      <c r="F63" s="11"/>
      <c r="G63" s="11">
        <v>7022</v>
      </c>
      <c r="H63" s="11" t="s">
        <v>66</v>
      </c>
      <c r="I63" s="12">
        <v>3417</v>
      </c>
      <c r="J63" s="12" t="str">
        <f t="shared" si="1"/>
        <v>34172866</v>
      </c>
      <c r="K63" s="7" t="s">
        <v>12</v>
      </c>
      <c r="L63" s="13"/>
      <c r="M63" s="7" t="s">
        <v>13</v>
      </c>
    </row>
    <row r="64" spans="1:13" hidden="1" x14ac:dyDescent="0.25">
      <c r="A64" s="8">
        <v>10061999</v>
      </c>
      <c r="B64" s="8" t="s">
        <v>31</v>
      </c>
      <c r="C64" s="9" t="s">
        <v>29</v>
      </c>
      <c r="D64" s="10" t="s">
        <v>30</v>
      </c>
      <c r="E64" s="11">
        <v>8551</v>
      </c>
      <c r="F64" s="11"/>
      <c r="G64" s="11">
        <v>20322</v>
      </c>
      <c r="H64" s="11" t="s">
        <v>63</v>
      </c>
      <c r="I64" s="12">
        <v>3417</v>
      </c>
      <c r="J64" s="12" t="str">
        <f t="shared" si="1"/>
        <v>34178551</v>
      </c>
      <c r="K64" s="7" t="s">
        <v>12</v>
      </c>
      <c r="L64" s="13"/>
      <c r="M64" s="7" t="s">
        <v>13</v>
      </c>
    </row>
    <row r="65" spans="1:13" hidden="1" x14ac:dyDescent="0.25">
      <c r="A65" s="8">
        <v>10061993</v>
      </c>
      <c r="B65" s="8" t="s">
        <v>31</v>
      </c>
      <c r="C65" s="9" t="s">
        <v>14</v>
      </c>
      <c r="D65" s="10" t="s">
        <v>30</v>
      </c>
      <c r="E65" s="11">
        <v>1962</v>
      </c>
      <c r="F65" s="11"/>
      <c r="G65" s="11">
        <v>43493</v>
      </c>
      <c r="H65" s="11" t="s">
        <v>71</v>
      </c>
      <c r="I65" s="14" t="s">
        <v>52</v>
      </c>
      <c r="J65" s="12" t="str">
        <f t="shared" si="1"/>
        <v>00191962</v>
      </c>
      <c r="K65" s="7" t="s">
        <v>12</v>
      </c>
      <c r="L65" s="13"/>
      <c r="M65" s="7" t="s">
        <v>13</v>
      </c>
    </row>
    <row r="66" spans="1:13" hidden="1" x14ac:dyDescent="0.25">
      <c r="A66" s="8">
        <v>10061696</v>
      </c>
      <c r="B66" s="8" t="s">
        <v>27</v>
      </c>
      <c r="C66" s="9" t="s">
        <v>29</v>
      </c>
      <c r="D66" s="10" t="s">
        <v>30</v>
      </c>
      <c r="E66" s="11">
        <v>9895</v>
      </c>
      <c r="F66" s="11"/>
      <c r="G66" s="11">
        <v>80900</v>
      </c>
      <c r="H66" s="11" t="s">
        <v>70</v>
      </c>
      <c r="I66" s="12">
        <v>3417</v>
      </c>
      <c r="J66" s="12" t="str">
        <f t="shared" si="1"/>
        <v>34179895</v>
      </c>
      <c r="K66" s="7" t="s">
        <v>12</v>
      </c>
      <c r="L66" s="13"/>
      <c r="M66" s="7" t="s">
        <v>13</v>
      </c>
    </row>
    <row r="67" spans="1:13" hidden="1" x14ac:dyDescent="0.25">
      <c r="A67" s="8">
        <v>10061653</v>
      </c>
      <c r="B67" s="8" t="s">
        <v>27</v>
      </c>
      <c r="C67" s="9" t="s">
        <v>29</v>
      </c>
      <c r="D67" s="10" t="s">
        <v>30</v>
      </c>
      <c r="E67" s="11">
        <v>2523</v>
      </c>
      <c r="F67" s="11"/>
      <c r="G67" s="11">
        <v>2345</v>
      </c>
      <c r="H67" s="11" t="s">
        <v>57</v>
      </c>
      <c r="I67" s="12">
        <v>3417</v>
      </c>
      <c r="J67" s="12" t="str">
        <f t="shared" si="1"/>
        <v>34172523</v>
      </c>
      <c r="K67" s="7" t="s">
        <v>12</v>
      </c>
      <c r="L67" s="13"/>
      <c r="M67" s="7" t="s">
        <v>13</v>
      </c>
    </row>
    <row r="68" spans="1:13" hidden="1" x14ac:dyDescent="0.25">
      <c r="A68" s="8">
        <v>10053522</v>
      </c>
      <c r="B68" s="8" t="s">
        <v>27</v>
      </c>
      <c r="C68" s="9" t="s">
        <v>29</v>
      </c>
      <c r="D68" s="10" t="s">
        <v>30</v>
      </c>
      <c r="E68" s="11">
        <v>6511</v>
      </c>
      <c r="F68" s="11"/>
      <c r="G68" s="11">
        <v>34729</v>
      </c>
      <c r="H68" s="11" t="s">
        <v>59</v>
      </c>
      <c r="I68" s="12">
        <v>3417</v>
      </c>
      <c r="J68" s="12" t="str">
        <f t="shared" si="1"/>
        <v>34176511</v>
      </c>
      <c r="K68" s="7" t="s">
        <v>12</v>
      </c>
      <c r="L68" s="13"/>
      <c r="M68" s="7" t="s">
        <v>13</v>
      </c>
    </row>
    <row r="69" spans="1:13" hidden="1" x14ac:dyDescent="0.25">
      <c r="A69" s="8">
        <v>10052552</v>
      </c>
      <c r="B69" s="8" t="s">
        <v>27</v>
      </c>
      <c r="C69" s="9" t="s">
        <v>10</v>
      </c>
      <c r="D69" s="10" t="s">
        <v>16</v>
      </c>
      <c r="E69" s="11">
        <v>1600</v>
      </c>
      <c r="F69" s="11"/>
      <c r="G69" s="11">
        <v>48396</v>
      </c>
      <c r="H69" s="11" t="s">
        <v>55</v>
      </c>
      <c r="I69" s="12">
        <v>1040</v>
      </c>
      <c r="J69" s="12" t="str">
        <f t="shared" si="1"/>
        <v>10401600</v>
      </c>
      <c r="K69" s="7" t="s">
        <v>12</v>
      </c>
      <c r="L69" s="13"/>
      <c r="M69" s="7" t="s">
        <v>13</v>
      </c>
    </row>
    <row r="70" spans="1:13" hidden="1" x14ac:dyDescent="0.25">
      <c r="A70" s="8">
        <v>10052507</v>
      </c>
      <c r="B70" s="8" t="s">
        <v>27</v>
      </c>
      <c r="C70" s="9" t="s">
        <v>10</v>
      </c>
      <c r="D70" s="10" t="s">
        <v>16</v>
      </c>
      <c r="E70" s="11">
        <v>2109</v>
      </c>
      <c r="F70" s="11"/>
      <c r="G70" s="11">
        <v>24667</v>
      </c>
      <c r="H70" s="11" t="s">
        <v>58</v>
      </c>
      <c r="I70" s="12">
        <v>1040</v>
      </c>
      <c r="J70" s="12" t="str">
        <f t="shared" si="1"/>
        <v>10402109</v>
      </c>
      <c r="K70" s="7" t="s">
        <v>12</v>
      </c>
      <c r="L70" s="13"/>
      <c r="M70" s="7" t="s">
        <v>13</v>
      </c>
    </row>
    <row r="71" spans="1:13" hidden="1" x14ac:dyDescent="0.25">
      <c r="A71" s="8">
        <v>10052205</v>
      </c>
      <c r="B71" s="8" t="s">
        <v>31</v>
      </c>
      <c r="C71" s="9" t="s">
        <v>10</v>
      </c>
      <c r="D71" s="10" t="s">
        <v>16</v>
      </c>
      <c r="E71" s="11">
        <v>2951</v>
      </c>
      <c r="F71" s="11"/>
      <c r="G71" s="11">
        <v>60978</v>
      </c>
      <c r="H71" s="11" t="s">
        <v>63</v>
      </c>
      <c r="I71" s="12">
        <v>1040</v>
      </c>
      <c r="J71" s="12" t="str">
        <f t="shared" si="1"/>
        <v>10402951</v>
      </c>
      <c r="K71" s="7" t="s">
        <v>12</v>
      </c>
      <c r="L71" s="13"/>
      <c r="M71" s="7" t="s">
        <v>13</v>
      </c>
    </row>
    <row r="72" spans="1:13" s="32" customFormat="1" x14ac:dyDescent="0.25">
      <c r="A72" s="26">
        <v>10052115</v>
      </c>
      <c r="B72" s="26" t="s">
        <v>31</v>
      </c>
      <c r="C72" s="27" t="s">
        <v>25</v>
      </c>
      <c r="D72" s="28" t="s">
        <v>30</v>
      </c>
      <c r="E72" s="33" t="s">
        <v>89</v>
      </c>
      <c r="F72" s="29"/>
      <c r="G72" s="29">
        <v>1098241</v>
      </c>
      <c r="H72" s="29" t="s">
        <v>64</v>
      </c>
      <c r="I72" s="30" t="s">
        <v>53</v>
      </c>
      <c r="J72" s="27" t="str">
        <f t="shared" si="1"/>
        <v>03300040</v>
      </c>
      <c r="K72" s="31" t="s">
        <v>12</v>
      </c>
      <c r="L72" s="26"/>
      <c r="M72" s="31" t="s">
        <v>13</v>
      </c>
    </row>
    <row r="73" spans="1:13" hidden="1" x14ac:dyDescent="0.25">
      <c r="A73" s="8">
        <v>10051938</v>
      </c>
      <c r="B73" s="8" t="s">
        <v>31</v>
      </c>
      <c r="C73" s="9" t="s">
        <v>29</v>
      </c>
      <c r="D73" s="10" t="s">
        <v>20</v>
      </c>
      <c r="E73" s="11">
        <v>1292</v>
      </c>
      <c r="F73" s="11"/>
      <c r="G73" s="12">
        <v>39854</v>
      </c>
      <c r="H73" s="11" t="s">
        <v>63</v>
      </c>
      <c r="I73" s="12">
        <v>3417</v>
      </c>
      <c r="J73" s="12" t="str">
        <f t="shared" si="1"/>
        <v>34171292</v>
      </c>
      <c r="K73" s="7" t="s">
        <v>12</v>
      </c>
      <c r="L73" s="13"/>
      <c r="M73" s="7" t="s">
        <v>13</v>
      </c>
    </row>
    <row r="74" spans="1:13" hidden="1" x14ac:dyDescent="0.25">
      <c r="A74" s="8">
        <v>10051886</v>
      </c>
      <c r="B74" s="8" t="s">
        <v>31</v>
      </c>
      <c r="C74" s="9" t="s">
        <v>19</v>
      </c>
      <c r="D74" s="10" t="s">
        <v>30</v>
      </c>
      <c r="E74" s="11">
        <v>1749</v>
      </c>
      <c r="F74" s="11"/>
      <c r="G74" s="11">
        <v>94590</v>
      </c>
      <c r="H74" s="11" t="s">
        <v>63</v>
      </c>
      <c r="I74" s="12">
        <v>2372</v>
      </c>
      <c r="J74" s="12" t="str">
        <f t="shared" si="1"/>
        <v>23721749</v>
      </c>
      <c r="K74" s="7" t="s">
        <v>12</v>
      </c>
      <c r="L74" s="13"/>
      <c r="M74" s="7" t="s">
        <v>13</v>
      </c>
    </row>
    <row r="75" spans="1:13" hidden="1" x14ac:dyDescent="0.25">
      <c r="A75" s="8">
        <v>10051138</v>
      </c>
      <c r="B75" s="8" t="s">
        <v>31</v>
      </c>
      <c r="C75" s="9" t="s">
        <v>29</v>
      </c>
      <c r="D75" s="10" t="s">
        <v>20</v>
      </c>
      <c r="E75" s="23" t="s">
        <v>88</v>
      </c>
      <c r="F75" s="11"/>
      <c r="G75" s="11">
        <v>50404</v>
      </c>
      <c r="H75" s="11" t="s">
        <v>69</v>
      </c>
      <c r="I75" s="12">
        <v>3417</v>
      </c>
      <c r="J75" s="12" t="str">
        <f t="shared" si="1"/>
        <v>34170162</v>
      </c>
      <c r="K75" s="7" t="s">
        <v>12</v>
      </c>
      <c r="L75" s="13"/>
      <c r="M75" s="7" t="s">
        <v>13</v>
      </c>
    </row>
    <row r="76" spans="1:13" hidden="1" x14ac:dyDescent="0.25">
      <c r="A76" s="8">
        <v>10050901</v>
      </c>
      <c r="B76" s="8" t="s">
        <v>31</v>
      </c>
      <c r="C76" s="9" t="s">
        <v>29</v>
      </c>
      <c r="D76" s="10" t="s">
        <v>30</v>
      </c>
      <c r="E76" s="11">
        <v>8441</v>
      </c>
      <c r="F76" s="11"/>
      <c r="G76" s="11">
        <v>17042</v>
      </c>
      <c r="H76" s="11" t="s">
        <v>59</v>
      </c>
      <c r="I76" s="12">
        <v>3417</v>
      </c>
      <c r="J76" s="12" t="str">
        <f t="shared" ref="J76:J107" si="2">I76&amp;E76</f>
        <v>34178441</v>
      </c>
      <c r="K76" s="7" t="s">
        <v>12</v>
      </c>
      <c r="L76" s="13"/>
      <c r="M76" s="7" t="s">
        <v>13</v>
      </c>
    </row>
    <row r="77" spans="1:13" hidden="1" x14ac:dyDescent="0.25">
      <c r="A77" s="8">
        <v>10049739</v>
      </c>
      <c r="B77" s="8" t="s">
        <v>31</v>
      </c>
      <c r="C77" s="9" t="s">
        <v>29</v>
      </c>
      <c r="D77" s="10" t="s">
        <v>30</v>
      </c>
      <c r="E77" s="11" t="s">
        <v>32</v>
      </c>
      <c r="F77" s="11"/>
      <c r="G77" s="11">
        <v>37961</v>
      </c>
      <c r="H77" s="11" t="s">
        <v>60</v>
      </c>
      <c r="I77" s="12">
        <v>3417</v>
      </c>
      <c r="J77" s="12" t="str">
        <f t="shared" si="2"/>
        <v>34176511 </v>
      </c>
      <c r="K77" s="7" t="s">
        <v>12</v>
      </c>
      <c r="L77" s="13"/>
      <c r="M77" s="7" t="s">
        <v>13</v>
      </c>
    </row>
    <row r="78" spans="1:13" hidden="1" x14ac:dyDescent="0.25">
      <c r="A78" s="8">
        <v>10049493</v>
      </c>
      <c r="B78" s="8" t="s">
        <v>27</v>
      </c>
      <c r="C78" s="9" t="s">
        <v>29</v>
      </c>
      <c r="D78" s="10" t="s">
        <v>30</v>
      </c>
      <c r="E78" s="11">
        <v>4837</v>
      </c>
      <c r="F78" s="11"/>
      <c r="G78" s="11">
        <v>37358</v>
      </c>
      <c r="H78" s="11" t="s">
        <v>63</v>
      </c>
      <c r="I78" s="12">
        <v>3417</v>
      </c>
      <c r="J78" s="12" t="str">
        <f t="shared" si="2"/>
        <v>34174837</v>
      </c>
      <c r="K78" s="7" t="s">
        <v>12</v>
      </c>
      <c r="L78" s="13"/>
      <c r="M78" s="7" t="s">
        <v>13</v>
      </c>
    </row>
    <row r="79" spans="1:13" s="32" customFormat="1" x14ac:dyDescent="0.25">
      <c r="A79" s="26">
        <v>10048826</v>
      </c>
      <c r="B79" s="26" t="s">
        <v>31</v>
      </c>
      <c r="C79" s="27" t="s">
        <v>25</v>
      </c>
      <c r="D79" s="28" t="s">
        <v>30</v>
      </c>
      <c r="E79" s="33" t="s">
        <v>87</v>
      </c>
      <c r="F79" s="29"/>
      <c r="G79" s="29">
        <v>1044920</v>
      </c>
      <c r="H79" s="29" t="s">
        <v>58</v>
      </c>
      <c r="I79" s="30" t="s">
        <v>53</v>
      </c>
      <c r="J79" s="27" t="str">
        <f t="shared" si="2"/>
        <v>03300344</v>
      </c>
      <c r="K79" s="31" t="s">
        <v>12</v>
      </c>
      <c r="L79" s="26"/>
      <c r="M79" s="31" t="s">
        <v>13</v>
      </c>
    </row>
    <row r="80" spans="1:13" hidden="1" x14ac:dyDescent="0.25">
      <c r="A80" s="8">
        <v>10048314</v>
      </c>
      <c r="B80" s="8" t="s">
        <v>27</v>
      </c>
      <c r="C80" s="9" t="s">
        <v>29</v>
      </c>
      <c r="D80" s="10" t="s">
        <v>30</v>
      </c>
      <c r="E80" s="11">
        <v>6511</v>
      </c>
      <c r="F80" s="11"/>
      <c r="G80" s="11">
        <v>34722</v>
      </c>
      <c r="H80" s="11" t="s">
        <v>62</v>
      </c>
      <c r="I80" s="12">
        <v>3417</v>
      </c>
      <c r="J80" s="12" t="str">
        <f t="shared" si="2"/>
        <v>34176511</v>
      </c>
      <c r="K80" s="7" t="s">
        <v>12</v>
      </c>
      <c r="L80" s="13"/>
      <c r="M80" s="7" t="s">
        <v>13</v>
      </c>
    </row>
    <row r="81" spans="1:13" hidden="1" x14ac:dyDescent="0.25">
      <c r="A81" s="8">
        <v>10047082</v>
      </c>
      <c r="B81" s="8" t="s">
        <v>31</v>
      </c>
      <c r="C81" s="9" t="s">
        <v>29</v>
      </c>
      <c r="D81" s="10" t="s">
        <v>30</v>
      </c>
      <c r="E81" s="11">
        <v>2523</v>
      </c>
      <c r="F81" s="11"/>
      <c r="G81" s="11">
        <v>2336</v>
      </c>
      <c r="H81" s="11" t="s">
        <v>63</v>
      </c>
      <c r="I81" s="12">
        <v>3417</v>
      </c>
      <c r="J81" s="12" t="str">
        <f t="shared" si="2"/>
        <v>34172523</v>
      </c>
      <c r="K81" s="7" t="s">
        <v>12</v>
      </c>
      <c r="L81" s="13"/>
      <c r="M81" s="7" t="s">
        <v>13</v>
      </c>
    </row>
    <row r="82" spans="1:13" hidden="1" x14ac:dyDescent="0.25">
      <c r="A82" s="8">
        <v>10046471</v>
      </c>
      <c r="B82" s="8" t="s">
        <v>31</v>
      </c>
      <c r="C82" s="9" t="s">
        <v>29</v>
      </c>
      <c r="D82" s="10" t="s">
        <v>30</v>
      </c>
      <c r="E82" s="11">
        <v>5199</v>
      </c>
      <c r="F82" s="11"/>
      <c r="G82" s="11">
        <v>29232</v>
      </c>
      <c r="H82" s="11" t="s">
        <v>66</v>
      </c>
      <c r="I82" s="12">
        <v>3417</v>
      </c>
      <c r="J82" s="12" t="str">
        <f t="shared" si="2"/>
        <v>34175199</v>
      </c>
      <c r="K82" s="7" t="s">
        <v>12</v>
      </c>
      <c r="L82" s="13"/>
      <c r="M82" s="7" t="s">
        <v>13</v>
      </c>
    </row>
    <row r="83" spans="1:13" hidden="1" x14ac:dyDescent="0.25">
      <c r="A83" s="8">
        <v>10043608</v>
      </c>
      <c r="B83" s="8" t="s">
        <v>31</v>
      </c>
      <c r="C83" s="9" t="s">
        <v>29</v>
      </c>
      <c r="D83" s="10" t="s">
        <v>30</v>
      </c>
      <c r="E83" s="11">
        <v>8441</v>
      </c>
      <c r="F83" s="11"/>
      <c r="G83" s="11">
        <v>18548</v>
      </c>
      <c r="H83" s="11" t="s">
        <v>62</v>
      </c>
      <c r="I83" s="12">
        <v>3417</v>
      </c>
      <c r="J83" s="12" t="str">
        <f t="shared" si="2"/>
        <v>34178441</v>
      </c>
      <c r="K83" s="7" t="s">
        <v>12</v>
      </c>
      <c r="L83" s="13"/>
      <c r="M83" s="7" t="s">
        <v>13</v>
      </c>
    </row>
    <row r="84" spans="1:13" hidden="1" x14ac:dyDescent="0.25">
      <c r="A84" s="8">
        <v>10043437</v>
      </c>
      <c r="B84" s="8" t="s">
        <v>31</v>
      </c>
      <c r="C84" s="9" t="s">
        <v>29</v>
      </c>
      <c r="D84" s="10" t="s">
        <v>30</v>
      </c>
      <c r="E84" s="23" t="s">
        <v>85</v>
      </c>
      <c r="F84" s="11"/>
      <c r="G84" s="11">
        <v>60434</v>
      </c>
      <c r="H84" s="11" t="s">
        <v>62</v>
      </c>
      <c r="I84" s="12">
        <v>3417</v>
      </c>
      <c r="J84" s="12" t="str">
        <f t="shared" si="2"/>
        <v>34170026</v>
      </c>
      <c r="K84" s="7" t="s">
        <v>12</v>
      </c>
      <c r="L84" s="13"/>
      <c r="M84" s="7" t="s">
        <v>13</v>
      </c>
    </row>
    <row r="85" spans="1:13" hidden="1" x14ac:dyDescent="0.25">
      <c r="A85" s="8">
        <v>10043264</v>
      </c>
      <c r="B85" s="8" t="s">
        <v>31</v>
      </c>
      <c r="C85" s="9" t="s">
        <v>10</v>
      </c>
      <c r="D85" s="10" t="s">
        <v>16</v>
      </c>
      <c r="E85" s="23" t="s">
        <v>86</v>
      </c>
      <c r="F85" s="11"/>
      <c r="G85" s="11">
        <v>83756</v>
      </c>
      <c r="H85" s="11" t="s">
        <v>68</v>
      </c>
      <c r="I85" s="12">
        <v>1040</v>
      </c>
      <c r="J85" s="12" t="str">
        <f t="shared" si="2"/>
        <v>10400907</v>
      </c>
      <c r="K85" s="7" t="s">
        <v>12</v>
      </c>
      <c r="L85" s="13"/>
      <c r="M85" s="7" t="s">
        <v>13</v>
      </c>
    </row>
    <row r="86" spans="1:13" hidden="1" x14ac:dyDescent="0.25">
      <c r="A86" s="8">
        <v>10042744</v>
      </c>
      <c r="B86" s="8" t="s">
        <v>27</v>
      </c>
      <c r="C86" s="9" t="s">
        <v>10</v>
      </c>
      <c r="D86" s="10" t="s">
        <v>16</v>
      </c>
      <c r="E86" s="11">
        <v>4895</v>
      </c>
      <c r="F86" s="11"/>
      <c r="G86" s="11">
        <v>7958</v>
      </c>
      <c r="H86" s="11" t="s">
        <v>62</v>
      </c>
      <c r="I86" s="12">
        <v>1040</v>
      </c>
      <c r="J86" s="12" t="str">
        <f t="shared" si="2"/>
        <v>10404895</v>
      </c>
      <c r="K86" s="7" t="s">
        <v>12</v>
      </c>
      <c r="L86" s="13"/>
      <c r="M86" s="7" t="s">
        <v>13</v>
      </c>
    </row>
    <row r="87" spans="1:13" hidden="1" x14ac:dyDescent="0.25">
      <c r="A87" s="8">
        <v>10041106</v>
      </c>
      <c r="B87" s="8" t="s">
        <v>27</v>
      </c>
      <c r="C87" s="9" t="s">
        <v>29</v>
      </c>
      <c r="D87" s="10" t="s">
        <v>30</v>
      </c>
      <c r="E87" s="11">
        <v>2866</v>
      </c>
      <c r="F87" s="11"/>
      <c r="G87" s="11">
        <v>2272</v>
      </c>
      <c r="H87" s="11" t="s">
        <v>55</v>
      </c>
      <c r="I87" s="12">
        <v>3417</v>
      </c>
      <c r="J87" s="12" t="str">
        <f t="shared" si="2"/>
        <v>34172866</v>
      </c>
      <c r="K87" s="7" t="s">
        <v>12</v>
      </c>
      <c r="L87" s="13"/>
      <c r="M87" s="7" t="s">
        <v>13</v>
      </c>
    </row>
    <row r="88" spans="1:13" hidden="1" x14ac:dyDescent="0.25">
      <c r="A88" s="8">
        <v>10038258</v>
      </c>
      <c r="B88" s="8" t="s">
        <v>27</v>
      </c>
      <c r="C88" s="9" t="s">
        <v>29</v>
      </c>
      <c r="D88" s="10" t="s">
        <v>30</v>
      </c>
      <c r="E88" s="23" t="s">
        <v>85</v>
      </c>
      <c r="F88" s="11"/>
      <c r="G88" s="11">
        <v>58536</v>
      </c>
      <c r="H88" s="11" t="s">
        <v>61</v>
      </c>
      <c r="I88" s="12">
        <v>3417</v>
      </c>
      <c r="J88" s="12" t="str">
        <f t="shared" si="2"/>
        <v>34170026</v>
      </c>
      <c r="K88" s="7" t="s">
        <v>12</v>
      </c>
      <c r="L88" s="13"/>
      <c r="M88" s="7" t="s">
        <v>13</v>
      </c>
    </row>
    <row r="89" spans="1:13" hidden="1" x14ac:dyDescent="0.25">
      <c r="A89" s="8">
        <v>10037522</v>
      </c>
      <c r="B89" s="8" t="s">
        <v>27</v>
      </c>
      <c r="C89" s="9" t="s">
        <v>29</v>
      </c>
      <c r="D89" s="10" t="s">
        <v>30</v>
      </c>
      <c r="E89" s="11">
        <v>1292</v>
      </c>
      <c r="F89" s="11"/>
      <c r="G89" s="11">
        <v>40089</v>
      </c>
      <c r="H89" s="11" t="s">
        <v>63</v>
      </c>
      <c r="I89" s="12">
        <v>3417</v>
      </c>
      <c r="J89" s="12" t="str">
        <f t="shared" si="2"/>
        <v>34171292</v>
      </c>
      <c r="K89" s="7" t="s">
        <v>12</v>
      </c>
      <c r="L89" s="13"/>
      <c r="M89" s="7" t="s">
        <v>13</v>
      </c>
    </row>
    <row r="90" spans="1:13" hidden="1" x14ac:dyDescent="0.25">
      <c r="A90" s="8">
        <v>10028685</v>
      </c>
      <c r="B90" s="8" t="s">
        <v>27</v>
      </c>
      <c r="C90" s="9" t="s">
        <v>29</v>
      </c>
      <c r="D90" s="10" t="s">
        <v>30</v>
      </c>
      <c r="E90" s="11">
        <v>6511</v>
      </c>
      <c r="F90" s="11"/>
      <c r="G90" s="11">
        <v>16653</v>
      </c>
      <c r="H90" s="11" t="s">
        <v>67</v>
      </c>
      <c r="I90" s="12">
        <v>3417</v>
      </c>
      <c r="J90" s="12" t="str">
        <f t="shared" si="2"/>
        <v>34176511</v>
      </c>
      <c r="K90" s="7" t="s">
        <v>12</v>
      </c>
      <c r="L90" s="13"/>
      <c r="M90" s="7" t="s">
        <v>13</v>
      </c>
    </row>
    <row r="91" spans="1:13" hidden="1" x14ac:dyDescent="0.25">
      <c r="A91" s="8">
        <v>10028383</v>
      </c>
      <c r="B91" s="8" t="s">
        <v>31</v>
      </c>
      <c r="C91" s="9" t="s">
        <v>29</v>
      </c>
      <c r="D91" s="10" t="s">
        <v>30</v>
      </c>
      <c r="E91" s="11">
        <v>9105</v>
      </c>
      <c r="F91" s="11"/>
      <c r="G91" s="11">
        <v>20790</v>
      </c>
      <c r="H91" s="11" t="s">
        <v>64</v>
      </c>
      <c r="I91" s="12">
        <v>3417</v>
      </c>
      <c r="J91" s="12" t="str">
        <f t="shared" si="2"/>
        <v>34179105</v>
      </c>
      <c r="K91" s="7" t="s">
        <v>12</v>
      </c>
      <c r="L91" s="13"/>
      <c r="M91" s="7" t="s">
        <v>13</v>
      </c>
    </row>
    <row r="92" spans="1:13" hidden="1" x14ac:dyDescent="0.25">
      <c r="A92" s="8">
        <v>10028143</v>
      </c>
      <c r="B92" s="8" t="s">
        <v>27</v>
      </c>
      <c r="C92" s="9" t="s">
        <v>29</v>
      </c>
      <c r="D92" s="10" t="s">
        <v>30</v>
      </c>
      <c r="E92" s="23" t="s">
        <v>85</v>
      </c>
      <c r="F92" s="11"/>
      <c r="G92" s="11">
        <v>59191</v>
      </c>
      <c r="H92" s="11" t="s">
        <v>64</v>
      </c>
      <c r="I92" s="12">
        <v>3417</v>
      </c>
      <c r="J92" s="12" t="str">
        <f t="shared" si="2"/>
        <v>34170026</v>
      </c>
      <c r="K92" s="7" t="s">
        <v>12</v>
      </c>
      <c r="L92" s="13"/>
      <c r="M92" s="7" t="s">
        <v>13</v>
      </c>
    </row>
    <row r="93" spans="1:13" hidden="1" x14ac:dyDescent="0.25">
      <c r="A93" s="8">
        <v>10026676</v>
      </c>
      <c r="B93" s="8" t="s">
        <v>27</v>
      </c>
      <c r="C93" s="9" t="s">
        <v>29</v>
      </c>
      <c r="D93" s="10" t="s">
        <v>30</v>
      </c>
      <c r="E93" s="11">
        <v>7431</v>
      </c>
      <c r="F93" s="11"/>
      <c r="G93" s="11">
        <v>25097</v>
      </c>
      <c r="H93" s="11" t="s">
        <v>57</v>
      </c>
      <c r="I93" s="12">
        <v>3417</v>
      </c>
      <c r="J93" s="12" t="str">
        <f t="shared" si="2"/>
        <v>34177431</v>
      </c>
      <c r="K93" s="7" t="s">
        <v>12</v>
      </c>
      <c r="L93" s="13"/>
      <c r="M93" s="7" t="s">
        <v>13</v>
      </c>
    </row>
    <row r="94" spans="1:13" hidden="1" x14ac:dyDescent="0.25">
      <c r="A94" s="8">
        <v>10026605</v>
      </c>
      <c r="B94" s="8" t="s">
        <v>27</v>
      </c>
      <c r="C94" s="9" t="s">
        <v>25</v>
      </c>
      <c r="D94" s="10" t="s">
        <v>30</v>
      </c>
      <c r="E94" s="11">
        <v>4202</v>
      </c>
      <c r="F94" s="11"/>
      <c r="G94" s="11">
        <v>2008145</v>
      </c>
      <c r="H94" s="11" t="s">
        <v>61</v>
      </c>
      <c r="I94" s="19" t="s">
        <v>53</v>
      </c>
      <c r="J94" s="12" t="str">
        <f t="shared" si="2"/>
        <v>03304202</v>
      </c>
      <c r="K94" s="7" t="s">
        <v>12</v>
      </c>
      <c r="L94" s="13"/>
      <c r="M94" s="7" t="s">
        <v>13</v>
      </c>
    </row>
    <row r="95" spans="1:13" hidden="1" x14ac:dyDescent="0.25">
      <c r="A95" s="8">
        <v>10025313</v>
      </c>
      <c r="B95" s="8" t="s">
        <v>27</v>
      </c>
      <c r="C95" s="9" t="s">
        <v>29</v>
      </c>
      <c r="D95" s="10" t="s">
        <v>30</v>
      </c>
      <c r="E95" s="11">
        <v>7649</v>
      </c>
      <c r="F95" s="11"/>
      <c r="G95" s="11">
        <v>14304</v>
      </c>
      <c r="H95" s="11" t="s">
        <v>55</v>
      </c>
      <c r="I95" s="12">
        <v>3417</v>
      </c>
      <c r="J95" s="12" t="str">
        <f t="shared" si="2"/>
        <v>34177649</v>
      </c>
      <c r="K95" s="7" t="s">
        <v>12</v>
      </c>
      <c r="L95" s="13"/>
      <c r="M95" s="7" t="s">
        <v>13</v>
      </c>
    </row>
    <row r="96" spans="1:13" hidden="1" x14ac:dyDescent="0.25">
      <c r="A96" s="8">
        <v>10023202</v>
      </c>
      <c r="B96" s="8" t="s">
        <v>27</v>
      </c>
      <c r="C96" s="9" t="s">
        <v>29</v>
      </c>
      <c r="D96" s="10" t="s">
        <v>30</v>
      </c>
      <c r="E96" s="11">
        <v>7431</v>
      </c>
      <c r="F96" s="11"/>
      <c r="G96" s="11">
        <v>27640</v>
      </c>
      <c r="H96" s="11" t="s">
        <v>66</v>
      </c>
      <c r="I96" s="12">
        <v>3417</v>
      </c>
      <c r="J96" s="12" t="str">
        <f t="shared" si="2"/>
        <v>34177431</v>
      </c>
      <c r="K96" s="7" t="s">
        <v>12</v>
      </c>
      <c r="L96" s="13"/>
      <c r="M96" s="7" t="s">
        <v>13</v>
      </c>
    </row>
    <row r="97" spans="1:13" hidden="1" x14ac:dyDescent="0.25">
      <c r="A97" s="8">
        <v>10022543</v>
      </c>
      <c r="B97" s="8" t="s">
        <v>27</v>
      </c>
      <c r="C97" s="9" t="s">
        <v>29</v>
      </c>
      <c r="D97" s="10" t="s">
        <v>30</v>
      </c>
      <c r="E97" s="23" t="s">
        <v>85</v>
      </c>
      <c r="F97" s="11"/>
      <c r="G97" s="11">
        <v>58562</v>
      </c>
      <c r="H97" s="11" t="s">
        <v>63</v>
      </c>
      <c r="I97" s="12">
        <v>3417</v>
      </c>
      <c r="J97" s="12" t="str">
        <f t="shared" si="2"/>
        <v>34170026</v>
      </c>
      <c r="K97" s="7" t="s">
        <v>12</v>
      </c>
      <c r="L97" s="13"/>
      <c r="M97" s="7" t="s">
        <v>13</v>
      </c>
    </row>
    <row r="98" spans="1:13" hidden="1" x14ac:dyDescent="0.25">
      <c r="A98" s="8">
        <v>10021564</v>
      </c>
      <c r="B98" s="8" t="s">
        <v>27</v>
      </c>
      <c r="C98" s="9" t="s">
        <v>29</v>
      </c>
      <c r="D98" s="10" t="s">
        <v>30</v>
      </c>
      <c r="E98" s="23" t="s">
        <v>85</v>
      </c>
      <c r="F98" s="11"/>
      <c r="G98" s="11">
        <v>62820</v>
      </c>
      <c r="H98" s="11" t="s">
        <v>66</v>
      </c>
      <c r="I98" s="12">
        <v>3417</v>
      </c>
      <c r="J98" s="12" t="str">
        <f t="shared" si="2"/>
        <v>34170026</v>
      </c>
      <c r="K98" s="7" t="s">
        <v>12</v>
      </c>
      <c r="L98" s="13"/>
      <c r="M98" s="7" t="s">
        <v>13</v>
      </c>
    </row>
    <row r="99" spans="1:13" hidden="1" x14ac:dyDescent="0.25">
      <c r="A99" s="8">
        <v>10020829</v>
      </c>
      <c r="B99" s="8" t="s">
        <v>27</v>
      </c>
      <c r="C99" s="9" t="s">
        <v>29</v>
      </c>
      <c r="D99" s="10" t="s">
        <v>30</v>
      </c>
      <c r="E99" s="23" t="s">
        <v>85</v>
      </c>
      <c r="F99" s="11"/>
      <c r="G99" s="11">
        <v>62825</v>
      </c>
      <c r="H99" s="11" t="s">
        <v>58</v>
      </c>
      <c r="I99" s="12">
        <v>3417</v>
      </c>
      <c r="J99" s="12" t="str">
        <f t="shared" si="2"/>
        <v>34170026</v>
      </c>
      <c r="K99" s="7" t="s">
        <v>12</v>
      </c>
      <c r="L99" s="13"/>
      <c r="M99" s="7" t="s">
        <v>13</v>
      </c>
    </row>
    <row r="100" spans="1:13" hidden="1" x14ac:dyDescent="0.25">
      <c r="A100" s="8">
        <v>10020628</v>
      </c>
      <c r="B100" s="8" t="s">
        <v>31</v>
      </c>
      <c r="C100" s="9" t="s">
        <v>10</v>
      </c>
      <c r="D100" s="10" t="s">
        <v>30</v>
      </c>
      <c r="E100" s="11">
        <v>2209</v>
      </c>
      <c r="F100" s="11"/>
      <c r="G100" s="12">
        <v>28685</v>
      </c>
      <c r="H100" s="11" t="s">
        <v>63</v>
      </c>
      <c r="I100" s="12">
        <v>1040</v>
      </c>
      <c r="J100" s="12" t="str">
        <f t="shared" si="2"/>
        <v>10402209</v>
      </c>
      <c r="K100" s="7" t="s">
        <v>12</v>
      </c>
      <c r="L100" s="13"/>
      <c r="M100" s="7" t="s">
        <v>13</v>
      </c>
    </row>
    <row r="101" spans="1:13" hidden="1" x14ac:dyDescent="0.25">
      <c r="A101" s="8">
        <v>10019349</v>
      </c>
      <c r="B101" s="8" t="s">
        <v>27</v>
      </c>
      <c r="C101" s="9" t="s">
        <v>29</v>
      </c>
      <c r="D101" s="10" t="s">
        <v>30</v>
      </c>
      <c r="E101" s="23" t="s">
        <v>85</v>
      </c>
      <c r="F101" s="11"/>
      <c r="G101" s="11">
        <v>61958</v>
      </c>
      <c r="H101" s="11" t="s">
        <v>58</v>
      </c>
      <c r="I101" s="12">
        <v>3417</v>
      </c>
      <c r="J101" s="12" t="str">
        <f t="shared" si="2"/>
        <v>34170026</v>
      </c>
      <c r="K101" s="7" t="s">
        <v>12</v>
      </c>
      <c r="L101" s="13"/>
      <c r="M101" s="7" t="s">
        <v>13</v>
      </c>
    </row>
    <row r="102" spans="1:13" hidden="1" x14ac:dyDescent="0.25">
      <c r="A102" s="8">
        <v>10012371</v>
      </c>
      <c r="B102" s="8" t="s">
        <v>27</v>
      </c>
      <c r="C102" s="9" t="s">
        <v>29</v>
      </c>
      <c r="D102" s="10" t="s">
        <v>30</v>
      </c>
      <c r="E102" s="11">
        <v>2866</v>
      </c>
      <c r="F102" s="11"/>
      <c r="G102" s="11">
        <v>6555</v>
      </c>
      <c r="H102" s="11" t="s">
        <v>66</v>
      </c>
      <c r="I102" s="12">
        <v>3417</v>
      </c>
      <c r="J102" s="12" t="str">
        <f t="shared" si="2"/>
        <v>34172866</v>
      </c>
      <c r="K102" s="7" t="s">
        <v>12</v>
      </c>
      <c r="L102" s="13"/>
      <c r="M102" s="7" t="s">
        <v>13</v>
      </c>
    </row>
    <row r="103" spans="1:13" hidden="1" x14ac:dyDescent="0.25">
      <c r="A103" s="8">
        <v>10077289</v>
      </c>
      <c r="B103" s="8" t="s">
        <v>18</v>
      </c>
      <c r="C103" s="9" t="s">
        <v>14</v>
      </c>
      <c r="D103" s="10" t="s">
        <v>20</v>
      </c>
      <c r="E103" s="11">
        <v>2865</v>
      </c>
      <c r="F103" s="11"/>
      <c r="G103" s="11">
        <v>206012</v>
      </c>
      <c r="H103" s="11" t="s">
        <v>65</v>
      </c>
      <c r="I103" s="14" t="s">
        <v>52</v>
      </c>
      <c r="J103" s="12" t="str">
        <f t="shared" si="2"/>
        <v>00192865</v>
      </c>
      <c r="K103" s="7" t="s">
        <v>12</v>
      </c>
      <c r="L103" s="13"/>
      <c r="M103" s="7" t="s">
        <v>13</v>
      </c>
    </row>
    <row r="104" spans="1:13" hidden="1" x14ac:dyDescent="0.25">
      <c r="A104" s="8">
        <v>10080798</v>
      </c>
      <c r="B104" s="8" t="s">
        <v>18</v>
      </c>
      <c r="C104" s="9" t="s">
        <v>10</v>
      </c>
      <c r="D104" s="10" t="s">
        <v>21</v>
      </c>
      <c r="E104" s="23" t="s">
        <v>28</v>
      </c>
      <c r="F104" s="11"/>
      <c r="G104" s="11">
        <v>16940</v>
      </c>
      <c r="H104" s="11" t="s">
        <v>64</v>
      </c>
      <c r="I104" s="12">
        <v>1040</v>
      </c>
      <c r="J104" s="12" t="str">
        <f t="shared" si="2"/>
        <v>10400208</v>
      </c>
      <c r="K104" s="7" t="s">
        <v>12</v>
      </c>
      <c r="L104" s="13"/>
      <c r="M104" s="7" t="s">
        <v>13</v>
      </c>
    </row>
    <row r="105" spans="1:13" hidden="1" x14ac:dyDescent="0.25">
      <c r="A105" s="8">
        <v>10078088</v>
      </c>
      <c r="B105" s="8" t="s">
        <v>18</v>
      </c>
      <c r="C105" s="9" t="s">
        <v>10</v>
      </c>
      <c r="D105" s="10" t="s">
        <v>21</v>
      </c>
      <c r="E105" s="11">
        <v>4097</v>
      </c>
      <c r="F105" s="11"/>
      <c r="G105" s="11">
        <v>49725</v>
      </c>
      <c r="H105" s="11" t="s">
        <v>63</v>
      </c>
      <c r="I105" s="12">
        <v>1040</v>
      </c>
      <c r="J105" s="12" t="str">
        <f t="shared" si="2"/>
        <v>10404097</v>
      </c>
      <c r="K105" s="7" t="s">
        <v>12</v>
      </c>
      <c r="L105" s="13"/>
      <c r="M105" s="7" t="s">
        <v>13</v>
      </c>
    </row>
    <row r="106" spans="1:13" hidden="1" x14ac:dyDescent="0.25">
      <c r="A106" s="8">
        <v>10078058</v>
      </c>
      <c r="B106" s="8" t="s">
        <v>18</v>
      </c>
      <c r="C106" s="9" t="s">
        <v>19</v>
      </c>
      <c r="D106" s="10" t="s">
        <v>20</v>
      </c>
      <c r="E106" s="23" t="s">
        <v>26</v>
      </c>
      <c r="F106" s="11"/>
      <c r="G106" s="11">
        <v>91232</v>
      </c>
      <c r="H106" s="11" t="s">
        <v>62</v>
      </c>
      <c r="I106" s="12">
        <v>2372</v>
      </c>
      <c r="J106" s="12" t="str">
        <f t="shared" si="2"/>
        <v>23720213</v>
      </c>
      <c r="K106" s="7" t="s">
        <v>12</v>
      </c>
      <c r="L106" s="13"/>
      <c r="M106" s="7" t="s">
        <v>13</v>
      </c>
    </row>
    <row r="107" spans="1:13" s="32" customFormat="1" x14ac:dyDescent="0.25">
      <c r="A107" s="26">
        <v>10073880</v>
      </c>
      <c r="B107" s="26" t="s">
        <v>18</v>
      </c>
      <c r="C107" s="27" t="s">
        <v>25</v>
      </c>
      <c r="D107" s="28" t="s">
        <v>20</v>
      </c>
      <c r="E107" s="29">
        <v>3098</v>
      </c>
      <c r="F107" s="29"/>
      <c r="G107" s="29">
        <v>1072279</v>
      </c>
      <c r="H107" s="29" t="s">
        <v>61</v>
      </c>
      <c r="I107" s="30" t="s">
        <v>53</v>
      </c>
      <c r="J107" s="27" t="str">
        <f t="shared" si="2"/>
        <v>03303098</v>
      </c>
      <c r="K107" s="31" t="s">
        <v>12</v>
      </c>
      <c r="L107" s="26"/>
      <c r="M107" s="31" t="s">
        <v>13</v>
      </c>
    </row>
    <row r="108" spans="1:13" hidden="1" x14ac:dyDescent="0.25">
      <c r="A108" s="8">
        <v>10059893</v>
      </c>
      <c r="B108" s="8" t="s">
        <v>18</v>
      </c>
      <c r="C108" s="9" t="s">
        <v>10</v>
      </c>
      <c r="D108" s="10" t="s">
        <v>21</v>
      </c>
      <c r="E108" s="11" t="s">
        <v>24</v>
      </c>
      <c r="F108" s="11"/>
      <c r="G108" s="11">
        <v>33579</v>
      </c>
      <c r="H108" s="11" t="s">
        <v>60</v>
      </c>
      <c r="I108" s="12">
        <v>1040</v>
      </c>
      <c r="J108" s="12" t="str">
        <f t="shared" ref="J108:J139" si="3">I108&amp;E108</f>
        <v>10401336 </v>
      </c>
      <c r="K108" s="7" t="s">
        <v>12</v>
      </c>
      <c r="L108" s="13"/>
      <c r="M108" s="7" t="s">
        <v>13</v>
      </c>
    </row>
    <row r="109" spans="1:13" hidden="1" x14ac:dyDescent="0.25">
      <c r="A109" s="8">
        <v>10053920</v>
      </c>
      <c r="B109" s="8" t="s">
        <v>18</v>
      </c>
      <c r="C109" s="9" t="s">
        <v>22</v>
      </c>
      <c r="D109" s="10" t="s">
        <v>20</v>
      </c>
      <c r="E109" s="23" t="s">
        <v>23</v>
      </c>
      <c r="F109" s="11"/>
      <c r="G109" s="11">
        <v>34731060</v>
      </c>
      <c r="H109" s="11" t="s">
        <v>57</v>
      </c>
      <c r="I109" s="19" t="s">
        <v>54</v>
      </c>
      <c r="J109" s="12" t="str">
        <f t="shared" si="3"/>
        <v>02600001</v>
      </c>
      <c r="K109" s="7" t="s">
        <v>12</v>
      </c>
      <c r="L109" s="13"/>
      <c r="M109" s="7" t="s">
        <v>13</v>
      </c>
    </row>
    <row r="110" spans="1:13" hidden="1" x14ac:dyDescent="0.25">
      <c r="A110" s="8">
        <v>10053182</v>
      </c>
      <c r="B110" s="8" t="s">
        <v>18</v>
      </c>
      <c r="C110" s="9" t="s">
        <v>10</v>
      </c>
      <c r="D110" s="10" t="s">
        <v>21</v>
      </c>
      <c r="E110" s="11">
        <v>4097</v>
      </c>
      <c r="F110" s="11"/>
      <c r="G110" s="11">
        <v>67588</v>
      </c>
      <c r="H110" s="11" t="s">
        <v>59</v>
      </c>
      <c r="I110" s="12">
        <v>1040</v>
      </c>
      <c r="J110" s="12" t="str">
        <f t="shared" si="3"/>
        <v>10404097</v>
      </c>
      <c r="K110" s="7" t="s">
        <v>12</v>
      </c>
      <c r="L110" s="13"/>
      <c r="M110" s="7" t="s">
        <v>13</v>
      </c>
    </row>
    <row r="111" spans="1:13" hidden="1" x14ac:dyDescent="0.25">
      <c r="A111" s="8">
        <v>10052610</v>
      </c>
      <c r="B111" s="8" t="s">
        <v>18</v>
      </c>
      <c r="C111" s="9" t="s">
        <v>10</v>
      </c>
      <c r="D111" s="10" t="s">
        <v>20</v>
      </c>
      <c r="E111" s="11">
        <v>4097</v>
      </c>
      <c r="F111" s="11"/>
      <c r="G111" s="11">
        <v>25391</v>
      </c>
      <c r="H111" s="11" t="s">
        <v>57</v>
      </c>
      <c r="I111" s="12">
        <v>1040</v>
      </c>
      <c r="J111" s="12" t="str">
        <f t="shared" si="3"/>
        <v>10404097</v>
      </c>
      <c r="K111" s="7" t="s">
        <v>12</v>
      </c>
      <c r="L111" s="13"/>
      <c r="M111" s="7" t="s">
        <v>13</v>
      </c>
    </row>
    <row r="112" spans="1:13" hidden="1" x14ac:dyDescent="0.25">
      <c r="A112" s="8">
        <v>10078347</v>
      </c>
      <c r="B112" s="8" t="s">
        <v>18</v>
      </c>
      <c r="C112" s="9" t="s">
        <v>19</v>
      </c>
      <c r="D112" s="10" t="s">
        <v>20</v>
      </c>
      <c r="E112" s="11">
        <v>2494</v>
      </c>
      <c r="F112" s="11"/>
      <c r="G112" s="11">
        <v>9705</v>
      </c>
      <c r="H112" s="11" t="s">
        <v>58</v>
      </c>
      <c r="I112" s="12">
        <v>2372</v>
      </c>
      <c r="J112" s="12" t="str">
        <f t="shared" si="3"/>
        <v>23722494</v>
      </c>
      <c r="K112" s="7" t="s">
        <v>12</v>
      </c>
      <c r="L112" s="13"/>
      <c r="M112" s="7" t="s">
        <v>13</v>
      </c>
    </row>
    <row r="113" spans="1:13" hidden="1" x14ac:dyDescent="0.25">
      <c r="A113" s="8">
        <v>10072630</v>
      </c>
      <c r="B113" s="8" t="s">
        <v>9</v>
      </c>
      <c r="C113" s="9" t="s">
        <v>17</v>
      </c>
      <c r="D113" s="10"/>
      <c r="E113" s="23" t="s">
        <v>84</v>
      </c>
      <c r="F113" s="11"/>
      <c r="G113" s="12">
        <v>94441</v>
      </c>
      <c r="H113" s="11"/>
      <c r="I113" s="12">
        <v>7480</v>
      </c>
      <c r="J113" s="12" t="str">
        <f t="shared" si="3"/>
        <v>74800119</v>
      </c>
      <c r="K113" s="7" t="s">
        <v>12</v>
      </c>
      <c r="L113" s="13"/>
      <c r="M113" s="7" t="s">
        <v>13</v>
      </c>
    </row>
    <row r="114" spans="1:13" hidden="1" x14ac:dyDescent="0.25">
      <c r="A114" s="8">
        <v>10071729</v>
      </c>
      <c r="B114" s="8" t="s">
        <v>9</v>
      </c>
      <c r="C114" s="9" t="s">
        <v>10</v>
      </c>
      <c r="D114" s="10" t="s">
        <v>16</v>
      </c>
      <c r="E114" s="23" t="s">
        <v>11</v>
      </c>
      <c r="F114" s="11"/>
      <c r="G114" s="11">
        <v>68002</v>
      </c>
      <c r="H114" s="11" t="s">
        <v>57</v>
      </c>
      <c r="I114" s="12">
        <v>1040</v>
      </c>
      <c r="J114" s="12" t="str">
        <f t="shared" si="3"/>
        <v>10400519</v>
      </c>
      <c r="K114" s="7" t="s">
        <v>12</v>
      </c>
      <c r="L114" s="13"/>
      <c r="M114" s="7" t="s">
        <v>13</v>
      </c>
    </row>
    <row r="115" spans="1:13" hidden="1" x14ac:dyDescent="0.25">
      <c r="A115" s="8">
        <v>10078939</v>
      </c>
      <c r="B115" s="8" t="s">
        <v>9</v>
      </c>
      <c r="C115" s="9" t="s">
        <v>10</v>
      </c>
      <c r="D115" s="10"/>
      <c r="E115" s="23" t="s">
        <v>11</v>
      </c>
      <c r="F115" s="24"/>
      <c r="G115" s="11">
        <v>8936</v>
      </c>
      <c r="H115" s="11" t="s">
        <v>55</v>
      </c>
      <c r="I115" s="12">
        <v>1040</v>
      </c>
      <c r="J115" s="12" t="str">
        <f t="shared" si="3"/>
        <v>10400519</v>
      </c>
      <c r="K115" s="7" t="s">
        <v>12</v>
      </c>
      <c r="L115" s="13"/>
      <c r="M115" s="7" t="s">
        <v>13</v>
      </c>
    </row>
    <row r="116" spans="1:13" hidden="1" x14ac:dyDescent="0.25">
      <c r="A116" s="8">
        <v>10041181</v>
      </c>
      <c r="B116" s="8" t="s">
        <v>9</v>
      </c>
      <c r="C116" s="9" t="s">
        <v>14</v>
      </c>
      <c r="D116" s="10"/>
      <c r="E116" s="23" t="s">
        <v>83</v>
      </c>
      <c r="F116" s="11"/>
      <c r="G116" s="11">
        <v>21625</v>
      </c>
      <c r="H116" s="11" t="s">
        <v>56</v>
      </c>
      <c r="I116" s="14" t="s">
        <v>52</v>
      </c>
      <c r="J116" s="12" t="str">
        <f t="shared" si="3"/>
        <v>00190671</v>
      </c>
      <c r="K116" s="7" t="s">
        <v>12</v>
      </c>
      <c r="L116" s="15" t="s">
        <v>15</v>
      </c>
      <c r="M116" s="7" t="s">
        <v>13</v>
      </c>
    </row>
    <row r="117" spans="1:13" hidden="1" x14ac:dyDescent="0.25">
      <c r="A117" s="8" t="s">
        <v>8</v>
      </c>
      <c r="B117" s="8" t="s">
        <v>9</v>
      </c>
      <c r="C117" s="9" t="s">
        <v>14</v>
      </c>
      <c r="D117" s="10"/>
      <c r="E117" s="23" t="s">
        <v>83</v>
      </c>
      <c r="F117" s="11"/>
      <c r="G117" s="11">
        <v>21625</v>
      </c>
      <c r="H117" s="11" t="s">
        <v>56</v>
      </c>
      <c r="I117" s="14" t="s">
        <v>52</v>
      </c>
      <c r="J117" s="12" t="str">
        <f t="shared" si="3"/>
        <v>00190671</v>
      </c>
      <c r="K117" s="7" t="s">
        <v>12</v>
      </c>
      <c r="L117" s="15" t="s">
        <v>15</v>
      </c>
      <c r="M117" s="7" t="s">
        <v>13</v>
      </c>
    </row>
    <row r="118" spans="1:13" hidden="1" x14ac:dyDescent="0.25">
      <c r="A118" s="8" t="s">
        <v>7</v>
      </c>
      <c r="B118" s="8" t="s">
        <v>9</v>
      </c>
      <c r="C118" s="9" t="s">
        <v>10</v>
      </c>
      <c r="D118" s="10"/>
      <c r="E118" s="23" t="s">
        <v>11</v>
      </c>
      <c r="F118" s="24"/>
      <c r="G118" s="11">
        <v>8936</v>
      </c>
      <c r="H118" s="11" t="s">
        <v>55</v>
      </c>
      <c r="I118" s="12">
        <v>1040</v>
      </c>
      <c r="J118" s="12" t="str">
        <f t="shared" si="3"/>
        <v>10400519</v>
      </c>
      <c r="K118" s="7" t="s">
        <v>12</v>
      </c>
      <c r="L118" s="13"/>
      <c r="M118" s="7" t="s">
        <v>13</v>
      </c>
    </row>
  </sheetData>
  <protectedRanges>
    <protectedRange sqref="C6:F6" name="Intervalo1_9_1"/>
    <protectedRange sqref="C2 E2:F2" name="Intervalo1_11_1"/>
  </protectedRanges>
  <autoFilter ref="A1:M118">
    <filterColumn colId="8">
      <colorFilter dxfId="10"/>
    </filterColumn>
  </autoFilter>
  <conditionalFormatting sqref="A6">
    <cfRule type="duplicateValues" dxfId="9" priority="10"/>
  </conditionalFormatting>
  <conditionalFormatting sqref="A5">
    <cfRule type="duplicateValues" dxfId="8" priority="8"/>
  </conditionalFormatting>
  <conditionalFormatting sqref="A4">
    <cfRule type="duplicateValues" dxfId="7" priority="6"/>
  </conditionalFormatting>
  <conditionalFormatting sqref="A3">
    <cfRule type="duplicateValues" dxfId="6" priority="4"/>
  </conditionalFormatting>
  <conditionalFormatting sqref="A2">
    <cfRule type="duplicateValues" dxfId="5" priority="2"/>
  </conditionalFormatting>
  <pageMargins left="0.511811024" right="0.511811024" top="0.78740157499999996" bottom="0.78740157499999996" header="0.31496062000000002" footer="0.3149606200000000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Blanks" priority="9" id="{D4947D78-5E72-4C90-9BEB-81C295CCBFD0}">
            <xm:f>LEN(TRIM(Plan1!D1))=0</xm:f>
            <x14:dxf>
              <fill>
                <patternFill>
                  <bgColor theme="0" tint="-0.14996795556505021"/>
                </patternFill>
              </fill>
            </x14:dxf>
          </x14:cfRule>
          <xm:sqref>D6</xm:sqref>
        </x14:conditionalFormatting>
        <x14:conditionalFormatting xmlns:xm="http://schemas.microsoft.com/office/excel/2006/main">
          <x14:cfRule type="containsBlanks" priority="7" id="{0B54E5F8-4872-4182-AE4C-10845A550AD7}">
            <xm:f>LEN(TRIM(Plan1!D1))=0</xm:f>
            <x14:dxf>
              <fill>
                <patternFill>
                  <bgColor theme="0" tint="-0.14996795556505021"/>
                </patternFill>
              </fill>
            </x14:dxf>
          </x14:cfRule>
          <xm:sqref>D5</xm:sqref>
        </x14:conditionalFormatting>
        <x14:conditionalFormatting xmlns:xm="http://schemas.microsoft.com/office/excel/2006/main">
          <x14:cfRule type="containsBlanks" priority="5" id="{A8BCF919-033A-4EFF-BFCA-9E6E98D13340}">
            <xm:f>LEN(TRIM(Plan1!D1))=0</xm:f>
            <x14:dxf>
              <fill>
                <patternFill>
                  <bgColor theme="0" tint="-0.14996795556505021"/>
                </patternFill>
              </fill>
            </x14:dxf>
          </x14:cfRule>
          <xm:sqref>D4</xm:sqref>
        </x14:conditionalFormatting>
        <x14:conditionalFormatting xmlns:xm="http://schemas.microsoft.com/office/excel/2006/main">
          <x14:cfRule type="containsBlanks" priority="3" id="{5E051F50-CA53-4853-8872-95437D56ADC1}">
            <xm:f>LEN(TRIM(Plan1!D1))=0</xm:f>
            <x14:dxf>
              <fill>
                <patternFill>
                  <bgColor theme="0" tint="-0.14996795556505021"/>
                </patternFill>
              </fill>
            </x14:dxf>
          </x14:cfRule>
          <xm:sqref>D3</xm:sqref>
        </x14:conditionalFormatting>
        <x14:conditionalFormatting xmlns:xm="http://schemas.microsoft.com/office/excel/2006/main">
          <x14:cfRule type="containsBlanks" priority="1" id="{75375BC7-6B8A-433D-9BD5-8CFC23817E68}">
            <xm:f>LEN(TRIM(Plan1!D1))=0</xm:f>
            <x14:dxf>
              <fill>
                <patternFill>
                  <bgColor theme="0" tint="-0.14996795556505021"/>
                </patternFill>
              </fill>
            </x14:dxf>
          </x14:cfRule>
          <xm:sqref>D2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[1]APOIO!#REF!</xm:f>
          </x14:formula1>
          <xm:sqref>D6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Plan1</vt:lpstr>
      <vt:lpstr>Plan2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2020-10-27T13:31:59Z</dcterms:modified>
</cp:coreProperties>
</file>